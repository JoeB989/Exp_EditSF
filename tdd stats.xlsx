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8721702BE0CC7E/Documents/projects/packfilemanager-code-r1217-trunk/"/>
    </mc:Choice>
  </mc:AlternateContent>
  <xr:revisionPtr revIDLastSave="2" documentId="8_{6F0E30B0-B8F5-4611-B743-A4F82088923C}" xr6:coauthVersionLast="47" xr6:coauthVersionMax="47" xr10:uidLastSave="{E2368B85-E232-41C6-AAA9-DC726307BBDE}"/>
  <bookViews>
    <workbookView xWindow="8040" yWindow="2940" windowWidth="21120" windowHeight="13260" tabRatio="731" xr2:uid="{C44171EB-2D37-4EDF-989F-D4E9C6AEBAAB}"/>
  </bookViews>
  <sheets>
    <sheet name="Data" sheetId="37" r:id="rId1"/>
    <sheet name="factions" sheetId="43" r:id="rId2"/>
    <sheet name="Faction Strength" sheetId="38" r:id="rId3"/>
    <sheet name="Regions" sheetId="41" r:id="rId4"/>
    <sheet name="Dominance" sheetId="40" r:id="rId5"/>
  </sheets>
  <definedNames>
    <definedName name="Campaign_Series" localSheetId="4">Table3[]</definedName>
    <definedName name="Campaign_Series" localSheetId="3">Table3[]</definedName>
    <definedName name="Campaign_Series">Table3[]</definedName>
    <definedName name="GondorTheatre">#REF!</definedName>
  </definedNames>
  <calcPr calcId="191029" concurrentManualCount="4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599" i="37" l="1"/>
  <c r="J6405" i="37"/>
  <c r="J6406" i="37"/>
  <c r="J6407" i="37"/>
  <c r="J6408" i="37"/>
  <c r="J6409" i="37"/>
  <c r="J6410" i="37"/>
  <c r="J6411" i="37"/>
  <c r="J6412" i="37"/>
  <c r="J6413" i="37"/>
  <c r="J6414" i="37"/>
  <c r="J6415" i="37"/>
  <c r="J6416" i="37"/>
  <c r="J6417" i="37"/>
  <c r="J6418" i="37"/>
  <c r="J6419" i="37"/>
  <c r="J6420" i="37"/>
  <c r="J6421" i="37"/>
  <c r="J6422" i="37"/>
  <c r="J6423" i="37"/>
  <c r="J6424" i="37"/>
  <c r="J6425" i="37"/>
  <c r="J6426" i="37"/>
  <c r="J6427" i="37"/>
  <c r="J6428" i="37"/>
  <c r="J6429" i="37"/>
  <c r="J6430" i="37"/>
  <c r="J6431" i="37"/>
  <c r="J6432" i="37"/>
  <c r="J6433" i="37"/>
  <c r="J6434" i="37"/>
  <c r="J6435" i="37"/>
  <c r="J6436" i="37"/>
  <c r="J6437" i="37"/>
  <c r="J6438" i="37"/>
  <c r="J6439" i="37"/>
  <c r="J6440" i="37"/>
  <c r="J6441" i="37"/>
  <c r="J6442" i="37"/>
  <c r="J6443" i="37"/>
  <c r="J6444" i="37"/>
  <c r="J6445" i="37"/>
  <c r="J6446" i="37"/>
  <c r="J6447" i="37"/>
  <c r="J6448" i="37"/>
  <c r="J6449" i="37"/>
  <c r="J6450" i="37"/>
  <c r="J6451" i="37"/>
  <c r="J6452" i="37"/>
  <c r="J6453" i="37"/>
  <c r="J6454" i="37"/>
  <c r="J6455" i="37"/>
  <c r="J6456" i="37"/>
  <c r="J6457" i="37"/>
  <c r="J6458" i="37"/>
  <c r="J6459" i="37"/>
  <c r="J6460" i="37"/>
  <c r="J6461" i="37"/>
  <c r="J6462" i="37"/>
  <c r="J6463" i="37"/>
  <c r="J6464" i="37"/>
  <c r="J6465" i="37"/>
  <c r="J6466" i="37"/>
  <c r="J6467" i="37"/>
  <c r="J6468" i="37"/>
  <c r="J6469" i="37"/>
  <c r="J6470" i="37"/>
  <c r="J6471" i="37"/>
  <c r="J6472" i="37"/>
  <c r="J6473" i="37"/>
  <c r="J6474" i="37"/>
  <c r="J6475" i="37"/>
  <c r="J6476" i="37"/>
  <c r="J6477" i="37"/>
  <c r="J6478" i="37"/>
  <c r="J6479" i="37"/>
  <c r="J6480" i="37"/>
  <c r="J6481" i="37"/>
  <c r="J6482" i="37"/>
  <c r="J6483" i="37"/>
  <c r="J6484" i="37"/>
  <c r="J6485" i="37"/>
  <c r="J6486" i="37"/>
  <c r="J6487" i="37"/>
  <c r="J6488" i="37"/>
  <c r="J6489" i="37"/>
  <c r="J6490" i="37"/>
  <c r="J6491" i="37"/>
  <c r="J6492" i="37"/>
  <c r="J6493" i="37"/>
  <c r="J6494" i="37"/>
  <c r="J6495" i="37"/>
  <c r="J6496" i="37"/>
  <c r="J6497" i="37"/>
  <c r="J6498" i="37"/>
  <c r="J6499" i="37"/>
  <c r="J6500" i="37"/>
  <c r="J6501" i="37"/>
  <c r="J6502" i="37"/>
  <c r="J6503" i="37"/>
  <c r="J6504" i="37"/>
  <c r="J6505" i="37"/>
  <c r="J6506" i="37"/>
  <c r="J6507" i="37"/>
  <c r="J6508" i="37"/>
  <c r="J6509" i="37"/>
  <c r="J6510" i="37"/>
  <c r="J6511" i="37"/>
  <c r="J6512" i="37"/>
  <c r="J6513" i="37"/>
  <c r="J6514" i="37"/>
  <c r="J6515" i="37"/>
  <c r="J6516" i="37"/>
  <c r="J6517" i="37"/>
  <c r="J6518" i="37"/>
  <c r="J6519" i="37"/>
  <c r="J6520" i="37"/>
  <c r="J6521" i="37"/>
  <c r="J6522" i="37"/>
  <c r="J6523" i="37"/>
  <c r="J6524" i="37"/>
  <c r="J6525" i="37"/>
  <c r="J6526" i="37"/>
  <c r="J6527" i="37"/>
  <c r="J6528" i="37"/>
  <c r="J6529" i="37"/>
  <c r="J6530" i="37"/>
  <c r="J6531" i="37"/>
  <c r="J6532" i="37"/>
  <c r="J6533" i="37"/>
  <c r="J6534" i="37"/>
  <c r="J6535" i="37"/>
  <c r="J6536" i="37"/>
  <c r="J6537" i="37"/>
  <c r="J6538" i="37"/>
  <c r="J6539" i="37"/>
  <c r="J6540" i="37"/>
  <c r="J6541" i="37"/>
  <c r="J6542" i="37"/>
  <c r="J6543" i="37"/>
  <c r="J6544" i="37"/>
  <c r="J6545" i="37"/>
  <c r="J6546" i="37"/>
  <c r="J6547" i="37"/>
  <c r="J6548" i="37"/>
  <c r="J6549" i="37"/>
  <c r="J6550" i="37"/>
  <c r="J6551" i="37"/>
  <c r="J6552" i="37"/>
  <c r="J6553" i="37"/>
  <c r="J6554" i="37"/>
  <c r="J6555" i="37"/>
  <c r="J6556" i="37"/>
  <c r="J6557" i="37"/>
  <c r="J6558" i="37"/>
  <c r="J6559" i="37"/>
  <c r="J6560" i="37"/>
  <c r="J6561" i="37"/>
  <c r="J6562" i="37"/>
  <c r="J6563" i="37"/>
  <c r="J6564" i="37"/>
  <c r="J6565" i="37"/>
  <c r="J6566" i="37"/>
  <c r="J6567" i="37"/>
  <c r="J6568" i="37"/>
  <c r="J6569" i="37"/>
  <c r="J6570" i="37"/>
  <c r="J6571" i="37"/>
  <c r="J6572" i="37"/>
  <c r="J6573" i="37"/>
  <c r="J6574" i="37"/>
  <c r="J6575" i="37"/>
  <c r="J6576" i="37"/>
  <c r="J6577" i="37"/>
  <c r="J6578" i="37"/>
  <c r="J6579" i="37"/>
  <c r="J6580" i="37"/>
  <c r="J6581" i="37"/>
  <c r="J6582" i="37"/>
  <c r="J6583" i="37"/>
  <c r="J6584" i="37"/>
  <c r="J6585" i="37"/>
  <c r="J6586" i="37"/>
  <c r="J6587" i="37"/>
  <c r="J6588" i="37"/>
  <c r="J6589" i="37"/>
  <c r="J6590" i="37"/>
  <c r="J6591" i="37"/>
  <c r="J6592" i="37"/>
  <c r="J6593" i="37"/>
  <c r="J6594" i="37"/>
  <c r="J6595" i="37"/>
  <c r="J6596" i="37"/>
  <c r="J6597" i="37"/>
  <c r="J6598" i="37"/>
  <c r="J6132" i="37"/>
  <c r="J6133" i="37"/>
  <c r="J6134" i="37"/>
  <c r="J6135" i="37"/>
  <c r="J6136" i="37"/>
  <c r="J6137" i="37"/>
  <c r="J6138" i="37"/>
  <c r="J6139" i="37"/>
  <c r="J6140" i="37"/>
  <c r="J6141" i="37"/>
  <c r="J6142" i="37"/>
  <c r="J6143" i="37"/>
  <c r="J6144" i="37"/>
  <c r="J6145" i="37"/>
  <c r="J6146" i="37"/>
  <c r="J6147" i="37"/>
  <c r="J6148" i="37"/>
  <c r="J6149" i="37"/>
  <c r="J6150" i="37"/>
  <c r="J6151" i="37"/>
  <c r="J6152" i="37"/>
  <c r="J6153" i="37"/>
  <c r="J6154" i="37"/>
  <c r="J6155" i="37"/>
  <c r="J6156" i="37"/>
  <c r="J6157" i="37"/>
  <c r="J6158" i="37"/>
  <c r="J6159" i="37"/>
  <c r="J6160" i="37"/>
  <c r="J6161" i="37"/>
  <c r="J6162" i="37"/>
  <c r="J6163" i="37"/>
  <c r="J6164" i="37"/>
  <c r="J6165" i="37"/>
  <c r="J6166" i="37"/>
  <c r="J6167" i="37"/>
  <c r="J6168" i="37"/>
  <c r="J6169" i="37"/>
  <c r="J6170" i="37"/>
  <c r="J6171" i="37"/>
  <c r="J6172" i="37"/>
  <c r="J6173" i="37"/>
  <c r="J6174" i="37"/>
  <c r="J6175" i="37"/>
  <c r="J6176" i="37"/>
  <c r="J6177" i="37"/>
  <c r="J6178" i="37"/>
  <c r="J6179" i="37"/>
  <c r="J6180" i="37"/>
  <c r="J6181" i="37"/>
  <c r="J6182" i="37"/>
  <c r="J6183" i="37"/>
  <c r="J6184" i="37"/>
  <c r="J6185" i="37"/>
  <c r="J6186" i="37"/>
  <c r="J6187" i="37"/>
  <c r="J6188" i="37"/>
  <c r="J6189" i="37"/>
  <c r="J6190" i="37"/>
  <c r="J6191" i="37"/>
  <c r="J6192" i="37"/>
  <c r="J6193" i="37"/>
  <c r="J6194" i="37"/>
  <c r="J6195" i="37"/>
  <c r="J6196" i="37"/>
  <c r="J6197" i="37"/>
  <c r="J6198" i="37"/>
  <c r="J6199" i="37"/>
  <c r="J6200" i="37"/>
  <c r="J6201" i="37"/>
  <c r="J6202" i="37"/>
  <c r="J6203" i="37"/>
  <c r="J6204" i="37"/>
  <c r="J6205" i="37"/>
  <c r="J6206" i="37"/>
  <c r="J6207" i="37"/>
  <c r="J6208" i="37"/>
  <c r="J6209" i="37"/>
  <c r="J6210" i="37"/>
  <c r="J6211" i="37"/>
  <c r="J6212" i="37"/>
  <c r="J6213" i="37"/>
  <c r="J6214" i="37"/>
  <c r="J6215" i="37"/>
  <c r="J6216" i="37"/>
  <c r="J6217" i="37"/>
  <c r="J6218" i="37"/>
  <c r="J6219" i="37"/>
  <c r="J6220" i="37"/>
  <c r="J6221" i="37"/>
  <c r="J6222" i="37"/>
  <c r="J6223" i="37"/>
  <c r="J6224" i="37"/>
  <c r="J6225" i="37"/>
  <c r="J6226" i="37"/>
  <c r="J6227" i="37"/>
  <c r="J6228" i="37"/>
  <c r="J6229" i="37"/>
  <c r="J6230" i="37"/>
  <c r="J6231" i="37"/>
  <c r="J6232" i="37"/>
  <c r="J6233" i="37"/>
  <c r="J6234" i="37"/>
  <c r="J6235" i="37"/>
  <c r="J6236" i="37"/>
  <c r="J6237" i="37"/>
  <c r="J6238" i="37"/>
  <c r="J6239" i="37"/>
  <c r="J6240" i="37"/>
  <c r="J6241" i="37"/>
  <c r="J6242" i="37"/>
  <c r="J6243" i="37"/>
  <c r="J6244" i="37"/>
  <c r="J6245" i="37"/>
  <c r="J6246" i="37"/>
  <c r="J6247" i="37"/>
  <c r="J6248" i="37"/>
  <c r="J6249" i="37"/>
  <c r="J6250" i="37"/>
  <c r="J6251" i="37"/>
  <c r="J6252" i="37"/>
  <c r="J6253" i="37"/>
  <c r="J6254" i="37"/>
  <c r="J6255" i="37"/>
  <c r="J6256" i="37"/>
  <c r="J6257" i="37"/>
  <c r="J6258" i="37"/>
  <c r="J6259" i="37"/>
  <c r="J6260" i="37"/>
  <c r="J6261" i="37"/>
  <c r="J6262" i="37"/>
  <c r="J6263" i="37"/>
  <c r="J6264" i="37"/>
  <c r="J6265" i="37"/>
  <c r="J6266" i="37"/>
  <c r="J6267" i="37"/>
  <c r="J6268" i="37"/>
  <c r="J6269" i="37"/>
  <c r="J6270" i="37"/>
  <c r="J6271" i="37"/>
  <c r="J6272" i="37"/>
  <c r="J6273" i="37"/>
  <c r="J6274" i="37"/>
  <c r="J6275" i="37"/>
  <c r="J6276" i="37"/>
  <c r="J6277" i="37"/>
  <c r="J6278" i="37"/>
  <c r="J6279" i="37"/>
  <c r="J6280" i="37"/>
  <c r="J6281" i="37"/>
  <c r="J6282" i="37"/>
  <c r="J6283" i="37"/>
  <c r="J6284" i="37"/>
  <c r="J6285" i="37"/>
  <c r="J6286" i="37"/>
  <c r="J6287" i="37"/>
  <c r="J6288" i="37"/>
  <c r="J6289" i="37"/>
  <c r="J6290" i="37"/>
  <c r="J6291" i="37"/>
  <c r="J6292" i="37"/>
  <c r="J6293" i="37"/>
  <c r="J6294" i="37"/>
  <c r="J6295" i="37"/>
  <c r="J6296" i="37"/>
  <c r="J6297" i="37"/>
  <c r="J6298" i="37"/>
  <c r="J6299" i="37"/>
  <c r="J6300" i="37"/>
  <c r="J6301" i="37"/>
  <c r="J6302" i="37"/>
  <c r="J6303" i="37"/>
  <c r="J6304" i="37"/>
  <c r="J6305" i="37"/>
  <c r="J6306" i="37"/>
  <c r="J6307" i="37"/>
  <c r="J6308" i="37"/>
  <c r="J6309" i="37"/>
  <c r="J6310" i="37"/>
  <c r="J6311" i="37"/>
  <c r="J6312" i="37"/>
  <c r="J6313" i="37"/>
  <c r="J6314" i="37"/>
  <c r="J6315" i="37"/>
  <c r="J6316" i="37"/>
  <c r="J6317" i="37"/>
  <c r="J6318" i="37"/>
  <c r="J6319" i="37"/>
  <c r="J6320" i="37"/>
  <c r="J6321" i="37"/>
  <c r="J6322" i="37"/>
  <c r="J6323" i="37"/>
  <c r="J6324" i="37"/>
  <c r="J6325" i="37"/>
  <c r="J6326" i="37"/>
  <c r="J6327" i="37"/>
  <c r="J6328" i="37"/>
  <c r="J6329" i="37"/>
  <c r="J6330" i="37"/>
  <c r="J6331" i="37"/>
  <c r="J6332" i="37"/>
  <c r="J6333" i="37"/>
  <c r="J6334" i="37"/>
  <c r="J6335" i="37"/>
  <c r="J6336" i="37"/>
  <c r="J6337" i="37"/>
  <c r="J6338" i="37"/>
  <c r="J6339" i="37"/>
  <c r="J6340" i="37"/>
  <c r="J6341" i="37"/>
  <c r="J6342" i="37"/>
  <c r="J6343" i="37"/>
  <c r="J6344" i="37"/>
  <c r="J6345" i="37"/>
  <c r="J6346" i="37"/>
  <c r="J6347" i="37"/>
  <c r="J6348" i="37"/>
  <c r="J6349" i="37"/>
  <c r="J6350" i="37"/>
  <c r="J6351" i="37"/>
  <c r="J6352" i="37"/>
  <c r="J6353" i="37"/>
  <c r="J6354" i="37"/>
  <c r="J6355" i="37"/>
  <c r="J6356" i="37"/>
  <c r="J6357" i="37"/>
  <c r="J6358" i="37"/>
  <c r="J6359" i="37"/>
  <c r="J6360" i="37"/>
  <c r="J6361" i="37"/>
  <c r="J6362" i="37"/>
  <c r="J6363" i="37"/>
  <c r="J6364" i="37"/>
  <c r="J6365" i="37"/>
  <c r="J6366" i="37"/>
  <c r="J6367" i="37"/>
  <c r="J6368" i="37"/>
  <c r="J6369" i="37"/>
  <c r="J6370" i="37"/>
  <c r="J6371" i="37"/>
  <c r="J6372" i="37"/>
  <c r="J6373" i="37"/>
  <c r="J6374" i="37"/>
  <c r="J6375" i="37"/>
  <c r="J6376" i="37"/>
  <c r="J6377" i="37"/>
  <c r="J6378" i="37"/>
  <c r="J6379" i="37"/>
  <c r="J6380" i="37"/>
  <c r="J6381" i="37"/>
  <c r="J6382" i="37"/>
  <c r="J6383" i="37"/>
  <c r="J6384" i="37"/>
  <c r="J6385" i="37"/>
  <c r="J6386" i="37"/>
  <c r="J6387" i="37"/>
  <c r="J6388" i="37"/>
  <c r="J6389" i="37"/>
  <c r="J6390" i="37"/>
  <c r="J6391" i="37"/>
  <c r="J6392" i="37"/>
  <c r="J6393" i="37"/>
  <c r="J6394" i="37"/>
  <c r="J6395" i="37"/>
  <c r="J6396" i="37"/>
  <c r="J6397" i="37"/>
  <c r="J6398" i="37"/>
  <c r="J6399" i="37"/>
  <c r="J6400" i="37"/>
  <c r="J6401" i="37"/>
  <c r="J6402" i="37"/>
  <c r="J6403" i="37"/>
  <c r="J6404" i="37"/>
  <c r="J5780" i="37"/>
  <c r="J5781" i="37"/>
  <c r="J5782" i="37"/>
  <c r="J5783" i="37"/>
  <c r="J5784" i="37"/>
  <c r="J5785" i="37"/>
  <c r="J5786" i="37"/>
  <c r="J5787" i="37"/>
  <c r="J5788" i="37"/>
  <c r="J5789" i="37"/>
  <c r="J5790" i="37"/>
  <c r="J5791" i="37"/>
  <c r="J5792" i="37"/>
  <c r="J5793" i="37"/>
  <c r="J5794" i="37"/>
  <c r="J5795" i="37"/>
  <c r="J5796" i="37"/>
  <c r="J5797" i="37"/>
  <c r="J5798" i="37"/>
  <c r="J5799" i="37"/>
  <c r="J5800" i="37"/>
  <c r="J5801" i="37"/>
  <c r="J5802" i="37"/>
  <c r="J5803" i="37"/>
  <c r="J5804" i="37"/>
  <c r="J5805" i="37"/>
  <c r="J5806" i="37"/>
  <c r="J5807" i="37"/>
  <c r="J5808" i="37"/>
  <c r="J5809" i="37"/>
  <c r="J5810" i="37"/>
  <c r="J5811" i="37"/>
  <c r="J5812" i="37"/>
  <c r="J5813" i="37"/>
  <c r="J5814" i="37"/>
  <c r="J5815" i="37"/>
  <c r="J5816" i="37"/>
  <c r="J5817" i="37"/>
  <c r="J5818" i="37"/>
  <c r="J5819" i="37"/>
  <c r="J5820" i="37"/>
  <c r="J5821" i="37"/>
  <c r="J5822" i="37"/>
  <c r="J5823" i="37"/>
  <c r="J5824" i="37"/>
  <c r="J5825" i="37"/>
  <c r="J5826" i="37"/>
  <c r="J5827" i="37"/>
  <c r="J5828" i="37"/>
  <c r="J5829" i="37"/>
  <c r="J5830" i="37"/>
  <c r="J5831" i="37"/>
  <c r="J5832" i="37"/>
  <c r="J5833" i="37"/>
  <c r="J5834" i="37"/>
  <c r="J5835" i="37"/>
  <c r="J5836" i="37"/>
  <c r="J5837" i="37"/>
  <c r="J5838" i="37"/>
  <c r="J5839" i="37"/>
  <c r="J5840" i="37"/>
  <c r="J5841" i="37"/>
  <c r="J5842" i="37"/>
  <c r="J5843" i="37"/>
  <c r="J5844" i="37"/>
  <c r="J5845" i="37"/>
  <c r="J5846" i="37"/>
  <c r="J5847" i="37"/>
  <c r="J5848" i="37"/>
  <c r="J5849" i="37"/>
  <c r="J5850" i="37"/>
  <c r="J5851" i="37"/>
  <c r="J5852" i="37"/>
  <c r="J5853" i="37"/>
  <c r="J5854" i="37"/>
  <c r="J5855" i="37"/>
  <c r="J5856" i="37"/>
  <c r="J5857" i="37"/>
  <c r="J5858" i="37"/>
  <c r="J5859" i="37"/>
  <c r="J5860" i="37"/>
  <c r="J5861" i="37"/>
  <c r="J5862" i="37"/>
  <c r="J5863" i="37"/>
  <c r="J5864" i="37"/>
  <c r="J5865" i="37"/>
  <c r="J5866" i="37"/>
  <c r="J5867" i="37"/>
  <c r="J5868" i="37"/>
  <c r="J5869" i="37"/>
  <c r="J5870" i="37"/>
  <c r="J5871" i="37"/>
  <c r="J5872" i="37"/>
  <c r="J5873" i="37"/>
  <c r="J5874" i="37"/>
  <c r="J5875" i="37"/>
  <c r="J5876" i="37"/>
  <c r="J5877" i="37"/>
  <c r="J5878" i="37"/>
  <c r="J5879" i="37"/>
  <c r="J5880" i="37"/>
  <c r="J5881" i="37"/>
  <c r="J5882" i="37"/>
  <c r="J5883" i="37"/>
  <c r="J5884" i="37"/>
  <c r="J5885" i="37"/>
  <c r="J5886" i="37"/>
  <c r="J5887" i="37"/>
  <c r="J5888" i="37"/>
  <c r="J5889" i="37"/>
  <c r="J5890" i="37"/>
  <c r="J5891" i="37"/>
  <c r="J5892" i="37"/>
  <c r="J5893" i="37"/>
  <c r="J5894" i="37"/>
  <c r="J5895" i="37"/>
  <c r="J5896" i="37"/>
  <c r="J5897" i="37"/>
  <c r="J5898" i="37"/>
  <c r="J5899" i="37"/>
  <c r="J5900" i="37"/>
  <c r="J5901" i="37"/>
  <c r="J5902" i="37"/>
  <c r="J5903" i="37"/>
  <c r="J5904" i="37"/>
  <c r="J5905" i="37"/>
  <c r="J5906" i="37"/>
  <c r="J5907" i="37"/>
  <c r="J5908" i="37"/>
  <c r="J5909" i="37"/>
  <c r="J5910" i="37"/>
  <c r="J5911" i="37"/>
  <c r="J5912" i="37"/>
  <c r="J5913" i="37"/>
  <c r="J5914" i="37"/>
  <c r="J5915" i="37"/>
  <c r="J5916" i="37"/>
  <c r="J5917" i="37"/>
  <c r="J5918" i="37"/>
  <c r="J5919" i="37"/>
  <c r="J5920" i="37"/>
  <c r="J5921" i="37"/>
  <c r="J5922" i="37"/>
  <c r="J5923" i="37"/>
  <c r="J5924" i="37"/>
  <c r="J5925" i="37"/>
  <c r="J5926" i="37"/>
  <c r="J5927" i="37"/>
  <c r="J5928" i="37"/>
  <c r="J5929" i="37"/>
  <c r="J5930" i="37"/>
  <c r="J5931" i="37"/>
  <c r="J5932" i="37"/>
  <c r="J5933" i="37"/>
  <c r="J5934" i="37"/>
  <c r="J5935" i="37"/>
  <c r="J5936" i="37"/>
  <c r="J5937" i="37"/>
  <c r="J5938" i="37"/>
  <c r="J5939" i="37"/>
  <c r="J5940" i="37"/>
  <c r="J5941" i="37"/>
  <c r="J5942" i="37"/>
  <c r="J5943" i="37"/>
  <c r="J5944" i="37"/>
  <c r="J5945" i="37"/>
  <c r="J5946" i="37"/>
  <c r="J5947" i="37"/>
  <c r="J5948" i="37"/>
  <c r="J5949" i="37"/>
  <c r="J5950" i="37"/>
  <c r="J5951" i="37"/>
  <c r="J5952" i="37"/>
  <c r="J5953" i="37"/>
  <c r="J5954" i="37"/>
  <c r="J5955" i="37"/>
  <c r="J5956" i="37"/>
  <c r="J5957" i="37"/>
  <c r="J5958" i="37"/>
  <c r="J5959" i="37"/>
  <c r="J5960" i="37"/>
  <c r="J5961" i="37"/>
  <c r="J5962" i="37"/>
  <c r="J5963" i="37"/>
  <c r="J5964" i="37"/>
  <c r="J5965" i="37"/>
  <c r="J5966" i="37"/>
  <c r="J5967" i="37"/>
  <c r="J5968" i="37"/>
  <c r="J5969" i="37"/>
  <c r="J5970" i="37"/>
  <c r="J5971" i="37"/>
  <c r="J5972" i="37"/>
  <c r="J5973" i="37"/>
  <c r="J5974" i="37"/>
  <c r="J5975" i="37"/>
  <c r="J5976" i="37"/>
  <c r="J5977" i="37"/>
  <c r="J5978" i="37"/>
  <c r="J5979" i="37"/>
  <c r="J5980" i="37"/>
  <c r="J5981" i="37"/>
  <c r="J5982" i="37"/>
  <c r="J5983" i="37"/>
  <c r="J5984" i="37"/>
  <c r="J5985" i="37"/>
  <c r="J5986" i="37"/>
  <c r="J5987" i="37"/>
  <c r="J5988" i="37"/>
  <c r="J5989" i="37"/>
  <c r="J5990" i="37"/>
  <c r="J5991" i="37"/>
  <c r="J5992" i="37"/>
  <c r="J5993" i="37"/>
  <c r="J5994" i="37"/>
  <c r="J5995" i="37"/>
  <c r="J5996" i="37"/>
  <c r="J5997" i="37"/>
  <c r="J5998" i="37"/>
  <c r="J5999" i="37"/>
  <c r="J6000" i="37"/>
  <c r="J6001" i="37"/>
  <c r="J6002" i="37"/>
  <c r="J6003" i="37"/>
  <c r="J6004" i="37"/>
  <c r="J6005" i="37"/>
  <c r="J6006" i="37"/>
  <c r="J6007" i="37"/>
  <c r="J6008" i="37"/>
  <c r="J6009" i="37"/>
  <c r="J6010" i="37"/>
  <c r="J6011" i="37"/>
  <c r="J6012" i="37"/>
  <c r="J6013" i="37"/>
  <c r="J6014" i="37"/>
  <c r="J6015" i="37"/>
  <c r="J6016" i="37"/>
  <c r="J6017" i="37"/>
  <c r="J6018" i="37"/>
  <c r="J6019" i="37"/>
  <c r="J6020" i="37"/>
  <c r="J6021" i="37"/>
  <c r="J6022" i="37"/>
  <c r="J6023" i="37"/>
  <c r="J6024" i="37"/>
  <c r="J6025" i="37"/>
  <c r="J6026" i="37"/>
  <c r="J6027" i="37"/>
  <c r="J6028" i="37"/>
  <c r="J6029" i="37"/>
  <c r="J6030" i="37"/>
  <c r="J6031" i="37"/>
  <c r="J6032" i="37"/>
  <c r="J6033" i="37"/>
  <c r="J6034" i="37"/>
  <c r="J6035" i="37"/>
  <c r="J6036" i="37"/>
  <c r="J6037" i="37"/>
  <c r="J6038" i="37"/>
  <c r="J6039" i="37"/>
  <c r="J6040" i="37"/>
  <c r="J6041" i="37"/>
  <c r="J6042" i="37"/>
  <c r="J6043" i="37"/>
  <c r="J6044" i="37"/>
  <c r="J6045" i="37"/>
  <c r="J6046" i="37"/>
  <c r="J6047" i="37"/>
  <c r="J6048" i="37"/>
  <c r="J6049" i="37"/>
  <c r="J6050" i="37"/>
  <c r="J6051" i="37"/>
  <c r="J6052" i="37"/>
  <c r="J6053" i="37"/>
  <c r="J6054" i="37"/>
  <c r="J6055" i="37"/>
  <c r="J6056" i="37"/>
  <c r="J6057" i="37"/>
  <c r="J6058" i="37"/>
  <c r="J6059" i="37"/>
  <c r="J6060" i="37"/>
  <c r="J6061" i="37"/>
  <c r="J6062" i="37"/>
  <c r="J6063" i="37"/>
  <c r="J6064" i="37"/>
  <c r="J6065" i="37"/>
  <c r="J6066" i="37"/>
  <c r="J6067" i="37"/>
  <c r="J6068" i="37"/>
  <c r="J6069" i="37"/>
  <c r="J6070" i="37"/>
  <c r="J6071" i="37"/>
  <c r="J6072" i="37"/>
  <c r="J6073" i="37"/>
  <c r="J6074" i="37"/>
  <c r="J6075" i="37"/>
  <c r="J6076" i="37"/>
  <c r="J6077" i="37"/>
  <c r="J6078" i="37"/>
  <c r="J6079" i="37"/>
  <c r="J6080" i="37"/>
  <c r="J6081" i="37"/>
  <c r="J6082" i="37"/>
  <c r="J6083" i="37"/>
  <c r="J6084" i="37"/>
  <c r="J6085" i="37"/>
  <c r="J6086" i="37"/>
  <c r="J6087" i="37"/>
  <c r="J6088" i="37"/>
  <c r="J6089" i="37"/>
  <c r="J6090" i="37"/>
  <c r="J6091" i="37"/>
  <c r="J6092" i="37"/>
  <c r="J6093" i="37"/>
  <c r="J6094" i="37"/>
  <c r="J6095" i="37"/>
  <c r="J6096" i="37"/>
  <c r="J6097" i="37"/>
  <c r="J6098" i="37"/>
  <c r="J6099" i="37"/>
  <c r="J6100" i="37"/>
  <c r="J6101" i="37"/>
  <c r="J6102" i="37"/>
  <c r="J6103" i="37"/>
  <c r="J6104" i="37"/>
  <c r="J6105" i="37"/>
  <c r="J6106" i="37"/>
  <c r="J6107" i="37"/>
  <c r="J6108" i="37"/>
  <c r="J6109" i="37"/>
  <c r="J6110" i="37"/>
  <c r="J6111" i="37"/>
  <c r="J6112" i="37"/>
  <c r="J6113" i="37"/>
  <c r="J6114" i="37"/>
  <c r="J6115" i="37"/>
  <c r="J6116" i="37"/>
  <c r="J6117" i="37"/>
  <c r="J6118" i="37"/>
  <c r="J6119" i="37"/>
  <c r="J6120" i="37"/>
  <c r="J6121" i="37"/>
  <c r="J6122" i="37"/>
  <c r="J6123" i="37"/>
  <c r="J6124" i="37"/>
  <c r="J6125" i="37"/>
  <c r="J6126" i="37"/>
  <c r="J6127" i="37"/>
  <c r="J6128" i="37"/>
  <c r="J6129" i="37"/>
  <c r="J6130" i="37"/>
  <c r="J6131" i="37"/>
  <c r="J5430" i="37"/>
  <c r="J5431" i="37"/>
  <c r="J5432" i="37"/>
  <c r="J5433" i="37"/>
  <c r="J5434" i="37"/>
  <c r="J5435" i="37"/>
  <c r="J5436" i="37"/>
  <c r="J5437" i="37"/>
  <c r="J5438" i="37"/>
  <c r="J5439" i="37"/>
  <c r="J5440" i="37"/>
  <c r="J5441" i="37"/>
  <c r="J5442" i="37"/>
  <c r="J5443" i="37"/>
  <c r="J5444" i="37"/>
  <c r="J5445" i="37"/>
  <c r="J5446" i="37"/>
  <c r="J5447" i="37"/>
  <c r="J5448" i="37"/>
  <c r="J5449" i="37"/>
  <c r="J5450" i="37"/>
  <c r="J5451" i="37"/>
  <c r="J5452" i="37"/>
  <c r="J5453" i="37"/>
  <c r="J5454" i="37"/>
  <c r="J5455" i="37"/>
  <c r="J5456" i="37"/>
  <c r="J5457" i="37"/>
  <c r="J5458" i="37"/>
  <c r="J5459" i="37"/>
  <c r="J5460" i="37"/>
  <c r="J5461" i="37"/>
  <c r="J5462" i="37"/>
  <c r="J5463" i="37"/>
  <c r="J5464" i="37"/>
  <c r="J5465" i="37"/>
  <c r="J5466" i="37"/>
  <c r="J5467" i="37"/>
  <c r="J5468" i="37"/>
  <c r="J5469" i="37"/>
  <c r="J5470" i="37"/>
  <c r="J5471" i="37"/>
  <c r="J5472" i="37"/>
  <c r="J5473" i="37"/>
  <c r="J5474" i="37"/>
  <c r="J5475" i="37"/>
  <c r="J5476" i="37"/>
  <c r="J5477" i="37"/>
  <c r="J5478" i="37"/>
  <c r="J5479" i="37"/>
  <c r="J5480" i="37"/>
  <c r="J5481" i="37"/>
  <c r="J5482" i="37"/>
  <c r="J5483" i="37"/>
  <c r="J5484" i="37"/>
  <c r="J5485" i="37"/>
  <c r="J5486" i="37"/>
  <c r="J5487" i="37"/>
  <c r="J5488" i="37"/>
  <c r="J5489" i="37"/>
  <c r="J5490" i="37"/>
  <c r="J5491" i="37"/>
  <c r="J5492" i="37"/>
  <c r="J5493" i="37"/>
  <c r="J5494" i="37"/>
  <c r="J5495" i="37"/>
  <c r="J5496" i="37"/>
  <c r="J5497" i="37"/>
  <c r="J5498" i="37"/>
  <c r="J5499" i="37"/>
  <c r="J5500" i="37"/>
  <c r="J5501" i="37"/>
  <c r="J5502" i="37"/>
  <c r="J5503" i="37"/>
  <c r="J5504" i="37"/>
  <c r="J5505" i="37"/>
  <c r="J5506" i="37"/>
  <c r="J5507" i="37"/>
  <c r="J5508" i="37"/>
  <c r="J5509" i="37"/>
  <c r="J5510" i="37"/>
  <c r="J5511" i="37"/>
  <c r="J5512" i="37"/>
  <c r="J5513" i="37"/>
  <c r="J5514" i="37"/>
  <c r="J5515" i="37"/>
  <c r="J5516" i="37"/>
  <c r="J5517" i="37"/>
  <c r="J5518" i="37"/>
  <c r="J5519" i="37"/>
  <c r="J5520" i="37"/>
  <c r="J5521" i="37"/>
  <c r="J5522" i="37"/>
  <c r="J5523" i="37"/>
  <c r="J5524" i="37"/>
  <c r="J5525" i="37"/>
  <c r="J5526" i="37"/>
  <c r="J5527" i="37"/>
  <c r="J5528" i="37"/>
  <c r="J5529" i="37"/>
  <c r="J5530" i="37"/>
  <c r="J5531" i="37"/>
  <c r="J5532" i="37"/>
  <c r="J5533" i="37"/>
  <c r="J5534" i="37"/>
  <c r="J5535" i="37"/>
  <c r="J5536" i="37"/>
  <c r="J5537" i="37"/>
  <c r="J5538" i="37"/>
  <c r="J5539" i="37"/>
  <c r="J5540" i="37"/>
  <c r="J5541" i="37"/>
  <c r="J5542" i="37"/>
  <c r="J5543" i="37"/>
  <c r="J5544" i="37"/>
  <c r="J5545" i="37"/>
  <c r="J5546" i="37"/>
  <c r="J5547" i="37"/>
  <c r="J5548" i="37"/>
  <c r="J5549" i="37"/>
  <c r="J5550" i="37"/>
  <c r="J5551" i="37"/>
  <c r="J5552" i="37"/>
  <c r="J5553" i="37"/>
  <c r="J5554" i="37"/>
  <c r="J5555" i="37"/>
  <c r="J5556" i="37"/>
  <c r="J5557" i="37"/>
  <c r="J5558" i="37"/>
  <c r="J5559" i="37"/>
  <c r="J5560" i="37"/>
  <c r="J5561" i="37"/>
  <c r="J5562" i="37"/>
  <c r="J5563" i="37"/>
  <c r="J5564" i="37"/>
  <c r="J5565" i="37"/>
  <c r="J5566" i="37"/>
  <c r="J5567" i="37"/>
  <c r="J5568" i="37"/>
  <c r="J5569" i="37"/>
  <c r="J5570" i="37"/>
  <c r="J5571" i="37"/>
  <c r="J5572" i="37"/>
  <c r="J5573" i="37"/>
  <c r="J5574" i="37"/>
  <c r="J5575" i="37"/>
  <c r="J5576" i="37"/>
  <c r="J5577" i="37"/>
  <c r="J5578" i="37"/>
  <c r="J5579" i="37"/>
  <c r="J5580" i="37"/>
  <c r="J5581" i="37"/>
  <c r="J5582" i="37"/>
  <c r="J5583" i="37"/>
  <c r="J5584" i="37"/>
  <c r="J5585" i="37"/>
  <c r="J5586" i="37"/>
  <c r="J5587" i="37"/>
  <c r="J5588" i="37"/>
  <c r="J5589" i="37"/>
  <c r="J5590" i="37"/>
  <c r="J5591" i="37"/>
  <c r="J5592" i="37"/>
  <c r="J5593" i="37"/>
  <c r="J5594" i="37"/>
  <c r="J5595" i="37"/>
  <c r="J5596" i="37"/>
  <c r="J5597" i="37"/>
  <c r="J5598" i="37"/>
  <c r="J5599" i="37"/>
  <c r="J5600" i="37"/>
  <c r="J5601" i="37"/>
  <c r="J5602" i="37"/>
  <c r="J5603" i="37"/>
  <c r="J5604" i="37"/>
  <c r="J5605" i="37"/>
  <c r="J5606" i="37"/>
  <c r="J5607" i="37"/>
  <c r="J5608" i="37"/>
  <c r="J5609" i="37"/>
  <c r="J5610" i="37"/>
  <c r="J5611" i="37"/>
  <c r="J5612" i="37"/>
  <c r="J5613" i="37"/>
  <c r="J5614" i="37"/>
  <c r="J5615" i="37"/>
  <c r="J5616" i="37"/>
  <c r="J5617" i="37"/>
  <c r="J5618" i="37"/>
  <c r="J5619" i="37"/>
  <c r="J5620" i="37"/>
  <c r="J5621" i="37"/>
  <c r="J5622" i="37"/>
  <c r="J5623" i="37"/>
  <c r="J5624" i="37"/>
  <c r="J5625" i="37"/>
  <c r="J5626" i="37"/>
  <c r="J5627" i="37"/>
  <c r="J5628" i="37"/>
  <c r="J5629" i="37"/>
  <c r="J5630" i="37"/>
  <c r="J5631" i="37"/>
  <c r="J5632" i="37"/>
  <c r="J5633" i="37"/>
  <c r="J5634" i="37"/>
  <c r="J5635" i="37"/>
  <c r="J5636" i="37"/>
  <c r="J5637" i="37"/>
  <c r="J5638" i="37"/>
  <c r="J5639" i="37"/>
  <c r="J5640" i="37"/>
  <c r="J5641" i="37"/>
  <c r="J5642" i="37"/>
  <c r="J5643" i="37"/>
  <c r="J5644" i="37"/>
  <c r="J5645" i="37"/>
  <c r="J5646" i="37"/>
  <c r="J5647" i="37"/>
  <c r="J5648" i="37"/>
  <c r="J5649" i="37"/>
  <c r="J5650" i="37"/>
  <c r="J5651" i="37"/>
  <c r="J5652" i="37"/>
  <c r="J5653" i="37"/>
  <c r="J5654" i="37"/>
  <c r="J5655" i="37"/>
  <c r="J5656" i="37"/>
  <c r="J5657" i="37"/>
  <c r="J5658" i="37"/>
  <c r="J5659" i="37"/>
  <c r="J5660" i="37"/>
  <c r="J5661" i="37"/>
  <c r="J5662" i="37"/>
  <c r="J5663" i="37"/>
  <c r="J5664" i="37"/>
  <c r="J5665" i="37"/>
  <c r="J5666" i="37"/>
  <c r="J5667" i="37"/>
  <c r="J5668" i="37"/>
  <c r="J5669" i="37"/>
  <c r="J5670" i="37"/>
  <c r="J5671" i="37"/>
  <c r="J5672" i="37"/>
  <c r="J5673" i="37"/>
  <c r="J5674" i="37"/>
  <c r="J5675" i="37"/>
  <c r="J5676" i="37"/>
  <c r="J5677" i="37"/>
  <c r="J5678" i="37"/>
  <c r="J5679" i="37"/>
  <c r="J5680" i="37"/>
  <c r="J5681" i="37"/>
  <c r="J5682" i="37"/>
  <c r="J5683" i="37"/>
  <c r="J5684" i="37"/>
  <c r="J5685" i="37"/>
  <c r="J5686" i="37"/>
  <c r="J5687" i="37"/>
  <c r="J5688" i="37"/>
  <c r="J5689" i="37"/>
  <c r="J5690" i="37"/>
  <c r="J5691" i="37"/>
  <c r="J5692" i="37"/>
  <c r="J5693" i="37"/>
  <c r="J5694" i="37"/>
  <c r="J5695" i="37"/>
  <c r="J5696" i="37"/>
  <c r="J5697" i="37"/>
  <c r="J5698" i="37"/>
  <c r="J5699" i="37"/>
  <c r="J5700" i="37"/>
  <c r="J5701" i="37"/>
  <c r="J5702" i="37"/>
  <c r="J5703" i="37"/>
  <c r="J5704" i="37"/>
  <c r="J5705" i="37"/>
  <c r="J5706" i="37"/>
  <c r="J5707" i="37"/>
  <c r="J5708" i="37"/>
  <c r="J5709" i="37"/>
  <c r="J5710" i="37"/>
  <c r="J5711" i="37"/>
  <c r="J5712" i="37"/>
  <c r="J5713" i="37"/>
  <c r="J5714" i="37"/>
  <c r="J5715" i="37"/>
  <c r="J5716" i="37"/>
  <c r="J5717" i="37"/>
  <c r="J5718" i="37"/>
  <c r="J5719" i="37"/>
  <c r="J5720" i="37"/>
  <c r="J5721" i="37"/>
  <c r="J5722" i="37"/>
  <c r="J5723" i="37"/>
  <c r="J5724" i="37"/>
  <c r="J5725" i="37"/>
  <c r="J5726" i="37"/>
  <c r="J5727" i="37"/>
  <c r="J5728" i="37"/>
  <c r="J5729" i="37"/>
  <c r="J5730" i="37"/>
  <c r="J5731" i="37"/>
  <c r="J5732" i="37"/>
  <c r="J5733" i="37"/>
  <c r="J5734" i="37"/>
  <c r="J5735" i="37"/>
  <c r="J5736" i="37"/>
  <c r="J5737" i="37"/>
  <c r="J5738" i="37"/>
  <c r="J5739" i="37"/>
  <c r="J5740" i="37"/>
  <c r="J5741" i="37"/>
  <c r="J5742" i="37"/>
  <c r="J5743" i="37"/>
  <c r="J5744" i="37"/>
  <c r="J5745" i="37"/>
  <c r="J5746" i="37"/>
  <c r="J5747" i="37"/>
  <c r="J5748" i="37"/>
  <c r="J5749" i="37"/>
  <c r="J5750" i="37"/>
  <c r="J5751" i="37"/>
  <c r="J5752" i="37"/>
  <c r="J5753" i="37"/>
  <c r="J5754" i="37"/>
  <c r="J5755" i="37"/>
  <c r="J5756" i="37"/>
  <c r="J5757" i="37"/>
  <c r="J5758" i="37"/>
  <c r="J5759" i="37"/>
  <c r="J5760" i="37"/>
  <c r="J5761" i="37"/>
  <c r="J5762" i="37"/>
  <c r="J5763" i="37"/>
  <c r="J5764" i="37"/>
  <c r="J5765" i="37"/>
  <c r="J5766" i="37"/>
  <c r="J5767" i="37"/>
  <c r="J5768" i="37"/>
  <c r="J5769" i="37"/>
  <c r="J5770" i="37"/>
  <c r="J5771" i="37"/>
  <c r="J5772" i="37"/>
  <c r="J5773" i="37"/>
  <c r="J5774" i="37"/>
  <c r="J5775" i="37"/>
  <c r="J5776" i="37"/>
  <c r="J5777" i="37"/>
  <c r="J5778" i="37"/>
  <c r="J5779" i="37"/>
  <c r="J5391" i="37"/>
  <c r="J5392" i="37"/>
  <c r="J5393" i="37"/>
  <c r="J5394" i="37"/>
  <c r="J5395" i="37"/>
  <c r="J5396" i="37"/>
  <c r="J5397" i="37"/>
  <c r="J5398" i="37"/>
  <c r="J5399" i="37"/>
  <c r="J5400" i="37"/>
  <c r="J5401" i="37"/>
  <c r="J5402" i="37"/>
  <c r="J5403" i="37"/>
  <c r="J5404" i="37"/>
  <c r="J5405" i="37"/>
  <c r="J5406" i="37"/>
  <c r="J5407" i="37"/>
  <c r="J5408" i="37"/>
  <c r="J5409" i="37"/>
  <c r="J5410" i="37"/>
  <c r="J5411" i="37"/>
  <c r="J5412" i="37"/>
  <c r="J5413" i="37"/>
  <c r="J5414" i="37"/>
  <c r="J5415" i="37"/>
  <c r="J5416" i="37"/>
  <c r="J5417" i="37"/>
  <c r="J5418" i="37"/>
  <c r="J5419" i="37"/>
  <c r="J5420" i="37"/>
  <c r="J5421" i="37"/>
  <c r="J5422" i="37"/>
  <c r="J5423" i="37"/>
  <c r="J5424" i="37"/>
  <c r="J5425" i="37"/>
  <c r="J5426" i="37"/>
  <c r="J5427" i="37"/>
  <c r="J5428" i="37"/>
  <c r="J5429" i="37"/>
  <c r="J5313" i="37"/>
  <c r="J5314" i="37"/>
  <c r="J5315" i="37"/>
  <c r="J5316" i="37"/>
  <c r="J5317" i="37"/>
  <c r="J5318" i="37"/>
  <c r="J5319" i="37"/>
  <c r="J5320" i="37"/>
  <c r="J5321" i="37"/>
  <c r="J5322" i="37"/>
  <c r="J5323" i="37"/>
  <c r="J5324" i="37"/>
  <c r="J5325" i="37"/>
  <c r="J5326" i="37"/>
  <c r="J5327" i="37"/>
  <c r="J5328" i="37"/>
  <c r="J5329" i="37"/>
  <c r="J5330" i="37"/>
  <c r="J5331" i="37"/>
  <c r="J5332" i="37"/>
  <c r="J5333" i="37"/>
  <c r="J5334" i="37"/>
  <c r="J5335" i="37"/>
  <c r="J5336" i="37"/>
  <c r="J5337" i="37"/>
  <c r="J5338" i="37"/>
  <c r="J5339" i="37"/>
  <c r="J5340" i="37"/>
  <c r="J5341" i="37"/>
  <c r="J5342" i="37"/>
  <c r="J5343" i="37"/>
  <c r="J5344" i="37"/>
  <c r="J5345" i="37"/>
  <c r="J5346" i="37"/>
  <c r="J5347" i="37"/>
  <c r="J5348" i="37"/>
  <c r="J5349" i="37"/>
  <c r="J5350" i="37"/>
  <c r="J5351" i="37"/>
  <c r="J5352" i="37"/>
  <c r="J5353" i="37"/>
  <c r="J5354" i="37"/>
  <c r="J5355" i="37"/>
  <c r="J5356" i="37"/>
  <c r="J5357" i="37"/>
  <c r="J5358" i="37"/>
  <c r="J5359" i="37"/>
  <c r="J5360" i="37"/>
  <c r="J5361" i="37"/>
  <c r="J5362" i="37"/>
  <c r="J5363" i="37"/>
  <c r="J5364" i="37"/>
  <c r="J5365" i="37"/>
  <c r="J5366" i="37"/>
  <c r="J5367" i="37"/>
  <c r="J5368" i="37"/>
  <c r="J5369" i="37"/>
  <c r="J5370" i="37"/>
  <c r="J5371" i="37"/>
  <c r="J5372" i="37"/>
  <c r="J5373" i="37"/>
  <c r="J5374" i="37"/>
  <c r="J5375" i="37"/>
  <c r="J5376" i="37"/>
  <c r="J5377" i="37"/>
  <c r="J5378" i="37"/>
  <c r="J5379" i="37"/>
  <c r="J5380" i="37"/>
  <c r="J5381" i="37"/>
  <c r="J5382" i="37"/>
  <c r="J5383" i="37"/>
  <c r="J5384" i="37"/>
  <c r="J5385" i="37"/>
  <c r="J5386" i="37"/>
  <c r="J5387" i="37"/>
  <c r="J5388" i="37"/>
  <c r="J5389" i="37"/>
  <c r="J5390" i="37"/>
  <c r="J8" i="37" l="1"/>
  <c r="J9" i="37"/>
  <c r="J10" i="37"/>
  <c r="J11" i="37"/>
  <c r="J12" i="37"/>
  <c r="J13" i="37"/>
  <c r="J14" i="37"/>
  <c r="J15" i="37"/>
  <c r="J16" i="37"/>
  <c r="J17" i="37"/>
  <c r="J18" i="37"/>
  <c r="J19" i="37"/>
  <c r="J20" i="37"/>
  <c r="J21" i="37"/>
  <c r="J22" i="37"/>
  <c r="J23" i="37"/>
  <c r="J24" i="37"/>
  <c r="J25" i="37"/>
  <c r="J26" i="37"/>
  <c r="J27" i="37"/>
  <c r="J28" i="37"/>
  <c r="J29" i="37"/>
  <c r="J30" i="37"/>
  <c r="J31" i="37"/>
  <c r="J32" i="37"/>
  <c r="J33" i="37"/>
  <c r="J34" i="37"/>
  <c r="J35" i="37"/>
  <c r="J36" i="37"/>
  <c r="J37" i="37"/>
  <c r="J38" i="37"/>
  <c r="J39" i="37"/>
  <c r="J40" i="37"/>
  <c r="J41" i="37"/>
  <c r="J42" i="37"/>
  <c r="J43" i="37"/>
  <c r="J44" i="37"/>
  <c r="J45" i="37"/>
  <c r="J46" i="37"/>
  <c r="J47" i="37"/>
  <c r="J48" i="37"/>
  <c r="J49" i="37"/>
  <c r="J50" i="37"/>
  <c r="J51" i="37"/>
  <c r="J52" i="37"/>
  <c r="J53" i="37"/>
  <c r="J54" i="37"/>
  <c r="J55" i="37"/>
  <c r="J56" i="37"/>
  <c r="J57" i="37"/>
  <c r="J58" i="37"/>
  <c r="J59" i="37"/>
  <c r="J60" i="37"/>
  <c r="J61" i="37"/>
  <c r="J62" i="37"/>
  <c r="J63" i="37"/>
  <c r="J64" i="37"/>
  <c r="J65" i="37"/>
  <c r="J66" i="37"/>
  <c r="J67" i="37"/>
  <c r="J68" i="37"/>
  <c r="J69" i="37"/>
  <c r="J70" i="37"/>
  <c r="J71" i="37"/>
  <c r="J72" i="37"/>
  <c r="J73" i="37"/>
  <c r="J74" i="37"/>
  <c r="J75" i="37"/>
  <c r="J76" i="37"/>
  <c r="J77" i="37"/>
  <c r="J78" i="37"/>
  <c r="J79" i="37"/>
  <c r="J80" i="37"/>
  <c r="J81" i="37"/>
  <c r="J82" i="37"/>
  <c r="J83" i="37"/>
  <c r="J84" i="37"/>
  <c r="J85" i="37"/>
  <c r="J86" i="37"/>
  <c r="J87" i="37"/>
  <c r="J88" i="37"/>
  <c r="J89" i="37"/>
  <c r="J90" i="37"/>
  <c r="J91" i="37"/>
  <c r="J92" i="37"/>
  <c r="J93" i="37"/>
  <c r="J94" i="37"/>
  <c r="J95" i="37"/>
  <c r="J96" i="37"/>
  <c r="J97" i="37"/>
  <c r="J98" i="37"/>
  <c r="J99" i="37"/>
  <c r="J100" i="37"/>
  <c r="J101" i="37"/>
  <c r="J102" i="37"/>
  <c r="J103" i="37"/>
  <c r="J104" i="37"/>
  <c r="J105" i="37"/>
  <c r="J106" i="37"/>
  <c r="J107" i="37"/>
  <c r="J108" i="37"/>
  <c r="J109" i="37"/>
  <c r="J110" i="37"/>
  <c r="J111" i="37"/>
  <c r="J112" i="37"/>
  <c r="J113" i="37"/>
  <c r="J114" i="37"/>
  <c r="J115" i="37"/>
  <c r="J116" i="37"/>
  <c r="J117" i="37"/>
  <c r="J118" i="37"/>
  <c r="J119" i="37"/>
  <c r="J120" i="37"/>
  <c r="J121" i="37"/>
  <c r="J122" i="37"/>
  <c r="J123" i="37"/>
  <c r="J124" i="37"/>
  <c r="J125" i="37"/>
  <c r="J126" i="37"/>
  <c r="J127" i="37"/>
  <c r="J128" i="37"/>
  <c r="J129" i="37"/>
  <c r="J130" i="37"/>
  <c r="J131" i="37"/>
  <c r="J132" i="37"/>
  <c r="J133" i="37"/>
  <c r="J134" i="37"/>
  <c r="J135" i="37"/>
  <c r="J136" i="37"/>
  <c r="J137" i="37"/>
  <c r="J138" i="37"/>
  <c r="J139" i="37"/>
  <c r="J140" i="37"/>
  <c r="J141" i="37"/>
  <c r="J142" i="37"/>
  <c r="J143" i="37"/>
  <c r="J144" i="37"/>
  <c r="J145" i="37"/>
  <c r="J146" i="37"/>
  <c r="J147" i="37"/>
  <c r="J148" i="37"/>
  <c r="J149" i="37"/>
  <c r="J150" i="37"/>
  <c r="J151" i="37"/>
  <c r="J152" i="37"/>
  <c r="J153" i="37"/>
  <c r="J154" i="37"/>
  <c r="J155" i="37"/>
  <c r="J156" i="37"/>
  <c r="J157" i="37"/>
  <c r="J158" i="37"/>
  <c r="J159" i="37"/>
  <c r="J160" i="37"/>
  <c r="J161" i="37"/>
  <c r="J162" i="37"/>
  <c r="J163" i="37"/>
  <c r="J164" i="37"/>
  <c r="J165" i="37"/>
  <c r="J166" i="37"/>
  <c r="J167" i="37"/>
  <c r="J168" i="37"/>
  <c r="J169" i="37"/>
  <c r="J170" i="37"/>
  <c r="J171" i="37"/>
  <c r="J172" i="37"/>
  <c r="J173" i="37"/>
  <c r="J174" i="37"/>
  <c r="J175" i="37"/>
  <c r="J176" i="37"/>
  <c r="J177" i="37"/>
  <c r="J178" i="37"/>
  <c r="J179" i="37"/>
  <c r="J180" i="37"/>
  <c r="J181" i="37"/>
  <c r="J182" i="37"/>
  <c r="J183" i="37"/>
  <c r="J184" i="37"/>
  <c r="J185" i="37"/>
  <c r="J186" i="37"/>
  <c r="J187" i="37"/>
  <c r="J188" i="37"/>
  <c r="J189" i="37"/>
  <c r="J190" i="37"/>
  <c r="J191" i="37"/>
  <c r="J192" i="37"/>
  <c r="J193" i="37"/>
  <c r="J194" i="37"/>
  <c r="J195" i="37"/>
  <c r="J196" i="37"/>
  <c r="J197" i="37"/>
  <c r="J198" i="37"/>
  <c r="J199" i="37"/>
  <c r="J200" i="37"/>
  <c r="J201" i="37"/>
  <c r="J202" i="37"/>
  <c r="J203" i="37"/>
  <c r="J204" i="37"/>
  <c r="J205" i="37"/>
  <c r="J206" i="37"/>
  <c r="J207" i="37"/>
  <c r="J208" i="37"/>
  <c r="J209" i="37"/>
  <c r="J210" i="37"/>
  <c r="J211" i="37"/>
  <c r="J212" i="37"/>
  <c r="J213" i="37"/>
  <c r="J214" i="37"/>
  <c r="J215" i="37"/>
  <c r="J216" i="37"/>
  <c r="J217" i="37"/>
  <c r="J218" i="37"/>
  <c r="J219" i="37"/>
  <c r="J220" i="37"/>
  <c r="J221" i="37"/>
  <c r="J222" i="37"/>
  <c r="J223" i="37"/>
  <c r="J224" i="37"/>
  <c r="J225" i="37"/>
  <c r="J226" i="37"/>
  <c r="J227" i="37"/>
  <c r="J228" i="37"/>
  <c r="J229" i="37"/>
  <c r="J230" i="37"/>
  <c r="J231" i="37"/>
  <c r="J232" i="37"/>
  <c r="J233" i="37"/>
  <c r="J234" i="37"/>
  <c r="J235" i="37"/>
  <c r="J236" i="37"/>
  <c r="J237" i="37"/>
  <c r="J238" i="37"/>
  <c r="J239" i="37"/>
  <c r="J240" i="37"/>
  <c r="J241" i="37"/>
  <c r="J242" i="37"/>
  <c r="J243" i="37"/>
  <c r="J244" i="37"/>
  <c r="J245" i="37"/>
  <c r="J246" i="37"/>
  <c r="J247" i="37"/>
  <c r="J248" i="37"/>
  <c r="J249" i="37"/>
  <c r="J250" i="37"/>
  <c r="J251" i="37"/>
  <c r="J252" i="37"/>
  <c r="J253" i="37"/>
  <c r="J254" i="37"/>
  <c r="J255" i="37"/>
  <c r="J256" i="37"/>
  <c r="J257" i="37"/>
  <c r="J258" i="37"/>
  <c r="J259" i="37"/>
  <c r="J260" i="37"/>
  <c r="J261" i="37"/>
  <c r="J262" i="37"/>
  <c r="J263" i="37"/>
  <c r="J264" i="37"/>
  <c r="J265" i="37"/>
  <c r="J266" i="37"/>
  <c r="J267" i="37"/>
  <c r="J268" i="37"/>
  <c r="J269" i="37"/>
  <c r="J270" i="37"/>
  <c r="J271" i="37"/>
  <c r="J272" i="37"/>
  <c r="J273" i="37"/>
  <c r="J274" i="37"/>
  <c r="J275" i="37"/>
  <c r="J276" i="37"/>
  <c r="J277" i="37"/>
  <c r="J278" i="37"/>
  <c r="J279" i="37"/>
  <c r="J280" i="37"/>
  <c r="J281" i="37"/>
  <c r="J282" i="37"/>
  <c r="J283" i="37"/>
  <c r="J284" i="37"/>
  <c r="J285" i="37"/>
  <c r="J286" i="37"/>
  <c r="J287" i="37"/>
  <c r="J288" i="37"/>
  <c r="J289" i="37"/>
  <c r="J290" i="37"/>
  <c r="J291" i="37"/>
  <c r="J292" i="37"/>
  <c r="J293" i="37"/>
  <c r="J294" i="37"/>
  <c r="J295" i="37"/>
  <c r="J296" i="37"/>
  <c r="J297" i="37"/>
  <c r="J298" i="37"/>
  <c r="J299" i="37"/>
  <c r="J300" i="37"/>
  <c r="J301" i="37"/>
  <c r="J302" i="37"/>
  <c r="J303" i="37"/>
  <c r="J304" i="37"/>
  <c r="J305" i="37"/>
  <c r="J306" i="37"/>
  <c r="J307" i="37"/>
  <c r="J308" i="37"/>
  <c r="J309" i="37"/>
  <c r="J310" i="37"/>
  <c r="J311" i="37"/>
  <c r="J312" i="37"/>
  <c r="J313" i="37"/>
  <c r="J314" i="37"/>
  <c r="J315" i="37"/>
  <c r="J316" i="37"/>
  <c r="J317" i="37"/>
  <c r="J318" i="37"/>
  <c r="J319" i="37"/>
  <c r="J320" i="37"/>
  <c r="J321" i="37"/>
  <c r="J322" i="37"/>
  <c r="J323" i="37"/>
  <c r="J324" i="37"/>
  <c r="J325" i="37"/>
  <c r="J326" i="37"/>
  <c r="J327" i="37"/>
  <c r="J328" i="37"/>
  <c r="J329" i="37"/>
  <c r="J330" i="37"/>
  <c r="J331" i="37"/>
  <c r="J332" i="37"/>
  <c r="J333" i="37"/>
  <c r="J334" i="37"/>
  <c r="J335" i="37"/>
  <c r="J336" i="37"/>
  <c r="J337" i="37"/>
  <c r="J338" i="37"/>
  <c r="J339" i="37"/>
  <c r="J340" i="37"/>
  <c r="J341" i="37"/>
  <c r="J342" i="37"/>
  <c r="J343" i="37"/>
  <c r="J344" i="37"/>
  <c r="J345" i="37"/>
  <c r="J346" i="37"/>
  <c r="J347" i="37"/>
  <c r="J348" i="37"/>
  <c r="J349" i="37"/>
  <c r="J350" i="37"/>
  <c r="J351" i="37"/>
  <c r="J352" i="37"/>
  <c r="J353" i="37"/>
  <c r="J354" i="37"/>
  <c r="J355" i="37"/>
  <c r="J356" i="37"/>
  <c r="J357" i="37"/>
  <c r="J358" i="37"/>
  <c r="J359" i="37"/>
  <c r="J360" i="37"/>
  <c r="J361" i="37"/>
  <c r="J362" i="37"/>
  <c r="J363" i="37"/>
  <c r="J364" i="37"/>
  <c r="J365" i="37"/>
  <c r="J366" i="37"/>
  <c r="J367" i="37"/>
  <c r="J368" i="37"/>
  <c r="J369" i="37"/>
  <c r="J370" i="37"/>
  <c r="J371" i="37"/>
  <c r="J372" i="37"/>
  <c r="J373" i="37"/>
  <c r="J374" i="37"/>
  <c r="J375" i="37"/>
  <c r="J376" i="37"/>
  <c r="J377" i="37"/>
  <c r="J378" i="37"/>
  <c r="J379" i="37"/>
  <c r="J380" i="37"/>
  <c r="J381" i="37"/>
  <c r="J382" i="37"/>
  <c r="J383" i="37"/>
  <c r="J384" i="37"/>
  <c r="J385" i="37"/>
  <c r="J386" i="37"/>
  <c r="J387" i="37"/>
  <c r="J388" i="37"/>
  <c r="J389" i="37"/>
  <c r="J390" i="37"/>
  <c r="J391" i="37"/>
  <c r="J392" i="37"/>
  <c r="J393" i="37"/>
  <c r="J394" i="37"/>
  <c r="J395" i="37"/>
  <c r="J396" i="37"/>
  <c r="J397" i="37"/>
  <c r="J398" i="37"/>
  <c r="J399" i="37"/>
  <c r="J400" i="37"/>
  <c r="J401" i="37"/>
  <c r="J402" i="37"/>
  <c r="J403" i="37"/>
  <c r="J404" i="37"/>
  <c r="J405" i="37"/>
  <c r="J406" i="37"/>
  <c r="J407" i="37"/>
  <c r="J408" i="37"/>
  <c r="J409" i="37"/>
  <c r="J410" i="37"/>
  <c r="J411" i="37"/>
  <c r="J412" i="37"/>
  <c r="J413" i="37"/>
  <c r="J414" i="37"/>
  <c r="J415" i="37"/>
  <c r="J416" i="37"/>
  <c r="J417" i="37"/>
  <c r="J418" i="37"/>
  <c r="J419" i="37"/>
  <c r="J420" i="37"/>
  <c r="J421" i="37"/>
  <c r="J422" i="37"/>
  <c r="J423" i="37"/>
  <c r="J424" i="37"/>
  <c r="J425" i="37"/>
  <c r="J426" i="37"/>
  <c r="J427" i="37"/>
  <c r="J428" i="37"/>
  <c r="J429" i="37"/>
  <c r="J430" i="37"/>
  <c r="J431" i="37"/>
  <c r="J432" i="37"/>
  <c r="J433" i="37"/>
  <c r="J434" i="37"/>
  <c r="J435" i="37"/>
  <c r="J436" i="37"/>
  <c r="J437" i="37"/>
  <c r="J438" i="37"/>
  <c r="J439" i="37"/>
  <c r="J440" i="37"/>
  <c r="J441" i="37"/>
  <c r="J442" i="37"/>
  <c r="J443" i="37"/>
  <c r="J444" i="37"/>
  <c r="J445" i="37"/>
  <c r="J446" i="37"/>
  <c r="J447" i="37"/>
  <c r="J448" i="37"/>
  <c r="J449" i="37"/>
  <c r="J450" i="37"/>
  <c r="J451" i="37"/>
  <c r="J452" i="37"/>
  <c r="J453" i="37"/>
  <c r="J454" i="37"/>
  <c r="J455" i="37"/>
  <c r="J456" i="37"/>
  <c r="J457" i="37"/>
  <c r="J458" i="37"/>
  <c r="J459" i="37"/>
  <c r="J460" i="37"/>
  <c r="J461" i="37"/>
  <c r="J462" i="37"/>
  <c r="J463" i="37"/>
  <c r="J464" i="37"/>
  <c r="J465" i="37"/>
  <c r="J466" i="37"/>
  <c r="J467" i="37"/>
  <c r="J468" i="37"/>
  <c r="J469" i="37"/>
  <c r="J470" i="37"/>
  <c r="J471" i="37"/>
  <c r="J472" i="37"/>
  <c r="J473" i="37"/>
  <c r="J474" i="37"/>
  <c r="J475" i="37"/>
  <c r="J476" i="37"/>
  <c r="J477" i="37"/>
  <c r="J478" i="37"/>
  <c r="J479" i="37"/>
  <c r="J480" i="37"/>
  <c r="J481" i="37"/>
  <c r="J482" i="37"/>
  <c r="J483" i="37"/>
  <c r="J484" i="37"/>
  <c r="J485" i="37"/>
  <c r="J486" i="37"/>
  <c r="J487" i="37"/>
  <c r="J488" i="37"/>
  <c r="J489" i="37"/>
  <c r="J490" i="37"/>
  <c r="J491" i="37"/>
  <c r="J492" i="37"/>
  <c r="J493" i="37"/>
  <c r="J494" i="37"/>
  <c r="J495" i="37"/>
  <c r="J496" i="37"/>
  <c r="J497" i="37"/>
  <c r="J498" i="37"/>
  <c r="J499" i="37"/>
  <c r="J500" i="37"/>
  <c r="J501" i="37"/>
  <c r="J502" i="37"/>
  <c r="J503" i="37"/>
  <c r="J504" i="37"/>
  <c r="J505" i="37"/>
  <c r="J506" i="37"/>
  <c r="J507" i="37"/>
  <c r="J508" i="37"/>
  <c r="J509" i="37"/>
  <c r="J510" i="37"/>
  <c r="J511" i="37"/>
  <c r="J512" i="37"/>
  <c r="J513" i="37"/>
  <c r="J514" i="37"/>
  <c r="J515" i="37"/>
  <c r="J516" i="37"/>
  <c r="J517" i="37"/>
  <c r="J518" i="37"/>
  <c r="J519" i="37"/>
  <c r="J520" i="37"/>
  <c r="J521" i="37"/>
  <c r="J522" i="37"/>
  <c r="J523" i="37"/>
  <c r="J524" i="37"/>
  <c r="J525" i="37"/>
  <c r="J526" i="37"/>
  <c r="J527" i="37"/>
  <c r="J528" i="37"/>
  <c r="J529" i="37"/>
  <c r="J530" i="37"/>
  <c r="J531" i="37"/>
  <c r="J532" i="37"/>
  <c r="J533" i="37"/>
  <c r="J534" i="37"/>
  <c r="J535" i="37"/>
  <c r="J536" i="37"/>
  <c r="J537" i="37"/>
  <c r="J538" i="37"/>
  <c r="J539" i="37"/>
  <c r="J540" i="37"/>
  <c r="J541" i="37"/>
  <c r="J542" i="37"/>
  <c r="J543" i="37"/>
  <c r="J544" i="37"/>
  <c r="J545" i="37"/>
  <c r="J546" i="37"/>
  <c r="J547" i="37"/>
  <c r="J548" i="37"/>
  <c r="J549" i="37"/>
  <c r="J550" i="37"/>
  <c r="J551" i="37"/>
  <c r="J552" i="37"/>
  <c r="J553" i="37"/>
  <c r="J554" i="37"/>
  <c r="J555" i="37"/>
  <c r="J556" i="37"/>
  <c r="J557" i="37"/>
  <c r="J558" i="37"/>
  <c r="J559" i="37"/>
  <c r="J560" i="37"/>
  <c r="J561" i="37"/>
  <c r="J562" i="37"/>
  <c r="J563" i="37"/>
  <c r="J564" i="37"/>
  <c r="J565" i="37"/>
  <c r="J566" i="37"/>
  <c r="J567" i="37"/>
  <c r="J568" i="37"/>
  <c r="J569" i="37"/>
  <c r="J570" i="37"/>
  <c r="J571" i="37"/>
  <c r="J572" i="37"/>
  <c r="J573" i="37"/>
  <c r="J574" i="37"/>
  <c r="J575" i="37"/>
  <c r="J576" i="37"/>
  <c r="J577" i="37"/>
  <c r="J578" i="37"/>
  <c r="J579" i="37"/>
  <c r="J580" i="37"/>
  <c r="J581" i="37"/>
  <c r="J582" i="37"/>
  <c r="J583" i="37"/>
  <c r="J584" i="37"/>
  <c r="J585" i="37"/>
  <c r="J586" i="37"/>
  <c r="J587" i="37"/>
  <c r="J588" i="37"/>
  <c r="J589" i="37"/>
  <c r="J590" i="37"/>
  <c r="J591" i="37"/>
  <c r="J592" i="37"/>
  <c r="J593" i="37"/>
  <c r="J594" i="37"/>
  <c r="J595" i="37"/>
  <c r="J596" i="37"/>
  <c r="J597" i="37"/>
  <c r="J598" i="37"/>
  <c r="J599" i="37"/>
  <c r="J600" i="37"/>
  <c r="J601" i="37"/>
  <c r="J602" i="37"/>
  <c r="J603" i="37"/>
  <c r="J604" i="37"/>
  <c r="J605" i="37"/>
  <c r="J606" i="37"/>
  <c r="J607" i="37"/>
  <c r="J608" i="37"/>
  <c r="J609" i="37"/>
  <c r="J610" i="37"/>
  <c r="J611" i="37"/>
  <c r="J612" i="37"/>
  <c r="J613" i="37"/>
  <c r="J614" i="37"/>
  <c r="J615" i="37"/>
  <c r="J616" i="37"/>
  <c r="J617" i="37"/>
  <c r="J618" i="37"/>
  <c r="J619" i="37"/>
  <c r="J620" i="37"/>
  <c r="J621" i="37"/>
  <c r="J622" i="37"/>
  <c r="J623" i="37"/>
  <c r="J624" i="37"/>
  <c r="J625" i="37"/>
  <c r="J626" i="37"/>
  <c r="J627" i="37"/>
  <c r="J628" i="37"/>
  <c r="J629" i="37"/>
  <c r="J630" i="37"/>
  <c r="J631" i="37"/>
  <c r="J632" i="37"/>
  <c r="J633" i="37"/>
  <c r="J634" i="37"/>
  <c r="J635" i="37"/>
  <c r="J636" i="37"/>
  <c r="J637" i="37"/>
  <c r="J638" i="37"/>
  <c r="J639" i="37"/>
  <c r="J640" i="37"/>
  <c r="J641" i="37"/>
  <c r="J642" i="37"/>
  <c r="J643" i="37"/>
  <c r="J644" i="37"/>
  <c r="J645" i="37"/>
  <c r="J646" i="37"/>
  <c r="J647" i="37"/>
  <c r="J648" i="37"/>
  <c r="J649" i="37"/>
  <c r="J650" i="37"/>
  <c r="J651" i="37"/>
  <c r="J652" i="37"/>
  <c r="J653" i="37"/>
  <c r="J654" i="37"/>
  <c r="J655" i="37"/>
  <c r="J656" i="37"/>
  <c r="J657" i="37"/>
  <c r="J658" i="37"/>
  <c r="J659" i="37"/>
  <c r="J660" i="37"/>
  <c r="J661" i="37"/>
  <c r="J662" i="37"/>
  <c r="J663" i="37"/>
  <c r="J664" i="37"/>
  <c r="J665" i="37"/>
  <c r="J666" i="37"/>
  <c r="J667" i="37"/>
  <c r="J668" i="37"/>
  <c r="J669" i="37"/>
  <c r="J670" i="37"/>
  <c r="J671" i="37"/>
  <c r="J672" i="37"/>
  <c r="J673" i="37"/>
  <c r="J674" i="37"/>
  <c r="J675" i="37"/>
  <c r="J676" i="37"/>
  <c r="J677" i="37"/>
  <c r="J678" i="37"/>
  <c r="J679" i="37"/>
  <c r="J680" i="37"/>
  <c r="J681" i="37"/>
  <c r="J682" i="37"/>
  <c r="J683" i="37"/>
  <c r="J684" i="37"/>
  <c r="J685" i="37"/>
  <c r="J686" i="37"/>
  <c r="J687" i="37"/>
  <c r="J688" i="37"/>
  <c r="J689" i="37"/>
  <c r="J690" i="37"/>
  <c r="J691" i="37"/>
  <c r="J692" i="37"/>
  <c r="J693" i="37"/>
  <c r="J694" i="37"/>
  <c r="J695" i="37"/>
  <c r="J696" i="37"/>
  <c r="J697" i="37"/>
  <c r="J698" i="37"/>
  <c r="J699" i="37"/>
  <c r="J700" i="37"/>
  <c r="J701" i="37"/>
  <c r="J702" i="37"/>
  <c r="J703" i="37"/>
  <c r="J704" i="37"/>
  <c r="J705" i="37"/>
  <c r="J706" i="37"/>
  <c r="J707" i="37"/>
  <c r="J708" i="37"/>
  <c r="J709" i="37"/>
  <c r="J710" i="37"/>
  <c r="J711" i="37"/>
  <c r="J712" i="37"/>
  <c r="J713" i="37"/>
  <c r="J714" i="37"/>
  <c r="J715" i="37"/>
  <c r="J716" i="37"/>
  <c r="J717" i="37"/>
  <c r="J718" i="37"/>
  <c r="J719" i="37"/>
  <c r="J720" i="37"/>
  <c r="J721" i="37"/>
  <c r="J722" i="37"/>
  <c r="J723" i="37"/>
  <c r="J724" i="37"/>
  <c r="J725" i="37"/>
  <c r="J726" i="37"/>
  <c r="J727" i="37"/>
  <c r="J728" i="37"/>
  <c r="J729" i="37"/>
  <c r="J730" i="37"/>
  <c r="J731" i="37"/>
  <c r="J732" i="37"/>
  <c r="J733" i="37"/>
  <c r="J734" i="37"/>
  <c r="J735" i="37"/>
  <c r="J736" i="37"/>
  <c r="J737" i="37"/>
  <c r="J738" i="37"/>
  <c r="J739" i="37"/>
  <c r="J740" i="37"/>
  <c r="J741" i="37"/>
  <c r="J742" i="37"/>
  <c r="J743" i="37"/>
  <c r="J744" i="37"/>
  <c r="J745" i="37"/>
  <c r="J746" i="37"/>
  <c r="J747" i="37"/>
  <c r="J748" i="37"/>
  <c r="J749" i="37"/>
  <c r="J750" i="37"/>
  <c r="J751" i="37"/>
  <c r="J752" i="37"/>
  <c r="J753" i="37"/>
  <c r="J754" i="37"/>
  <c r="J755" i="37"/>
  <c r="J756" i="37"/>
  <c r="J757" i="37"/>
  <c r="J758" i="37"/>
  <c r="J759" i="37"/>
  <c r="J760" i="37"/>
  <c r="J761" i="37"/>
  <c r="J762" i="37"/>
  <c r="J763" i="37"/>
  <c r="J764" i="37"/>
  <c r="J765" i="37"/>
  <c r="J766" i="37"/>
  <c r="J767" i="37"/>
  <c r="J768" i="37"/>
  <c r="J769" i="37"/>
  <c r="J770" i="37"/>
  <c r="J771" i="37"/>
  <c r="J772" i="37"/>
  <c r="J773" i="37"/>
  <c r="J774" i="37"/>
  <c r="J775" i="37"/>
  <c r="J776" i="37"/>
  <c r="J777" i="37"/>
  <c r="J778" i="37"/>
  <c r="J779" i="37"/>
  <c r="J780" i="37"/>
  <c r="J781" i="37"/>
  <c r="J782" i="37"/>
  <c r="J783" i="37"/>
  <c r="J784" i="37"/>
  <c r="J785" i="37"/>
  <c r="J786" i="37"/>
  <c r="J787" i="37"/>
  <c r="J788" i="37"/>
  <c r="J789" i="37"/>
  <c r="J790" i="37"/>
  <c r="J791" i="37"/>
  <c r="J792" i="37"/>
  <c r="J793" i="37"/>
  <c r="J794" i="37"/>
  <c r="J795" i="37"/>
  <c r="J796" i="37"/>
  <c r="J797" i="37"/>
  <c r="J798" i="37"/>
  <c r="J799" i="37"/>
  <c r="J800" i="37"/>
  <c r="J801" i="37"/>
  <c r="J802" i="37"/>
  <c r="J803" i="37"/>
  <c r="J804" i="37"/>
  <c r="J805" i="37"/>
  <c r="J806" i="37"/>
  <c r="J807" i="37"/>
  <c r="J808" i="37"/>
  <c r="J809" i="37"/>
  <c r="J810" i="37"/>
  <c r="J811" i="37"/>
  <c r="J812" i="37"/>
  <c r="J813" i="37"/>
  <c r="J814" i="37"/>
  <c r="J815" i="37"/>
  <c r="J816" i="37"/>
  <c r="J817" i="37"/>
  <c r="J818" i="37"/>
  <c r="J819" i="37"/>
  <c r="J820" i="37"/>
  <c r="J821" i="37"/>
  <c r="J822" i="37"/>
  <c r="J823" i="37"/>
  <c r="J824" i="37"/>
  <c r="J825" i="37"/>
  <c r="J826" i="37"/>
  <c r="J827" i="37"/>
  <c r="J828" i="37"/>
  <c r="J829" i="37"/>
  <c r="J830" i="37"/>
  <c r="J831" i="37"/>
  <c r="J832" i="37"/>
  <c r="J833" i="37"/>
  <c r="J834" i="37"/>
  <c r="J835" i="37"/>
  <c r="J836" i="37"/>
  <c r="J837" i="37"/>
  <c r="J838" i="37"/>
  <c r="J839" i="37"/>
  <c r="J840" i="37"/>
  <c r="J841" i="37"/>
  <c r="J842" i="37"/>
  <c r="J843" i="37"/>
  <c r="J844" i="37"/>
  <c r="J845" i="37"/>
  <c r="J846" i="37"/>
  <c r="J847" i="37"/>
  <c r="J848" i="37"/>
  <c r="J849" i="37"/>
  <c r="J850" i="37"/>
  <c r="J851" i="37"/>
  <c r="J852" i="37"/>
  <c r="J853" i="37"/>
  <c r="J854" i="37"/>
  <c r="J855" i="37"/>
  <c r="J856" i="37"/>
  <c r="J857" i="37"/>
  <c r="J858" i="37"/>
  <c r="J859" i="37"/>
  <c r="J860" i="37"/>
  <c r="J861" i="37"/>
  <c r="J862" i="37"/>
  <c r="J863" i="37"/>
  <c r="J864" i="37"/>
  <c r="J865" i="37"/>
  <c r="J866" i="37"/>
  <c r="J867" i="37"/>
  <c r="J868" i="37"/>
  <c r="J869" i="37"/>
  <c r="J870" i="37"/>
  <c r="J871" i="37"/>
  <c r="J872" i="37"/>
  <c r="J873" i="37"/>
  <c r="J874" i="37"/>
  <c r="J875" i="37"/>
  <c r="J876" i="37"/>
  <c r="J877" i="37"/>
  <c r="J878" i="37"/>
  <c r="J879" i="37"/>
  <c r="J880" i="37"/>
  <c r="J881" i="37"/>
  <c r="J882" i="37"/>
  <c r="J883" i="37"/>
  <c r="J884" i="37"/>
  <c r="J885" i="37"/>
  <c r="J886" i="37"/>
  <c r="J887" i="37"/>
  <c r="J888" i="37"/>
  <c r="J889" i="37"/>
  <c r="J890" i="37"/>
  <c r="J891" i="37"/>
  <c r="J892" i="37"/>
  <c r="J893" i="37"/>
  <c r="J894" i="37"/>
  <c r="J895" i="37"/>
  <c r="J896" i="37"/>
  <c r="J897" i="37"/>
  <c r="J898" i="37"/>
  <c r="J899" i="37"/>
  <c r="J900" i="37"/>
  <c r="J901" i="37"/>
  <c r="J902" i="37"/>
  <c r="J903" i="37"/>
  <c r="J904" i="37"/>
  <c r="J905" i="37"/>
  <c r="J906" i="37"/>
  <c r="J907" i="37"/>
  <c r="J908" i="37"/>
  <c r="J909" i="37"/>
  <c r="J910" i="37"/>
  <c r="J911" i="37"/>
  <c r="J912" i="37"/>
  <c r="J913" i="37"/>
  <c r="J914" i="37"/>
  <c r="J915" i="37"/>
  <c r="J916" i="37"/>
  <c r="J917" i="37"/>
  <c r="J918" i="37"/>
  <c r="J919" i="37"/>
  <c r="J920" i="37"/>
  <c r="J921" i="37"/>
  <c r="J922" i="37"/>
  <c r="J923" i="37"/>
  <c r="J924" i="37"/>
  <c r="J925" i="37"/>
  <c r="J926" i="37"/>
  <c r="J927" i="37"/>
  <c r="J928" i="37"/>
  <c r="J929" i="37"/>
  <c r="J930" i="37"/>
  <c r="J931" i="37"/>
  <c r="J932" i="37"/>
  <c r="J933" i="37"/>
  <c r="J934" i="37"/>
  <c r="J935" i="37"/>
  <c r="J936" i="37"/>
  <c r="J937" i="37"/>
  <c r="J938" i="37"/>
  <c r="J939" i="37"/>
  <c r="J940" i="37"/>
  <c r="J941" i="37"/>
  <c r="J942" i="37"/>
  <c r="J943" i="37"/>
  <c r="J944" i="37"/>
  <c r="J945" i="37"/>
  <c r="J946" i="37"/>
  <c r="J947" i="37"/>
  <c r="J948" i="37"/>
  <c r="J949" i="37"/>
  <c r="J950" i="37"/>
  <c r="J951" i="37"/>
  <c r="J952" i="37"/>
  <c r="J953" i="37"/>
  <c r="J954" i="37"/>
  <c r="J955" i="37"/>
  <c r="J956" i="37"/>
  <c r="J957" i="37"/>
  <c r="J958" i="37"/>
  <c r="J959" i="37"/>
  <c r="J960" i="37"/>
  <c r="J961" i="37"/>
  <c r="J962" i="37"/>
  <c r="J963" i="37"/>
  <c r="J964" i="37"/>
  <c r="J965" i="37"/>
  <c r="J966" i="37"/>
  <c r="J967" i="37"/>
  <c r="J968" i="37"/>
  <c r="J969" i="37"/>
  <c r="J970" i="37"/>
  <c r="J971" i="37"/>
  <c r="J972" i="37"/>
  <c r="J973" i="37"/>
  <c r="J974" i="37"/>
  <c r="J975" i="37"/>
  <c r="J976" i="37"/>
  <c r="J977" i="37"/>
  <c r="J978" i="37"/>
  <c r="J979" i="37"/>
  <c r="J980" i="37"/>
  <c r="J981" i="37"/>
  <c r="J982" i="37"/>
  <c r="J983" i="37"/>
  <c r="J984" i="37"/>
  <c r="J985" i="37"/>
  <c r="J986" i="37"/>
  <c r="J987" i="37"/>
  <c r="J988" i="37"/>
  <c r="J989" i="37"/>
  <c r="J990" i="37"/>
  <c r="J991" i="37"/>
  <c r="J992" i="37"/>
  <c r="J993" i="37"/>
  <c r="J994" i="37"/>
  <c r="J995" i="37"/>
  <c r="J996" i="37"/>
  <c r="J997" i="37"/>
  <c r="J998" i="37"/>
  <c r="J999" i="37"/>
  <c r="J1000" i="37"/>
  <c r="J1001" i="37"/>
  <c r="J1002" i="37"/>
  <c r="J1003" i="37"/>
  <c r="J1004" i="37"/>
  <c r="J1005" i="37"/>
  <c r="J1006" i="37"/>
  <c r="J1007" i="37"/>
  <c r="J1008" i="37"/>
  <c r="J1009" i="37"/>
  <c r="J1010" i="37"/>
  <c r="J1011" i="37"/>
  <c r="J1012" i="37"/>
  <c r="J1013" i="37"/>
  <c r="J1014" i="37"/>
  <c r="J1015" i="37"/>
  <c r="J1016" i="37"/>
  <c r="J1017" i="37"/>
  <c r="J1018" i="37"/>
  <c r="J1019" i="37"/>
  <c r="J1020" i="37"/>
  <c r="J1021" i="37"/>
  <c r="J1022" i="37"/>
  <c r="J1023" i="37"/>
  <c r="J1024" i="37"/>
  <c r="J1025" i="37"/>
  <c r="J1026" i="37"/>
  <c r="J1027" i="37"/>
  <c r="J1028" i="37"/>
  <c r="J1029" i="37"/>
  <c r="J1030" i="37"/>
  <c r="J1031" i="37"/>
  <c r="J1032" i="37"/>
  <c r="J1033" i="37"/>
  <c r="J1034" i="37"/>
  <c r="J1035" i="37"/>
  <c r="J1036" i="37"/>
  <c r="J1037" i="37"/>
  <c r="J1038" i="37"/>
  <c r="J1039" i="37"/>
  <c r="J1040" i="37"/>
  <c r="J1041" i="37"/>
  <c r="J1042" i="37"/>
  <c r="J1043" i="37"/>
  <c r="J1044" i="37"/>
  <c r="J1045" i="37"/>
  <c r="J1046" i="37"/>
  <c r="J1047" i="37"/>
  <c r="J1048" i="37"/>
  <c r="J1049" i="37"/>
  <c r="J1050" i="37"/>
  <c r="J1051" i="37"/>
  <c r="J1052" i="37"/>
  <c r="J1053" i="37"/>
  <c r="J1054" i="37"/>
  <c r="J1055" i="37"/>
  <c r="J1056" i="37"/>
  <c r="J1057" i="37"/>
  <c r="J1058" i="37"/>
  <c r="J1059" i="37"/>
  <c r="J1060" i="37"/>
  <c r="J1061" i="37"/>
  <c r="J1062" i="37"/>
  <c r="J1063" i="37"/>
  <c r="J1064" i="37"/>
  <c r="J1065" i="37"/>
  <c r="J1066" i="37"/>
  <c r="J1067" i="37"/>
  <c r="J1068" i="37"/>
  <c r="J1069" i="37"/>
  <c r="J1070" i="37"/>
  <c r="J1071" i="37"/>
  <c r="J1072" i="37"/>
  <c r="J1073" i="37"/>
  <c r="J1074" i="37"/>
  <c r="J1075" i="37"/>
  <c r="J1076" i="37"/>
  <c r="J1077" i="37"/>
  <c r="J1078" i="37"/>
  <c r="J1079" i="37"/>
  <c r="J1080" i="37"/>
  <c r="J1081" i="37"/>
  <c r="J1082" i="37"/>
  <c r="J1083" i="37"/>
  <c r="J1084" i="37"/>
  <c r="J1085" i="37"/>
  <c r="J1086" i="37"/>
  <c r="J1087" i="37"/>
  <c r="J1088" i="37"/>
  <c r="J1089" i="37"/>
  <c r="J1090" i="37"/>
  <c r="J1091" i="37"/>
  <c r="J1092" i="37"/>
  <c r="J1093" i="37"/>
  <c r="J1094" i="37"/>
  <c r="J1095" i="37"/>
  <c r="J1096" i="37"/>
  <c r="J1097" i="37"/>
  <c r="J1098" i="37"/>
  <c r="J1099" i="37"/>
  <c r="J1100" i="37"/>
  <c r="J1101" i="37"/>
  <c r="J1102" i="37"/>
  <c r="J1103" i="37"/>
  <c r="J1104" i="37"/>
  <c r="J1105" i="37"/>
  <c r="J1106" i="37"/>
  <c r="J1107" i="37"/>
  <c r="J1108" i="37"/>
  <c r="J1109" i="37"/>
  <c r="J1110" i="37"/>
  <c r="J1111" i="37"/>
  <c r="J1112" i="37"/>
  <c r="J1113" i="37"/>
  <c r="J1114" i="37"/>
  <c r="J1115" i="37"/>
  <c r="J1116" i="37"/>
  <c r="J1117" i="37"/>
  <c r="J1118" i="37"/>
  <c r="J1119" i="37"/>
  <c r="J1120" i="37"/>
  <c r="J1121" i="37"/>
  <c r="J1122" i="37"/>
  <c r="J1123" i="37"/>
  <c r="J1124" i="37"/>
  <c r="J1125" i="37"/>
  <c r="J1126" i="37"/>
  <c r="J1127" i="37"/>
  <c r="J1128" i="37"/>
  <c r="J1129" i="37"/>
  <c r="J1130" i="37"/>
  <c r="J1131" i="37"/>
  <c r="J1132" i="37"/>
  <c r="J1133" i="37"/>
  <c r="J1134" i="37"/>
  <c r="J1135" i="37"/>
  <c r="J1136" i="37"/>
  <c r="J1137" i="37"/>
  <c r="J1138" i="37"/>
  <c r="J1139" i="37"/>
  <c r="J1140" i="37"/>
  <c r="J1141" i="37"/>
  <c r="J1142" i="37"/>
  <c r="J1143" i="37"/>
  <c r="J1144" i="37"/>
  <c r="J1145" i="37"/>
  <c r="J1146" i="37"/>
  <c r="J1147" i="37"/>
  <c r="J1148" i="37"/>
  <c r="J1149" i="37"/>
  <c r="J1150" i="37"/>
  <c r="J1151" i="37"/>
  <c r="J1152" i="37"/>
  <c r="J1153" i="37"/>
  <c r="J1154" i="37"/>
  <c r="J1155" i="37"/>
  <c r="J1156" i="37"/>
  <c r="J1157" i="37"/>
  <c r="J1158" i="37"/>
  <c r="J1159" i="37"/>
  <c r="J1160" i="37"/>
  <c r="J1161" i="37"/>
  <c r="J1162" i="37"/>
  <c r="J1163" i="37"/>
  <c r="J1164" i="37"/>
  <c r="J1165" i="37"/>
  <c r="J1166" i="37"/>
  <c r="J1167" i="37"/>
  <c r="J1168" i="37"/>
  <c r="J1169" i="37"/>
  <c r="J1170" i="37"/>
  <c r="J1171" i="37"/>
  <c r="J1172" i="37"/>
  <c r="J1173" i="37"/>
  <c r="J1174" i="37"/>
  <c r="J1175" i="37"/>
  <c r="J1176" i="37"/>
  <c r="J1177" i="37"/>
  <c r="J1178" i="37"/>
  <c r="J1179" i="37"/>
  <c r="J1180" i="37"/>
  <c r="J1181" i="37"/>
  <c r="J1182" i="37"/>
  <c r="J1183" i="37"/>
  <c r="J1184" i="37"/>
  <c r="J1185" i="37"/>
  <c r="J1186" i="37"/>
  <c r="J1187" i="37"/>
  <c r="J1188" i="37"/>
  <c r="J1189" i="37"/>
  <c r="J1190" i="37"/>
  <c r="J1191" i="37"/>
  <c r="J1192" i="37"/>
  <c r="J1193" i="37"/>
  <c r="J1194" i="37"/>
  <c r="J1195" i="37"/>
  <c r="J1196" i="37"/>
  <c r="J1197" i="37"/>
  <c r="J1198" i="37"/>
  <c r="J1199" i="37"/>
  <c r="J1200" i="37"/>
  <c r="J1201" i="37"/>
  <c r="J1202" i="37"/>
  <c r="J1203" i="37"/>
  <c r="J1204" i="37"/>
  <c r="J1205" i="37"/>
  <c r="J1206" i="37"/>
  <c r="J1207" i="37"/>
  <c r="J1208" i="37"/>
  <c r="J1209" i="37"/>
  <c r="J1210" i="37"/>
  <c r="J1211" i="37"/>
  <c r="J1212" i="37"/>
  <c r="J1213" i="37"/>
  <c r="J1214" i="37"/>
  <c r="J1215" i="37"/>
  <c r="J1216" i="37"/>
  <c r="J1217" i="37"/>
  <c r="J1218" i="37"/>
  <c r="J1219" i="37"/>
  <c r="J1220" i="37"/>
  <c r="J1221" i="37"/>
  <c r="J1222" i="37"/>
  <c r="J1223" i="37"/>
  <c r="J1224" i="37"/>
  <c r="J1225" i="37"/>
  <c r="J1226" i="37"/>
  <c r="J1227" i="37"/>
  <c r="J1228" i="37"/>
  <c r="J1229" i="37"/>
  <c r="J1230" i="37"/>
  <c r="J1231" i="37"/>
  <c r="J1232" i="37"/>
  <c r="J1233" i="37"/>
  <c r="J1234" i="37"/>
  <c r="J1235" i="37"/>
  <c r="J1236" i="37"/>
  <c r="J1237" i="37"/>
  <c r="J1238" i="37"/>
  <c r="J1239" i="37"/>
  <c r="J1240" i="37"/>
  <c r="J1241" i="37"/>
  <c r="J1242" i="37"/>
  <c r="J1243" i="37"/>
  <c r="J1244" i="37"/>
  <c r="J1245" i="37"/>
  <c r="J1246" i="37"/>
  <c r="J1247" i="37"/>
  <c r="J1248" i="37"/>
  <c r="J1249" i="37"/>
  <c r="J1250" i="37"/>
  <c r="J1251" i="37"/>
  <c r="J1252" i="37"/>
  <c r="J1253" i="37"/>
  <c r="J1254" i="37"/>
  <c r="J1255" i="37"/>
  <c r="J1256" i="37"/>
  <c r="J1257" i="37"/>
  <c r="J1258" i="37"/>
  <c r="J1259" i="37"/>
  <c r="J1260" i="37"/>
  <c r="J1261" i="37"/>
  <c r="J1262" i="37"/>
  <c r="J1263" i="37"/>
  <c r="J1264" i="37"/>
  <c r="J1265" i="37"/>
  <c r="J1266" i="37"/>
  <c r="J1267" i="37"/>
  <c r="J1268" i="37"/>
  <c r="J1269" i="37"/>
  <c r="J1270" i="37"/>
  <c r="J1271" i="37"/>
  <c r="J1272" i="37"/>
  <c r="J1273" i="37"/>
  <c r="J1274" i="37"/>
  <c r="J1275" i="37"/>
  <c r="J1276" i="37"/>
  <c r="J1277" i="37"/>
  <c r="J1278" i="37"/>
  <c r="J1279" i="37"/>
  <c r="J1280" i="37"/>
  <c r="J1281" i="37"/>
  <c r="J1282" i="37"/>
  <c r="J1283" i="37"/>
  <c r="J1284" i="37"/>
  <c r="J1285" i="37"/>
  <c r="J1286" i="37"/>
  <c r="J1287" i="37"/>
  <c r="J1288" i="37"/>
  <c r="J1289" i="37"/>
  <c r="J1290" i="37"/>
  <c r="J1291" i="37"/>
  <c r="J1292" i="37"/>
  <c r="J1293" i="37"/>
  <c r="J1294" i="37"/>
  <c r="J1295" i="37"/>
  <c r="J1296" i="37"/>
  <c r="J1297" i="37"/>
  <c r="J1298" i="37"/>
  <c r="J1299" i="37"/>
  <c r="J1300" i="37"/>
  <c r="J1301" i="37"/>
  <c r="J1302" i="37"/>
  <c r="J1303" i="37"/>
  <c r="J1304" i="37"/>
  <c r="J1305" i="37"/>
  <c r="J1306" i="37"/>
  <c r="J1307" i="37"/>
  <c r="J1308" i="37"/>
  <c r="J1309" i="37"/>
  <c r="J1310" i="37"/>
  <c r="J1311" i="37"/>
  <c r="J1312" i="37"/>
  <c r="J1313" i="37"/>
  <c r="J1314" i="37"/>
  <c r="J1315" i="37"/>
  <c r="J1316" i="37"/>
  <c r="J1317" i="37"/>
  <c r="J1318" i="37"/>
  <c r="J1319" i="37"/>
  <c r="J1320" i="37"/>
  <c r="J1321" i="37"/>
  <c r="J1322" i="37"/>
  <c r="J1323" i="37"/>
  <c r="J1324" i="37"/>
  <c r="J1325" i="37"/>
  <c r="J1326" i="37"/>
  <c r="J1327" i="37"/>
  <c r="J1328" i="37"/>
  <c r="J1329" i="37"/>
  <c r="J1330" i="37"/>
  <c r="J1331" i="37"/>
  <c r="J1332" i="37"/>
  <c r="J1333" i="37"/>
  <c r="J1334" i="37"/>
  <c r="J1335" i="37"/>
  <c r="J1336" i="37"/>
  <c r="J1337" i="37"/>
  <c r="J1338" i="37"/>
  <c r="J1339" i="37"/>
  <c r="J1340" i="37"/>
  <c r="J1341" i="37"/>
  <c r="J1342" i="37"/>
  <c r="J1343" i="37"/>
  <c r="J1344" i="37"/>
  <c r="J1345" i="37"/>
  <c r="J1346" i="37"/>
  <c r="J1347" i="37"/>
  <c r="J1348" i="37"/>
  <c r="J1349" i="37"/>
  <c r="J1350" i="37"/>
  <c r="J1351" i="37"/>
  <c r="J1352" i="37"/>
  <c r="J1353" i="37"/>
  <c r="J1354" i="37"/>
  <c r="J1355" i="37"/>
  <c r="J1356" i="37"/>
  <c r="J1357" i="37"/>
  <c r="J1358" i="37"/>
  <c r="J1359" i="37"/>
  <c r="J1360" i="37"/>
  <c r="J1361" i="37"/>
  <c r="J1362" i="37"/>
  <c r="J1363" i="37"/>
  <c r="J1364" i="37"/>
  <c r="J1365" i="37"/>
  <c r="J1366" i="37"/>
  <c r="J1367" i="37"/>
  <c r="J1368" i="37"/>
  <c r="J1369" i="37"/>
  <c r="J1370" i="37"/>
  <c r="J1371" i="37"/>
  <c r="J1372" i="37"/>
  <c r="J1373" i="37"/>
  <c r="J1374" i="37"/>
  <c r="J1375" i="37"/>
  <c r="J1376" i="37"/>
  <c r="J1377" i="37"/>
  <c r="J1378" i="37"/>
  <c r="J1379" i="37"/>
  <c r="J1380" i="37"/>
  <c r="J1381" i="37"/>
  <c r="J1382" i="37"/>
  <c r="J1383" i="37"/>
  <c r="J1384" i="37"/>
  <c r="J1385" i="37"/>
  <c r="J1386" i="37"/>
  <c r="J1387" i="37"/>
  <c r="J1388" i="37"/>
  <c r="J1389" i="37"/>
  <c r="J1390" i="37"/>
  <c r="J1391" i="37"/>
  <c r="J1392" i="37"/>
  <c r="J1393" i="37"/>
  <c r="J1394" i="37"/>
  <c r="J1395" i="37"/>
  <c r="J1396" i="37"/>
  <c r="J1397" i="37"/>
  <c r="J1398" i="37"/>
  <c r="J1399" i="37"/>
  <c r="J1400" i="37"/>
  <c r="J1401" i="37"/>
  <c r="J1402" i="37"/>
  <c r="J1403" i="37"/>
  <c r="J1404" i="37"/>
  <c r="J1405" i="37"/>
  <c r="J1406" i="37"/>
  <c r="J1407" i="37"/>
  <c r="J1408" i="37"/>
  <c r="J1409" i="37"/>
  <c r="J1410" i="37"/>
  <c r="J1411" i="37"/>
  <c r="J1412" i="37"/>
  <c r="J1413" i="37"/>
  <c r="J1414" i="37"/>
  <c r="J1415" i="37"/>
  <c r="J1416" i="37"/>
  <c r="J1417" i="37"/>
  <c r="J1418" i="37"/>
  <c r="J1419" i="37"/>
  <c r="J1420" i="37"/>
  <c r="J1421" i="37"/>
  <c r="J1422" i="37"/>
  <c r="J1423" i="37"/>
  <c r="J1424" i="37"/>
  <c r="J1425" i="37"/>
  <c r="J1426" i="37"/>
  <c r="J1427" i="37"/>
  <c r="J1428" i="37"/>
  <c r="J1429" i="37"/>
  <c r="J1430" i="37"/>
  <c r="J1431" i="37"/>
  <c r="J1432" i="37"/>
  <c r="J1433" i="37"/>
  <c r="J1434" i="37"/>
  <c r="J1435" i="37"/>
  <c r="J1436" i="37"/>
  <c r="J1437" i="37"/>
  <c r="J1438" i="37"/>
  <c r="J1439" i="37"/>
  <c r="J1440" i="37"/>
  <c r="J1441" i="37"/>
  <c r="J1442" i="37"/>
  <c r="J1443" i="37"/>
  <c r="J1444" i="37"/>
  <c r="J1445" i="37"/>
  <c r="J1446" i="37"/>
  <c r="J1447" i="37"/>
  <c r="J1448" i="37"/>
  <c r="J1449" i="37"/>
  <c r="J1450" i="37"/>
  <c r="J1451" i="37"/>
  <c r="J1452" i="37"/>
  <c r="J1453" i="37"/>
  <c r="J1454" i="37"/>
  <c r="J1455" i="37"/>
  <c r="J1456" i="37"/>
  <c r="J1457" i="37"/>
  <c r="J1458" i="37"/>
  <c r="J1459" i="37"/>
  <c r="J1460" i="37"/>
  <c r="J1461" i="37"/>
  <c r="J1462" i="37"/>
  <c r="J1463" i="37"/>
  <c r="J1464" i="37"/>
  <c r="J1465" i="37"/>
  <c r="J1466" i="37"/>
  <c r="J1467" i="37"/>
  <c r="J1468" i="37"/>
  <c r="J1469" i="37"/>
  <c r="J1470" i="37"/>
  <c r="J1471" i="37"/>
  <c r="J1472" i="37"/>
  <c r="J1473" i="37"/>
  <c r="J1474" i="37"/>
  <c r="J1475" i="37"/>
  <c r="J1476" i="37"/>
  <c r="J1477" i="37"/>
  <c r="J1478" i="37"/>
  <c r="J1479" i="37"/>
  <c r="J1480" i="37"/>
  <c r="J1481" i="37"/>
  <c r="J1482" i="37"/>
  <c r="J1483" i="37"/>
  <c r="J1484" i="37"/>
  <c r="J1485" i="37"/>
  <c r="J1486" i="37"/>
  <c r="J1487" i="37"/>
  <c r="J1488" i="37"/>
  <c r="J1489" i="37"/>
  <c r="J1490" i="37"/>
  <c r="J1491" i="37"/>
  <c r="J1492" i="37"/>
  <c r="J1493" i="37"/>
  <c r="J1494" i="37"/>
  <c r="J1495" i="37"/>
  <c r="J1496" i="37"/>
  <c r="J1497" i="37"/>
  <c r="J1498" i="37"/>
  <c r="J1499" i="37"/>
  <c r="J1500" i="37"/>
  <c r="J1501" i="37"/>
  <c r="J1502" i="37"/>
  <c r="J1503" i="37"/>
  <c r="J1504" i="37"/>
  <c r="J1505" i="37"/>
  <c r="J1506" i="37"/>
  <c r="J1507" i="37"/>
  <c r="J1508" i="37"/>
  <c r="J1509" i="37"/>
  <c r="J1510" i="37"/>
  <c r="J1511" i="37"/>
  <c r="J1512" i="37"/>
  <c r="J1513" i="37"/>
  <c r="J1514" i="37"/>
  <c r="J1515" i="37"/>
  <c r="J1516" i="37"/>
  <c r="J1517" i="37"/>
  <c r="J1518" i="37"/>
  <c r="J1519" i="37"/>
  <c r="J1520" i="37"/>
  <c r="J1521" i="37"/>
  <c r="J1522" i="37"/>
  <c r="J1523" i="37"/>
  <c r="J1524" i="37"/>
  <c r="J1525" i="37"/>
  <c r="J1526" i="37"/>
  <c r="J1527" i="37"/>
  <c r="J1528" i="37"/>
  <c r="J1529" i="37"/>
  <c r="J1530" i="37"/>
  <c r="J1531" i="37"/>
  <c r="J1532" i="37"/>
  <c r="J1533" i="37"/>
  <c r="J1534" i="37"/>
  <c r="J1535" i="37"/>
  <c r="J1536" i="37"/>
  <c r="J1537" i="37"/>
  <c r="J1538" i="37"/>
  <c r="J1539" i="37"/>
  <c r="J1540" i="37"/>
  <c r="J1541" i="37"/>
  <c r="J1542" i="37"/>
  <c r="J1543" i="37"/>
  <c r="J1544" i="37"/>
  <c r="J1545" i="37"/>
  <c r="J1546" i="37"/>
  <c r="J1547" i="37"/>
  <c r="J1548" i="37"/>
  <c r="J1549" i="37"/>
  <c r="J1550" i="37"/>
  <c r="J1551" i="37"/>
  <c r="J1552" i="37"/>
  <c r="J1553" i="37"/>
  <c r="J1554" i="37"/>
  <c r="J1555" i="37"/>
  <c r="J1556" i="37"/>
  <c r="J1557" i="37"/>
  <c r="J1558" i="37"/>
  <c r="J1559" i="37"/>
  <c r="J1560" i="37"/>
  <c r="J1561" i="37"/>
  <c r="J1562" i="37"/>
  <c r="J1563" i="37"/>
  <c r="J1564" i="37"/>
  <c r="J1565" i="37"/>
  <c r="J1566" i="37"/>
  <c r="J1567" i="37"/>
  <c r="J1568" i="37"/>
  <c r="J1569" i="37"/>
  <c r="J1570" i="37"/>
  <c r="J1571" i="37"/>
  <c r="J1572" i="37"/>
  <c r="J1573" i="37"/>
  <c r="J1574" i="37"/>
  <c r="J1575" i="37"/>
  <c r="J1576" i="37"/>
  <c r="J1577" i="37"/>
  <c r="J1578" i="37"/>
  <c r="J1579" i="37"/>
  <c r="J1580" i="37"/>
  <c r="J1581" i="37"/>
  <c r="J1582" i="37"/>
  <c r="J1583" i="37"/>
  <c r="J1584" i="37"/>
  <c r="J1585" i="37"/>
  <c r="J1586" i="37"/>
  <c r="J1587" i="37"/>
  <c r="J1588" i="37"/>
  <c r="J1589" i="37"/>
  <c r="J1590" i="37"/>
  <c r="J1591" i="37"/>
  <c r="J1592" i="37"/>
  <c r="J1593" i="37"/>
  <c r="J1594" i="37"/>
  <c r="J1595" i="37"/>
  <c r="J1596" i="37"/>
  <c r="J1597" i="37"/>
  <c r="J1598" i="37"/>
  <c r="J1599" i="37"/>
  <c r="J1600" i="37"/>
  <c r="J1601" i="37"/>
  <c r="J1602" i="37"/>
  <c r="J1603" i="37"/>
  <c r="J1604" i="37"/>
  <c r="J1605" i="37"/>
  <c r="J1606" i="37"/>
  <c r="J1607" i="37"/>
  <c r="J1608" i="37"/>
  <c r="J1609" i="37"/>
  <c r="J1610" i="37"/>
  <c r="J1611" i="37"/>
  <c r="J1612" i="37"/>
  <c r="J1613" i="37"/>
  <c r="J1614" i="37"/>
  <c r="J1615" i="37"/>
  <c r="J1616" i="37"/>
  <c r="J1617" i="37"/>
  <c r="J1618" i="37"/>
  <c r="J1619" i="37"/>
  <c r="J1620" i="37"/>
  <c r="J1621" i="37"/>
  <c r="J1622" i="37"/>
  <c r="J1623" i="37"/>
  <c r="J1624" i="37"/>
  <c r="J1625" i="37"/>
  <c r="J1626" i="37"/>
  <c r="J1627" i="37"/>
  <c r="J1628" i="37"/>
  <c r="J1629" i="37"/>
  <c r="J1630" i="37"/>
  <c r="J1631" i="37"/>
  <c r="J1632" i="37"/>
  <c r="J1633" i="37"/>
  <c r="J1634" i="37"/>
  <c r="J1635" i="37"/>
  <c r="J1636" i="37"/>
  <c r="J1637" i="37"/>
  <c r="J1638" i="37"/>
  <c r="J1639" i="37"/>
  <c r="J1640" i="37"/>
  <c r="J1641" i="37"/>
  <c r="J1642" i="37"/>
  <c r="J1643" i="37"/>
  <c r="J1644" i="37"/>
  <c r="J1645" i="37"/>
  <c r="J1646" i="37"/>
  <c r="J1647" i="37"/>
  <c r="J1648" i="37"/>
  <c r="J1649" i="37"/>
  <c r="J1650" i="37"/>
  <c r="J1651" i="37"/>
  <c r="J1652" i="37"/>
  <c r="J1653" i="37"/>
  <c r="J1654" i="37"/>
  <c r="J1655" i="37"/>
  <c r="J1656" i="37"/>
  <c r="J1657" i="37"/>
  <c r="J1658" i="37"/>
  <c r="J1659" i="37"/>
  <c r="J1660" i="37"/>
  <c r="J1661" i="37"/>
  <c r="J1662" i="37"/>
  <c r="J1663" i="37"/>
  <c r="J1664" i="37"/>
  <c r="J1665" i="37"/>
  <c r="J1666" i="37"/>
  <c r="J1667" i="37"/>
  <c r="J1668" i="37"/>
  <c r="J1669" i="37"/>
  <c r="J1670" i="37"/>
  <c r="J1671" i="37"/>
  <c r="J1672" i="37"/>
  <c r="J1673" i="37"/>
  <c r="J1674" i="37"/>
  <c r="J1675" i="37"/>
  <c r="J1676" i="37"/>
  <c r="J1677" i="37"/>
  <c r="J1678" i="37"/>
  <c r="J1679" i="37"/>
  <c r="J1680" i="37"/>
  <c r="J1681" i="37"/>
  <c r="J1682" i="37"/>
  <c r="J1683" i="37"/>
  <c r="J1684" i="37"/>
  <c r="J1685" i="37"/>
  <c r="J1686" i="37"/>
  <c r="J1687" i="37"/>
  <c r="J1688" i="37"/>
  <c r="J1689" i="37"/>
  <c r="J1690" i="37"/>
  <c r="J1691" i="37"/>
  <c r="J1692" i="37"/>
  <c r="J1693" i="37"/>
  <c r="J1694" i="37"/>
  <c r="J1695" i="37"/>
  <c r="J1696" i="37"/>
  <c r="J1697" i="37"/>
  <c r="J1698" i="37"/>
  <c r="J1699" i="37"/>
  <c r="J1700" i="37"/>
  <c r="J1701" i="37"/>
  <c r="J1702" i="37"/>
  <c r="J1703" i="37"/>
  <c r="J1704" i="37"/>
  <c r="J1705" i="37"/>
  <c r="J1706" i="37"/>
  <c r="J1707" i="37"/>
  <c r="J1708" i="37"/>
  <c r="J1709" i="37"/>
  <c r="J1710" i="37"/>
  <c r="J1711" i="37"/>
  <c r="J1712" i="37"/>
  <c r="J1713" i="37"/>
  <c r="J1714" i="37"/>
  <c r="J1715" i="37"/>
  <c r="J1716" i="37"/>
  <c r="J1717" i="37"/>
  <c r="J1718" i="37"/>
  <c r="J1719" i="37"/>
  <c r="J1720" i="37"/>
  <c r="J1721" i="37"/>
  <c r="J1722" i="37"/>
  <c r="J1723" i="37"/>
  <c r="J1724" i="37"/>
  <c r="J1725" i="37"/>
  <c r="J1726" i="37"/>
  <c r="J1727" i="37"/>
  <c r="J1728" i="37"/>
  <c r="J1729" i="37"/>
  <c r="J1730" i="37"/>
  <c r="J1731" i="37"/>
  <c r="J1732" i="37"/>
  <c r="J1733" i="37"/>
  <c r="J1734" i="37"/>
  <c r="J1735" i="37"/>
  <c r="J1736" i="37"/>
  <c r="J1737" i="37"/>
  <c r="J1738" i="37"/>
  <c r="J1739" i="37"/>
  <c r="J1740" i="37"/>
  <c r="J1741" i="37"/>
  <c r="J1742" i="37"/>
  <c r="J1743" i="37"/>
  <c r="J1744" i="37"/>
  <c r="J1745" i="37"/>
  <c r="J1746" i="37"/>
  <c r="J1747" i="37"/>
  <c r="J1748" i="37"/>
  <c r="J1749" i="37"/>
  <c r="J1750" i="37"/>
  <c r="J1751" i="37"/>
  <c r="J1752" i="37"/>
  <c r="J1753" i="37"/>
  <c r="J1754" i="37"/>
  <c r="J1755" i="37"/>
  <c r="J1756" i="37"/>
  <c r="J1757" i="37"/>
  <c r="J1758" i="37"/>
  <c r="J1759" i="37"/>
  <c r="J1760" i="37"/>
  <c r="J1761" i="37"/>
  <c r="J1762" i="37"/>
  <c r="J1763" i="37"/>
  <c r="J1764" i="37"/>
  <c r="J1765" i="37"/>
  <c r="J1766" i="37"/>
  <c r="J1767" i="37"/>
  <c r="J1768" i="37"/>
  <c r="J1769" i="37"/>
  <c r="J1770" i="37"/>
  <c r="J1771" i="37"/>
  <c r="J1772" i="37"/>
  <c r="J1773" i="37"/>
  <c r="J1774" i="37"/>
  <c r="J1775" i="37"/>
  <c r="J1776" i="37"/>
  <c r="J1777" i="37"/>
  <c r="J1778" i="37"/>
  <c r="J1779" i="37"/>
  <c r="J1780" i="37"/>
  <c r="J1781" i="37"/>
  <c r="J1782" i="37"/>
  <c r="J1783" i="37"/>
  <c r="J1784" i="37"/>
  <c r="J1785" i="37"/>
  <c r="J1786" i="37"/>
  <c r="J1787" i="37"/>
  <c r="J1788" i="37"/>
  <c r="J1789" i="37"/>
  <c r="J1790" i="37"/>
  <c r="J1791" i="37"/>
  <c r="J1792" i="37"/>
  <c r="J1793" i="37"/>
  <c r="J1794" i="37"/>
  <c r="J1795" i="37"/>
  <c r="J1796" i="37"/>
  <c r="J1797" i="37"/>
  <c r="J1798" i="37"/>
  <c r="J1799" i="37"/>
  <c r="J1800" i="37"/>
  <c r="J1801" i="37"/>
  <c r="J1802" i="37"/>
  <c r="J1803" i="37"/>
  <c r="J1804" i="37"/>
  <c r="J1805" i="37"/>
  <c r="J1806" i="37"/>
  <c r="J1807" i="37"/>
  <c r="J1808" i="37"/>
  <c r="J1809" i="37"/>
  <c r="J1810" i="37"/>
  <c r="J1811" i="37"/>
  <c r="J1812" i="37"/>
  <c r="J1813" i="37"/>
  <c r="J1814" i="37"/>
  <c r="J1815" i="37"/>
  <c r="J1816" i="37"/>
  <c r="J1817" i="37"/>
  <c r="J1818" i="37"/>
  <c r="J1819" i="37"/>
  <c r="J1820" i="37"/>
  <c r="J1821" i="37"/>
  <c r="J1822" i="37"/>
  <c r="J1823" i="37"/>
  <c r="J1824" i="37"/>
  <c r="J1825" i="37"/>
  <c r="J1826" i="37"/>
  <c r="J1827" i="37"/>
  <c r="J1828" i="37"/>
  <c r="J1829" i="37"/>
  <c r="J1830" i="37"/>
  <c r="J1831" i="37"/>
  <c r="J1832" i="37"/>
  <c r="J1833" i="37"/>
  <c r="J1834" i="37"/>
  <c r="J1835" i="37"/>
  <c r="J1836" i="37"/>
  <c r="J1837" i="37"/>
  <c r="J1838" i="37"/>
  <c r="J1839" i="37"/>
  <c r="J1840" i="37"/>
  <c r="J1841" i="37"/>
  <c r="J1842" i="37"/>
  <c r="J1843" i="37"/>
  <c r="J1844" i="37"/>
  <c r="J1845" i="37"/>
  <c r="J1846" i="37"/>
  <c r="J1847" i="37"/>
  <c r="J1848" i="37"/>
  <c r="J1849" i="37"/>
  <c r="J1850" i="37"/>
  <c r="J1851" i="37"/>
  <c r="J1852" i="37"/>
  <c r="J1853" i="37"/>
  <c r="J1854" i="37"/>
  <c r="J1855" i="37"/>
  <c r="J1856" i="37"/>
  <c r="J1857" i="37"/>
  <c r="J1858" i="37"/>
  <c r="J1859" i="37"/>
  <c r="J1860" i="37"/>
  <c r="J1861" i="37"/>
  <c r="J1862" i="37"/>
  <c r="J1863" i="37"/>
  <c r="J1864" i="37"/>
  <c r="J1865" i="37"/>
  <c r="J1866" i="37"/>
  <c r="J1867" i="37"/>
  <c r="J1868" i="37"/>
  <c r="J1869" i="37"/>
  <c r="J1870" i="37"/>
  <c r="J1871" i="37"/>
  <c r="J1872" i="37"/>
  <c r="J1873" i="37"/>
  <c r="J1874" i="37"/>
  <c r="J1875" i="37"/>
  <c r="J1876" i="37"/>
  <c r="J1877" i="37"/>
  <c r="J1878" i="37"/>
  <c r="J1879" i="37"/>
  <c r="J1880" i="37"/>
  <c r="J1881" i="37"/>
  <c r="J1882" i="37"/>
  <c r="J1883" i="37"/>
  <c r="J1884" i="37"/>
  <c r="J1885" i="37"/>
  <c r="J1886" i="37"/>
  <c r="J1887" i="37"/>
  <c r="J1888" i="37"/>
  <c r="J1889" i="37"/>
  <c r="J1890" i="37"/>
  <c r="J1891" i="37"/>
  <c r="J1892" i="37"/>
  <c r="J1893" i="37"/>
  <c r="J1894" i="37"/>
  <c r="J1895" i="37"/>
  <c r="J1896" i="37"/>
  <c r="J1897" i="37"/>
  <c r="J1898" i="37"/>
  <c r="J1899" i="37"/>
  <c r="J1900" i="37"/>
  <c r="J1901" i="37"/>
  <c r="J1902" i="37"/>
  <c r="J1903" i="37"/>
  <c r="J1904" i="37"/>
  <c r="J1905" i="37"/>
  <c r="J1906" i="37"/>
  <c r="J1907" i="37"/>
  <c r="J1908" i="37"/>
  <c r="J1909" i="37"/>
  <c r="J1910" i="37"/>
  <c r="J1911" i="37"/>
  <c r="J1912" i="37"/>
  <c r="J1913" i="37"/>
  <c r="J1914" i="37"/>
  <c r="J1915" i="37"/>
  <c r="J1916" i="37"/>
  <c r="J1917" i="37"/>
  <c r="J1918" i="37"/>
  <c r="J1919" i="37"/>
  <c r="J1920" i="37"/>
  <c r="J1921" i="37"/>
  <c r="J1922" i="37"/>
  <c r="J1923" i="37"/>
  <c r="J1924" i="37"/>
  <c r="J1925" i="37"/>
  <c r="J1926" i="37"/>
  <c r="J1927" i="37"/>
  <c r="J1928" i="37"/>
  <c r="J1929" i="37"/>
  <c r="J1930" i="37"/>
  <c r="J1931" i="37"/>
  <c r="J1932" i="37"/>
  <c r="J1933" i="37"/>
  <c r="J1934" i="37"/>
  <c r="J1935" i="37"/>
  <c r="J1936" i="37"/>
  <c r="J1937" i="37"/>
  <c r="J1938" i="37"/>
  <c r="J1939" i="37"/>
  <c r="J1940" i="37"/>
  <c r="J1941" i="37"/>
  <c r="J1942" i="37"/>
  <c r="J1943" i="37"/>
  <c r="J1944" i="37"/>
  <c r="J1945" i="37"/>
  <c r="J1946" i="37"/>
  <c r="J1947" i="37"/>
  <c r="J1948" i="37"/>
  <c r="J1949" i="37"/>
  <c r="J1950" i="37"/>
  <c r="J1951" i="37"/>
  <c r="J1952" i="37"/>
  <c r="J1953" i="37"/>
  <c r="J1954" i="37"/>
  <c r="J1955" i="37"/>
  <c r="J1956" i="37"/>
  <c r="J1957" i="37"/>
  <c r="J1958" i="37"/>
  <c r="J1959" i="37"/>
  <c r="J1960" i="37"/>
  <c r="J1961" i="37"/>
  <c r="J1962" i="37"/>
  <c r="J1963" i="37"/>
  <c r="J1964" i="37"/>
  <c r="J1965" i="37"/>
  <c r="J1966" i="37"/>
  <c r="J1967" i="37"/>
  <c r="J1968" i="37"/>
  <c r="J1969" i="37"/>
  <c r="J1970" i="37"/>
  <c r="J1971" i="37"/>
  <c r="J1972" i="37"/>
  <c r="J1973" i="37"/>
  <c r="J1974" i="37"/>
  <c r="J1975" i="37"/>
  <c r="J1976" i="37"/>
  <c r="J1977" i="37"/>
  <c r="J1978" i="37"/>
  <c r="J1979" i="37"/>
  <c r="J1980" i="37"/>
  <c r="J1981" i="37"/>
  <c r="J1982" i="37"/>
  <c r="J1983" i="37"/>
  <c r="J1984" i="37"/>
  <c r="J1985" i="37"/>
  <c r="J1986" i="37"/>
  <c r="J1987" i="37"/>
  <c r="J1988" i="37"/>
  <c r="J1989" i="37"/>
  <c r="J1990" i="37"/>
  <c r="J1991" i="37"/>
  <c r="J1992" i="37"/>
  <c r="J1993" i="37"/>
  <c r="J1994" i="37"/>
  <c r="J1995" i="37"/>
  <c r="J1996" i="37"/>
  <c r="J1997" i="37"/>
  <c r="J1998" i="37"/>
  <c r="J1999" i="37"/>
  <c r="J2000" i="37"/>
  <c r="J2001" i="37"/>
  <c r="J2002" i="37"/>
  <c r="J2003" i="37"/>
  <c r="J2004" i="37"/>
  <c r="J2005" i="37"/>
  <c r="J2006" i="37"/>
  <c r="J2007" i="37"/>
  <c r="J2008" i="37"/>
  <c r="J2009" i="37"/>
  <c r="J2010" i="37"/>
  <c r="J2011" i="37"/>
  <c r="J2012" i="37"/>
  <c r="J2013" i="37"/>
  <c r="J2014" i="37"/>
  <c r="J2015" i="37"/>
  <c r="J2016" i="37"/>
  <c r="J2017" i="37"/>
  <c r="J2018" i="37"/>
  <c r="J2019" i="37"/>
  <c r="J2020" i="37"/>
  <c r="J2021" i="37"/>
  <c r="J2022" i="37"/>
  <c r="J2023" i="37"/>
  <c r="J2024" i="37"/>
  <c r="J2025" i="37"/>
  <c r="J2026" i="37"/>
  <c r="J2027" i="37"/>
  <c r="J2028" i="37"/>
  <c r="J2029" i="37"/>
  <c r="J2030" i="37"/>
  <c r="J2031" i="37"/>
  <c r="J2032" i="37"/>
  <c r="J2033" i="37"/>
  <c r="J2034" i="37"/>
  <c r="J2035" i="37"/>
  <c r="J2036" i="37"/>
  <c r="J2037" i="37"/>
  <c r="J2038" i="37"/>
  <c r="J2039" i="37"/>
  <c r="J2040" i="37"/>
  <c r="J2041" i="37"/>
  <c r="J2042" i="37"/>
  <c r="J2043" i="37"/>
  <c r="J2044" i="37"/>
  <c r="J2045" i="37"/>
  <c r="J2046" i="37"/>
  <c r="J2047" i="37"/>
  <c r="J2048" i="37"/>
  <c r="J2049" i="37"/>
  <c r="J2050" i="37"/>
  <c r="J2051" i="37"/>
  <c r="J2052" i="37"/>
  <c r="J2053" i="37"/>
  <c r="J2054" i="37"/>
  <c r="J2055" i="37"/>
  <c r="J2056" i="37"/>
  <c r="J2057" i="37"/>
  <c r="J2058" i="37"/>
  <c r="J2059" i="37"/>
  <c r="J2060" i="37"/>
  <c r="J2061" i="37"/>
  <c r="J2062" i="37"/>
  <c r="J2063" i="37"/>
  <c r="J2064" i="37"/>
  <c r="J2065" i="37"/>
  <c r="J2066" i="37"/>
  <c r="J2067" i="37"/>
  <c r="J2068" i="37"/>
  <c r="J2069" i="37"/>
  <c r="J2070" i="37"/>
  <c r="J2071" i="37"/>
  <c r="J2072" i="37"/>
  <c r="J2073" i="37"/>
  <c r="J2074" i="37"/>
  <c r="J2075" i="37"/>
  <c r="J2076" i="37"/>
  <c r="J2077" i="37"/>
  <c r="J2078" i="37"/>
  <c r="J2079" i="37"/>
  <c r="J2080" i="37"/>
  <c r="J2081" i="37"/>
  <c r="J2082" i="37"/>
  <c r="J2083" i="37"/>
  <c r="J2084" i="37"/>
  <c r="J2085" i="37"/>
  <c r="J2086" i="37"/>
  <c r="J2087" i="37"/>
  <c r="J2088" i="37"/>
  <c r="J2089" i="37"/>
  <c r="J2090" i="37"/>
  <c r="J2091" i="37"/>
  <c r="J2092" i="37"/>
  <c r="J2093" i="37"/>
  <c r="J2094" i="37"/>
  <c r="J2095" i="37"/>
  <c r="J2096" i="37"/>
  <c r="J2097" i="37"/>
  <c r="J2098" i="37"/>
  <c r="J2099" i="37"/>
  <c r="J2100" i="37"/>
  <c r="J2101" i="37"/>
  <c r="J2102" i="37"/>
  <c r="J2103" i="37"/>
  <c r="J2104" i="37"/>
  <c r="J2105" i="37"/>
  <c r="J2106" i="37"/>
  <c r="J2107" i="37"/>
  <c r="J2108" i="37"/>
  <c r="J2109" i="37"/>
  <c r="J2110" i="37"/>
  <c r="J2111" i="37"/>
  <c r="J2112" i="37"/>
  <c r="J2113" i="37"/>
  <c r="J2114" i="37"/>
  <c r="J2115" i="37"/>
  <c r="J2116" i="37"/>
  <c r="J2117" i="37"/>
  <c r="J2118" i="37"/>
  <c r="J2119" i="37"/>
  <c r="J2120" i="37"/>
  <c r="J2121" i="37"/>
  <c r="J2122" i="37"/>
  <c r="J2123" i="37"/>
  <c r="J2124" i="37"/>
  <c r="J2125" i="37"/>
  <c r="J2126" i="37"/>
  <c r="J2127" i="37"/>
  <c r="J2128" i="37"/>
  <c r="J2129" i="37"/>
  <c r="J2130" i="37"/>
  <c r="J2131" i="37"/>
  <c r="J2132" i="37"/>
  <c r="J2133" i="37"/>
  <c r="J2134" i="37"/>
  <c r="J2135" i="37"/>
  <c r="J2136" i="37"/>
  <c r="J2137" i="37"/>
  <c r="J2138" i="37"/>
  <c r="J2139" i="37"/>
  <c r="J2140" i="37"/>
  <c r="J2141" i="37"/>
  <c r="J2142" i="37"/>
  <c r="J2143" i="37"/>
  <c r="J2144" i="37"/>
  <c r="J2145" i="37"/>
  <c r="J2146" i="37"/>
  <c r="J2147" i="37"/>
  <c r="J2148" i="37"/>
  <c r="J2149" i="37"/>
  <c r="J2150" i="37"/>
  <c r="J2151" i="37"/>
  <c r="J2152" i="37"/>
  <c r="J2153" i="37"/>
  <c r="J2154" i="37"/>
  <c r="J2155" i="37"/>
  <c r="J2156" i="37"/>
  <c r="J2157" i="37"/>
  <c r="J2158" i="37"/>
  <c r="J2159" i="37"/>
  <c r="J2160" i="37"/>
  <c r="J2161" i="37"/>
  <c r="J2162" i="37"/>
  <c r="J2163" i="37"/>
  <c r="J2164" i="37"/>
  <c r="J2165" i="37"/>
  <c r="J2166" i="37"/>
  <c r="J2167" i="37"/>
  <c r="J2168" i="37"/>
  <c r="J2169" i="37"/>
  <c r="J2170" i="37"/>
  <c r="J2171" i="37"/>
  <c r="J2172" i="37"/>
  <c r="J2173" i="37"/>
  <c r="J2174" i="37"/>
  <c r="J2175" i="37"/>
  <c r="J2176" i="37"/>
  <c r="J2177" i="37"/>
  <c r="J2178" i="37"/>
  <c r="J2179" i="37"/>
  <c r="J2180" i="37"/>
  <c r="J2181" i="37"/>
  <c r="J2182" i="37"/>
  <c r="J2183" i="37"/>
  <c r="J2184" i="37"/>
  <c r="J2185" i="37"/>
  <c r="J2186" i="37"/>
  <c r="J2187" i="37"/>
  <c r="J2188" i="37"/>
  <c r="J2189" i="37"/>
  <c r="J2190" i="37"/>
  <c r="J2191" i="37"/>
  <c r="J2192" i="37"/>
  <c r="J2193" i="37"/>
  <c r="J2194" i="37"/>
  <c r="J2195" i="37"/>
  <c r="J2196" i="37"/>
  <c r="J2197" i="37"/>
  <c r="J2198" i="37"/>
  <c r="J2199" i="37"/>
  <c r="J2200" i="37"/>
  <c r="J2201" i="37"/>
  <c r="J2202" i="37"/>
  <c r="J2203" i="37"/>
  <c r="J2204" i="37"/>
  <c r="J2205" i="37"/>
  <c r="J2206" i="37"/>
  <c r="J2207" i="37"/>
  <c r="J2208" i="37"/>
  <c r="J2209" i="37"/>
  <c r="J2210" i="37"/>
  <c r="J2211" i="37"/>
  <c r="J2212" i="37"/>
  <c r="J2213" i="37"/>
  <c r="J2214" i="37"/>
  <c r="J2215" i="37"/>
  <c r="J2216" i="37"/>
  <c r="J2217" i="37"/>
  <c r="J2218" i="37"/>
  <c r="J2219" i="37"/>
  <c r="J2220" i="37"/>
  <c r="J2221" i="37"/>
  <c r="J2222" i="37"/>
  <c r="J2223" i="37"/>
  <c r="J2224" i="37"/>
  <c r="J2225" i="37"/>
  <c r="J2226" i="37"/>
  <c r="J2227" i="37"/>
  <c r="J2228" i="37"/>
  <c r="J2229" i="37"/>
  <c r="J2230" i="37"/>
  <c r="J2231" i="37"/>
  <c r="J2232" i="37"/>
  <c r="J2233" i="37"/>
  <c r="J2234" i="37"/>
  <c r="J2235" i="37"/>
  <c r="J2236" i="37"/>
  <c r="J2237" i="37"/>
  <c r="J2238" i="37"/>
  <c r="J2239" i="37"/>
  <c r="J2240" i="37"/>
  <c r="J2241" i="37"/>
  <c r="J2242" i="37"/>
  <c r="J2243" i="37"/>
  <c r="J2244" i="37"/>
  <c r="J2245" i="37"/>
  <c r="J2246" i="37"/>
  <c r="J2247" i="37"/>
  <c r="J2248" i="37"/>
  <c r="J2249" i="37"/>
  <c r="J2250" i="37"/>
  <c r="J2251" i="37"/>
  <c r="J2252" i="37"/>
  <c r="J2253" i="37"/>
  <c r="J2254" i="37"/>
  <c r="J2255" i="37"/>
  <c r="J2256" i="37"/>
  <c r="J2257" i="37"/>
  <c r="J2258" i="37"/>
  <c r="J2259" i="37"/>
  <c r="J2260" i="37"/>
  <c r="J2261" i="37"/>
  <c r="J2262" i="37"/>
  <c r="J2263" i="37"/>
  <c r="J2264" i="37"/>
  <c r="J2265" i="37"/>
  <c r="J2266" i="37"/>
  <c r="J2267" i="37"/>
  <c r="J2268" i="37"/>
  <c r="J2269" i="37"/>
  <c r="J2270" i="37"/>
  <c r="J2271" i="37"/>
  <c r="J2272" i="37"/>
  <c r="J2273" i="37"/>
  <c r="J2274" i="37"/>
  <c r="J2275" i="37"/>
  <c r="J2276" i="37"/>
  <c r="J2277" i="37"/>
  <c r="J2278" i="37"/>
  <c r="J2279" i="37"/>
  <c r="J2280" i="37"/>
  <c r="J2281" i="37"/>
  <c r="J2282" i="37"/>
  <c r="J2283" i="37"/>
  <c r="J2284" i="37"/>
  <c r="J2285" i="37"/>
  <c r="J2286" i="37"/>
  <c r="J2287" i="37"/>
  <c r="J2288" i="37"/>
  <c r="J2289" i="37"/>
  <c r="J2290" i="37"/>
  <c r="J2291" i="37"/>
  <c r="J2292" i="37"/>
  <c r="J2293" i="37"/>
  <c r="J2294" i="37"/>
  <c r="J2295" i="37"/>
  <c r="J2296" i="37"/>
  <c r="J2297" i="37"/>
  <c r="J2298" i="37"/>
  <c r="J2299" i="37"/>
  <c r="J2300" i="37"/>
  <c r="J2301" i="37"/>
  <c r="J2302" i="37"/>
  <c r="J2303" i="37"/>
  <c r="J2304" i="37"/>
  <c r="J2305" i="37"/>
  <c r="J2306" i="37"/>
  <c r="J2307" i="37"/>
  <c r="J2308" i="37"/>
  <c r="J2309" i="37"/>
  <c r="J2310" i="37"/>
  <c r="J2311" i="37"/>
  <c r="J2312" i="37"/>
  <c r="J2313" i="37"/>
  <c r="J2314" i="37"/>
  <c r="J2315" i="37"/>
  <c r="J2316" i="37"/>
  <c r="J2317" i="37"/>
  <c r="J2318" i="37"/>
  <c r="J2319" i="37"/>
  <c r="J2320" i="37"/>
  <c r="J2321" i="37"/>
  <c r="J2322" i="37"/>
  <c r="J2323" i="37"/>
  <c r="J2324" i="37"/>
  <c r="J2325" i="37"/>
  <c r="J2326" i="37"/>
  <c r="J2327" i="37"/>
  <c r="J2328" i="37"/>
  <c r="J2329" i="37"/>
  <c r="J2330" i="37"/>
  <c r="J2331" i="37"/>
  <c r="J2332" i="37"/>
  <c r="J2333" i="37"/>
  <c r="J2334" i="37"/>
  <c r="J2335" i="37"/>
  <c r="J2336" i="37"/>
  <c r="J2337" i="37"/>
  <c r="J2338" i="37"/>
  <c r="J2339" i="37"/>
  <c r="J2340" i="37"/>
  <c r="J2341" i="37"/>
  <c r="J2342" i="37"/>
  <c r="J2343" i="37"/>
  <c r="J2344" i="37"/>
  <c r="J2345" i="37"/>
  <c r="J2346" i="37"/>
  <c r="J2347" i="37"/>
  <c r="J2348" i="37"/>
  <c r="J2349" i="37"/>
  <c r="J2350" i="37"/>
  <c r="J2351" i="37"/>
  <c r="J2352" i="37"/>
  <c r="J2353" i="37"/>
  <c r="J2354" i="37"/>
  <c r="J2355" i="37"/>
  <c r="J2356" i="37"/>
  <c r="J2357" i="37"/>
  <c r="J2358" i="37"/>
  <c r="J2359" i="37"/>
  <c r="J2360" i="37"/>
  <c r="J2361" i="37"/>
  <c r="J2362" i="37"/>
  <c r="J2363" i="37"/>
  <c r="J2364" i="37"/>
  <c r="J2365" i="37"/>
  <c r="J2366" i="37"/>
  <c r="J2367" i="37"/>
  <c r="J2368" i="37"/>
  <c r="J2369" i="37"/>
  <c r="J2370" i="37"/>
  <c r="J2371" i="37"/>
  <c r="J2372" i="37"/>
  <c r="J2373" i="37"/>
  <c r="J2374" i="37"/>
  <c r="J2375" i="37"/>
  <c r="J2376" i="37"/>
  <c r="J2377" i="37"/>
  <c r="J2378" i="37"/>
  <c r="J2379" i="37"/>
  <c r="J2380" i="37"/>
  <c r="J2381" i="37"/>
  <c r="J2382" i="37"/>
  <c r="J2383" i="37"/>
  <c r="J2384" i="37"/>
  <c r="J2385" i="37"/>
  <c r="J2386" i="37"/>
  <c r="J2387" i="37"/>
  <c r="J2388" i="37"/>
  <c r="J2389" i="37"/>
  <c r="J2390" i="37"/>
  <c r="J2391" i="37"/>
  <c r="J2392" i="37"/>
  <c r="J2393" i="37"/>
  <c r="J2394" i="37"/>
  <c r="J2395" i="37"/>
  <c r="J2396" i="37"/>
  <c r="J2397" i="37"/>
  <c r="J2398" i="37"/>
  <c r="J2399" i="37"/>
  <c r="J2400" i="37"/>
  <c r="J2401" i="37"/>
  <c r="J2402" i="37"/>
  <c r="J2403" i="37"/>
  <c r="J2404" i="37"/>
  <c r="J2405" i="37"/>
  <c r="J2406" i="37"/>
  <c r="J2407" i="37"/>
  <c r="J2408" i="37"/>
  <c r="J2409" i="37"/>
  <c r="J2410" i="37"/>
  <c r="J2411" i="37"/>
  <c r="J2412" i="37"/>
  <c r="J2413" i="37"/>
  <c r="J2414" i="37"/>
  <c r="J2415" i="37"/>
  <c r="J2416" i="37"/>
  <c r="J2417" i="37"/>
  <c r="J2418" i="37"/>
  <c r="J2419" i="37"/>
  <c r="J2420" i="37"/>
  <c r="J2421" i="37"/>
  <c r="J2422" i="37"/>
  <c r="J2423" i="37"/>
  <c r="J2424" i="37"/>
  <c r="J2425" i="37"/>
  <c r="J2426" i="37"/>
  <c r="J2427" i="37"/>
  <c r="J2428" i="37"/>
  <c r="J2429" i="37"/>
  <c r="J2430" i="37"/>
  <c r="J2431" i="37"/>
  <c r="J2432" i="37"/>
  <c r="J2433" i="37"/>
  <c r="J2434" i="37"/>
  <c r="J2435" i="37"/>
  <c r="J2436" i="37"/>
  <c r="J2437" i="37"/>
  <c r="J2438" i="37"/>
  <c r="J2439" i="37"/>
  <c r="J2440" i="37"/>
  <c r="J2441" i="37"/>
  <c r="J2442" i="37"/>
  <c r="J2443" i="37"/>
  <c r="J2444" i="37"/>
  <c r="J2445" i="37"/>
  <c r="J2446" i="37"/>
  <c r="J2447" i="37"/>
  <c r="J2448" i="37"/>
  <c r="J2449" i="37"/>
  <c r="J2450" i="37"/>
  <c r="J2451" i="37"/>
  <c r="J2452" i="37"/>
  <c r="J2453" i="37"/>
  <c r="J2454" i="37"/>
  <c r="J2455" i="37"/>
  <c r="J2456" i="37"/>
  <c r="J2457" i="37"/>
  <c r="J2458" i="37"/>
  <c r="J2459" i="37"/>
  <c r="J2460" i="37"/>
  <c r="J2461" i="37"/>
  <c r="J2462" i="37"/>
  <c r="J2463" i="37"/>
  <c r="J2464" i="37"/>
  <c r="J2465" i="37"/>
  <c r="J2466" i="37"/>
  <c r="J2467" i="37"/>
  <c r="J2468" i="37"/>
  <c r="J2469" i="37"/>
  <c r="J2470" i="37"/>
  <c r="J2471" i="37"/>
  <c r="J2472" i="37"/>
  <c r="J2473" i="37"/>
  <c r="J2474" i="37"/>
  <c r="J2475" i="37"/>
  <c r="J2476" i="37"/>
  <c r="J2477" i="37"/>
  <c r="J2478" i="37"/>
  <c r="J2479" i="37"/>
  <c r="J2480" i="37"/>
  <c r="J2481" i="37"/>
  <c r="J2482" i="37"/>
  <c r="J2483" i="37"/>
  <c r="J2484" i="37"/>
  <c r="J2485" i="37"/>
  <c r="J2486" i="37"/>
  <c r="J2487" i="37"/>
  <c r="J2488" i="37"/>
  <c r="J2489" i="37"/>
  <c r="J2490" i="37"/>
  <c r="J2491" i="37"/>
  <c r="J2492" i="37"/>
  <c r="J2493" i="37"/>
  <c r="J2494" i="37"/>
  <c r="J2495" i="37"/>
  <c r="J2496" i="37"/>
  <c r="J2497" i="37"/>
  <c r="J2498" i="37"/>
  <c r="J2499" i="37"/>
  <c r="J2500" i="37"/>
  <c r="J2501" i="37"/>
  <c r="J2502" i="37"/>
  <c r="J2503" i="37"/>
  <c r="J2504" i="37"/>
  <c r="J2505" i="37"/>
  <c r="J2506" i="37"/>
  <c r="J2507" i="37"/>
  <c r="J2508" i="37"/>
  <c r="J2509" i="37"/>
  <c r="J2510" i="37"/>
  <c r="J2511" i="37"/>
  <c r="J2512" i="37"/>
  <c r="J2513" i="37"/>
  <c r="J2514" i="37"/>
  <c r="J2515" i="37"/>
  <c r="J2516" i="37"/>
  <c r="J2517" i="37"/>
  <c r="J2518" i="37"/>
  <c r="J2519" i="37"/>
  <c r="J2520" i="37"/>
  <c r="J2521" i="37"/>
  <c r="J2522" i="37"/>
  <c r="J2523" i="37"/>
  <c r="J2524" i="37"/>
  <c r="J2525" i="37"/>
  <c r="J2526" i="37"/>
  <c r="J2527" i="37"/>
  <c r="J2528" i="37"/>
  <c r="J2529" i="37"/>
  <c r="J2530" i="37"/>
  <c r="J2531" i="37"/>
  <c r="J2532" i="37"/>
  <c r="J2533" i="37"/>
  <c r="J2534" i="37"/>
  <c r="J2535" i="37"/>
  <c r="J2536" i="37"/>
  <c r="J2537" i="37"/>
  <c r="J2538" i="37"/>
  <c r="J2539" i="37"/>
  <c r="J2540" i="37"/>
  <c r="J2541" i="37"/>
  <c r="J2542" i="37"/>
  <c r="J2543" i="37"/>
  <c r="J2544" i="37"/>
  <c r="J2545" i="37"/>
  <c r="J2546" i="37"/>
  <c r="J2547" i="37"/>
  <c r="J2548" i="37"/>
  <c r="J2549" i="37"/>
  <c r="J2550" i="37"/>
  <c r="J2551" i="37"/>
  <c r="J2552" i="37"/>
  <c r="J2553" i="37"/>
  <c r="J2554" i="37"/>
  <c r="J2555" i="37"/>
  <c r="J2556" i="37"/>
  <c r="J2557" i="37"/>
  <c r="J2558" i="37"/>
  <c r="J2559" i="37"/>
  <c r="J2560" i="37"/>
  <c r="J2561" i="37"/>
  <c r="J2562" i="37"/>
  <c r="J2563" i="37"/>
  <c r="J2564" i="37"/>
  <c r="J2565" i="37"/>
  <c r="J2566" i="37"/>
  <c r="J2567" i="37"/>
  <c r="J2568" i="37"/>
  <c r="J2569" i="37"/>
  <c r="J2570" i="37"/>
  <c r="J2571" i="37"/>
  <c r="J2572" i="37"/>
  <c r="J2573" i="37"/>
  <c r="J2574" i="37"/>
  <c r="J2575" i="37"/>
  <c r="J2576" i="37"/>
  <c r="J2577" i="37"/>
  <c r="J2578" i="37"/>
  <c r="J2579" i="37"/>
  <c r="J2580" i="37"/>
  <c r="J2581" i="37"/>
  <c r="J2582" i="37"/>
  <c r="J2583" i="37"/>
  <c r="J2584" i="37"/>
  <c r="J2585" i="37"/>
  <c r="J2586" i="37"/>
  <c r="J2587" i="37"/>
  <c r="J2588" i="37"/>
  <c r="J2589" i="37"/>
  <c r="J2590" i="37"/>
  <c r="J2591" i="37"/>
  <c r="J2592" i="37"/>
  <c r="J2593" i="37"/>
  <c r="J2594" i="37"/>
  <c r="J2595" i="37"/>
  <c r="J2596" i="37"/>
  <c r="J2597" i="37"/>
  <c r="J2598" i="37"/>
  <c r="J2599" i="37"/>
  <c r="J2600" i="37"/>
  <c r="J2601" i="37"/>
  <c r="J2602" i="37"/>
  <c r="J2603" i="37"/>
  <c r="J2604" i="37"/>
  <c r="J2605" i="37"/>
  <c r="J2606" i="37"/>
  <c r="J2607" i="37"/>
  <c r="J2608" i="37"/>
  <c r="J2609" i="37"/>
  <c r="J2610" i="37"/>
  <c r="J2611" i="37"/>
  <c r="J2612" i="37"/>
  <c r="J2613" i="37"/>
  <c r="J2614" i="37"/>
  <c r="J2615" i="37"/>
  <c r="J2616" i="37"/>
  <c r="J2617" i="37"/>
  <c r="J2618" i="37"/>
  <c r="J2619" i="37"/>
  <c r="J2620" i="37"/>
  <c r="J2621" i="37"/>
  <c r="J2622" i="37"/>
  <c r="J2623" i="37"/>
  <c r="J2624" i="37"/>
  <c r="J2625" i="37"/>
  <c r="J2626" i="37"/>
  <c r="J2627" i="37"/>
  <c r="J2628" i="37"/>
  <c r="J2629" i="37"/>
  <c r="J2630" i="37"/>
  <c r="J2631" i="37"/>
  <c r="J2632" i="37"/>
  <c r="J2633" i="37"/>
  <c r="J2634" i="37"/>
  <c r="J2635" i="37"/>
  <c r="J2636" i="37"/>
  <c r="J2637" i="37"/>
  <c r="J2638" i="37"/>
  <c r="J2639" i="37"/>
  <c r="J2640" i="37"/>
  <c r="J2641" i="37"/>
  <c r="J2642" i="37"/>
  <c r="J2643" i="37"/>
  <c r="J2644" i="37"/>
  <c r="J2645" i="37"/>
  <c r="J2646" i="37"/>
  <c r="J2647" i="37"/>
  <c r="J2648" i="37"/>
  <c r="J2649" i="37"/>
  <c r="J2650" i="37"/>
  <c r="J2651" i="37"/>
  <c r="J2652" i="37"/>
  <c r="J2653" i="37"/>
  <c r="J2654" i="37"/>
  <c r="J2655" i="37"/>
  <c r="J2656" i="37"/>
  <c r="J2657" i="37"/>
  <c r="J2658" i="37"/>
  <c r="J2659" i="37"/>
  <c r="J2660" i="37"/>
  <c r="J2661" i="37"/>
  <c r="J2662" i="37"/>
  <c r="J2663" i="37"/>
  <c r="J2664" i="37"/>
  <c r="J2665" i="37"/>
  <c r="J2666" i="37"/>
  <c r="J2667" i="37"/>
  <c r="J2668" i="37"/>
  <c r="J2669" i="37"/>
  <c r="J2670" i="37"/>
  <c r="J2671" i="37"/>
  <c r="J2672" i="37"/>
  <c r="J2673" i="37"/>
  <c r="J2674" i="37"/>
  <c r="J2675" i="37"/>
  <c r="J2676" i="37"/>
  <c r="J2677" i="37"/>
  <c r="J2678" i="37"/>
  <c r="J2679" i="37"/>
  <c r="J2680" i="37"/>
  <c r="J2681" i="37"/>
  <c r="J2682" i="37"/>
  <c r="J2683" i="37"/>
  <c r="J2684" i="37"/>
  <c r="J2685" i="37"/>
  <c r="J2686" i="37"/>
  <c r="J2687" i="37"/>
  <c r="J2688" i="37"/>
  <c r="J2689" i="37"/>
  <c r="J2690" i="37"/>
  <c r="J2691" i="37"/>
  <c r="J2692" i="37"/>
  <c r="J2693" i="37"/>
  <c r="J2694" i="37"/>
  <c r="J2695" i="37"/>
  <c r="J2696" i="37"/>
  <c r="J2697" i="37"/>
  <c r="J2698" i="37"/>
  <c r="J2699" i="37"/>
  <c r="J2700" i="37"/>
  <c r="J2701" i="37"/>
  <c r="J2702" i="37"/>
  <c r="J2703" i="37"/>
  <c r="J2704" i="37"/>
  <c r="J2705" i="37"/>
  <c r="J2706" i="37"/>
  <c r="J2707" i="37"/>
  <c r="J2708" i="37"/>
  <c r="J2709" i="37"/>
  <c r="J2710" i="37"/>
  <c r="J2711" i="37"/>
  <c r="J2712" i="37"/>
  <c r="J2713" i="37"/>
  <c r="J2714" i="37"/>
  <c r="J2715" i="37"/>
  <c r="J2716" i="37"/>
  <c r="J2717" i="37"/>
  <c r="J2718" i="37"/>
  <c r="J2719" i="37"/>
  <c r="J2720" i="37"/>
  <c r="J2721" i="37"/>
  <c r="J2722" i="37"/>
  <c r="J2723" i="37"/>
  <c r="J2724" i="37"/>
  <c r="J2725" i="37"/>
  <c r="J2726" i="37"/>
  <c r="J2727" i="37"/>
  <c r="J2728" i="37"/>
  <c r="J2729" i="37"/>
  <c r="J2730" i="37"/>
  <c r="J2731" i="37"/>
  <c r="J2732" i="37"/>
  <c r="J2733" i="37"/>
  <c r="J2734" i="37"/>
  <c r="J2735" i="37"/>
  <c r="J2736" i="37"/>
  <c r="J2737" i="37"/>
  <c r="J2738" i="37"/>
  <c r="J2739" i="37"/>
  <c r="J2740" i="37"/>
  <c r="J2741" i="37"/>
  <c r="J2742" i="37"/>
  <c r="J2743" i="37"/>
  <c r="J2744" i="37"/>
  <c r="J2745" i="37"/>
  <c r="J2746" i="37"/>
  <c r="J2747" i="37"/>
  <c r="J2748" i="37"/>
  <c r="J2749" i="37"/>
  <c r="J2750" i="37"/>
  <c r="J2751" i="37"/>
  <c r="J2752" i="37"/>
  <c r="J2753" i="37"/>
  <c r="J2754" i="37"/>
  <c r="J2755" i="37"/>
  <c r="J2756" i="37"/>
  <c r="J2757" i="37"/>
  <c r="J2758" i="37"/>
  <c r="J2759" i="37"/>
  <c r="J2760" i="37"/>
  <c r="J2761" i="37"/>
  <c r="J2762" i="37"/>
  <c r="J2763" i="37"/>
  <c r="J2764" i="37"/>
  <c r="J2765" i="37"/>
  <c r="J2766" i="37"/>
  <c r="J2767" i="37"/>
  <c r="J2768" i="37"/>
  <c r="J2769" i="37"/>
  <c r="J2770" i="37"/>
  <c r="J2771" i="37"/>
  <c r="J2772" i="37"/>
  <c r="J2773" i="37"/>
  <c r="J2774" i="37"/>
  <c r="J2775" i="37"/>
  <c r="J2776" i="37"/>
  <c r="J2777" i="37"/>
  <c r="J2778" i="37"/>
  <c r="J2779" i="37"/>
  <c r="J2780" i="37"/>
  <c r="J2781" i="37"/>
  <c r="J2782" i="37"/>
  <c r="J2783" i="37"/>
  <c r="J2784" i="37"/>
  <c r="J2785" i="37"/>
  <c r="J2786" i="37"/>
  <c r="J2787" i="37"/>
  <c r="J2788" i="37"/>
  <c r="J2789" i="37"/>
  <c r="J2790" i="37"/>
  <c r="J2791" i="37"/>
  <c r="J2792" i="37"/>
  <c r="J2793" i="37"/>
  <c r="J2794" i="37"/>
  <c r="J2795" i="37"/>
  <c r="J2796" i="37"/>
  <c r="J2797" i="37"/>
  <c r="J2798" i="37"/>
  <c r="J2799" i="37"/>
  <c r="J2800" i="37"/>
  <c r="J2801" i="37"/>
  <c r="J2802" i="37"/>
  <c r="J2803" i="37"/>
  <c r="J2804" i="37"/>
  <c r="J2805" i="37"/>
  <c r="J2806" i="37"/>
  <c r="J2807" i="37"/>
  <c r="J2808" i="37"/>
  <c r="J2809" i="37"/>
  <c r="J2810" i="37"/>
  <c r="J2811" i="37"/>
  <c r="J2812" i="37"/>
  <c r="J2813" i="37"/>
  <c r="J2814" i="37"/>
  <c r="J2815" i="37"/>
  <c r="J2816" i="37"/>
  <c r="J2817" i="37"/>
  <c r="J2818" i="37"/>
  <c r="J2819" i="37"/>
  <c r="J2820" i="37"/>
  <c r="J2821" i="37"/>
  <c r="J2822" i="37"/>
  <c r="J2823" i="37"/>
  <c r="J2824" i="37"/>
  <c r="J2825" i="37"/>
  <c r="J2826" i="37"/>
  <c r="J2827" i="37"/>
  <c r="J2828" i="37"/>
  <c r="J2829" i="37"/>
  <c r="J2830" i="37"/>
  <c r="J2831" i="37"/>
  <c r="J2832" i="37"/>
  <c r="J2833" i="37"/>
  <c r="J2834" i="37"/>
  <c r="J2835" i="37"/>
  <c r="J2836" i="37"/>
  <c r="J2837" i="37"/>
  <c r="J2838" i="37"/>
  <c r="J2839" i="37"/>
  <c r="J2840" i="37"/>
  <c r="J2841" i="37"/>
  <c r="J2842" i="37"/>
  <c r="J2843" i="37"/>
  <c r="J2844" i="37"/>
  <c r="J2845" i="37"/>
  <c r="J2846" i="37"/>
  <c r="J2847" i="37"/>
  <c r="J2848" i="37"/>
  <c r="J2849" i="37"/>
  <c r="J2850" i="37"/>
  <c r="J2851" i="37"/>
  <c r="J2852" i="37"/>
  <c r="J2853" i="37"/>
  <c r="J2854" i="37"/>
  <c r="J2855" i="37"/>
  <c r="J2856" i="37"/>
  <c r="J2857" i="37"/>
  <c r="J2858" i="37"/>
  <c r="J2859" i="37"/>
  <c r="J2860" i="37"/>
  <c r="J2861" i="37"/>
  <c r="J2862" i="37"/>
  <c r="J2863" i="37"/>
  <c r="J2864" i="37"/>
  <c r="J2865" i="37"/>
  <c r="J2866" i="37"/>
  <c r="J2867" i="37"/>
  <c r="J2868" i="37"/>
  <c r="J2869" i="37"/>
  <c r="J2870" i="37"/>
  <c r="J2871" i="37"/>
  <c r="J2872" i="37"/>
  <c r="J2873" i="37"/>
  <c r="J2874" i="37"/>
  <c r="J2875" i="37"/>
  <c r="J2876" i="37"/>
  <c r="J2877" i="37"/>
  <c r="J2878" i="37"/>
  <c r="J2879" i="37"/>
  <c r="J2880" i="37"/>
  <c r="J2881" i="37"/>
  <c r="J2882" i="37"/>
  <c r="J2883" i="37"/>
  <c r="J2884" i="37"/>
  <c r="J2885" i="37"/>
  <c r="J2886" i="37"/>
  <c r="J2887" i="37"/>
  <c r="J2888" i="37"/>
  <c r="J2889" i="37"/>
  <c r="J2890" i="37"/>
  <c r="J2891" i="37"/>
  <c r="J2892" i="37"/>
  <c r="J2893" i="37"/>
  <c r="J2894" i="37"/>
  <c r="J2895" i="37"/>
  <c r="J2896" i="37"/>
  <c r="J2897" i="37"/>
  <c r="J2898" i="37"/>
  <c r="J2899" i="37"/>
  <c r="J2900" i="37"/>
  <c r="J2901" i="37"/>
  <c r="J2902" i="37"/>
  <c r="J2903" i="37"/>
  <c r="J2904" i="37"/>
  <c r="J2905" i="37"/>
  <c r="J2906" i="37"/>
  <c r="J2907" i="37"/>
  <c r="J2908" i="37"/>
  <c r="J2909" i="37"/>
  <c r="J2910" i="37"/>
  <c r="J2911" i="37"/>
  <c r="J2912" i="37"/>
  <c r="J2913" i="37"/>
  <c r="J2914" i="37"/>
  <c r="J2915" i="37"/>
  <c r="J2916" i="37"/>
  <c r="J2917" i="37"/>
  <c r="J2918" i="37"/>
  <c r="J2919" i="37"/>
  <c r="J2920" i="37"/>
  <c r="J2921" i="37"/>
  <c r="J2922" i="37"/>
  <c r="J2923" i="37"/>
  <c r="J2924" i="37"/>
  <c r="J2925" i="37"/>
  <c r="J2926" i="37"/>
  <c r="J2927" i="37"/>
  <c r="J2928" i="37"/>
  <c r="J2929" i="37"/>
  <c r="J2930" i="37"/>
  <c r="J2931" i="37"/>
  <c r="J2932" i="37"/>
  <c r="J2933" i="37"/>
  <c r="J2934" i="37"/>
  <c r="J2935" i="37"/>
  <c r="J2936" i="37"/>
  <c r="J2937" i="37"/>
  <c r="J2938" i="37"/>
  <c r="J2939" i="37"/>
  <c r="J2940" i="37"/>
  <c r="J2941" i="37"/>
  <c r="J2942" i="37"/>
  <c r="J2943" i="37"/>
  <c r="J2944" i="37"/>
  <c r="J2945" i="37"/>
  <c r="J2946" i="37"/>
  <c r="J2947" i="37"/>
  <c r="J2948" i="37"/>
  <c r="J2949" i="37"/>
  <c r="J2950" i="37"/>
  <c r="J2951" i="37"/>
  <c r="J2952" i="37"/>
  <c r="J2953" i="37"/>
  <c r="J2954" i="37"/>
  <c r="J2955" i="37"/>
  <c r="J2956" i="37"/>
  <c r="J2957" i="37"/>
  <c r="J2958" i="37"/>
  <c r="J2959" i="37"/>
  <c r="J2960" i="37"/>
  <c r="J2961" i="37"/>
  <c r="J2962" i="37"/>
  <c r="J2963" i="37"/>
  <c r="J2964" i="37"/>
  <c r="J2965" i="37"/>
  <c r="J2966" i="37"/>
  <c r="J2967" i="37"/>
  <c r="J2968" i="37"/>
  <c r="J2969" i="37"/>
  <c r="J2970" i="37"/>
  <c r="J2971" i="37"/>
  <c r="J2972" i="37"/>
  <c r="J2973" i="37"/>
  <c r="J2974" i="37"/>
  <c r="J2975" i="37"/>
  <c r="J2976" i="37"/>
  <c r="J2977" i="37"/>
  <c r="J2978" i="37"/>
  <c r="J2979" i="37"/>
  <c r="J2980" i="37"/>
  <c r="J2981" i="37"/>
  <c r="J2982" i="37"/>
  <c r="J2983" i="37"/>
  <c r="J2984" i="37"/>
  <c r="J2985" i="37"/>
  <c r="J2986" i="37"/>
  <c r="J2987" i="37"/>
  <c r="J2988" i="37"/>
  <c r="J2989" i="37"/>
  <c r="J2990" i="37"/>
  <c r="J2991" i="37"/>
  <c r="J2992" i="37"/>
  <c r="J2993" i="37"/>
  <c r="J2994" i="37"/>
  <c r="J2995" i="37"/>
  <c r="J2996" i="37"/>
  <c r="J2997" i="37"/>
  <c r="J2998" i="37"/>
  <c r="J2999" i="37"/>
  <c r="J3000" i="37"/>
  <c r="J3001" i="37"/>
  <c r="J3002" i="37"/>
  <c r="J3003" i="37"/>
  <c r="J3004" i="37"/>
  <c r="J3005" i="37"/>
  <c r="J3006" i="37"/>
  <c r="J3007" i="37"/>
  <c r="J3008" i="37"/>
  <c r="J3009" i="37"/>
  <c r="J3010" i="37"/>
  <c r="J3011" i="37"/>
  <c r="J3012" i="37"/>
  <c r="J3013" i="37"/>
  <c r="J3014" i="37"/>
  <c r="J3015" i="37"/>
  <c r="J3016" i="37"/>
  <c r="J3017" i="37"/>
  <c r="J3018" i="37"/>
  <c r="J3019" i="37"/>
  <c r="J3020" i="37"/>
  <c r="J3021" i="37"/>
  <c r="J3022" i="37"/>
  <c r="J3023" i="37"/>
  <c r="J3024" i="37"/>
  <c r="J3025" i="37"/>
  <c r="J3026" i="37"/>
  <c r="J3027" i="37"/>
  <c r="J3028" i="37"/>
  <c r="J3029" i="37"/>
  <c r="J3030" i="37"/>
  <c r="J3031" i="37"/>
  <c r="J3032" i="37"/>
  <c r="J3033" i="37"/>
  <c r="J3034" i="37"/>
  <c r="J3035" i="37"/>
  <c r="J3036" i="37"/>
  <c r="J3037" i="37"/>
  <c r="J3038" i="37"/>
  <c r="J3039" i="37"/>
  <c r="J3040" i="37"/>
  <c r="J3041" i="37"/>
  <c r="J3042" i="37"/>
  <c r="J3043" i="37"/>
  <c r="J3044" i="37"/>
  <c r="J3045" i="37"/>
  <c r="J3046" i="37"/>
  <c r="J3047" i="37"/>
  <c r="J3048" i="37"/>
  <c r="J3049" i="37"/>
  <c r="J3050" i="37"/>
  <c r="J3051" i="37"/>
  <c r="J3052" i="37"/>
  <c r="J3053" i="37"/>
  <c r="J3054" i="37"/>
  <c r="J3055" i="37"/>
  <c r="J3056" i="37"/>
  <c r="J3057" i="37"/>
  <c r="J3058" i="37"/>
  <c r="J3059" i="37"/>
  <c r="J3060" i="37"/>
  <c r="J3061" i="37"/>
  <c r="J3062" i="37"/>
  <c r="J3063" i="37"/>
  <c r="J3064" i="37"/>
  <c r="J3065" i="37"/>
  <c r="J3066" i="37"/>
  <c r="J3067" i="37"/>
  <c r="J3068" i="37"/>
  <c r="J3069" i="37"/>
  <c r="J3070" i="37"/>
  <c r="J3071" i="37"/>
  <c r="J3072" i="37"/>
  <c r="J3073" i="37"/>
  <c r="J3074" i="37"/>
  <c r="J3075" i="37"/>
  <c r="J3076" i="37"/>
  <c r="J3077" i="37"/>
  <c r="J3078" i="37"/>
  <c r="J3079" i="37"/>
  <c r="J3080" i="37"/>
  <c r="J3081" i="37"/>
  <c r="J3082" i="37"/>
  <c r="J3083" i="37"/>
  <c r="J3084" i="37"/>
  <c r="J3085" i="37"/>
  <c r="J3086" i="37"/>
  <c r="J3087" i="37"/>
  <c r="J3088" i="37"/>
  <c r="J3089" i="37"/>
  <c r="J3090" i="37"/>
  <c r="J3091" i="37"/>
  <c r="J3092" i="37"/>
  <c r="J3093" i="37"/>
  <c r="J3094" i="37"/>
  <c r="J3095" i="37"/>
  <c r="J3096" i="37"/>
  <c r="J3097" i="37"/>
  <c r="J3098" i="37"/>
  <c r="J3099" i="37"/>
  <c r="J3100" i="37"/>
  <c r="J3101" i="37"/>
  <c r="J3102" i="37"/>
  <c r="J3103" i="37"/>
  <c r="J3104" i="37"/>
  <c r="J3105" i="37"/>
  <c r="J3106" i="37"/>
  <c r="J3107" i="37"/>
  <c r="J3108" i="37"/>
  <c r="J3109" i="37"/>
  <c r="J3110" i="37"/>
  <c r="J3111" i="37"/>
  <c r="J3112" i="37"/>
  <c r="J3113" i="37"/>
  <c r="J3114" i="37"/>
  <c r="J3115" i="37"/>
  <c r="J3116" i="37"/>
  <c r="J3117" i="37"/>
  <c r="J3118" i="37"/>
  <c r="J3119" i="37"/>
  <c r="J3120" i="37"/>
  <c r="J3121" i="37"/>
  <c r="J3122" i="37"/>
  <c r="J3123" i="37"/>
  <c r="J3124" i="37"/>
  <c r="J3125" i="37"/>
  <c r="J3126" i="37"/>
  <c r="J3127" i="37"/>
  <c r="J3128" i="37"/>
  <c r="J3129" i="37"/>
  <c r="J3130" i="37"/>
  <c r="J3131" i="37"/>
  <c r="J3132" i="37"/>
  <c r="J3133" i="37"/>
  <c r="J3134" i="37"/>
  <c r="J3135" i="37"/>
  <c r="J3136" i="37"/>
  <c r="J3137" i="37"/>
  <c r="J3138" i="37"/>
  <c r="J3139" i="37"/>
  <c r="J3140" i="37"/>
  <c r="J3141" i="37"/>
  <c r="J3142" i="37"/>
  <c r="J3143" i="37"/>
  <c r="J3144" i="37"/>
  <c r="J3145" i="37"/>
  <c r="J3146" i="37"/>
  <c r="J3147" i="37"/>
  <c r="J3148" i="37"/>
  <c r="J3149" i="37"/>
  <c r="J3150" i="37"/>
  <c r="J3151" i="37"/>
  <c r="J3152" i="37"/>
  <c r="J3153" i="37"/>
  <c r="J3154" i="37"/>
  <c r="J3155" i="37"/>
  <c r="J3156" i="37"/>
  <c r="J3157" i="37"/>
  <c r="J3158" i="37"/>
  <c r="J3159" i="37"/>
  <c r="J3160" i="37"/>
  <c r="J3161" i="37"/>
  <c r="J3162" i="37"/>
  <c r="J3163" i="37"/>
  <c r="J3164" i="37"/>
  <c r="J3165" i="37"/>
  <c r="J3166" i="37"/>
  <c r="J3167" i="37"/>
  <c r="J3168" i="37"/>
  <c r="J3169" i="37"/>
  <c r="J3170" i="37"/>
  <c r="J3171" i="37"/>
  <c r="J3172" i="37"/>
  <c r="J3173" i="37"/>
  <c r="J3174" i="37"/>
  <c r="J3175" i="37"/>
  <c r="J3176" i="37"/>
  <c r="J3177" i="37"/>
  <c r="J3178" i="37"/>
  <c r="J3179" i="37"/>
  <c r="J3180" i="37"/>
  <c r="J3181" i="37"/>
  <c r="J3182" i="37"/>
  <c r="J3183" i="37"/>
  <c r="J3184" i="37"/>
  <c r="J3185" i="37"/>
  <c r="J3186" i="37"/>
  <c r="J3187" i="37"/>
  <c r="J3188" i="37"/>
  <c r="J3189" i="37"/>
  <c r="J3190" i="37"/>
  <c r="J3191" i="37"/>
  <c r="J3192" i="37"/>
  <c r="J3193" i="37"/>
  <c r="J3194" i="37"/>
  <c r="J3195" i="37"/>
  <c r="J3196" i="37"/>
  <c r="J3197" i="37"/>
  <c r="J3198" i="37"/>
  <c r="J3199" i="37"/>
  <c r="J3200" i="37"/>
  <c r="J3201" i="37"/>
  <c r="J3202" i="37"/>
  <c r="J3203" i="37"/>
  <c r="J3204" i="37"/>
  <c r="J3205" i="37"/>
  <c r="J3206" i="37"/>
  <c r="J3207" i="37"/>
  <c r="J3208" i="37"/>
  <c r="J3209" i="37"/>
  <c r="J3210" i="37"/>
  <c r="J3211" i="37"/>
  <c r="J3212" i="37"/>
  <c r="J3213" i="37"/>
  <c r="J3214" i="37"/>
  <c r="J3215" i="37"/>
  <c r="J3216" i="37"/>
  <c r="J3217" i="37"/>
  <c r="J3218" i="37"/>
  <c r="J3219" i="37"/>
  <c r="J3220" i="37"/>
  <c r="J3221" i="37"/>
  <c r="J3222" i="37"/>
  <c r="J3223" i="37"/>
  <c r="J3224" i="37"/>
  <c r="J3225" i="37"/>
  <c r="J3226" i="37"/>
  <c r="J3227" i="37"/>
  <c r="J3228" i="37"/>
  <c r="J3229" i="37"/>
  <c r="J3230" i="37"/>
  <c r="J3231" i="37"/>
  <c r="J3232" i="37"/>
  <c r="J3233" i="37"/>
  <c r="J3234" i="37"/>
  <c r="J3235" i="37"/>
  <c r="J3236" i="37"/>
  <c r="J3237" i="37"/>
  <c r="J3238" i="37"/>
  <c r="J3239" i="37"/>
  <c r="J3240" i="37"/>
  <c r="J3241" i="37"/>
  <c r="J3242" i="37"/>
  <c r="J3243" i="37"/>
  <c r="J3244" i="37"/>
  <c r="J3245" i="37"/>
  <c r="J3246" i="37"/>
  <c r="J3247" i="37"/>
  <c r="J3248" i="37"/>
  <c r="J3249" i="37"/>
  <c r="J3250" i="37"/>
  <c r="J3251" i="37"/>
  <c r="J3252" i="37"/>
  <c r="J3253" i="37"/>
  <c r="J3254" i="37"/>
  <c r="J3255" i="37"/>
  <c r="J3256" i="37"/>
  <c r="J3257" i="37"/>
  <c r="J3258" i="37"/>
  <c r="J3259" i="37"/>
  <c r="J3260" i="37"/>
  <c r="J3261" i="37"/>
  <c r="J3262" i="37"/>
  <c r="J3263" i="37"/>
  <c r="J3264" i="37"/>
  <c r="J3265" i="37"/>
  <c r="J3266" i="37"/>
  <c r="J3267" i="37"/>
  <c r="J3268" i="37"/>
  <c r="J3269" i="37"/>
  <c r="J3270" i="37"/>
  <c r="J3271" i="37"/>
  <c r="J3272" i="37"/>
  <c r="J3273" i="37"/>
  <c r="J3274" i="37"/>
  <c r="J3275" i="37"/>
  <c r="J3276" i="37"/>
  <c r="J3277" i="37"/>
  <c r="J3278" i="37"/>
  <c r="J3279" i="37"/>
  <c r="J3280" i="37"/>
  <c r="J3281" i="37"/>
  <c r="J3282" i="37"/>
  <c r="J3283" i="37"/>
  <c r="J3284" i="37"/>
  <c r="J3285" i="37"/>
  <c r="J3286" i="37"/>
  <c r="J3287" i="37"/>
  <c r="J3288" i="37"/>
  <c r="J3289" i="37"/>
  <c r="J3290" i="37"/>
  <c r="J3291" i="37"/>
  <c r="J3292" i="37"/>
  <c r="J3293" i="37"/>
  <c r="J3294" i="37"/>
  <c r="J3295" i="37"/>
  <c r="J3296" i="37"/>
  <c r="J3297" i="37"/>
  <c r="J3298" i="37"/>
  <c r="J3299" i="37"/>
  <c r="J3300" i="37"/>
  <c r="J3301" i="37"/>
  <c r="J3302" i="37"/>
  <c r="J3303" i="37"/>
  <c r="J3304" i="37"/>
  <c r="J3305" i="37"/>
  <c r="J3306" i="37"/>
  <c r="J3307" i="37"/>
  <c r="J3308" i="37"/>
  <c r="J3309" i="37"/>
  <c r="J3310" i="37"/>
  <c r="J3311" i="37"/>
  <c r="J3312" i="37"/>
  <c r="J3313" i="37"/>
  <c r="J3314" i="37"/>
  <c r="J3315" i="37"/>
  <c r="J3316" i="37"/>
  <c r="J3317" i="37"/>
  <c r="J3318" i="37"/>
  <c r="J3319" i="37"/>
  <c r="J3320" i="37"/>
  <c r="J3321" i="37"/>
  <c r="J3322" i="37"/>
  <c r="J3323" i="37"/>
  <c r="J3324" i="37"/>
  <c r="J3325" i="37"/>
  <c r="J3326" i="37"/>
  <c r="J3327" i="37"/>
  <c r="J3328" i="37"/>
  <c r="J3329" i="37"/>
  <c r="J3330" i="37"/>
  <c r="J3331" i="37"/>
  <c r="J3332" i="37"/>
  <c r="J3333" i="37"/>
  <c r="J3334" i="37"/>
  <c r="J3335" i="37"/>
  <c r="J3336" i="37"/>
  <c r="J3337" i="37"/>
  <c r="J3338" i="37"/>
  <c r="J3339" i="37"/>
  <c r="J3340" i="37"/>
  <c r="J3341" i="37"/>
  <c r="J3342" i="37"/>
  <c r="J3343" i="37"/>
  <c r="J3344" i="37"/>
  <c r="J3345" i="37"/>
  <c r="J3346" i="37"/>
  <c r="J3347" i="37"/>
  <c r="J3348" i="37"/>
  <c r="J3349" i="37"/>
  <c r="J3350" i="37"/>
  <c r="J3351" i="37"/>
  <c r="J3352" i="37"/>
  <c r="J3353" i="37"/>
  <c r="J3354" i="37"/>
  <c r="J3355" i="37"/>
  <c r="J3356" i="37"/>
  <c r="J3357" i="37"/>
  <c r="J3358" i="37"/>
  <c r="J3359" i="37"/>
  <c r="J3360" i="37"/>
  <c r="J3361" i="37"/>
  <c r="J3362" i="37"/>
  <c r="J3363" i="37"/>
  <c r="J3364" i="37"/>
  <c r="J3365" i="37"/>
  <c r="J3366" i="37"/>
  <c r="J3367" i="37"/>
  <c r="J3368" i="37"/>
  <c r="J3369" i="37"/>
  <c r="J3370" i="37"/>
  <c r="J3371" i="37"/>
  <c r="J3372" i="37"/>
  <c r="J3373" i="37"/>
  <c r="J3374" i="37"/>
  <c r="J3375" i="37"/>
  <c r="J3376" i="37"/>
  <c r="J3377" i="37"/>
  <c r="J3378" i="37"/>
  <c r="J3379" i="37"/>
  <c r="J3380" i="37"/>
  <c r="J3381" i="37"/>
  <c r="J3382" i="37"/>
  <c r="J3383" i="37"/>
  <c r="J3384" i="37"/>
  <c r="J3385" i="37"/>
  <c r="J3386" i="37"/>
  <c r="J3387" i="37"/>
  <c r="J3388" i="37"/>
  <c r="J3389" i="37"/>
  <c r="J3390" i="37"/>
  <c r="J3391" i="37"/>
  <c r="J3392" i="37"/>
  <c r="J3393" i="37"/>
  <c r="J3394" i="37"/>
  <c r="J3395" i="37"/>
  <c r="J3396" i="37"/>
  <c r="J3397" i="37"/>
  <c r="J3398" i="37"/>
  <c r="J3399" i="37"/>
  <c r="J3400" i="37"/>
  <c r="J3401" i="37"/>
  <c r="J3402" i="37"/>
  <c r="J3403" i="37"/>
  <c r="J3404" i="37"/>
  <c r="J3405" i="37"/>
  <c r="J3406" i="37"/>
  <c r="J3407" i="37"/>
  <c r="J3408" i="37"/>
  <c r="J3409" i="37"/>
  <c r="J3410" i="37"/>
  <c r="J3411" i="37"/>
  <c r="J3412" i="37"/>
  <c r="J3413" i="37"/>
  <c r="J3414" i="37"/>
  <c r="J3415" i="37"/>
  <c r="J3416" i="37"/>
  <c r="J3417" i="37"/>
  <c r="J3418" i="37"/>
  <c r="J3419" i="37"/>
  <c r="J3420" i="37"/>
  <c r="J3421" i="37"/>
  <c r="J3422" i="37"/>
  <c r="J3423" i="37"/>
  <c r="J3424" i="37"/>
  <c r="J3425" i="37"/>
  <c r="J3426" i="37"/>
  <c r="J3427" i="37"/>
  <c r="J3428" i="37"/>
  <c r="J3429" i="37"/>
  <c r="J3430" i="37"/>
  <c r="J3431" i="37"/>
  <c r="J3432" i="37"/>
  <c r="J3433" i="37"/>
  <c r="J3434" i="37"/>
  <c r="J3435" i="37"/>
  <c r="J3436" i="37"/>
  <c r="J3437" i="37"/>
  <c r="J3438" i="37"/>
  <c r="J3439" i="37"/>
  <c r="J3440" i="37"/>
  <c r="J3441" i="37"/>
  <c r="J3442" i="37"/>
  <c r="J3443" i="37"/>
  <c r="J3444" i="37"/>
  <c r="J3445" i="37"/>
  <c r="J3446" i="37"/>
  <c r="J3447" i="37"/>
  <c r="J3448" i="37"/>
  <c r="J3449" i="37"/>
  <c r="J3450" i="37"/>
  <c r="J3451" i="37"/>
  <c r="J3452" i="37"/>
  <c r="J3453" i="37"/>
  <c r="J3454" i="37"/>
  <c r="J3455" i="37"/>
  <c r="J3456" i="37"/>
  <c r="J3457" i="37"/>
  <c r="J3458" i="37"/>
  <c r="J3459" i="37"/>
  <c r="J3460" i="37"/>
  <c r="J3461" i="37"/>
  <c r="J3462" i="37"/>
  <c r="J3463" i="37"/>
  <c r="J3464" i="37"/>
  <c r="J3465" i="37"/>
  <c r="J3466" i="37"/>
  <c r="J3467" i="37"/>
  <c r="J3468" i="37"/>
  <c r="J3469" i="37"/>
  <c r="J3470" i="37"/>
  <c r="J3471" i="37"/>
  <c r="J3472" i="37"/>
  <c r="J3473" i="37"/>
  <c r="J3474" i="37"/>
  <c r="J3475" i="37"/>
  <c r="J3476" i="37"/>
  <c r="J3477" i="37"/>
  <c r="J3478" i="37"/>
  <c r="J3479" i="37"/>
  <c r="J3480" i="37"/>
  <c r="J3481" i="37"/>
  <c r="J3482" i="37"/>
  <c r="J3483" i="37"/>
  <c r="J3484" i="37"/>
  <c r="J3485" i="37"/>
  <c r="J3486" i="37"/>
  <c r="J3487" i="37"/>
  <c r="J3488" i="37"/>
  <c r="J3489" i="37"/>
  <c r="J3490" i="37"/>
  <c r="J3491" i="37"/>
  <c r="J3492" i="37"/>
  <c r="J3493" i="37"/>
  <c r="J3494" i="37"/>
  <c r="J3495" i="37"/>
  <c r="J3496" i="37"/>
  <c r="J3497" i="37"/>
  <c r="J3498" i="37"/>
  <c r="J3499" i="37"/>
  <c r="J3500" i="37"/>
  <c r="J3501" i="37"/>
  <c r="J3502" i="37"/>
  <c r="J3503" i="37"/>
  <c r="J3504" i="37"/>
  <c r="J3505" i="37"/>
  <c r="J3506" i="37"/>
  <c r="J3507" i="37"/>
  <c r="J3508" i="37"/>
  <c r="J3509" i="37"/>
  <c r="J3510" i="37"/>
  <c r="J3511" i="37"/>
  <c r="J3512" i="37"/>
  <c r="J3513" i="37"/>
  <c r="J3514" i="37"/>
  <c r="J3515" i="37"/>
  <c r="J3516" i="37"/>
  <c r="J3517" i="37"/>
  <c r="J3518" i="37"/>
  <c r="J3519" i="37"/>
  <c r="J3520" i="37"/>
  <c r="J3521" i="37"/>
  <c r="J3522" i="37"/>
  <c r="J3523" i="37"/>
  <c r="J3524" i="37"/>
  <c r="J3525" i="37"/>
  <c r="J3526" i="37"/>
  <c r="J3527" i="37"/>
  <c r="J3528" i="37"/>
  <c r="J3529" i="37"/>
  <c r="J3530" i="37"/>
  <c r="J3531" i="37"/>
  <c r="J3532" i="37"/>
  <c r="J3533" i="37"/>
  <c r="J3534" i="37"/>
  <c r="J3535" i="37"/>
  <c r="J3536" i="37"/>
  <c r="J3537" i="37"/>
  <c r="J3538" i="37"/>
  <c r="J3539" i="37"/>
  <c r="J3540" i="37"/>
  <c r="J3541" i="37"/>
  <c r="J3542" i="37"/>
  <c r="J3543" i="37"/>
  <c r="J3544" i="37"/>
  <c r="J3545" i="37"/>
  <c r="J3546" i="37"/>
  <c r="J3547" i="37"/>
  <c r="J3548" i="37"/>
  <c r="J3549" i="37"/>
  <c r="J3550" i="37"/>
  <c r="J3551" i="37"/>
  <c r="J3552" i="37"/>
  <c r="J3553" i="37"/>
  <c r="J3554" i="37"/>
  <c r="J3555" i="37"/>
  <c r="J3556" i="37"/>
  <c r="J3557" i="37"/>
  <c r="J3558" i="37"/>
  <c r="J3559" i="37"/>
  <c r="J3560" i="37"/>
  <c r="J3561" i="37"/>
  <c r="J3562" i="37"/>
  <c r="J3563" i="37"/>
  <c r="J3564" i="37"/>
  <c r="J3565" i="37"/>
  <c r="J3566" i="37"/>
  <c r="J3567" i="37"/>
  <c r="J3568" i="37"/>
  <c r="J3569" i="37"/>
  <c r="J3570" i="37"/>
  <c r="J3571" i="37"/>
  <c r="J3572" i="37"/>
  <c r="J3573" i="37"/>
  <c r="J3574" i="37"/>
  <c r="J3575" i="37"/>
  <c r="J3576" i="37"/>
  <c r="J3577" i="37"/>
  <c r="J3578" i="37"/>
  <c r="J3579" i="37"/>
  <c r="J3580" i="37"/>
  <c r="J3581" i="37"/>
  <c r="J3582" i="37"/>
  <c r="J3583" i="37"/>
  <c r="J3584" i="37"/>
  <c r="J3585" i="37"/>
  <c r="J3586" i="37"/>
  <c r="J3587" i="37"/>
  <c r="J3588" i="37"/>
  <c r="J3589" i="37"/>
  <c r="J3590" i="37"/>
  <c r="J3591" i="37"/>
  <c r="J3592" i="37"/>
  <c r="J3593" i="37"/>
  <c r="J3594" i="37"/>
  <c r="J3595" i="37"/>
  <c r="J3596" i="37"/>
  <c r="J3597" i="37"/>
  <c r="J3598" i="37"/>
  <c r="J3599" i="37"/>
  <c r="J3600" i="37"/>
  <c r="J3601" i="37"/>
  <c r="J3602" i="37"/>
  <c r="J3603" i="37"/>
  <c r="J3604" i="37"/>
  <c r="J3605" i="37"/>
  <c r="J3606" i="37"/>
  <c r="J3607" i="37"/>
  <c r="J3608" i="37"/>
  <c r="J3609" i="37"/>
  <c r="J3610" i="37"/>
  <c r="J3611" i="37"/>
  <c r="J3612" i="37"/>
  <c r="J3613" i="37"/>
  <c r="J3614" i="37"/>
  <c r="J3615" i="37"/>
  <c r="J3616" i="37"/>
  <c r="J3617" i="37"/>
  <c r="J3618" i="37"/>
  <c r="J3619" i="37"/>
  <c r="J3620" i="37"/>
  <c r="J3621" i="37"/>
  <c r="J3622" i="37"/>
  <c r="J3623" i="37"/>
  <c r="J3624" i="37"/>
  <c r="J3625" i="37"/>
  <c r="J3626" i="37"/>
  <c r="J3627" i="37"/>
  <c r="J3628" i="37"/>
  <c r="J3629" i="37"/>
  <c r="J3630" i="37"/>
  <c r="J3631" i="37"/>
  <c r="J3632" i="37"/>
  <c r="J3633" i="37"/>
  <c r="J3634" i="37"/>
  <c r="J3635" i="37"/>
  <c r="J3636" i="37"/>
  <c r="J3637" i="37"/>
  <c r="J3638" i="37"/>
  <c r="J3639" i="37"/>
  <c r="J3640" i="37"/>
  <c r="J3641" i="37"/>
  <c r="J3642" i="37"/>
  <c r="J3643" i="37"/>
  <c r="J3644" i="37"/>
  <c r="J3645" i="37"/>
  <c r="J3646" i="37"/>
  <c r="J3647" i="37"/>
  <c r="J3648" i="37"/>
  <c r="J3649" i="37"/>
  <c r="J3650" i="37"/>
  <c r="J3651" i="37"/>
  <c r="J3652" i="37"/>
  <c r="J3653" i="37"/>
  <c r="J3654" i="37"/>
  <c r="J3655" i="37"/>
  <c r="J3656" i="37"/>
  <c r="J3657" i="37"/>
  <c r="J3658" i="37"/>
  <c r="J3659" i="37"/>
  <c r="J3660" i="37"/>
  <c r="J3661" i="37"/>
  <c r="J3662" i="37"/>
  <c r="J3663" i="37"/>
  <c r="J3664" i="37"/>
  <c r="J3665" i="37"/>
  <c r="J3666" i="37"/>
  <c r="J3667" i="37"/>
  <c r="J3668" i="37"/>
  <c r="J3669" i="37"/>
  <c r="J3670" i="37"/>
  <c r="J3671" i="37"/>
  <c r="J3672" i="37"/>
  <c r="J3673" i="37"/>
  <c r="J3674" i="37"/>
  <c r="J3675" i="37"/>
  <c r="J3676" i="37"/>
  <c r="J3677" i="37"/>
  <c r="J3678" i="37"/>
  <c r="J3679" i="37"/>
  <c r="J3680" i="37"/>
  <c r="J3681" i="37"/>
  <c r="J3682" i="37"/>
  <c r="J3683" i="37"/>
  <c r="J3684" i="37"/>
  <c r="J3685" i="37"/>
  <c r="J3686" i="37"/>
  <c r="J3687" i="37"/>
  <c r="J3688" i="37"/>
  <c r="J3689" i="37"/>
  <c r="J3690" i="37"/>
  <c r="J3691" i="37"/>
  <c r="J3692" i="37"/>
  <c r="J3693" i="37"/>
  <c r="J3694" i="37"/>
  <c r="J3695" i="37"/>
  <c r="J3696" i="37"/>
  <c r="J3697" i="37"/>
  <c r="J3698" i="37"/>
  <c r="J3699" i="37"/>
  <c r="J3700" i="37"/>
  <c r="J3701" i="37"/>
  <c r="J3702" i="37"/>
  <c r="J3703" i="37"/>
  <c r="J3704" i="37"/>
  <c r="J3705" i="37"/>
  <c r="J3706" i="37"/>
  <c r="J3707" i="37"/>
  <c r="J3708" i="37"/>
  <c r="J3709" i="37"/>
  <c r="J3710" i="37"/>
  <c r="J3711" i="37"/>
  <c r="J3712" i="37"/>
  <c r="J3713" i="37"/>
  <c r="J3714" i="37"/>
  <c r="J3715" i="37"/>
  <c r="J3716" i="37"/>
  <c r="J3717" i="37"/>
  <c r="J3718" i="37"/>
  <c r="J3719" i="37"/>
  <c r="J3720" i="37"/>
  <c r="J3721" i="37"/>
  <c r="J3722" i="37"/>
  <c r="J3723" i="37"/>
  <c r="J3724" i="37"/>
  <c r="J3725" i="37"/>
  <c r="J3726" i="37"/>
  <c r="J3727" i="37"/>
  <c r="J3728" i="37"/>
  <c r="J3729" i="37"/>
  <c r="J3730" i="37"/>
  <c r="J3731" i="37"/>
  <c r="J3732" i="37"/>
  <c r="J3733" i="37"/>
  <c r="J3734" i="37"/>
  <c r="J3735" i="37"/>
  <c r="J3736" i="37"/>
  <c r="J3737" i="37"/>
  <c r="J3738" i="37"/>
  <c r="J3739" i="37"/>
  <c r="J3740" i="37"/>
  <c r="J3741" i="37"/>
  <c r="J3742" i="37"/>
  <c r="J3743" i="37"/>
  <c r="J3744" i="37"/>
  <c r="J3745" i="37"/>
  <c r="J3746" i="37"/>
  <c r="J3747" i="37"/>
  <c r="J3748" i="37"/>
  <c r="J3749" i="37"/>
  <c r="J3750" i="37"/>
  <c r="J3751" i="37"/>
  <c r="J3752" i="37"/>
  <c r="J3753" i="37"/>
  <c r="J3754" i="37"/>
  <c r="J3755" i="37"/>
  <c r="J3756" i="37"/>
  <c r="J3757" i="37"/>
  <c r="J3758" i="37"/>
  <c r="J3759" i="37"/>
  <c r="J3760" i="37"/>
  <c r="J3761" i="37"/>
  <c r="J3762" i="37"/>
  <c r="J3763" i="37"/>
  <c r="J3764" i="37"/>
  <c r="J3765" i="37"/>
  <c r="J3766" i="37"/>
  <c r="J3767" i="37"/>
  <c r="J3768" i="37"/>
  <c r="J3769" i="37"/>
  <c r="J3770" i="37"/>
  <c r="J3771" i="37"/>
  <c r="J3772" i="37"/>
  <c r="J3773" i="37"/>
  <c r="J3774" i="37"/>
  <c r="J3775" i="37"/>
  <c r="J3776" i="37"/>
  <c r="J3777" i="37"/>
  <c r="J3778" i="37"/>
  <c r="J3779" i="37"/>
  <c r="J3780" i="37"/>
  <c r="J3781" i="37"/>
  <c r="J3782" i="37"/>
  <c r="J3783" i="37"/>
  <c r="J3784" i="37"/>
  <c r="J3785" i="37"/>
  <c r="J3786" i="37"/>
  <c r="J3787" i="37"/>
  <c r="J3788" i="37"/>
  <c r="J3789" i="37"/>
  <c r="J3790" i="37"/>
  <c r="J3791" i="37"/>
  <c r="J3792" i="37"/>
  <c r="J3793" i="37"/>
  <c r="J3794" i="37"/>
  <c r="J3795" i="37"/>
  <c r="J3796" i="37"/>
  <c r="J3797" i="37"/>
  <c r="J3798" i="37"/>
  <c r="J3799" i="37"/>
  <c r="J3800" i="37"/>
  <c r="J3801" i="37"/>
  <c r="J3802" i="37"/>
  <c r="J3803" i="37"/>
  <c r="J3804" i="37"/>
  <c r="J3805" i="37"/>
  <c r="J3806" i="37"/>
  <c r="J3807" i="37"/>
  <c r="J3808" i="37"/>
  <c r="J3809" i="37"/>
  <c r="J3810" i="37"/>
  <c r="J3811" i="37"/>
  <c r="J3812" i="37"/>
  <c r="J3813" i="37"/>
  <c r="J3814" i="37"/>
  <c r="J3815" i="37"/>
  <c r="J3816" i="37"/>
  <c r="J3817" i="37"/>
  <c r="J3818" i="37"/>
  <c r="J3819" i="37"/>
  <c r="J3820" i="37"/>
  <c r="J3821" i="37"/>
  <c r="J3822" i="37"/>
  <c r="J3823" i="37"/>
  <c r="J3824" i="37"/>
  <c r="J3825" i="37"/>
  <c r="J3826" i="37"/>
  <c r="J3827" i="37"/>
  <c r="J3828" i="37"/>
  <c r="J3829" i="37"/>
  <c r="J3830" i="37"/>
  <c r="J3831" i="37"/>
  <c r="J3832" i="37"/>
  <c r="J3833" i="37"/>
  <c r="J3834" i="37"/>
  <c r="J3835" i="37"/>
  <c r="J3836" i="37"/>
  <c r="J3837" i="37"/>
  <c r="J3838" i="37"/>
  <c r="J3839" i="37"/>
  <c r="J3840" i="37"/>
  <c r="J3841" i="37"/>
  <c r="J3842" i="37"/>
  <c r="J3843" i="37"/>
  <c r="J3844" i="37"/>
  <c r="J3845" i="37"/>
  <c r="J3846" i="37"/>
  <c r="J3847" i="37"/>
  <c r="J3848" i="37"/>
  <c r="J3849" i="37"/>
  <c r="J3850" i="37"/>
  <c r="J3851" i="37"/>
  <c r="J3852" i="37"/>
  <c r="J3853" i="37"/>
  <c r="J3854" i="37"/>
  <c r="J3855" i="37"/>
  <c r="J3856" i="37"/>
  <c r="J3857" i="37"/>
  <c r="J3858" i="37"/>
  <c r="J3859" i="37"/>
  <c r="J3860" i="37"/>
  <c r="J3861" i="37"/>
  <c r="J3862" i="37"/>
  <c r="J3863" i="37"/>
  <c r="J3864" i="37"/>
  <c r="J3865" i="37"/>
  <c r="J3866" i="37"/>
  <c r="J3867" i="37"/>
  <c r="J3868" i="37"/>
  <c r="J3869" i="37"/>
  <c r="J3870" i="37"/>
  <c r="J3871" i="37"/>
  <c r="J3872" i="37"/>
  <c r="J3873" i="37"/>
  <c r="J3874" i="37"/>
  <c r="J3875" i="37"/>
  <c r="J3876" i="37"/>
  <c r="J3877" i="37"/>
  <c r="J3878" i="37"/>
  <c r="J3879" i="37"/>
  <c r="J3880" i="37"/>
  <c r="J3881" i="37"/>
  <c r="J3882" i="37"/>
  <c r="J3883" i="37"/>
  <c r="J3884" i="37"/>
  <c r="J3885" i="37"/>
  <c r="J3886" i="37"/>
  <c r="J3887" i="37"/>
  <c r="J3888" i="37"/>
  <c r="J3889" i="37"/>
  <c r="J3890" i="37"/>
  <c r="J3891" i="37"/>
  <c r="J3892" i="37"/>
  <c r="J3893" i="37"/>
  <c r="J3894" i="37"/>
  <c r="J3895" i="37"/>
  <c r="J3896" i="37"/>
  <c r="J3897" i="37"/>
  <c r="J3898" i="37"/>
  <c r="J3899" i="37"/>
  <c r="J3900" i="37"/>
  <c r="J3901" i="37"/>
  <c r="J3902" i="37"/>
  <c r="J3903" i="37"/>
  <c r="J3904" i="37"/>
  <c r="J3905" i="37"/>
  <c r="J3906" i="37"/>
  <c r="J3907" i="37"/>
  <c r="J3908" i="37"/>
  <c r="J3909" i="37"/>
  <c r="J3910" i="37"/>
  <c r="J3911" i="37"/>
  <c r="J3912" i="37"/>
  <c r="J3913" i="37"/>
  <c r="J3914" i="37"/>
  <c r="J3915" i="37"/>
  <c r="J3916" i="37"/>
  <c r="J3917" i="37"/>
  <c r="J3918" i="37"/>
  <c r="J3919" i="37"/>
  <c r="J3920" i="37"/>
  <c r="J3921" i="37"/>
  <c r="J3922" i="37"/>
  <c r="J3923" i="37"/>
  <c r="J3924" i="37"/>
  <c r="J3925" i="37"/>
  <c r="J3926" i="37"/>
  <c r="J3927" i="37"/>
  <c r="J3928" i="37"/>
  <c r="J3929" i="37"/>
  <c r="J3930" i="37"/>
  <c r="J3931" i="37"/>
  <c r="J3932" i="37"/>
  <c r="J3933" i="37"/>
  <c r="J3934" i="37"/>
  <c r="J3935" i="37"/>
  <c r="J3936" i="37"/>
  <c r="J3937" i="37"/>
  <c r="J3938" i="37"/>
  <c r="J3939" i="37"/>
  <c r="J3940" i="37"/>
  <c r="J3941" i="37"/>
  <c r="J3942" i="37"/>
  <c r="J3943" i="37"/>
  <c r="J3944" i="37"/>
  <c r="J3945" i="37"/>
  <c r="J3946" i="37"/>
  <c r="J3947" i="37"/>
  <c r="J3948" i="37"/>
  <c r="J3949" i="37"/>
  <c r="J3950" i="37"/>
  <c r="J3951" i="37"/>
  <c r="J3952" i="37"/>
  <c r="J3953" i="37"/>
  <c r="J3954" i="37"/>
  <c r="J3955" i="37"/>
  <c r="J3956" i="37"/>
  <c r="J3957" i="37"/>
  <c r="J3958" i="37"/>
  <c r="J3959" i="37"/>
  <c r="J3960" i="37"/>
  <c r="J3961" i="37"/>
  <c r="J3962" i="37"/>
  <c r="J3963" i="37"/>
  <c r="J3964" i="37"/>
  <c r="J3965" i="37"/>
  <c r="J3966" i="37"/>
  <c r="J3967" i="37"/>
  <c r="J3968" i="37"/>
  <c r="J3969" i="37"/>
  <c r="J3970" i="37"/>
  <c r="J3971" i="37"/>
  <c r="J3972" i="37"/>
  <c r="J3973" i="37"/>
  <c r="J3974" i="37"/>
  <c r="J3975" i="37"/>
  <c r="J3976" i="37"/>
  <c r="J3977" i="37"/>
  <c r="J3978" i="37"/>
  <c r="J3979" i="37"/>
  <c r="J3980" i="37"/>
  <c r="J3981" i="37"/>
  <c r="J3982" i="37"/>
  <c r="J3983" i="37"/>
  <c r="J3984" i="37"/>
  <c r="J3985" i="37"/>
  <c r="J3986" i="37"/>
  <c r="J3987" i="37"/>
  <c r="J3988" i="37"/>
  <c r="J3989" i="37"/>
  <c r="J3990" i="37"/>
  <c r="J3991" i="37"/>
  <c r="J3992" i="37"/>
  <c r="J3993" i="37"/>
  <c r="J3994" i="37"/>
  <c r="J3995" i="37"/>
  <c r="J3996" i="37"/>
  <c r="J3997" i="37"/>
  <c r="J3998" i="37"/>
  <c r="J3999" i="37"/>
  <c r="J4000" i="37"/>
  <c r="J4001" i="37"/>
  <c r="J4002" i="37"/>
  <c r="J4003" i="37"/>
  <c r="J4004" i="37"/>
  <c r="J4005" i="37"/>
  <c r="J4006" i="37"/>
  <c r="J4007" i="37"/>
  <c r="J4008" i="37"/>
  <c r="J4009" i="37"/>
  <c r="J4010" i="37"/>
  <c r="J4011" i="37"/>
  <c r="J4012" i="37"/>
  <c r="J4013" i="37"/>
  <c r="J4014" i="37"/>
  <c r="J4015" i="37"/>
  <c r="J4016" i="37"/>
  <c r="J4017" i="37"/>
  <c r="J4018" i="37"/>
  <c r="J4019" i="37"/>
  <c r="J4020" i="37"/>
  <c r="J4021" i="37"/>
  <c r="J4022" i="37"/>
  <c r="J4023" i="37"/>
  <c r="J4024" i="37"/>
  <c r="J4025" i="37"/>
  <c r="J4026" i="37"/>
  <c r="J4027" i="37"/>
  <c r="J4028" i="37"/>
  <c r="J4029" i="37"/>
  <c r="J4030" i="37"/>
  <c r="J4031" i="37"/>
  <c r="J4032" i="37"/>
  <c r="J4033" i="37"/>
  <c r="J4034" i="37"/>
  <c r="J4035" i="37"/>
  <c r="J4036" i="37"/>
  <c r="J4037" i="37"/>
  <c r="J4038" i="37"/>
  <c r="J4039" i="37"/>
  <c r="J4040" i="37"/>
  <c r="J4041" i="37"/>
  <c r="J4042" i="37"/>
  <c r="J4043" i="37"/>
  <c r="J4044" i="37"/>
  <c r="J4045" i="37"/>
  <c r="J4046" i="37"/>
  <c r="J4047" i="37"/>
  <c r="J4048" i="37"/>
  <c r="J4049" i="37"/>
  <c r="J4050" i="37"/>
  <c r="J4051" i="37"/>
  <c r="J4052" i="37"/>
  <c r="J4053" i="37"/>
  <c r="J4054" i="37"/>
  <c r="J4055" i="37"/>
  <c r="J4056" i="37"/>
  <c r="J4057" i="37"/>
  <c r="J4058" i="37"/>
  <c r="J4059" i="37"/>
  <c r="J4060" i="37"/>
  <c r="J4061" i="37"/>
  <c r="J4062" i="37"/>
  <c r="J4063" i="37"/>
  <c r="J4064" i="37"/>
  <c r="J4065" i="37"/>
  <c r="J4066" i="37"/>
  <c r="J4067" i="37"/>
  <c r="J4068" i="37"/>
  <c r="J4069" i="37"/>
  <c r="J4070" i="37"/>
  <c r="J4071" i="37"/>
  <c r="J4072" i="37"/>
  <c r="J4073" i="37"/>
  <c r="J4074" i="37"/>
  <c r="J4075" i="37"/>
  <c r="J4076" i="37"/>
  <c r="J4077" i="37"/>
  <c r="J4078" i="37"/>
  <c r="J4079" i="37"/>
  <c r="J4080" i="37"/>
  <c r="J4081" i="37"/>
  <c r="J4082" i="37"/>
  <c r="J4083" i="37"/>
  <c r="J4084" i="37"/>
  <c r="J4085" i="37"/>
  <c r="J4086" i="37"/>
  <c r="J4087" i="37"/>
  <c r="J4088" i="37"/>
  <c r="J4089" i="37"/>
  <c r="J4090" i="37"/>
  <c r="J4091" i="37"/>
  <c r="J4092" i="37"/>
  <c r="J4093" i="37"/>
  <c r="J4094" i="37"/>
  <c r="J4095" i="37"/>
  <c r="J4096" i="37"/>
  <c r="J4097" i="37"/>
  <c r="J4098" i="37"/>
  <c r="J4099" i="37"/>
  <c r="J4100" i="37"/>
  <c r="J4101" i="37"/>
  <c r="J4102" i="37"/>
  <c r="J4103" i="37"/>
  <c r="J4104" i="37"/>
  <c r="J4105" i="37"/>
  <c r="J4106" i="37"/>
  <c r="J4107" i="37"/>
  <c r="J4108" i="37"/>
  <c r="J4109" i="37"/>
  <c r="J4110" i="37"/>
  <c r="J4111" i="37"/>
  <c r="J4112" i="37"/>
  <c r="J4113" i="37"/>
  <c r="J4114" i="37"/>
  <c r="J4115" i="37"/>
  <c r="J4116" i="37"/>
  <c r="J4117" i="37"/>
  <c r="J4118" i="37"/>
  <c r="J4119" i="37"/>
  <c r="J4120" i="37"/>
  <c r="J4121" i="37"/>
  <c r="J4122" i="37"/>
  <c r="J4123" i="37"/>
  <c r="J4124" i="37"/>
  <c r="J4125" i="37"/>
  <c r="J4126" i="37"/>
  <c r="J4127" i="37"/>
  <c r="J4128" i="37"/>
  <c r="J4129" i="37"/>
  <c r="J4130" i="37"/>
  <c r="J4131" i="37"/>
  <c r="J4132" i="37"/>
  <c r="J4133" i="37"/>
  <c r="J4134" i="37"/>
  <c r="J4135" i="37"/>
  <c r="J4136" i="37"/>
  <c r="J4137" i="37"/>
  <c r="J4138" i="37"/>
  <c r="J4139" i="37"/>
  <c r="J4140" i="37"/>
  <c r="J4141" i="37"/>
  <c r="J4142" i="37"/>
  <c r="J4143" i="37"/>
  <c r="J4144" i="37"/>
  <c r="J4145" i="37"/>
  <c r="J4146" i="37"/>
  <c r="J4147" i="37"/>
  <c r="J4148" i="37"/>
  <c r="J4149" i="37"/>
  <c r="J4150" i="37"/>
  <c r="J4151" i="37"/>
  <c r="J4152" i="37"/>
  <c r="J4153" i="37"/>
  <c r="J4154" i="37"/>
  <c r="J4155" i="37"/>
  <c r="J4156" i="37"/>
  <c r="J4157" i="37"/>
  <c r="J4158" i="37"/>
  <c r="J4159" i="37"/>
  <c r="J4160" i="37"/>
  <c r="J4161" i="37"/>
  <c r="J4162" i="37"/>
  <c r="J4163" i="37"/>
  <c r="J4164" i="37"/>
  <c r="J4165" i="37"/>
  <c r="J4166" i="37"/>
  <c r="J4167" i="37"/>
  <c r="J4168" i="37"/>
  <c r="J4169" i="37"/>
  <c r="J4170" i="37"/>
  <c r="J4171" i="37"/>
  <c r="J4172" i="37"/>
  <c r="J4173" i="37"/>
  <c r="J4174" i="37"/>
  <c r="J4175" i="37"/>
  <c r="J4176" i="37"/>
  <c r="J4177" i="37"/>
  <c r="J4178" i="37"/>
  <c r="J4179" i="37"/>
  <c r="J4180" i="37"/>
  <c r="J4181" i="37"/>
  <c r="J4182" i="37"/>
  <c r="J4183" i="37"/>
  <c r="J4184" i="37"/>
  <c r="J4185" i="37"/>
  <c r="J4186" i="37"/>
  <c r="J4187" i="37"/>
  <c r="J4188" i="37"/>
  <c r="J4189" i="37"/>
  <c r="J4190" i="37"/>
  <c r="J4191" i="37"/>
  <c r="J4192" i="37"/>
  <c r="J4193" i="37"/>
  <c r="J4194" i="37"/>
  <c r="J4195" i="37"/>
  <c r="J4196" i="37"/>
  <c r="J4197" i="37"/>
  <c r="J4198" i="37"/>
  <c r="J4199" i="37"/>
  <c r="J4200" i="37"/>
  <c r="J4201" i="37"/>
  <c r="J4202" i="37"/>
  <c r="J4203" i="37"/>
  <c r="J4204" i="37"/>
  <c r="J4205" i="37"/>
  <c r="J4206" i="37"/>
  <c r="J4207" i="37"/>
  <c r="J4208" i="37"/>
  <c r="J4209" i="37"/>
  <c r="J4210" i="37"/>
  <c r="J4211" i="37"/>
  <c r="J4212" i="37"/>
  <c r="J4213" i="37"/>
  <c r="J4214" i="37"/>
  <c r="J4215" i="37"/>
  <c r="J4216" i="37"/>
  <c r="J4217" i="37"/>
  <c r="J4218" i="37"/>
  <c r="J4219" i="37"/>
  <c r="J4220" i="37"/>
  <c r="J4221" i="37"/>
  <c r="J4222" i="37"/>
  <c r="J4223" i="37"/>
  <c r="J4224" i="37"/>
  <c r="J4225" i="37"/>
  <c r="J4226" i="37"/>
  <c r="J4227" i="37"/>
  <c r="J4228" i="37"/>
  <c r="J4229" i="37"/>
  <c r="J4230" i="37"/>
  <c r="J4231" i="37"/>
  <c r="J4232" i="37"/>
  <c r="J4233" i="37"/>
  <c r="J4234" i="37"/>
  <c r="J4235" i="37"/>
  <c r="J4236" i="37"/>
  <c r="J4237" i="37"/>
  <c r="J4238" i="37"/>
  <c r="J4239" i="37"/>
  <c r="J4240" i="37"/>
  <c r="J4241" i="37"/>
  <c r="J4242" i="37"/>
  <c r="J4243" i="37"/>
  <c r="J4244" i="37"/>
  <c r="J4245" i="37"/>
  <c r="J4246" i="37"/>
  <c r="J4247" i="37"/>
  <c r="J4248" i="37"/>
  <c r="J4249" i="37"/>
  <c r="J4250" i="37"/>
  <c r="J4251" i="37"/>
  <c r="J4252" i="37"/>
  <c r="J4253" i="37"/>
  <c r="J4254" i="37"/>
  <c r="J4255" i="37"/>
  <c r="J4256" i="37"/>
  <c r="J4257" i="37"/>
  <c r="J4258" i="37"/>
  <c r="J4259" i="37"/>
  <c r="J4260" i="37"/>
  <c r="J4261" i="37"/>
  <c r="J4262" i="37"/>
  <c r="J4263" i="37"/>
  <c r="J4264" i="37"/>
  <c r="J4265" i="37"/>
  <c r="J4266" i="37"/>
  <c r="J4267" i="37"/>
  <c r="J4268" i="37"/>
  <c r="J4269" i="37"/>
  <c r="J4270" i="37"/>
  <c r="J4271" i="37"/>
  <c r="J4272" i="37"/>
  <c r="J4273" i="37"/>
  <c r="J4274" i="37"/>
  <c r="J4275" i="37"/>
  <c r="J4276" i="37"/>
  <c r="J4277" i="37"/>
  <c r="J4278" i="37"/>
  <c r="J4279" i="37"/>
  <c r="J4280" i="37"/>
  <c r="J4281" i="37"/>
  <c r="J4282" i="37"/>
  <c r="J4283" i="37"/>
  <c r="J4284" i="37"/>
  <c r="J4285" i="37"/>
  <c r="J4286" i="37"/>
  <c r="J4287" i="37"/>
  <c r="J4288" i="37"/>
  <c r="J4289" i="37"/>
  <c r="J4290" i="37"/>
  <c r="J4291" i="37"/>
  <c r="J4292" i="37"/>
  <c r="J4293" i="37"/>
  <c r="J4294" i="37"/>
  <c r="J4295" i="37"/>
  <c r="J4296" i="37"/>
  <c r="J4297" i="37"/>
  <c r="J4298" i="37"/>
  <c r="J4299" i="37"/>
  <c r="J4300" i="37"/>
  <c r="J4301" i="37"/>
  <c r="J4302" i="37"/>
  <c r="J4303" i="37"/>
  <c r="J4304" i="37"/>
  <c r="J4305" i="37"/>
  <c r="J4306" i="37"/>
  <c r="J4307" i="37"/>
  <c r="J4308" i="37"/>
  <c r="J4309" i="37"/>
  <c r="J4310" i="37"/>
  <c r="J4311" i="37"/>
  <c r="J4312" i="37"/>
  <c r="J4313" i="37"/>
  <c r="J4314" i="37"/>
  <c r="J4315" i="37"/>
  <c r="J4316" i="37"/>
  <c r="J4317" i="37"/>
  <c r="J4318" i="37"/>
  <c r="J4319" i="37"/>
  <c r="J4320" i="37"/>
  <c r="J4321" i="37"/>
  <c r="J4322" i="37"/>
  <c r="J4323" i="37"/>
  <c r="J4324" i="37"/>
  <c r="J4325" i="37"/>
  <c r="J4326" i="37"/>
  <c r="J4327" i="37"/>
  <c r="J4328" i="37"/>
  <c r="J4329" i="37"/>
  <c r="J4330" i="37"/>
  <c r="J4331" i="37"/>
  <c r="J4332" i="37"/>
  <c r="J4333" i="37"/>
  <c r="J4334" i="37"/>
  <c r="J4335" i="37"/>
  <c r="J4336" i="37"/>
  <c r="J4337" i="37"/>
  <c r="J4338" i="37"/>
  <c r="J4339" i="37"/>
  <c r="J4340" i="37"/>
  <c r="J4341" i="37"/>
  <c r="J4342" i="37"/>
  <c r="J4343" i="37"/>
  <c r="J4344" i="37"/>
  <c r="J4345" i="37"/>
  <c r="J4346" i="37"/>
  <c r="J4347" i="37"/>
  <c r="J4348" i="37"/>
  <c r="J4349" i="37"/>
  <c r="J4350" i="37"/>
  <c r="J4351" i="37"/>
  <c r="J4352" i="37"/>
  <c r="J4353" i="37"/>
  <c r="J4354" i="37"/>
  <c r="J4355" i="37"/>
  <c r="J4356" i="37"/>
  <c r="J4357" i="37"/>
  <c r="J4358" i="37"/>
  <c r="J4359" i="37"/>
  <c r="J4360" i="37"/>
  <c r="J4361" i="37"/>
  <c r="J4362" i="37"/>
  <c r="J4363" i="37"/>
  <c r="J4364" i="37"/>
  <c r="J4365" i="37"/>
  <c r="J4366" i="37"/>
  <c r="J4367" i="37"/>
  <c r="J4368" i="37"/>
  <c r="J4369" i="37"/>
  <c r="J4370" i="37"/>
  <c r="J4371" i="37"/>
  <c r="J4372" i="37"/>
  <c r="J4373" i="37"/>
  <c r="J4374" i="37"/>
  <c r="J4375" i="37"/>
  <c r="J4376" i="37"/>
  <c r="J4377" i="37"/>
  <c r="J4378" i="37"/>
  <c r="J4379" i="37"/>
  <c r="J4380" i="37"/>
  <c r="J4381" i="37"/>
  <c r="J4382" i="37"/>
  <c r="J4383" i="37"/>
  <c r="J4384" i="37"/>
  <c r="J4385" i="37"/>
  <c r="J4386" i="37"/>
  <c r="J4387" i="37"/>
  <c r="J4388" i="37"/>
  <c r="J4389" i="37"/>
  <c r="J4390" i="37"/>
  <c r="J4391" i="37"/>
  <c r="J4392" i="37"/>
  <c r="J4393" i="37"/>
  <c r="J4394" i="37"/>
  <c r="J4395" i="37"/>
  <c r="J4396" i="37"/>
  <c r="J4397" i="37"/>
  <c r="J4398" i="37"/>
  <c r="J4399" i="37"/>
  <c r="J4400" i="37"/>
  <c r="J4401" i="37"/>
  <c r="J4402" i="37"/>
  <c r="J4403" i="37"/>
  <c r="J4404" i="37"/>
  <c r="J4405" i="37"/>
  <c r="J4406" i="37"/>
  <c r="J4407" i="37"/>
  <c r="J4408" i="37"/>
  <c r="J4409" i="37"/>
  <c r="J4410" i="37"/>
  <c r="J4411" i="37"/>
  <c r="J4412" i="37"/>
  <c r="J4413" i="37"/>
  <c r="J4414" i="37"/>
  <c r="J4415" i="37"/>
  <c r="J4416" i="37"/>
  <c r="J4417" i="37"/>
  <c r="J4418" i="37"/>
  <c r="J4419" i="37"/>
  <c r="J4420" i="37"/>
  <c r="J4421" i="37"/>
  <c r="J4422" i="37"/>
  <c r="J4423" i="37"/>
  <c r="J4424" i="37"/>
  <c r="J4425" i="37"/>
  <c r="J4426" i="37"/>
  <c r="J4427" i="37"/>
  <c r="J4428" i="37"/>
  <c r="J4429" i="37"/>
  <c r="J4430" i="37"/>
  <c r="J4431" i="37"/>
  <c r="J4432" i="37"/>
  <c r="J4433" i="37"/>
  <c r="J4434" i="37"/>
  <c r="J4435" i="37"/>
  <c r="J4436" i="37"/>
  <c r="J4437" i="37"/>
  <c r="J4438" i="37"/>
  <c r="J4439" i="37"/>
  <c r="J4440" i="37"/>
  <c r="J4441" i="37"/>
  <c r="J4442" i="37"/>
  <c r="J4443" i="37"/>
  <c r="J4444" i="37"/>
  <c r="J4445" i="37"/>
  <c r="J4446" i="37"/>
  <c r="J4447" i="37"/>
  <c r="J4448" i="37"/>
  <c r="J4449" i="37"/>
  <c r="J4450" i="37"/>
  <c r="J4451" i="37"/>
  <c r="J4452" i="37"/>
  <c r="J4453" i="37"/>
  <c r="J4454" i="37"/>
  <c r="J4455" i="37"/>
  <c r="J4456" i="37"/>
  <c r="J4457" i="37"/>
  <c r="J4458" i="37"/>
  <c r="J4459" i="37"/>
  <c r="J4460" i="37"/>
  <c r="J4461" i="37"/>
  <c r="J4462" i="37"/>
  <c r="J4463" i="37"/>
  <c r="J4464" i="37"/>
  <c r="J4465" i="37"/>
  <c r="J4466" i="37"/>
  <c r="J4467" i="37"/>
  <c r="J4468" i="37"/>
  <c r="J4469" i="37"/>
  <c r="J4470" i="37"/>
  <c r="J4471" i="37"/>
  <c r="J4472" i="37"/>
  <c r="J4473" i="37"/>
  <c r="J4474" i="37"/>
  <c r="J4475" i="37"/>
  <c r="J4476" i="37"/>
  <c r="J4477" i="37"/>
  <c r="J4478" i="37"/>
  <c r="J4479" i="37"/>
  <c r="J4480" i="37"/>
  <c r="J4481" i="37"/>
  <c r="J4482" i="37"/>
  <c r="J4483" i="37"/>
  <c r="J4484" i="37"/>
  <c r="J4485" i="37"/>
  <c r="J4486" i="37"/>
  <c r="J4487" i="37"/>
  <c r="J4488" i="37"/>
  <c r="J4489" i="37"/>
  <c r="J4490" i="37"/>
  <c r="J4491" i="37"/>
  <c r="J4492" i="37"/>
  <c r="J4493" i="37"/>
  <c r="J4494" i="37"/>
  <c r="J4495" i="37"/>
  <c r="J4496" i="37"/>
  <c r="J4497" i="37"/>
  <c r="J4498" i="37"/>
  <c r="J4499" i="37"/>
  <c r="J4500" i="37"/>
  <c r="J4501" i="37"/>
  <c r="J4502" i="37"/>
  <c r="J4503" i="37"/>
  <c r="J4504" i="37"/>
  <c r="J4505" i="37"/>
  <c r="J4506" i="37"/>
  <c r="J4507" i="37"/>
  <c r="J4508" i="37"/>
  <c r="J4509" i="37"/>
  <c r="J4510" i="37"/>
  <c r="J4511" i="37"/>
  <c r="J4512" i="37"/>
  <c r="J4513" i="37"/>
  <c r="J4514" i="37"/>
  <c r="J4515" i="37"/>
  <c r="J4516" i="37"/>
  <c r="J4517" i="37"/>
  <c r="J4518" i="37"/>
  <c r="J4519" i="37"/>
  <c r="J4520" i="37"/>
  <c r="J4521" i="37"/>
  <c r="J4522" i="37"/>
  <c r="J4523" i="37"/>
  <c r="J4524" i="37"/>
  <c r="J4525" i="37"/>
  <c r="J4526" i="37"/>
  <c r="J4527" i="37"/>
  <c r="J4528" i="37"/>
  <c r="J4529" i="37"/>
  <c r="J4530" i="37"/>
  <c r="J4531" i="37"/>
  <c r="J4532" i="37"/>
  <c r="J4533" i="37"/>
  <c r="J4534" i="37"/>
  <c r="J4535" i="37"/>
  <c r="J4536" i="37"/>
  <c r="J4537" i="37"/>
  <c r="J4538" i="37"/>
  <c r="J4539" i="37"/>
  <c r="J4540" i="37"/>
  <c r="J4541" i="37"/>
  <c r="J4542" i="37"/>
  <c r="J4543" i="37"/>
  <c r="J4544" i="37"/>
  <c r="J4545" i="37"/>
  <c r="J4546" i="37"/>
  <c r="J4547" i="37"/>
  <c r="J4548" i="37"/>
  <c r="J4549" i="37"/>
  <c r="J4550" i="37"/>
  <c r="J4551" i="37"/>
  <c r="J4552" i="37"/>
  <c r="J4553" i="37"/>
  <c r="J4554" i="37"/>
  <c r="J4555" i="37"/>
  <c r="J4556" i="37"/>
  <c r="J4557" i="37"/>
  <c r="J4558" i="37"/>
  <c r="J4559" i="37"/>
  <c r="J4560" i="37"/>
  <c r="J4561" i="37"/>
  <c r="J4562" i="37"/>
  <c r="J4563" i="37"/>
  <c r="J4564" i="37"/>
  <c r="J4565" i="37"/>
  <c r="J4566" i="37"/>
  <c r="J4567" i="37"/>
  <c r="J4568" i="37"/>
  <c r="J4569" i="37"/>
  <c r="J4570" i="37"/>
  <c r="J4571" i="37"/>
  <c r="J4572" i="37"/>
  <c r="J4573" i="37"/>
  <c r="J4574" i="37"/>
  <c r="J4575" i="37"/>
  <c r="J4576" i="37"/>
  <c r="J4577" i="37"/>
  <c r="J4578" i="37"/>
  <c r="J4579" i="37"/>
  <c r="J4580" i="37"/>
  <c r="J4581" i="37"/>
  <c r="J4582" i="37"/>
  <c r="J4583" i="37"/>
  <c r="J4584" i="37"/>
  <c r="J4585" i="37"/>
  <c r="J4586" i="37"/>
  <c r="J4587" i="37"/>
  <c r="J4588" i="37"/>
  <c r="J4589" i="37"/>
  <c r="J4590" i="37"/>
  <c r="J4591" i="37"/>
  <c r="J4592" i="37"/>
  <c r="J4593" i="37"/>
  <c r="J4594" i="37"/>
  <c r="J4595" i="37"/>
  <c r="J4596" i="37"/>
  <c r="J4597" i="37"/>
  <c r="J4598" i="37"/>
  <c r="J4599" i="37"/>
  <c r="J4600" i="37"/>
  <c r="J4601" i="37"/>
  <c r="J4602" i="37"/>
  <c r="J4603" i="37"/>
  <c r="J4604" i="37"/>
  <c r="J4605" i="37"/>
  <c r="J4606" i="37"/>
  <c r="J4607" i="37"/>
  <c r="J4608" i="37"/>
  <c r="J4609" i="37"/>
  <c r="J4610" i="37"/>
  <c r="J4611" i="37"/>
  <c r="J4612" i="37"/>
  <c r="J4613" i="37"/>
  <c r="J4614" i="37"/>
  <c r="J4615" i="37"/>
  <c r="J4616" i="37"/>
  <c r="J4617" i="37"/>
  <c r="J4618" i="37"/>
  <c r="J4619" i="37"/>
  <c r="J4620" i="37"/>
  <c r="J4621" i="37"/>
  <c r="J4622" i="37"/>
  <c r="J4623" i="37"/>
  <c r="J4624" i="37"/>
  <c r="J4625" i="37"/>
  <c r="J4626" i="37"/>
  <c r="J4627" i="37"/>
  <c r="J4628" i="37"/>
  <c r="J4629" i="37"/>
  <c r="J4630" i="37"/>
  <c r="J4631" i="37"/>
  <c r="J4632" i="37"/>
  <c r="J4633" i="37"/>
  <c r="J4634" i="37"/>
  <c r="J4635" i="37"/>
  <c r="J4636" i="37"/>
  <c r="J4637" i="37"/>
  <c r="J4638" i="37"/>
  <c r="J4639" i="37"/>
  <c r="J4640" i="37"/>
  <c r="J4641" i="37"/>
  <c r="J4642" i="37"/>
  <c r="J4643" i="37"/>
  <c r="J4644" i="37"/>
  <c r="J4645" i="37"/>
  <c r="J4646" i="37"/>
  <c r="J4647" i="37"/>
  <c r="J4648" i="37"/>
  <c r="J4649" i="37"/>
  <c r="J4650" i="37"/>
  <c r="J4651" i="37"/>
  <c r="J4652" i="37"/>
  <c r="J4653" i="37"/>
  <c r="J4654" i="37"/>
  <c r="J4655" i="37"/>
  <c r="J4656" i="37"/>
  <c r="J4657" i="37"/>
  <c r="J4658" i="37"/>
  <c r="J4659" i="37"/>
  <c r="J4660" i="37"/>
  <c r="J4661" i="37"/>
  <c r="J4662" i="37"/>
  <c r="J4663" i="37"/>
  <c r="J4664" i="37"/>
  <c r="J4665" i="37"/>
  <c r="J4666" i="37"/>
  <c r="J4667" i="37"/>
  <c r="J4668" i="37"/>
  <c r="J4669" i="37"/>
  <c r="J4670" i="37"/>
  <c r="J4671" i="37"/>
  <c r="J4672" i="37"/>
  <c r="J4673" i="37"/>
  <c r="J4674" i="37"/>
  <c r="J4675" i="37"/>
  <c r="J4676" i="37"/>
  <c r="J4677" i="37"/>
  <c r="J4678" i="37"/>
  <c r="J4679" i="37"/>
  <c r="J4680" i="37"/>
  <c r="J4681" i="37"/>
  <c r="J4682" i="37"/>
  <c r="J4683" i="37"/>
  <c r="J4684" i="37"/>
  <c r="J4685" i="37"/>
  <c r="J4686" i="37"/>
  <c r="J4687" i="37"/>
  <c r="J4688" i="37"/>
  <c r="J4689" i="37"/>
  <c r="J4690" i="37"/>
  <c r="J4691" i="37"/>
  <c r="J4692" i="37"/>
  <c r="J4693" i="37"/>
  <c r="J4694" i="37"/>
  <c r="J4695" i="37"/>
  <c r="J4696" i="37"/>
  <c r="J4697" i="37"/>
  <c r="J4698" i="37"/>
  <c r="J4699" i="37"/>
  <c r="J4700" i="37"/>
  <c r="J4701" i="37"/>
  <c r="J4702" i="37"/>
  <c r="J4703" i="37"/>
  <c r="J4704" i="37"/>
  <c r="J4705" i="37"/>
  <c r="J4706" i="37"/>
  <c r="J4707" i="37"/>
  <c r="J4708" i="37"/>
  <c r="J4709" i="37"/>
  <c r="J4710" i="37"/>
  <c r="J4711" i="37"/>
  <c r="J4712" i="37"/>
  <c r="J4713" i="37"/>
  <c r="J4714" i="37"/>
  <c r="J4715" i="37"/>
  <c r="J4716" i="37"/>
  <c r="J4717" i="37"/>
  <c r="J4718" i="37"/>
  <c r="J4719" i="37"/>
  <c r="J4720" i="37"/>
  <c r="J4721" i="37"/>
  <c r="J4722" i="37"/>
  <c r="J4723" i="37"/>
  <c r="J4724" i="37"/>
  <c r="J4725" i="37"/>
  <c r="J4726" i="37"/>
  <c r="J4727" i="37"/>
  <c r="J4728" i="37"/>
  <c r="J4729" i="37"/>
  <c r="J4730" i="37"/>
  <c r="J4731" i="37"/>
  <c r="J4732" i="37"/>
  <c r="J4733" i="37"/>
  <c r="J4734" i="37"/>
  <c r="J4735" i="37"/>
  <c r="J4736" i="37"/>
  <c r="J4737" i="37"/>
  <c r="J4738" i="37"/>
  <c r="J4739" i="37"/>
  <c r="J4740" i="37"/>
  <c r="J4741" i="37"/>
  <c r="J4742" i="37"/>
  <c r="J4743" i="37"/>
  <c r="J4744" i="37"/>
  <c r="J4745" i="37"/>
  <c r="J4746" i="37"/>
  <c r="J4747" i="37"/>
  <c r="J4748" i="37"/>
  <c r="J4749" i="37"/>
  <c r="J4750" i="37"/>
  <c r="J4751" i="37"/>
  <c r="J4752" i="37"/>
  <c r="J4753" i="37"/>
  <c r="J4754" i="37"/>
  <c r="J4755" i="37"/>
  <c r="J4756" i="37"/>
  <c r="J4757" i="37"/>
  <c r="J4758" i="37"/>
  <c r="J4759" i="37"/>
  <c r="J4760" i="37"/>
  <c r="J4761" i="37"/>
  <c r="J4762" i="37"/>
  <c r="J4763" i="37"/>
  <c r="J4764" i="37"/>
  <c r="J4765" i="37"/>
  <c r="J4766" i="37"/>
  <c r="J4767" i="37"/>
  <c r="J4768" i="37"/>
  <c r="J4769" i="37"/>
  <c r="J4770" i="37"/>
  <c r="J4771" i="37"/>
  <c r="J4772" i="37"/>
  <c r="J4773" i="37"/>
  <c r="J4774" i="37"/>
  <c r="J4775" i="37"/>
  <c r="J4776" i="37"/>
  <c r="J4777" i="37"/>
  <c r="J4778" i="37"/>
  <c r="J4779" i="37"/>
  <c r="J4780" i="37"/>
  <c r="J4781" i="37"/>
  <c r="J4782" i="37"/>
  <c r="J4783" i="37"/>
  <c r="J4784" i="37"/>
  <c r="J4785" i="37"/>
  <c r="J4786" i="37"/>
  <c r="J4787" i="37"/>
  <c r="J4788" i="37"/>
  <c r="J4789" i="37"/>
  <c r="J4790" i="37"/>
  <c r="J4791" i="37"/>
  <c r="J4792" i="37"/>
  <c r="J4793" i="37"/>
  <c r="J4794" i="37"/>
  <c r="J4795" i="37"/>
  <c r="J4796" i="37"/>
  <c r="J4797" i="37"/>
  <c r="J4798" i="37"/>
  <c r="J4799" i="37"/>
  <c r="J4800" i="37"/>
  <c r="J4801" i="37"/>
  <c r="J4802" i="37"/>
  <c r="J4803" i="37"/>
  <c r="J4804" i="37"/>
  <c r="J4805" i="37"/>
  <c r="J4806" i="37"/>
  <c r="J4807" i="37"/>
  <c r="J4808" i="37"/>
  <c r="J4809" i="37"/>
  <c r="J4810" i="37"/>
  <c r="J4811" i="37"/>
  <c r="J4812" i="37"/>
  <c r="J4813" i="37"/>
  <c r="J4814" i="37"/>
  <c r="J4815" i="37"/>
  <c r="J4816" i="37"/>
  <c r="J4817" i="37"/>
  <c r="J4818" i="37"/>
  <c r="J4819" i="37"/>
  <c r="J4820" i="37"/>
  <c r="J4821" i="37"/>
  <c r="J4822" i="37"/>
  <c r="J4823" i="37"/>
  <c r="J4824" i="37"/>
  <c r="J4825" i="37"/>
  <c r="J4826" i="37"/>
  <c r="J4827" i="37"/>
  <c r="J4828" i="37"/>
  <c r="J4829" i="37"/>
  <c r="J4830" i="37"/>
  <c r="J4831" i="37"/>
  <c r="J4832" i="37"/>
  <c r="J4833" i="37"/>
  <c r="J4834" i="37"/>
  <c r="J4835" i="37"/>
  <c r="J4836" i="37"/>
  <c r="J4837" i="37"/>
  <c r="J4838" i="37"/>
  <c r="J4839" i="37"/>
  <c r="J4840" i="37"/>
  <c r="J4841" i="37"/>
  <c r="J4842" i="37"/>
  <c r="J4843" i="37"/>
  <c r="J4844" i="37"/>
  <c r="J4845" i="37"/>
  <c r="J4846" i="37"/>
  <c r="J4847" i="37"/>
  <c r="J4848" i="37"/>
  <c r="J4849" i="37"/>
  <c r="J4850" i="37"/>
  <c r="J4851" i="37"/>
  <c r="J4852" i="37"/>
  <c r="J4853" i="37"/>
  <c r="J4854" i="37"/>
  <c r="J4855" i="37"/>
  <c r="J4856" i="37"/>
  <c r="J4857" i="37"/>
  <c r="J4858" i="37"/>
  <c r="J4859" i="37"/>
  <c r="J4860" i="37"/>
  <c r="J4861" i="37"/>
  <c r="J4862" i="37"/>
  <c r="J4863" i="37"/>
  <c r="J4864" i="37"/>
  <c r="J4865" i="37"/>
  <c r="J4866" i="37"/>
  <c r="J4867" i="37"/>
  <c r="J4868" i="37"/>
  <c r="J4869" i="37"/>
  <c r="J4870" i="37"/>
  <c r="J4871" i="37"/>
  <c r="J4872" i="37"/>
  <c r="J4873" i="37"/>
  <c r="J4874" i="37"/>
  <c r="J4875" i="37"/>
  <c r="J4876" i="37"/>
  <c r="J4877" i="37"/>
  <c r="J4878" i="37"/>
  <c r="J4879" i="37"/>
  <c r="J4880" i="37"/>
  <c r="J4881" i="37"/>
  <c r="J4882" i="37"/>
  <c r="J4883" i="37"/>
  <c r="J4884" i="37"/>
  <c r="J4885" i="37"/>
  <c r="J4886" i="37"/>
  <c r="J4887" i="37"/>
  <c r="J4888" i="37"/>
  <c r="J4889" i="37"/>
  <c r="J4890" i="37"/>
  <c r="J4891" i="37"/>
  <c r="J4892" i="37"/>
  <c r="J4893" i="37"/>
  <c r="J4894" i="37"/>
  <c r="J4895" i="37"/>
  <c r="J4896" i="37"/>
  <c r="J4897" i="37"/>
  <c r="J4898" i="37"/>
  <c r="J4899" i="37"/>
  <c r="J4900" i="37"/>
  <c r="J4901" i="37"/>
  <c r="J4902" i="37"/>
  <c r="J4903" i="37"/>
  <c r="J4904" i="37"/>
  <c r="J4905" i="37"/>
  <c r="J4906" i="37"/>
  <c r="J4907" i="37"/>
  <c r="J4908" i="37"/>
  <c r="J4909" i="37"/>
  <c r="J4910" i="37"/>
  <c r="J4911" i="37"/>
  <c r="J4912" i="37"/>
  <c r="J4913" i="37"/>
  <c r="J4914" i="37"/>
  <c r="J4915" i="37"/>
  <c r="J4916" i="37"/>
  <c r="J4917" i="37"/>
  <c r="J4918" i="37"/>
  <c r="J4919" i="37"/>
  <c r="J4920" i="37"/>
  <c r="J4921" i="37"/>
  <c r="J4922" i="37"/>
  <c r="J4923" i="37"/>
  <c r="J4924" i="37"/>
  <c r="J4925" i="37"/>
  <c r="J4926" i="37"/>
  <c r="J4927" i="37"/>
  <c r="J4928" i="37"/>
  <c r="J4929" i="37"/>
  <c r="J4930" i="37"/>
  <c r="J4931" i="37"/>
  <c r="J4932" i="37"/>
  <c r="J4933" i="37"/>
  <c r="J4934" i="37"/>
  <c r="J4935" i="37"/>
  <c r="J4936" i="37"/>
  <c r="J4937" i="37"/>
  <c r="J4938" i="37"/>
  <c r="J4939" i="37"/>
  <c r="J4940" i="37"/>
  <c r="J4941" i="37"/>
  <c r="J4942" i="37"/>
  <c r="J4943" i="37"/>
  <c r="J4944" i="37"/>
  <c r="J4945" i="37"/>
  <c r="J4946" i="37"/>
  <c r="J4947" i="37"/>
  <c r="J4948" i="37"/>
  <c r="J4949" i="37"/>
  <c r="J4950" i="37"/>
  <c r="J4951" i="37"/>
  <c r="J4952" i="37"/>
  <c r="J4953" i="37"/>
  <c r="J4954" i="37"/>
  <c r="J4955" i="37"/>
  <c r="J4956" i="37"/>
  <c r="J4957" i="37"/>
  <c r="J4958" i="37"/>
  <c r="J4959" i="37"/>
  <c r="J4960" i="37"/>
  <c r="J4961" i="37"/>
  <c r="J4962" i="37"/>
  <c r="J4963" i="37"/>
  <c r="J4964" i="37"/>
  <c r="J4965" i="37"/>
  <c r="J4966" i="37"/>
  <c r="J4967" i="37"/>
  <c r="J4968" i="37"/>
  <c r="J4969" i="37"/>
  <c r="J4970" i="37"/>
  <c r="J4971" i="37"/>
  <c r="J4972" i="37"/>
  <c r="J4973" i="37"/>
  <c r="J4974" i="37"/>
  <c r="J4975" i="37"/>
  <c r="J4976" i="37"/>
  <c r="J4977" i="37"/>
  <c r="J4978" i="37"/>
  <c r="J4979" i="37"/>
  <c r="J4980" i="37"/>
  <c r="J4981" i="37"/>
  <c r="J4982" i="37"/>
  <c r="J4983" i="37"/>
  <c r="J4984" i="37"/>
  <c r="J4985" i="37"/>
  <c r="J4986" i="37"/>
  <c r="J4987" i="37"/>
  <c r="J4988" i="37"/>
  <c r="J4989" i="37"/>
  <c r="J4990" i="37"/>
  <c r="J4991" i="37"/>
  <c r="J4992" i="37"/>
  <c r="J4993" i="37"/>
  <c r="J4994" i="37"/>
  <c r="J4995" i="37"/>
  <c r="J4996" i="37"/>
  <c r="J4997" i="37"/>
  <c r="J4998" i="37"/>
  <c r="J4999" i="37"/>
  <c r="J5000" i="37"/>
  <c r="J5001" i="37"/>
  <c r="J5002" i="37"/>
  <c r="J5003" i="37"/>
  <c r="J5004" i="37"/>
  <c r="J5005" i="37"/>
  <c r="J5006" i="37"/>
  <c r="J5007" i="37"/>
  <c r="J5008" i="37"/>
  <c r="J5009" i="37"/>
  <c r="J5010" i="37"/>
  <c r="J5011" i="37"/>
  <c r="J5012" i="37"/>
  <c r="J5013" i="37"/>
  <c r="J5014" i="37"/>
  <c r="J5015" i="37"/>
  <c r="J5016" i="37"/>
  <c r="J5017" i="37"/>
  <c r="J5018" i="37"/>
  <c r="J5019" i="37"/>
  <c r="J5020" i="37"/>
  <c r="J5021" i="37"/>
  <c r="J5022" i="37"/>
  <c r="J5023" i="37"/>
  <c r="J5024" i="37"/>
  <c r="J5025" i="37"/>
  <c r="J5026" i="37"/>
  <c r="J5027" i="37"/>
  <c r="J5028" i="37"/>
  <c r="J5029" i="37"/>
  <c r="J5030" i="37"/>
  <c r="J5031" i="37"/>
  <c r="J5032" i="37"/>
  <c r="J5033" i="37"/>
  <c r="J5034" i="37"/>
  <c r="J5035" i="37"/>
  <c r="J5036" i="37"/>
  <c r="J5037" i="37"/>
  <c r="J5038" i="37"/>
  <c r="J5039" i="37"/>
  <c r="J5040" i="37"/>
  <c r="J5041" i="37"/>
  <c r="J5042" i="37"/>
  <c r="J5043" i="37"/>
  <c r="J5044" i="37"/>
  <c r="J5045" i="37"/>
  <c r="J5046" i="37"/>
  <c r="J5047" i="37"/>
  <c r="J5048" i="37"/>
  <c r="J5049" i="37"/>
  <c r="J5050" i="37"/>
  <c r="J5051" i="37"/>
  <c r="J5052" i="37"/>
  <c r="J5053" i="37"/>
  <c r="J5054" i="37"/>
  <c r="J5055" i="37"/>
  <c r="J5056" i="37"/>
  <c r="J5057" i="37"/>
  <c r="J5058" i="37"/>
  <c r="J5059" i="37"/>
  <c r="J5060" i="37"/>
  <c r="J5061" i="37"/>
  <c r="J5062" i="37"/>
  <c r="J5063" i="37"/>
  <c r="J5064" i="37"/>
  <c r="J5065" i="37"/>
  <c r="J5066" i="37"/>
  <c r="J5067" i="37"/>
  <c r="J5068" i="37"/>
  <c r="J5069" i="37"/>
  <c r="J5070" i="37"/>
  <c r="J5071" i="37"/>
  <c r="J5072" i="37"/>
  <c r="J5073" i="37"/>
  <c r="J5074" i="37"/>
  <c r="J5075" i="37"/>
  <c r="J5076" i="37"/>
  <c r="J5077" i="37"/>
  <c r="J5078" i="37"/>
  <c r="J5079" i="37"/>
  <c r="J5080" i="37"/>
  <c r="J5081" i="37"/>
  <c r="J5082" i="37"/>
  <c r="J5083" i="37"/>
  <c r="J5084" i="37"/>
  <c r="J5085" i="37"/>
  <c r="J5086" i="37"/>
  <c r="J5087" i="37"/>
  <c r="J5088" i="37"/>
  <c r="J5089" i="37"/>
  <c r="J5090" i="37"/>
  <c r="J5091" i="37"/>
  <c r="J5092" i="37"/>
  <c r="J5093" i="37"/>
  <c r="J5094" i="37"/>
  <c r="J5095" i="37"/>
  <c r="J5096" i="37"/>
  <c r="J5097" i="37"/>
  <c r="J5098" i="37"/>
  <c r="J5099" i="37"/>
  <c r="J5100" i="37"/>
  <c r="J5101" i="37"/>
  <c r="J5102" i="37"/>
  <c r="J5103" i="37"/>
  <c r="J5104" i="37"/>
  <c r="J5105" i="37"/>
  <c r="J5106" i="37"/>
  <c r="J5107" i="37"/>
  <c r="J5108" i="37"/>
  <c r="J5109" i="37"/>
  <c r="J5110" i="37"/>
  <c r="J5111" i="37"/>
  <c r="J5112" i="37"/>
  <c r="J5113" i="37"/>
  <c r="J5114" i="37"/>
  <c r="J5115" i="37"/>
  <c r="J5116" i="37"/>
  <c r="J5117" i="37"/>
  <c r="J5118" i="37"/>
  <c r="J5119" i="37"/>
  <c r="J5120" i="37"/>
  <c r="J5121" i="37"/>
  <c r="J5122" i="37"/>
  <c r="J5123" i="37"/>
  <c r="J5124" i="37"/>
  <c r="J5125" i="37"/>
  <c r="J5126" i="37"/>
  <c r="J5127" i="37"/>
  <c r="J5128" i="37"/>
  <c r="J5129" i="37"/>
  <c r="J5130" i="37"/>
  <c r="J5131" i="37"/>
  <c r="J5132" i="37"/>
  <c r="J5133" i="37"/>
  <c r="J5134" i="37"/>
  <c r="J5135" i="37"/>
  <c r="J5136" i="37"/>
  <c r="J5137" i="37"/>
  <c r="J5138" i="37"/>
  <c r="J5139" i="37"/>
  <c r="J5140" i="37"/>
  <c r="J5141" i="37"/>
  <c r="J5142" i="37"/>
  <c r="J5143" i="37"/>
  <c r="J5144" i="37"/>
  <c r="J5145" i="37"/>
  <c r="J5146" i="37"/>
  <c r="J5147" i="37"/>
  <c r="J5148" i="37"/>
  <c r="J5149" i="37"/>
  <c r="J5150" i="37"/>
  <c r="J5151" i="37"/>
  <c r="J5152" i="37"/>
  <c r="J5153" i="37"/>
  <c r="J5154" i="37"/>
  <c r="J5155" i="37"/>
  <c r="J5156" i="37"/>
  <c r="J5157" i="37"/>
  <c r="J5158" i="37"/>
  <c r="J5159" i="37"/>
  <c r="J5160" i="37"/>
  <c r="J5161" i="37"/>
  <c r="J5162" i="37"/>
  <c r="J5163" i="37"/>
  <c r="J5164" i="37"/>
  <c r="J5165" i="37"/>
  <c r="J5166" i="37"/>
  <c r="J5167" i="37"/>
  <c r="J5168" i="37"/>
  <c r="J5169" i="37"/>
  <c r="J5170" i="37"/>
  <c r="J5171" i="37"/>
  <c r="J5172" i="37"/>
  <c r="J5173" i="37"/>
  <c r="J5174" i="37"/>
  <c r="J5175" i="37"/>
  <c r="J5176" i="37"/>
  <c r="J5177" i="37"/>
  <c r="J5178" i="37"/>
  <c r="J5179" i="37"/>
  <c r="J5180" i="37"/>
  <c r="J5181" i="37"/>
  <c r="J5182" i="37"/>
  <c r="J5183" i="37"/>
  <c r="J5184" i="37"/>
  <c r="J5185" i="37"/>
  <c r="J5186" i="37"/>
  <c r="J5187" i="37"/>
  <c r="J5188" i="37"/>
  <c r="J5189" i="37"/>
  <c r="J5190" i="37"/>
  <c r="J5191" i="37"/>
  <c r="J5192" i="37"/>
  <c r="J5193" i="37"/>
  <c r="J5194" i="37"/>
  <c r="J5195" i="37"/>
  <c r="J5196" i="37"/>
  <c r="J5197" i="37"/>
  <c r="J5198" i="37"/>
  <c r="J5199" i="37"/>
  <c r="J5200" i="37"/>
  <c r="J5201" i="37"/>
  <c r="J5202" i="37"/>
  <c r="J5203" i="37"/>
  <c r="J5204" i="37"/>
  <c r="J5205" i="37"/>
  <c r="J5206" i="37"/>
  <c r="J5207" i="37"/>
  <c r="J5208" i="37"/>
  <c r="J5209" i="37"/>
  <c r="J5210" i="37"/>
  <c r="J5211" i="37"/>
  <c r="J5212" i="37"/>
  <c r="J5213" i="37"/>
  <c r="J5214" i="37"/>
  <c r="J5215" i="37"/>
  <c r="J5216" i="37"/>
  <c r="J5217" i="37"/>
  <c r="J5218" i="37"/>
  <c r="J5219" i="37"/>
  <c r="J5220" i="37"/>
  <c r="J5221" i="37"/>
  <c r="J5222" i="37"/>
  <c r="J5223" i="37"/>
  <c r="J5224" i="37"/>
  <c r="J5225" i="37"/>
  <c r="J5226" i="37"/>
  <c r="J5227" i="37"/>
  <c r="J5228" i="37"/>
  <c r="J5229" i="37"/>
  <c r="J5230" i="37"/>
  <c r="J5231" i="37"/>
  <c r="J5232" i="37"/>
  <c r="J5233" i="37"/>
  <c r="J5234" i="37"/>
  <c r="J5235" i="37"/>
  <c r="J5236" i="37"/>
  <c r="J5237" i="37"/>
  <c r="J5238" i="37"/>
  <c r="J5239" i="37"/>
  <c r="J5240" i="37"/>
  <c r="J5241" i="37"/>
  <c r="J5242" i="37"/>
  <c r="J5243" i="37"/>
  <c r="J5244" i="37"/>
  <c r="J5245" i="37"/>
  <c r="J5246" i="37"/>
  <c r="J5247" i="37"/>
  <c r="J5248" i="37"/>
  <c r="J5249" i="37"/>
  <c r="J5250" i="37"/>
  <c r="J5251" i="37"/>
  <c r="J5252" i="37"/>
  <c r="J5253" i="37"/>
  <c r="J5254" i="37"/>
  <c r="J5255" i="37"/>
  <c r="J5256" i="37"/>
  <c r="J5257" i="37"/>
  <c r="J5258" i="37"/>
  <c r="J5259" i="37"/>
  <c r="J5260" i="37"/>
  <c r="J5261" i="37"/>
  <c r="J5262" i="37"/>
  <c r="J5263" i="37"/>
  <c r="J5264" i="37"/>
  <c r="J5265" i="37"/>
  <c r="J5266" i="37"/>
  <c r="J5267" i="37"/>
  <c r="J5268" i="37"/>
  <c r="J5269" i="37"/>
  <c r="J5270" i="37"/>
  <c r="J5271" i="37"/>
  <c r="J5272" i="37"/>
  <c r="J5273" i="37"/>
  <c r="J5274" i="37"/>
  <c r="J5275" i="37"/>
  <c r="J5276" i="37"/>
  <c r="J5277" i="37"/>
  <c r="J5278" i="37"/>
  <c r="J5279" i="37"/>
  <c r="J5280" i="37"/>
  <c r="J5281" i="37"/>
  <c r="J5282" i="37"/>
  <c r="J5283" i="37"/>
  <c r="J5284" i="37"/>
  <c r="J5285" i="37"/>
  <c r="J5286" i="37"/>
  <c r="J5287" i="37"/>
  <c r="J5288" i="37"/>
  <c r="J5289" i="37"/>
  <c r="J5290" i="37"/>
  <c r="J5291" i="37"/>
  <c r="J5292" i="37"/>
  <c r="J5293" i="37"/>
  <c r="J5294" i="37"/>
  <c r="J5295" i="37"/>
  <c r="J5296" i="37"/>
  <c r="J5297" i="37"/>
  <c r="J5298" i="37"/>
  <c r="J5299" i="37"/>
  <c r="J5300" i="37"/>
  <c r="J5301" i="37"/>
  <c r="J5302" i="37"/>
  <c r="J5303" i="37"/>
  <c r="J5304" i="37"/>
  <c r="J5305" i="37"/>
  <c r="J5306" i="37"/>
  <c r="J5307" i="37"/>
  <c r="J5308" i="37"/>
  <c r="J5309" i="37"/>
  <c r="J5310" i="37"/>
  <c r="J5311" i="37"/>
  <c r="J5312" i="37"/>
</calcChain>
</file>

<file path=xl/sharedStrings.xml><?xml version="1.0" encoding="utf-8"?>
<sst xmlns="http://schemas.openxmlformats.org/spreadsheetml/2006/main" count="6814" uniqueCount="106">
  <si>
    <t>Faction</t>
  </si>
  <si>
    <t>Regions</t>
  </si>
  <si>
    <t>Row Labels</t>
  </si>
  <si>
    <t>Grand Total</t>
  </si>
  <si>
    <t>rom_fact_gondor</t>
  </si>
  <si>
    <t>rom_fact_rohan</t>
  </si>
  <si>
    <t>rom_fact_dale</t>
  </si>
  <si>
    <t>Turn</t>
  </si>
  <si>
    <t>Strength</t>
  </si>
  <si>
    <t>rom_fact_mordor</t>
  </si>
  <si>
    <t>rom_fact_anduin_vale</t>
  </si>
  <si>
    <t>rom_fact_harad</t>
  </si>
  <si>
    <t>rom_fact_dol_guldur</t>
  </si>
  <si>
    <t>rom_fact_goblins</t>
  </si>
  <si>
    <t>rom_fact_umbar</t>
  </si>
  <si>
    <t>rom_fact_dunland</t>
  </si>
  <si>
    <t>rom_fact_haerrim</t>
  </si>
  <si>
    <t>rom_fact_balchoth</t>
  </si>
  <si>
    <t>rom_fact_rhurim</t>
  </si>
  <si>
    <t>rom_fact_feredrim</t>
  </si>
  <si>
    <t>rom_fact_gundabad</t>
  </si>
  <si>
    <t>rom_fact_erebor</t>
  </si>
  <si>
    <t>rom_fact_woodland_realm</t>
  </si>
  <si>
    <t>rom_fact_lothlorien</t>
  </si>
  <si>
    <t>rom_fact_khand</t>
  </si>
  <si>
    <t>rom_fact_mahuds</t>
  </si>
  <si>
    <t>rom_fact_wainriders</t>
  </si>
  <si>
    <t>rom_fact_blacklock</t>
  </si>
  <si>
    <t>rom_fact_ironfist</t>
  </si>
  <si>
    <t>rom_fact_southern_enedwaith</t>
  </si>
  <si>
    <t>rom_fact_druedain</t>
  </si>
  <si>
    <t>rom_fact_harondor</t>
  </si>
  <si>
    <t>rom_fact_isengard</t>
  </si>
  <si>
    <t>rom_fact_northern_enedwaith</t>
  </si>
  <si>
    <t>rom_fact_rohan_scouts</t>
  </si>
  <si>
    <t>rom_fact_southron_nomads</t>
  </si>
  <si>
    <t>rom_fact_separatist_harad</t>
  </si>
  <si>
    <t>rom_fact_separatist_khand</t>
  </si>
  <si>
    <t>rom_fact_separatist_balchoth</t>
  </si>
  <si>
    <t>rom_fact_separatist_feredrim</t>
  </si>
  <si>
    <t>rom_fact_separatist_haerrim</t>
  </si>
  <si>
    <t>rom_fact_separatist_wainriders</t>
  </si>
  <si>
    <t>rom_fact_separatist_rhurim</t>
  </si>
  <si>
    <t>rom_fact_separatist_mahuds</t>
  </si>
  <si>
    <t>rom_fact_separatist_umbar</t>
  </si>
  <si>
    <t>Sum of Strength</t>
  </si>
  <si>
    <t>Prestige</t>
  </si>
  <si>
    <t>Treasury</t>
  </si>
  <si>
    <t>Net Income</t>
  </si>
  <si>
    <t>Trade Income</t>
  </si>
  <si>
    <t>Column Labels</t>
  </si>
  <si>
    <t>(Multiple Items)</t>
  </si>
  <si>
    <t>3. Resize table to the last pasted row (drag the lower-right table corner up or down to the right spot</t>
  </si>
  <si>
    <t>2. Paste TSV from CampaignReport app (paste on first header cell)</t>
  </si>
  <si>
    <t>Build 22_04_2025, Mordor campaign VH</t>
  </si>
  <si>
    <t>Faction Strength = Sum of strengths of Field and Garrison armies and navies (slightly adjusted for force rank)</t>
  </si>
  <si>
    <t>Sum of Prestige</t>
  </si>
  <si>
    <r>
      <t xml:space="preserve">4. Go to pivottable on </t>
    </r>
    <r>
      <rPr>
        <i/>
        <sz val="11"/>
        <color theme="1"/>
        <rFont val="Aptos Narrow"/>
        <family val="2"/>
        <scheme val="minor"/>
      </rPr>
      <t>chart</t>
    </r>
    <r>
      <rPr>
        <sz val="11"/>
        <color theme="1"/>
        <rFont val="Aptos Narrow"/>
        <family val="2"/>
        <scheme val="minor"/>
      </rPr>
      <t xml:space="preserve"> tabs and select Pivot Table Analyze - Refresh - Refresh All</t>
    </r>
  </si>
  <si>
    <t>Sum of Regions</t>
  </si>
  <si>
    <t>Faction ID</t>
  </si>
  <si>
    <t>Faction Name</t>
  </si>
  <si>
    <t>Mordor</t>
  </si>
  <si>
    <t>Gondor</t>
  </si>
  <si>
    <t>Dale</t>
  </si>
  <si>
    <t>Erebor</t>
  </si>
  <si>
    <t>Rohan</t>
  </si>
  <si>
    <t>Isengard</t>
  </si>
  <si>
    <t>Lothlorien</t>
  </si>
  <si>
    <t>Haerrim</t>
  </si>
  <si>
    <t>Goblins</t>
  </si>
  <si>
    <t>Balchoth</t>
  </si>
  <si>
    <t>Feredrim</t>
  </si>
  <si>
    <t>Dol Guldur</t>
  </si>
  <si>
    <t>Anduin Vale</t>
  </si>
  <si>
    <t>Woodland Realm</t>
  </si>
  <si>
    <t>Variags (Khand)</t>
  </si>
  <si>
    <t>Corsairs of Umbar</t>
  </si>
  <si>
    <t>Mahud</t>
  </si>
  <si>
    <t>Haradrim</t>
  </si>
  <si>
    <t>Dunlendings</t>
  </si>
  <si>
    <t>Rhurim/Rhun</t>
  </si>
  <si>
    <t>Rachrohir (Wainriders)</t>
  </si>
  <si>
    <t>Blacklock-Stonefoot League</t>
  </si>
  <si>
    <t>Druedain</t>
  </si>
  <si>
    <t>Harondor</t>
  </si>
  <si>
    <t>Southern Enedwaith</t>
  </si>
  <si>
    <t>Gundabad</t>
  </si>
  <si>
    <t>Ironfist-Stiffbeard Union</t>
  </si>
  <si>
    <t>Northern Enedwaith</t>
  </si>
  <si>
    <t>Southron Nomads</t>
  </si>
  <si>
    <t>Balchoth Separatists</t>
  </si>
  <si>
    <t>Feredrim Separatists</t>
  </si>
  <si>
    <t>Haerrim Separatists</t>
  </si>
  <si>
    <t>Wainrider Separatists</t>
  </si>
  <si>
    <t>Umbar Separatists</t>
  </si>
  <si>
    <t>Mahud Separatists</t>
  </si>
  <si>
    <t>Khand Separatists</t>
  </si>
  <si>
    <t>Harad Separatists</t>
  </si>
  <si>
    <t>Rhurim Separatists</t>
  </si>
  <si>
    <t>Scouts of Rohan</t>
  </si>
  <si>
    <t>#N/A</t>
  </si>
  <si>
    <t>(blank)</t>
  </si>
  <si>
    <t>(All)</t>
  </si>
  <si>
    <t>_</t>
  </si>
  <si>
    <r>
      <t xml:space="preserve">5. On each </t>
    </r>
    <r>
      <rPr>
        <i/>
        <sz val="11"/>
        <color theme="1"/>
        <rFont val="Aptos Narrow"/>
        <family val="2"/>
        <scheme val="minor"/>
      </rPr>
      <t>chart</t>
    </r>
    <r>
      <rPr>
        <sz val="11"/>
        <color theme="1"/>
        <rFont val="Aptos Narrow"/>
        <family val="2"/>
        <scheme val="minor"/>
      </rPr>
      <t>, make sure Regions filter includes All counts except 0 and blank (unles you prefer All)</t>
    </r>
  </si>
  <si>
    <r>
      <t xml:space="preserve">1. Delete old values from table (Ctrl-End to find the end) - </t>
    </r>
    <r>
      <rPr>
        <b/>
        <sz val="11"/>
        <color theme="1"/>
        <rFont val="Aptos Narrow"/>
        <family val="2"/>
        <scheme val="minor"/>
      </rPr>
      <t>but not the last Faction column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</si>
</sst>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colors>
    <mruColors>
      <color rgb="FFFFCCCC"/>
      <color rgb="FFFE937E"/>
      <color rgb="FF993300"/>
      <color rgb="FF33CC33"/>
      <color rgb="FF99FF66"/>
      <color rgb="FFCCFF99"/>
      <color rgb="FFFFCC99"/>
      <color rgb="FFFF9933"/>
      <color rgb="FFF68558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[tdd stats.xlsx]Faction Strength!PivotTable2</c:name>
    <c:fmtId val="77"/>
  </c:pivotSource>
  <c:chart>
    <c:title>
      <c:tx>
        <c:strRef>
          <c:f>Table3[[#Headers],[Faction Strength = Sum of strengths of Field and Garrison armies and navies (slightly adjusted for force rank)]]</c:f>
          <c:strCache>
            <c:ptCount val="1"/>
            <c:pt idx="0">
              <c:v>Faction Strength = Sum of strengths of Field and Garrison armies and navies (slightly adjusted for force rank)</c:v>
            </c:pt>
          </c:strCache>
        </c:strRef>
      </c:tx>
      <c:layout>
        <c:manualLayout>
          <c:xMode val="edge"/>
          <c:yMode val="edge"/>
          <c:x val="1.0115463766511701E-2"/>
          <c:y val="0.10127034077221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rgbClr val="FF7C8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50800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rgbClr val="CC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rgbClr val="FF7C8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508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rgbClr val="F685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50800" cap="rnd">
            <a:solidFill>
              <a:srgbClr val="FF99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50800" cap="rnd">
            <a:solidFill>
              <a:srgbClr val="33CC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rgbClr val="F685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rgbClr val="FF7C8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50800" cap="rnd">
            <a:solidFill>
              <a:srgbClr val="99FF6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rgbClr val="F685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50800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508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bg2">
                <a:lumMod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508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ln w="28575" cap="rnd">
            <a:solidFill>
              <a:srgbClr val="A02B93">
                <a:lumMod val="40000"/>
                <a:lumOff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ln w="50800" cap="rnd">
            <a:solidFill>
              <a:srgbClr val="0F9ED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ln w="28575" cap="rnd">
            <a:solidFill>
              <a:srgbClr val="4EA72E">
                <a:lumMod val="75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ln w="28575" cap="rnd">
            <a:solidFill>
              <a:srgbClr val="99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ln w="50800" cap="rnd">
            <a:solidFill>
              <a:srgbClr val="A02B9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ln w="28575" cap="rnd">
            <a:solidFill>
              <a:srgbClr val="E8E8E8">
                <a:lumMod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ln w="50800" cap="rnd">
            <a:solidFill>
              <a:srgbClr val="0E2841">
                <a:lumMod val="10000"/>
                <a:lumOff val="9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ln w="508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50800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ln w="50800" cap="rnd">
            <a:solidFill>
              <a:sysClr val="windowText" lastClr="0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ln w="28575" cap="rnd">
            <a:solidFill>
              <a:srgbClr val="CC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ln w="508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ln w="50800" cap="rnd">
            <a:solidFill>
              <a:srgbClr val="FF99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ln w="50800" cap="rnd">
            <a:solidFill>
              <a:srgbClr val="33CC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ln w="50800" cap="rnd">
            <a:solidFill>
              <a:srgbClr val="92D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ln w="28575" cap="rnd">
            <a:solidFill>
              <a:sysClr val="window" lastClr="FFFFFF">
                <a:lumMod val="75000"/>
              </a:sys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ln w="28575" cap="rnd">
            <a:solidFill>
              <a:srgbClr val="A02B93">
                <a:lumMod val="40000"/>
                <a:lumOff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_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9-45C4-B0D2-EA024AC8D742}"/>
            </c:ext>
          </c:extLst>
        </c:ser>
        <c:ser>
          <c:idx val="1"/>
          <c:order val="1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Anduin Vale</c:v>
                </c:pt>
              </c:strCache>
            </c:strRef>
          </c:tx>
          <c:spPr>
            <a:ln w="28575" cap="rnd">
              <a:solidFill>
                <a:srgbClr val="F4EE00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72</c:v>
                </c:pt>
                <c:pt idx="1">
                  <c:v>73</c:v>
                </c:pt>
                <c:pt idx="2">
                  <c:v>74</c:v>
                </c:pt>
                <c:pt idx="3">
                  <c:v>74</c:v>
                </c:pt>
                <c:pt idx="4">
                  <c:v>77</c:v>
                </c:pt>
                <c:pt idx="5">
                  <c:v>84</c:v>
                </c:pt>
                <c:pt idx="6">
                  <c:v>89</c:v>
                </c:pt>
                <c:pt idx="7">
                  <c:v>84</c:v>
                </c:pt>
                <c:pt idx="8">
                  <c:v>87</c:v>
                </c:pt>
                <c:pt idx="9">
                  <c:v>84</c:v>
                </c:pt>
                <c:pt idx="10">
                  <c:v>77</c:v>
                </c:pt>
                <c:pt idx="11">
                  <c:v>73</c:v>
                </c:pt>
                <c:pt idx="12">
                  <c:v>81</c:v>
                </c:pt>
                <c:pt idx="13">
                  <c:v>83</c:v>
                </c:pt>
                <c:pt idx="14">
                  <c:v>80</c:v>
                </c:pt>
                <c:pt idx="15">
                  <c:v>80</c:v>
                </c:pt>
                <c:pt idx="16">
                  <c:v>87</c:v>
                </c:pt>
                <c:pt idx="17">
                  <c:v>87</c:v>
                </c:pt>
                <c:pt idx="18">
                  <c:v>85</c:v>
                </c:pt>
                <c:pt idx="19">
                  <c:v>85</c:v>
                </c:pt>
                <c:pt idx="20">
                  <c:v>66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60</c:v>
                </c:pt>
                <c:pt idx="25">
                  <c:v>60</c:v>
                </c:pt>
                <c:pt idx="26">
                  <c:v>59</c:v>
                </c:pt>
                <c:pt idx="27">
                  <c:v>57</c:v>
                </c:pt>
                <c:pt idx="28">
                  <c:v>70</c:v>
                </c:pt>
                <c:pt idx="29">
                  <c:v>67</c:v>
                </c:pt>
                <c:pt idx="30">
                  <c:v>40</c:v>
                </c:pt>
                <c:pt idx="31">
                  <c:v>36</c:v>
                </c:pt>
                <c:pt idx="32">
                  <c:v>38</c:v>
                </c:pt>
                <c:pt idx="33">
                  <c:v>40</c:v>
                </c:pt>
                <c:pt idx="34">
                  <c:v>29</c:v>
                </c:pt>
                <c:pt idx="35">
                  <c:v>30</c:v>
                </c:pt>
                <c:pt idx="36">
                  <c:v>35</c:v>
                </c:pt>
                <c:pt idx="37">
                  <c:v>21</c:v>
                </c:pt>
                <c:pt idx="38">
                  <c:v>21</c:v>
                </c:pt>
                <c:pt idx="39">
                  <c:v>9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69-45C4-B0D2-EA024AC8D742}"/>
            </c:ext>
          </c:extLst>
        </c:ser>
        <c:ser>
          <c:idx val="2"/>
          <c:order val="2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Balchoth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34</c:v>
                </c:pt>
                <c:pt idx="1">
                  <c:v>29</c:v>
                </c:pt>
                <c:pt idx="2">
                  <c:v>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69-45C4-B0D2-EA024AC8D742}"/>
            </c:ext>
          </c:extLst>
        </c:ser>
        <c:ser>
          <c:idx val="3"/>
          <c:order val="3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Blacklock-Stonefoot League</c:v>
                </c:pt>
              </c:strCache>
            </c:strRef>
          </c:tx>
          <c:spPr>
            <a:ln w="28575" cap="rnd">
              <a:solidFill>
                <a:srgbClr val="A02B93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24</c:v>
                </c:pt>
                <c:pt idx="1">
                  <c:v>24</c:v>
                </c:pt>
                <c:pt idx="2">
                  <c:v>25</c:v>
                </c:pt>
                <c:pt idx="3">
                  <c:v>27</c:v>
                </c:pt>
                <c:pt idx="4">
                  <c:v>29</c:v>
                </c:pt>
                <c:pt idx="5">
                  <c:v>30</c:v>
                </c:pt>
                <c:pt idx="6">
                  <c:v>32</c:v>
                </c:pt>
                <c:pt idx="7">
                  <c:v>32</c:v>
                </c:pt>
                <c:pt idx="8">
                  <c:v>33</c:v>
                </c:pt>
                <c:pt idx="9">
                  <c:v>33</c:v>
                </c:pt>
                <c:pt idx="10">
                  <c:v>33</c:v>
                </c:pt>
                <c:pt idx="11">
                  <c:v>33</c:v>
                </c:pt>
                <c:pt idx="12">
                  <c:v>33</c:v>
                </c:pt>
                <c:pt idx="13">
                  <c:v>34</c:v>
                </c:pt>
                <c:pt idx="14">
                  <c:v>34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37</c:v>
                </c:pt>
                <c:pt idx="25">
                  <c:v>37</c:v>
                </c:pt>
                <c:pt idx="26">
                  <c:v>37</c:v>
                </c:pt>
                <c:pt idx="27">
                  <c:v>38</c:v>
                </c:pt>
                <c:pt idx="28">
                  <c:v>39</c:v>
                </c:pt>
                <c:pt idx="29">
                  <c:v>39</c:v>
                </c:pt>
                <c:pt idx="30">
                  <c:v>39</c:v>
                </c:pt>
                <c:pt idx="31">
                  <c:v>39</c:v>
                </c:pt>
                <c:pt idx="32">
                  <c:v>39</c:v>
                </c:pt>
                <c:pt idx="33">
                  <c:v>40</c:v>
                </c:pt>
                <c:pt idx="34">
                  <c:v>40</c:v>
                </c:pt>
                <c:pt idx="35">
                  <c:v>41</c:v>
                </c:pt>
                <c:pt idx="36">
                  <c:v>44</c:v>
                </c:pt>
                <c:pt idx="37">
                  <c:v>46</c:v>
                </c:pt>
                <c:pt idx="38">
                  <c:v>46</c:v>
                </c:pt>
                <c:pt idx="39">
                  <c:v>46</c:v>
                </c:pt>
                <c:pt idx="40">
                  <c:v>47</c:v>
                </c:pt>
                <c:pt idx="41">
                  <c:v>48</c:v>
                </c:pt>
                <c:pt idx="42">
                  <c:v>48</c:v>
                </c:pt>
                <c:pt idx="43">
                  <c:v>48</c:v>
                </c:pt>
                <c:pt idx="44">
                  <c:v>48</c:v>
                </c:pt>
                <c:pt idx="45">
                  <c:v>48</c:v>
                </c:pt>
                <c:pt idx="46">
                  <c:v>48</c:v>
                </c:pt>
                <c:pt idx="47">
                  <c:v>48</c:v>
                </c:pt>
                <c:pt idx="48">
                  <c:v>49</c:v>
                </c:pt>
                <c:pt idx="49">
                  <c:v>52</c:v>
                </c:pt>
                <c:pt idx="50">
                  <c:v>54</c:v>
                </c:pt>
                <c:pt idx="51">
                  <c:v>57</c:v>
                </c:pt>
                <c:pt idx="52">
                  <c:v>60</c:v>
                </c:pt>
                <c:pt idx="53">
                  <c:v>63</c:v>
                </c:pt>
                <c:pt idx="54">
                  <c:v>66</c:v>
                </c:pt>
                <c:pt idx="55">
                  <c:v>69</c:v>
                </c:pt>
                <c:pt idx="56">
                  <c:v>72</c:v>
                </c:pt>
                <c:pt idx="57">
                  <c:v>72</c:v>
                </c:pt>
                <c:pt idx="58">
                  <c:v>72</c:v>
                </c:pt>
                <c:pt idx="59">
                  <c:v>72</c:v>
                </c:pt>
                <c:pt idx="60">
                  <c:v>72</c:v>
                </c:pt>
                <c:pt idx="61">
                  <c:v>72</c:v>
                </c:pt>
                <c:pt idx="62">
                  <c:v>72</c:v>
                </c:pt>
                <c:pt idx="63">
                  <c:v>72</c:v>
                </c:pt>
                <c:pt idx="64">
                  <c:v>72</c:v>
                </c:pt>
                <c:pt idx="65">
                  <c:v>72</c:v>
                </c:pt>
                <c:pt idx="66">
                  <c:v>73</c:v>
                </c:pt>
                <c:pt idx="67">
                  <c:v>73</c:v>
                </c:pt>
                <c:pt idx="68">
                  <c:v>73</c:v>
                </c:pt>
                <c:pt idx="69">
                  <c:v>73</c:v>
                </c:pt>
                <c:pt idx="70">
                  <c:v>73</c:v>
                </c:pt>
                <c:pt idx="71">
                  <c:v>72</c:v>
                </c:pt>
                <c:pt idx="72">
                  <c:v>72</c:v>
                </c:pt>
                <c:pt idx="73">
                  <c:v>72</c:v>
                </c:pt>
                <c:pt idx="74">
                  <c:v>73</c:v>
                </c:pt>
                <c:pt idx="75">
                  <c:v>73</c:v>
                </c:pt>
                <c:pt idx="76">
                  <c:v>38</c:v>
                </c:pt>
                <c:pt idx="77">
                  <c:v>42</c:v>
                </c:pt>
                <c:pt idx="78">
                  <c:v>42</c:v>
                </c:pt>
                <c:pt idx="79">
                  <c:v>41</c:v>
                </c:pt>
                <c:pt idx="80">
                  <c:v>44</c:v>
                </c:pt>
                <c:pt idx="81">
                  <c:v>37.700000000000003</c:v>
                </c:pt>
                <c:pt idx="82">
                  <c:v>38.700000000000003</c:v>
                </c:pt>
                <c:pt idx="83">
                  <c:v>40.700000000000003</c:v>
                </c:pt>
                <c:pt idx="84">
                  <c:v>34.200000000000003</c:v>
                </c:pt>
                <c:pt idx="85">
                  <c:v>31.2</c:v>
                </c:pt>
                <c:pt idx="86">
                  <c:v>30.2</c:v>
                </c:pt>
                <c:pt idx="87">
                  <c:v>25.2</c:v>
                </c:pt>
                <c:pt idx="88">
                  <c:v>23.2</c:v>
                </c:pt>
                <c:pt idx="89">
                  <c:v>22.2</c:v>
                </c:pt>
                <c:pt idx="90">
                  <c:v>21.2</c:v>
                </c:pt>
                <c:pt idx="91">
                  <c:v>19.2</c:v>
                </c:pt>
                <c:pt idx="92">
                  <c:v>19.2</c:v>
                </c:pt>
                <c:pt idx="93">
                  <c:v>18.2</c:v>
                </c:pt>
                <c:pt idx="94">
                  <c:v>14.2</c:v>
                </c:pt>
                <c:pt idx="95">
                  <c:v>13.2</c:v>
                </c:pt>
                <c:pt idx="96">
                  <c:v>17.399999999999999</c:v>
                </c:pt>
                <c:pt idx="97">
                  <c:v>18.399999999999999</c:v>
                </c:pt>
                <c:pt idx="98">
                  <c:v>19.5</c:v>
                </c:pt>
                <c:pt idx="99">
                  <c:v>20.6</c:v>
                </c:pt>
                <c:pt idx="100">
                  <c:v>20.6</c:v>
                </c:pt>
                <c:pt idx="101">
                  <c:v>20.6</c:v>
                </c:pt>
                <c:pt idx="102">
                  <c:v>20.6</c:v>
                </c:pt>
                <c:pt idx="103">
                  <c:v>21.7</c:v>
                </c:pt>
                <c:pt idx="104">
                  <c:v>22.8</c:v>
                </c:pt>
                <c:pt idx="105">
                  <c:v>26.4</c:v>
                </c:pt>
                <c:pt idx="106">
                  <c:v>25.4</c:v>
                </c:pt>
                <c:pt idx="107">
                  <c:v>26.5</c:v>
                </c:pt>
                <c:pt idx="108">
                  <c:v>27.6</c:v>
                </c:pt>
                <c:pt idx="109">
                  <c:v>29.7</c:v>
                </c:pt>
                <c:pt idx="110">
                  <c:v>33</c:v>
                </c:pt>
                <c:pt idx="111">
                  <c:v>35.200000000000003</c:v>
                </c:pt>
                <c:pt idx="112">
                  <c:v>41.2</c:v>
                </c:pt>
                <c:pt idx="113">
                  <c:v>43.4</c:v>
                </c:pt>
                <c:pt idx="114">
                  <c:v>45.6</c:v>
                </c:pt>
                <c:pt idx="115">
                  <c:v>47.8</c:v>
                </c:pt>
                <c:pt idx="116">
                  <c:v>47.8</c:v>
                </c:pt>
                <c:pt idx="117">
                  <c:v>50</c:v>
                </c:pt>
                <c:pt idx="118">
                  <c:v>51.1</c:v>
                </c:pt>
                <c:pt idx="119">
                  <c:v>52.2</c:v>
                </c:pt>
                <c:pt idx="120">
                  <c:v>53.2</c:v>
                </c:pt>
                <c:pt idx="121">
                  <c:v>52.2</c:v>
                </c:pt>
                <c:pt idx="122">
                  <c:v>52.2</c:v>
                </c:pt>
                <c:pt idx="123">
                  <c:v>53.2</c:v>
                </c:pt>
                <c:pt idx="124">
                  <c:v>57.7</c:v>
                </c:pt>
                <c:pt idx="125">
                  <c:v>63.099999999999902</c:v>
                </c:pt>
                <c:pt idx="126">
                  <c:v>67.400000000000006</c:v>
                </c:pt>
                <c:pt idx="127">
                  <c:v>67.400000000000006</c:v>
                </c:pt>
                <c:pt idx="128">
                  <c:v>73.400000000000006</c:v>
                </c:pt>
                <c:pt idx="129">
                  <c:v>78.8</c:v>
                </c:pt>
                <c:pt idx="130">
                  <c:v>84</c:v>
                </c:pt>
                <c:pt idx="131">
                  <c:v>84</c:v>
                </c:pt>
                <c:pt idx="132">
                  <c:v>83</c:v>
                </c:pt>
                <c:pt idx="133">
                  <c:v>83</c:v>
                </c:pt>
                <c:pt idx="134">
                  <c:v>83</c:v>
                </c:pt>
                <c:pt idx="135">
                  <c:v>64</c:v>
                </c:pt>
                <c:pt idx="136">
                  <c:v>64</c:v>
                </c:pt>
                <c:pt idx="137">
                  <c:v>65</c:v>
                </c:pt>
                <c:pt idx="138">
                  <c:v>64</c:v>
                </c:pt>
                <c:pt idx="139">
                  <c:v>65</c:v>
                </c:pt>
                <c:pt idx="140">
                  <c:v>67.099999999999994</c:v>
                </c:pt>
                <c:pt idx="141">
                  <c:v>68.099999999999994</c:v>
                </c:pt>
                <c:pt idx="142">
                  <c:v>66.099999999999994</c:v>
                </c:pt>
                <c:pt idx="143">
                  <c:v>73.099999999999994</c:v>
                </c:pt>
                <c:pt idx="144">
                  <c:v>74.199999999999903</c:v>
                </c:pt>
                <c:pt idx="145">
                  <c:v>79.7</c:v>
                </c:pt>
                <c:pt idx="146">
                  <c:v>82</c:v>
                </c:pt>
                <c:pt idx="147">
                  <c:v>84.2</c:v>
                </c:pt>
                <c:pt idx="148">
                  <c:v>87.8</c:v>
                </c:pt>
                <c:pt idx="149">
                  <c:v>92.499999999999901</c:v>
                </c:pt>
                <c:pt idx="150">
                  <c:v>90.3</c:v>
                </c:pt>
                <c:pt idx="151">
                  <c:v>91.3</c:v>
                </c:pt>
                <c:pt idx="152">
                  <c:v>91.3</c:v>
                </c:pt>
                <c:pt idx="153">
                  <c:v>95.6</c:v>
                </c:pt>
                <c:pt idx="154">
                  <c:v>98.6</c:v>
                </c:pt>
                <c:pt idx="155">
                  <c:v>98</c:v>
                </c:pt>
                <c:pt idx="156">
                  <c:v>101</c:v>
                </c:pt>
                <c:pt idx="157">
                  <c:v>108.3</c:v>
                </c:pt>
                <c:pt idx="158">
                  <c:v>108.3</c:v>
                </c:pt>
                <c:pt idx="159">
                  <c:v>116.6</c:v>
                </c:pt>
                <c:pt idx="160">
                  <c:v>120.9</c:v>
                </c:pt>
                <c:pt idx="161">
                  <c:v>131.5</c:v>
                </c:pt>
                <c:pt idx="162">
                  <c:v>133.5</c:v>
                </c:pt>
                <c:pt idx="163">
                  <c:v>133.5</c:v>
                </c:pt>
                <c:pt idx="164">
                  <c:v>133.5</c:v>
                </c:pt>
                <c:pt idx="165">
                  <c:v>135.5</c:v>
                </c:pt>
                <c:pt idx="166">
                  <c:v>135.5</c:v>
                </c:pt>
                <c:pt idx="167">
                  <c:v>138.5</c:v>
                </c:pt>
                <c:pt idx="168">
                  <c:v>145.1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69-45C4-B0D2-EA024AC8D742}"/>
            </c:ext>
          </c:extLst>
        </c:ser>
        <c:ser>
          <c:idx val="4"/>
          <c:order val="4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Corsairs of Umbar</c:v>
                </c:pt>
              </c:strCache>
            </c:strRef>
          </c:tx>
          <c:spPr>
            <a:ln w="28575" cap="rnd">
              <a:solidFill>
                <a:srgbClr val="FE937E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34</c:v>
                </c:pt>
                <c:pt idx="1">
                  <c:v>36</c:v>
                </c:pt>
                <c:pt idx="2">
                  <c:v>36</c:v>
                </c:pt>
                <c:pt idx="3">
                  <c:v>38</c:v>
                </c:pt>
                <c:pt idx="4">
                  <c:v>40</c:v>
                </c:pt>
                <c:pt idx="5">
                  <c:v>42</c:v>
                </c:pt>
                <c:pt idx="6">
                  <c:v>43</c:v>
                </c:pt>
                <c:pt idx="7">
                  <c:v>44</c:v>
                </c:pt>
                <c:pt idx="8">
                  <c:v>44</c:v>
                </c:pt>
                <c:pt idx="9">
                  <c:v>45</c:v>
                </c:pt>
                <c:pt idx="10">
                  <c:v>50</c:v>
                </c:pt>
                <c:pt idx="11">
                  <c:v>51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52</c:v>
                </c:pt>
                <c:pt idx="16">
                  <c:v>53</c:v>
                </c:pt>
                <c:pt idx="17">
                  <c:v>52</c:v>
                </c:pt>
                <c:pt idx="18">
                  <c:v>58.1</c:v>
                </c:pt>
                <c:pt idx="19">
                  <c:v>57.2</c:v>
                </c:pt>
                <c:pt idx="20">
                  <c:v>57.3</c:v>
                </c:pt>
                <c:pt idx="21">
                  <c:v>65.3</c:v>
                </c:pt>
                <c:pt idx="22">
                  <c:v>64.3</c:v>
                </c:pt>
                <c:pt idx="23">
                  <c:v>66.400000000000006</c:v>
                </c:pt>
                <c:pt idx="24">
                  <c:v>71.8</c:v>
                </c:pt>
                <c:pt idx="25">
                  <c:v>77.099999999999994</c:v>
                </c:pt>
                <c:pt idx="26">
                  <c:v>81.5</c:v>
                </c:pt>
                <c:pt idx="27">
                  <c:v>84.7</c:v>
                </c:pt>
                <c:pt idx="28">
                  <c:v>85.7</c:v>
                </c:pt>
                <c:pt idx="29">
                  <c:v>87.8</c:v>
                </c:pt>
                <c:pt idx="30">
                  <c:v>87.8</c:v>
                </c:pt>
                <c:pt idx="31">
                  <c:v>87.8</c:v>
                </c:pt>
                <c:pt idx="32">
                  <c:v>87.8</c:v>
                </c:pt>
                <c:pt idx="33">
                  <c:v>88.8</c:v>
                </c:pt>
                <c:pt idx="34">
                  <c:v>89.8</c:v>
                </c:pt>
                <c:pt idx="35">
                  <c:v>89.8</c:v>
                </c:pt>
                <c:pt idx="36">
                  <c:v>91.8</c:v>
                </c:pt>
                <c:pt idx="37">
                  <c:v>92.8</c:v>
                </c:pt>
                <c:pt idx="38">
                  <c:v>96.8</c:v>
                </c:pt>
                <c:pt idx="39">
                  <c:v>98.8</c:v>
                </c:pt>
                <c:pt idx="40">
                  <c:v>102.6</c:v>
                </c:pt>
                <c:pt idx="41">
                  <c:v>106.6</c:v>
                </c:pt>
                <c:pt idx="42">
                  <c:v>109.6</c:v>
                </c:pt>
                <c:pt idx="43">
                  <c:v>113.6</c:v>
                </c:pt>
                <c:pt idx="44">
                  <c:v>91.6</c:v>
                </c:pt>
                <c:pt idx="45">
                  <c:v>91.6</c:v>
                </c:pt>
                <c:pt idx="46">
                  <c:v>90.6</c:v>
                </c:pt>
                <c:pt idx="47">
                  <c:v>91.6</c:v>
                </c:pt>
                <c:pt idx="48">
                  <c:v>90.6</c:v>
                </c:pt>
                <c:pt idx="49">
                  <c:v>91.6</c:v>
                </c:pt>
                <c:pt idx="50">
                  <c:v>91.6</c:v>
                </c:pt>
                <c:pt idx="51">
                  <c:v>94</c:v>
                </c:pt>
                <c:pt idx="52">
                  <c:v>100</c:v>
                </c:pt>
                <c:pt idx="53">
                  <c:v>104.8</c:v>
                </c:pt>
                <c:pt idx="54">
                  <c:v>110.8</c:v>
                </c:pt>
                <c:pt idx="55">
                  <c:v>110.8</c:v>
                </c:pt>
                <c:pt idx="56">
                  <c:v>110.8</c:v>
                </c:pt>
                <c:pt idx="57">
                  <c:v>112</c:v>
                </c:pt>
                <c:pt idx="58">
                  <c:v>114</c:v>
                </c:pt>
                <c:pt idx="59">
                  <c:v>115</c:v>
                </c:pt>
                <c:pt idx="60">
                  <c:v>116</c:v>
                </c:pt>
                <c:pt idx="61">
                  <c:v>117</c:v>
                </c:pt>
                <c:pt idx="62">
                  <c:v>117</c:v>
                </c:pt>
                <c:pt idx="63">
                  <c:v>119</c:v>
                </c:pt>
                <c:pt idx="64">
                  <c:v>125</c:v>
                </c:pt>
                <c:pt idx="65">
                  <c:v>129</c:v>
                </c:pt>
                <c:pt idx="66">
                  <c:v>132</c:v>
                </c:pt>
                <c:pt idx="67">
                  <c:v>132</c:v>
                </c:pt>
                <c:pt idx="68">
                  <c:v>138</c:v>
                </c:pt>
                <c:pt idx="69">
                  <c:v>140</c:v>
                </c:pt>
                <c:pt idx="70">
                  <c:v>143</c:v>
                </c:pt>
                <c:pt idx="71">
                  <c:v>149.4</c:v>
                </c:pt>
                <c:pt idx="72">
                  <c:v>153.4</c:v>
                </c:pt>
                <c:pt idx="73">
                  <c:v>156.80000000000001</c:v>
                </c:pt>
                <c:pt idx="74">
                  <c:v>157.80000000000001</c:v>
                </c:pt>
                <c:pt idx="75">
                  <c:v>156.80000000000001</c:v>
                </c:pt>
                <c:pt idx="76">
                  <c:v>157.80000000000001</c:v>
                </c:pt>
                <c:pt idx="77">
                  <c:v>156.80000000000001</c:v>
                </c:pt>
                <c:pt idx="78">
                  <c:v>157.80000000000001</c:v>
                </c:pt>
                <c:pt idx="79">
                  <c:v>161</c:v>
                </c:pt>
                <c:pt idx="80">
                  <c:v>163</c:v>
                </c:pt>
                <c:pt idx="81">
                  <c:v>162</c:v>
                </c:pt>
                <c:pt idx="82">
                  <c:v>163</c:v>
                </c:pt>
                <c:pt idx="83">
                  <c:v>162</c:v>
                </c:pt>
                <c:pt idx="84">
                  <c:v>163</c:v>
                </c:pt>
                <c:pt idx="85">
                  <c:v>162</c:v>
                </c:pt>
                <c:pt idx="86">
                  <c:v>163</c:v>
                </c:pt>
                <c:pt idx="87">
                  <c:v>162</c:v>
                </c:pt>
                <c:pt idx="88">
                  <c:v>161</c:v>
                </c:pt>
                <c:pt idx="89">
                  <c:v>161</c:v>
                </c:pt>
                <c:pt idx="90">
                  <c:v>162</c:v>
                </c:pt>
                <c:pt idx="91">
                  <c:v>162</c:v>
                </c:pt>
                <c:pt idx="92">
                  <c:v>161</c:v>
                </c:pt>
                <c:pt idx="93">
                  <c:v>160</c:v>
                </c:pt>
                <c:pt idx="94">
                  <c:v>161</c:v>
                </c:pt>
                <c:pt idx="95">
                  <c:v>161</c:v>
                </c:pt>
                <c:pt idx="96">
                  <c:v>161</c:v>
                </c:pt>
                <c:pt idx="97">
                  <c:v>163</c:v>
                </c:pt>
                <c:pt idx="98">
                  <c:v>170</c:v>
                </c:pt>
                <c:pt idx="99">
                  <c:v>173.7</c:v>
                </c:pt>
                <c:pt idx="100">
                  <c:v>174.7</c:v>
                </c:pt>
                <c:pt idx="101">
                  <c:v>175.7</c:v>
                </c:pt>
                <c:pt idx="102">
                  <c:v>175.7</c:v>
                </c:pt>
                <c:pt idx="103">
                  <c:v>183.7</c:v>
                </c:pt>
                <c:pt idx="104">
                  <c:v>198.7</c:v>
                </c:pt>
                <c:pt idx="105">
                  <c:v>212.8</c:v>
                </c:pt>
                <c:pt idx="106">
                  <c:v>219.8</c:v>
                </c:pt>
                <c:pt idx="107">
                  <c:v>224.8</c:v>
                </c:pt>
                <c:pt idx="108">
                  <c:v>230.8</c:v>
                </c:pt>
                <c:pt idx="109">
                  <c:v>243.8</c:v>
                </c:pt>
                <c:pt idx="110">
                  <c:v>241.8</c:v>
                </c:pt>
                <c:pt idx="111">
                  <c:v>244.8</c:v>
                </c:pt>
                <c:pt idx="112">
                  <c:v>247.8</c:v>
                </c:pt>
                <c:pt idx="113">
                  <c:v>247.8</c:v>
                </c:pt>
                <c:pt idx="114">
                  <c:v>244.8</c:v>
                </c:pt>
                <c:pt idx="115">
                  <c:v>245.8</c:v>
                </c:pt>
                <c:pt idx="116">
                  <c:v>246.8</c:v>
                </c:pt>
                <c:pt idx="117">
                  <c:v>245.8</c:v>
                </c:pt>
                <c:pt idx="118">
                  <c:v>249.8</c:v>
                </c:pt>
                <c:pt idx="119">
                  <c:v>253.8</c:v>
                </c:pt>
                <c:pt idx="120">
                  <c:v>254.8</c:v>
                </c:pt>
                <c:pt idx="121">
                  <c:v>260.8</c:v>
                </c:pt>
                <c:pt idx="122">
                  <c:v>260.8</c:v>
                </c:pt>
                <c:pt idx="123">
                  <c:v>260.8</c:v>
                </c:pt>
                <c:pt idx="124">
                  <c:v>260.8</c:v>
                </c:pt>
                <c:pt idx="125">
                  <c:v>238</c:v>
                </c:pt>
                <c:pt idx="126">
                  <c:v>246.1</c:v>
                </c:pt>
                <c:pt idx="127">
                  <c:v>237.1</c:v>
                </c:pt>
                <c:pt idx="128">
                  <c:v>243.4</c:v>
                </c:pt>
                <c:pt idx="129">
                  <c:v>251.89999999999901</c:v>
                </c:pt>
                <c:pt idx="130">
                  <c:v>249.29999999999899</c:v>
                </c:pt>
                <c:pt idx="131">
                  <c:v>247.7</c:v>
                </c:pt>
                <c:pt idx="132">
                  <c:v>256</c:v>
                </c:pt>
                <c:pt idx="133">
                  <c:v>257</c:v>
                </c:pt>
                <c:pt idx="134">
                  <c:v>262.2</c:v>
                </c:pt>
                <c:pt idx="135">
                  <c:v>213.2</c:v>
                </c:pt>
                <c:pt idx="136">
                  <c:v>214.2</c:v>
                </c:pt>
                <c:pt idx="137">
                  <c:v>213.1</c:v>
                </c:pt>
                <c:pt idx="138">
                  <c:v>212.39999999999901</c:v>
                </c:pt>
                <c:pt idx="139">
                  <c:v>221.89999999999901</c:v>
                </c:pt>
                <c:pt idx="140">
                  <c:v>225.1</c:v>
                </c:pt>
                <c:pt idx="141">
                  <c:v>235.3</c:v>
                </c:pt>
                <c:pt idx="142">
                  <c:v>239.3</c:v>
                </c:pt>
                <c:pt idx="143">
                  <c:v>238.8</c:v>
                </c:pt>
                <c:pt idx="144">
                  <c:v>233.2</c:v>
                </c:pt>
                <c:pt idx="145">
                  <c:v>242.6</c:v>
                </c:pt>
                <c:pt idx="146">
                  <c:v>249.6</c:v>
                </c:pt>
                <c:pt idx="147">
                  <c:v>239.4</c:v>
                </c:pt>
                <c:pt idx="148">
                  <c:v>240.2</c:v>
                </c:pt>
                <c:pt idx="149">
                  <c:v>245.8</c:v>
                </c:pt>
                <c:pt idx="150">
                  <c:v>254.6</c:v>
                </c:pt>
                <c:pt idx="151">
                  <c:v>264.10000000000002</c:v>
                </c:pt>
                <c:pt idx="152">
                  <c:v>275.2</c:v>
                </c:pt>
                <c:pt idx="153">
                  <c:v>274.2</c:v>
                </c:pt>
                <c:pt idx="154">
                  <c:v>279.7</c:v>
                </c:pt>
                <c:pt idx="155">
                  <c:v>287.5</c:v>
                </c:pt>
                <c:pt idx="156">
                  <c:v>293.79999999999899</c:v>
                </c:pt>
                <c:pt idx="157">
                  <c:v>306.10000000000002</c:v>
                </c:pt>
                <c:pt idx="158">
                  <c:v>310.39999999999998</c:v>
                </c:pt>
                <c:pt idx="159">
                  <c:v>308.60000000000002</c:v>
                </c:pt>
                <c:pt idx="160">
                  <c:v>316.60000000000002</c:v>
                </c:pt>
                <c:pt idx="161">
                  <c:v>314.60000000000002</c:v>
                </c:pt>
                <c:pt idx="162">
                  <c:v>313.60000000000002</c:v>
                </c:pt>
                <c:pt idx="163">
                  <c:v>313.60000000000002</c:v>
                </c:pt>
                <c:pt idx="164">
                  <c:v>323.60000000000002</c:v>
                </c:pt>
                <c:pt idx="165">
                  <c:v>324.60000000000002</c:v>
                </c:pt>
                <c:pt idx="166">
                  <c:v>325.60000000000002</c:v>
                </c:pt>
                <c:pt idx="167">
                  <c:v>330.6</c:v>
                </c:pt>
                <c:pt idx="168">
                  <c:v>335.6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69-45C4-B0D2-EA024AC8D742}"/>
            </c:ext>
          </c:extLst>
        </c:ser>
        <c:ser>
          <c:idx val="5"/>
          <c:order val="5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Dale</c:v>
                </c:pt>
              </c:strCache>
            </c:strRef>
          </c:tx>
          <c:spPr>
            <a:ln w="50800" cap="rnd">
              <a:solidFill>
                <a:srgbClr val="0F9ED5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86</c:v>
                </c:pt>
                <c:pt idx="1">
                  <c:v>85</c:v>
                </c:pt>
                <c:pt idx="2">
                  <c:v>91</c:v>
                </c:pt>
                <c:pt idx="3">
                  <c:v>91</c:v>
                </c:pt>
                <c:pt idx="4">
                  <c:v>100</c:v>
                </c:pt>
                <c:pt idx="5">
                  <c:v>103</c:v>
                </c:pt>
                <c:pt idx="6">
                  <c:v>106</c:v>
                </c:pt>
                <c:pt idx="7">
                  <c:v>109</c:v>
                </c:pt>
                <c:pt idx="8">
                  <c:v>111</c:v>
                </c:pt>
                <c:pt idx="9">
                  <c:v>116</c:v>
                </c:pt>
                <c:pt idx="10">
                  <c:v>112</c:v>
                </c:pt>
                <c:pt idx="11">
                  <c:v>116</c:v>
                </c:pt>
                <c:pt idx="12">
                  <c:v>114</c:v>
                </c:pt>
                <c:pt idx="13">
                  <c:v>118</c:v>
                </c:pt>
                <c:pt idx="14">
                  <c:v>113</c:v>
                </c:pt>
                <c:pt idx="15">
                  <c:v>120</c:v>
                </c:pt>
                <c:pt idx="16">
                  <c:v>117</c:v>
                </c:pt>
                <c:pt idx="17">
                  <c:v>105</c:v>
                </c:pt>
                <c:pt idx="18">
                  <c:v>110</c:v>
                </c:pt>
                <c:pt idx="19">
                  <c:v>104</c:v>
                </c:pt>
                <c:pt idx="20">
                  <c:v>106.4</c:v>
                </c:pt>
                <c:pt idx="21">
                  <c:v>100.4</c:v>
                </c:pt>
                <c:pt idx="22">
                  <c:v>99.4</c:v>
                </c:pt>
                <c:pt idx="23">
                  <c:v>102.4</c:v>
                </c:pt>
                <c:pt idx="24">
                  <c:v>102.4</c:v>
                </c:pt>
                <c:pt idx="25">
                  <c:v>101.4</c:v>
                </c:pt>
                <c:pt idx="26">
                  <c:v>84.4</c:v>
                </c:pt>
                <c:pt idx="27">
                  <c:v>86.4</c:v>
                </c:pt>
                <c:pt idx="28">
                  <c:v>76</c:v>
                </c:pt>
                <c:pt idx="29">
                  <c:v>78</c:v>
                </c:pt>
                <c:pt idx="30">
                  <c:v>75</c:v>
                </c:pt>
                <c:pt idx="31">
                  <c:v>75</c:v>
                </c:pt>
                <c:pt idx="32">
                  <c:v>78</c:v>
                </c:pt>
                <c:pt idx="33">
                  <c:v>70</c:v>
                </c:pt>
                <c:pt idx="34">
                  <c:v>72.099999999999994</c:v>
                </c:pt>
                <c:pt idx="35">
                  <c:v>72.099999999999994</c:v>
                </c:pt>
                <c:pt idx="36">
                  <c:v>55.6</c:v>
                </c:pt>
                <c:pt idx="37">
                  <c:v>58.6</c:v>
                </c:pt>
                <c:pt idx="38">
                  <c:v>58.6</c:v>
                </c:pt>
                <c:pt idx="39">
                  <c:v>41</c:v>
                </c:pt>
                <c:pt idx="40">
                  <c:v>44</c:v>
                </c:pt>
                <c:pt idx="41">
                  <c:v>47</c:v>
                </c:pt>
                <c:pt idx="42">
                  <c:v>48</c:v>
                </c:pt>
                <c:pt idx="43">
                  <c:v>50.6</c:v>
                </c:pt>
                <c:pt idx="44">
                  <c:v>49.6</c:v>
                </c:pt>
                <c:pt idx="45">
                  <c:v>37.700000000000003</c:v>
                </c:pt>
                <c:pt idx="46">
                  <c:v>49.8</c:v>
                </c:pt>
                <c:pt idx="47">
                  <c:v>49.6</c:v>
                </c:pt>
                <c:pt idx="48">
                  <c:v>49.6</c:v>
                </c:pt>
                <c:pt idx="49">
                  <c:v>49.6</c:v>
                </c:pt>
                <c:pt idx="50">
                  <c:v>48.6</c:v>
                </c:pt>
                <c:pt idx="51">
                  <c:v>49.6</c:v>
                </c:pt>
                <c:pt idx="52">
                  <c:v>48.6</c:v>
                </c:pt>
                <c:pt idx="53">
                  <c:v>48.6</c:v>
                </c:pt>
                <c:pt idx="54">
                  <c:v>42.6</c:v>
                </c:pt>
                <c:pt idx="55">
                  <c:v>50.6</c:v>
                </c:pt>
                <c:pt idx="56">
                  <c:v>56.6</c:v>
                </c:pt>
                <c:pt idx="57">
                  <c:v>63.4</c:v>
                </c:pt>
                <c:pt idx="58">
                  <c:v>69.3</c:v>
                </c:pt>
                <c:pt idx="59">
                  <c:v>69.3</c:v>
                </c:pt>
                <c:pt idx="60">
                  <c:v>82.7</c:v>
                </c:pt>
                <c:pt idx="61">
                  <c:v>92</c:v>
                </c:pt>
                <c:pt idx="62">
                  <c:v>99.4</c:v>
                </c:pt>
                <c:pt idx="63">
                  <c:v>82.8</c:v>
                </c:pt>
                <c:pt idx="64">
                  <c:v>77.8</c:v>
                </c:pt>
                <c:pt idx="65">
                  <c:v>82.6</c:v>
                </c:pt>
                <c:pt idx="66">
                  <c:v>59</c:v>
                </c:pt>
                <c:pt idx="67">
                  <c:v>59</c:v>
                </c:pt>
                <c:pt idx="68">
                  <c:v>65</c:v>
                </c:pt>
                <c:pt idx="69">
                  <c:v>69</c:v>
                </c:pt>
                <c:pt idx="70">
                  <c:v>71</c:v>
                </c:pt>
                <c:pt idx="71">
                  <c:v>39</c:v>
                </c:pt>
                <c:pt idx="72">
                  <c:v>55</c:v>
                </c:pt>
                <c:pt idx="73">
                  <c:v>24.6</c:v>
                </c:pt>
                <c:pt idx="74">
                  <c:v>24.6</c:v>
                </c:pt>
                <c:pt idx="75">
                  <c:v>25.5</c:v>
                </c:pt>
                <c:pt idx="76">
                  <c:v>25.5</c:v>
                </c:pt>
                <c:pt idx="77">
                  <c:v>21.8</c:v>
                </c:pt>
                <c:pt idx="78">
                  <c:v>28.4</c:v>
                </c:pt>
                <c:pt idx="79">
                  <c:v>19.399999999999999</c:v>
                </c:pt>
                <c:pt idx="80">
                  <c:v>17</c:v>
                </c:pt>
                <c:pt idx="81">
                  <c:v>19.600000000000001</c:v>
                </c:pt>
                <c:pt idx="82">
                  <c:v>14.6</c:v>
                </c:pt>
                <c:pt idx="83">
                  <c:v>14.6</c:v>
                </c:pt>
                <c:pt idx="84">
                  <c:v>14.6</c:v>
                </c:pt>
                <c:pt idx="85">
                  <c:v>14.6</c:v>
                </c:pt>
                <c:pt idx="86">
                  <c:v>14.6</c:v>
                </c:pt>
                <c:pt idx="87">
                  <c:v>14.6</c:v>
                </c:pt>
                <c:pt idx="88">
                  <c:v>14.6</c:v>
                </c:pt>
                <c:pt idx="89">
                  <c:v>14.6</c:v>
                </c:pt>
                <c:pt idx="90">
                  <c:v>14.6</c:v>
                </c:pt>
                <c:pt idx="91">
                  <c:v>14.6</c:v>
                </c:pt>
                <c:pt idx="92">
                  <c:v>14.6</c:v>
                </c:pt>
                <c:pt idx="93">
                  <c:v>14.6</c:v>
                </c:pt>
                <c:pt idx="94">
                  <c:v>14.6</c:v>
                </c:pt>
                <c:pt idx="95">
                  <c:v>14.6</c:v>
                </c:pt>
                <c:pt idx="96">
                  <c:v>5.6</c:v>
                </c:pt>
                <c:pt idx="97">
                  <c:v>5.6</c:v>
                </c:pt>
                <c:pt idx="98">
                  <c:v>5.6</c:v>
                </c:pt>
                <c:pt idx="99">
                  <c:v>5.6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69-45C4-B0D2-EA024AC8D742}"/>
            </c:ext>
          </c:extLst>
        </c:ser>
        <c:ser>
          <c:idx val="6"/>
          <c:order val="6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Dol Guldur</c:v>
                </c:pt>
              </c:strCache>
            </c:strRef>
          </c:tx>
          <c:spPr>
            <a:ln w="28575" cap="rnd">
              <a:solidFill>
                <a:srgbClr val="4EA72E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47</c:v>
                </c:pt>
                <c:pt idx="5">
                  <c:v>52</c:v>
                </c:pt>
                <c:pt idx="6">
                  <c:v>58</c:v>
                </c:pt>
                <c:pt idx="7">
                  <c:v>66</c:v>
                </c:pt>
                <c:pt idx="8">
                  <c:v>67</c:v>
                </c:pt>
                <c:pt idx="9">
                  <c:v>78</c:v>
                </c:pt>
                <c:pt idx="10">
                  <c:v>84</c:v>
                </c:pt>
                <c:pt idx="11">
                  <c:v>92</c:v>
                </c:pt>
                <c:pt idx="12">
                  <c:v>96</c:v>
                </c:pt>
                <c:pt idx="13">
                  <c:v>99</c:v>
                </c:pt>
                <c:pt idx="14">
                  <c:v>103</c:v>
                </c:pt>
                <c:pt idx="15">
                  <c:v>111</c:v>
                </c:pt>
                <c:pt idx="16">
                  <c:v>118</c:v>
                </c:pt>
                <c:pt idx="17">
                  <c:v>118</c:v>
                </c:pt>
                <c:pt idx="18">
                  <c:v>119</c:v>
                </c:pt>
                <c:pt idx="19">
                  <c:v>114.1</c:v>
                </c:pt>
                <c:pt idx="20">
                  <c:v>105</c:v>
                </c:pt>
                <c:pt idx="21">
                  <c:v>106</c:v>
                </c:pt>
                <c:pt idx="22">
                  <c:v>109</c:v>
                </c:pt>
                <c:pt idx="23">
                  <c:v>108</c:v>
                </c:pt>
                <c:pt idx="24">
                  <c:v>118</c:v>
                </c:pt>
                <c:pt idx="25">
                  <c:v>120</c:v>
                </c:pt>
                <c:pt idx="26">
                  <c:v>123</c:v>
                </c:pt>
                <c:pt idx="27">
                  <c:v>130</c:v>
                </c:pt>
                <c:pt idx="28">
                  <c:v>130</c:v>
                </c:pt>
                <c:pt idx="29">
                  <c:v>130</c:v>
                </c:pt>
                <c:pt idx="30">
                  <c:v>147</c:v>
                </c:pt>
                <c:pt idx="31">
                  <c:v>147</c:v>
                </c:pt>
                <c:pt idx="32">
                  <c:v>150</c:v>
                </c:pt>
                <c:pt idx="33">
                  <c:v>152</c:v>
                </c:pt>
                <c:pt idx="34">
                  <c:v>155</c:v>
                </c:pt>
                <c:pt idx="35">
                  <c:v>158</c:v>
                </c:pt>
                <c:pt idx="36">
                  <c:v>160.69999999999999</c:v>
                </c:pt>
                <c:pt idx="37">
                  <c:v>161.69999999999999</c:v>
                </c:pt>
                <c:pt idx="38">
                  <c:v>162.69999999999999</c:v>
                </c:pt>
                <c:pt idx="39">
                  <c:v>168.7</c:v>
                </c:pt>
                <c:pt idx="40">
                  <c:v>167.7</c:v>
                </c:pt>
                <c:pt idx="41">
                  <c:v>177.5</c:v>
                </c:pt>
                <c:pt idx="42">
                  <c:v>179.6</c:v>
                </c:pt>
                <c:pt idx="43">
                  <c:v>180.7</c:v>
                </c:pt>
                <c:pt idx="44">
                  <c:v>179.7</c:v>
                </c:pt>
                <c:pt idx="45">
                  <c:v>180.7</c:v>
                </c:pt>
                <c:pt idx="46">
                  <c:v>180.7</c:v>
                </c:pt>
                <c:pt idx="47">
                  <c:v>180.7</c:v>
                </c:pt>
                <c:pt idx="48">
                  <c:v>182.7</c:v>
                </c:pt>
                <c:pt idx="49">
                  <c:v>181.7</c:v>
                </c:pt>
                <c:pt idx="50">
                  <c:v>181.7</c:v>
                </c:pt>
                <c:pt idx="51">
                  <c:v>181.7</c:v>
                </c:pt>
                <c:pt idx="52">
                  <c:v>181.7</c:v>
                </c:pt>
                <c:pt idx="53">
                  <c:v>181.7</c:v>
                </c:pt>
                <c:pt idx="54">
                  <c:v>185.7</c:v>
                </c:pt>
                <c:pt idx="55">
                  <c:v>189.7</c:v>
                </c:pt>
                <c:pt idx="56">
                  <c:v>196.6</c:v>
                </c:pt>
                <c:pt idx="57">
                  <c:v>207.5</c:v>
                </c:pt>
                <c:pt idx="58">
                  <c:v>203</c:v>
                </c:pt>
                <c:pt idx="59">
                  <c:v>203</c:v>
                </c:pt>
                <c:pt idx="60">
                  <c:v>203</c:v>
                </c:pt>
                <c:pt idx="61">
                  <c:v>203.9</c:v>
                </c:pt>
                <c:pt idx="62">
                  <c:v>217.9</c:v>
                </c:pt>
                <c:pt idx="63">
                  <c:v>223.7</c:v>
                </c:pt>
                <c:pt idx="64">
                  <c:v>222.7</c:v>
                </c:pt>
                <c:pt idx="65">
                  <c:v>224.3</c:v>
                </c:pt>
                <c:pt idx="66">
                  <c:v>221.9</c:v>
                </c:pt>
                <c:pt idx="67">
                  <c:v>222.9</c:v>
                </c:pt>
                <c:pt idx="68">
                  <c:v>221.9</c:v>
                </c:pt>
                <c:pt idx="69">
                  <c:v>221.9</c:v>
                </c:pt>
                <c:pt idx="70">
                  <c:v>221.9</c:v>
                </c:pt>
                <c:pt idx="71">
                  <c:v>221.9</c:v>
                </c:pt>
                <c:pt idx="72">
                  <c:v>221.9</c:v>
                </c:pt>
                <c:pt idx="73">
                  <c:v>222.9</c:v>
                </c:pt>
                <c:pt idx="74">
                  <c:v>226.9</c:v>
                </c:pt>
                <c:pt idx="75">
                  <c:v>226.9</c:v>
                </c:pt>
                <c:pt idx="76">
                  <c:v>227.9</c:v>
                </c:pt>
                <c:pt idx="77">
                  <c:v>227.9</c:v>
                </c:pt>
                <c:pt idx="78">
                  <c:v>230.9</c:v>
                </c:pt>
                <c:pt idx="79">
                  <c:v>224.9</c:v>
                </c:pt>
                <c:pt idx="80">
                  <c:v>229.4</c:v>
                </c:pt>
                <c:pt idx="81">
                  <c:v>254.1</c:v>
                </c:pt>
                <c:pt idx="82">
                  <c:v>245.1</c:v>
                </c:pt>
                <c:pt idx="83">
                  <c:v>249.1</c:v>
                </c:pt>
                <c:pt idx="84">
                  <c:v>249.8</c:v>
                </c:pt>
                <c:pt idx="85">
                  <c:v>234.4</c:v>
                </c:pt>
                <c:pt idx="86">
                  <c:v>234.2</c:v>
                </c:pt>
                <c:pt idx="87">
                  <c:v>250.4</c:v>
                </c:pt>
                <c:pt idx="88">
                  <c:v>243.4</c:v>
                </c:pt>
                <c:pt idx="89">
                  <c:v>222.4</c:v>
                </c:pt>
                <c:pt idx="90">
                  <c:v>245.4</c:v>
                </c:pt>
                <c:pt idx="91">
                  <c:v>250.4</c:v>
                </c:pt>
                <c:pt idx="92">
                  <c:v>262.10000000000002</c:v>
                </c:pt>
                <c:pt idx="93">
                  <c:v>279.89999999999998</c:v>
                </c:pt>
                <c:pt idx="94">
                  <c:v>289.39999999999998</c:v>
                </c:pt>
                <c:pt idx="95">
                  <c:v>293.2</c:v>
                </c:pt>
                <c:pt idx="96">
                  <c:v>307.29999999999899</c:v>
                </c:pt>
                <c:pt idx="97">
                  <c:v>312.7</c:v>
                </c:pt>
                <c:pt idx="98">
                  <c:v>297.8</c:v>
                </c:pt>
                <c:pt idx="99">
                  <c:v>306</c:v>
                </c:pt>
                <c:pt idx="100">
                  <c:v>306</c:v>
                </c:pt>
                <c:pt idx="101">
                  <c:v>311.5</c:v>
                </c:pt>
                <c:pt idx="102">
                  <c:v>311.5</c:v>
                </c:pt>
                <c:pt idx="103">
                  <c:v>312.2</c:v>
                </c:pt>
                <c:pt idx="104">
                  <c:v>319.8</c:v>
                </c:pt>
                <c:pt idx="105">
                  <c:v>319.8</c:v>
                </c:pt>
                <c:pt idx="106">
                  <c:v>321.8</c:v>
                </c:pt>
                <c:pt idx="107">
                  <c:v>338.6</c:v>
                </c:pt>
                <c:pt idx="108">
                  <c:v>358.1</c:v>
                </c:pt>
                <c:pt idx="109">
                  <c:v>367.1</c:v>
                </c:pt>
                <c:pt idx="110">
                  <c:v>367.1</c:v>
                </c:pt>
                <c:pt idx="111">
                  <c:v>367.1</c:v>
                </c:pt>
                <c:pt idx="112">
                  <c:v>323.10000000000002</c:v>
                </c:pt>
                <c:pt idx="113">
                  <c:v>323.10000000000002</c:v>
                </c:pt>
                <c:pt idx="114">
                  <c:v>325.10000000000002</c:v>
                </c:pt>
                <c:pt idx="115">
                  <c:v>325.10000000000002</c:v>
                </c:pt>
                <c:pt idx="116">
                  <c:v>331.7</c:v>
                </c:pt>
                <c:pt idx="117">
                  <c:v>330.6</c:v>
                </c:pt>
                <c:pt idx="118">
                  <c:v>330.6</c:v>
                </c:pt>
                <c:pt idx="119">
                  <c:v>335.6</c:v>
                </c:pt>
                <c:pt idx="120">
                  <c:v>330.8</c:v>
                </c:pt>
                <c:pt idx="121">
                  <c:v>316.60000000000002</c:v>
                </c:pt>
                <c:pt idx="122">
                  <c:v>318.60000000000002</c:v>
                </c:pt>
                <c:pt idx="123">
                  <c:v>325.10000000000002</c:v>
                </c:pt>
                <c:pt idx="124">
                  <c:v>330.6</c:v>
                </c:pt>
                <c:pt idx="125">
                  <c:v>350.4</c:v>
                </c:pt>
                <c:pt idx="126">
                  <c:v>363.6</c:v>
                </c:pt>
                <c:pt idx="127">
                  <c:v>380.2</c:v>
                </c:pt>
                <c:pt idx="128">
                  <c:v>411.1</c:v>
                </c:pt>
                <c:pt idx="129">
                  <c:v>437</c:v>
                </c:pt>
                <c:pt idx="130">
                  <c:v>448</c:v>
                </c:pt>
                <c:pt idx="131">
                  <c:v>454.6</c:v>
                </c:pt>
                <c:pt idx="132">
                  <c:v>448.6</c:v>
                </c:pt>
                <c:pt idx="133">
                  <c:v>424.8</c:v>
                </c:pt>
                <c:pt idx="134">
                  <c:v>441.4</c:v>
                </c:pt>
                <c:pt idx="135">
                  <c:v>435.4</c:v>
                </c:pt>
                <c:pt idx="136">
                  <c:v>441.4</c:v>
                </c:pt>
                <c:pt idx="137">
                  <c:v>454.4</c:v>
                </c:pt>
                <c:pt idx="138">
                  <c:v>432.4</c:v>
                </c:pt>
                <c:pt idx="139">
                  <c:v>436.4</c:v>
                </c:pt>
                <c:pt idx="140">
                  <c:v>436.4</c:v>
                </c:pt>
                <c:pt idx="141">
                  <c:v>437.4</c:v>
                </c:pt>
                <c:pt idx="142">
                  <c:v>447.6</c:v>
                </c:pt>
                <c:pt idx="143">
                  <c:v>448.8</c:v>
                </c:pt>
                <c:pt idx="144">
                  <c:v>452.8</c:v>
                </c:pt>
                <c:pt idx="145">
                  <c:v>453.8</c:v>
                </c:pt>
                <c:pt idx="146">
                  <c:v>454.9</c:v>
                </c:pt>
                <c:pt idx="147">
                  <c:v>457.9</c:v>
                </c:pt>
                <c:pt idx="148">
                  <c:v>454.2</c:v>
                </c:pt>
                <c:pt idx="149">
                  <c:v>428.79999999999899</c:v>
                </c:pt>
                <c:pt idx="150">
                  <c:v>402.8</c:v>
                </c:pt>
                <c:pt idx="151">
                  <c:v>414.6</c:v>
                </c:pt>
                <c:pt idx="152">
                  <c:v>386.6</c:v>
                </c:pt>
                <c:pt idx="153">
                  <c:v>387.6</c:v>
                </c:pt>
                <c:pt idx="154">
                  <c:v>388.6</c:v>
                </c:pt>
                <c:pt idx="155">
                  <c:v>387.6</c:v>
                </c:pt>
                <c:pt idx="156">
                  <c:v>389.6</c:v>
                </c:pt>
                <c:pt idx="157">
                  <c:v>368.2</c:v>
                </c:pt>
                <c:pt idx="158">
                  <c:v>360.2</c:v>
                </c:pt>
                <c:pt idx="159">
                  <c:v>358.5</c:v>
                </c:pt>
                <c:pt idx="160">
                  <c:v>370.6</c:v>
                </c:pt>
                <c:pt idx="161">
                  <c:v>368.5</c:v>
                </c:pt>
                <c:pt idx="162">
                  <c:v>355.7</c:v>
                </c:pt>
                <c:pt idx="163">
                  <c:v>376.6</c:v>
                </c:pt>
                <c:pt idx="164">
                  <c:v>406</c:v>
                </c:pt>
                <c:pt idx="165">
                  <c:v>420</c:v>
                </c:pt>
                <c:pt idx="166">
                  <c:v>421.4</c:v>
                </c:pt>
                <c:pt idx="167">
                  <c:v>437.2</c:v>
                </c:pt>
                <c:pt idx="168">
                  <c:v>446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69-45C4-B0D2-EA024AC8D742}"/>
            </c:ext>
          </c:extLst>
        </c:ser>
        <c:ser>
          <c:idx val="7"/>
          <c:order val="7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Druedain</c:v>
                </c:pt>
              </c:strCache>
            </c:strRef>
          </c:tx>
          <c:spPr>
            <a:ln w="28575" cap="rnd">
              <a:solidFill>
                <a:srgbClr val="FFCCCC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26</c:v>
                </c:pt>
                <c:pt idx="9">
                  <c:v>27</c:v>
                </c:pt>
                <c:pt idx="10">
                  <c:v>27</c:v>
                </c:pt>
                <c:pt idx="11">
                  <c:v>28</c:v>
                </c:pt>
                <c:pt idx="12">
                  <c:v>28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34</c:v>
                </c:pt>
                <c:pt idx="28">
                  <c:v>34</c:v>
                </c:pt>
                <c:pt idx="29">
                  <c:v>34</c:v>
                </c:pt>
                <c:pt idx="30">
                  <c:v>34</c:v>
                </c:pt>
                <c:pt idx="31">
                  <c:v>34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35</c:v>
                </c:pt>
                <c:pt idx="36">
                  <c:v>41</c:v>
                </c:pt>
                <c:pt idx="37">
                  <c:v>41</c:v>
                </c:pt>
                <c:pt idx="38">
                  <c:v>43</c:v>
                </c:pt>
                <c:pt idx="39">
                  <c:v>43</c:v>
                </c:pt>
                <c:pt idx="40">
                  <c:v>43</c:v>
                </c:pt>
                <c:pt idx="41">
                  <c:v>40</c:v>
                </c:pt>
                <c:pt idx="42">
                  <c:v>40</c:v>
                </c:pt>
                <c:pt idx="43">
                  <c:v>37</c:v>
                </c:pt>
                <c:pt idx="44">
                  <c:v>37</c:v>
                </c:pt>
                <c:pt idx="45">
                  <c:v>30</c:v>
                </c:pt>
                <c:pt idx="46">
                  <c:v>30</c:v>
                </c:pt>
                <c:pt idx="47">
                  <c:v>12</c:v>
                </c:pt>
                <c:pt idx="48">
                  <c:v>15</c:v>
                </c:pt>
                <c:pt idx="49">
                  <c:v>18</c:v>
                </c:pt>
                <c:pt idx="50">
                  <c:v>19</c:v>
                </c:pt>
                <c:pt idx="51">
                  <c:v>18</c:v>
                </c:pt>
                <c:pt idx="52">
                  <c:v>19</c:v>
                </c:pt>
                <c:pt idx="53">
                  <c:v>12</c:v>
                </c:pt>
                <c:pt idx="54">
                  <c:v>9</c:v>
                </c:pt>
                <c:pt idx="55">
                  <c:v>9</c:v>
                </c:pt>
                <c:pt idx="56">
                  <c:v>12</c:v>
                </c:pt>
                <c:pt idx="57">
                  <c:v>17</c:v>
                </c:pt>
                <c:pt idx="58">
                  <c:v>20</c:v>
                </c:pt>
                <c:pt idx="59">
                  <c:v>21</c:v>
                </c:pt>
                <c:pt idx="60">
                  <c:v>21</c:v>
                </c:pt>
                <c:pt idx="61">
                  <c:v>21</c:v>
                </c:pt>
                <c:pt idx="62">
                  <c:v>21</c:v>
                </c:pt>
                <c:pt idx="63">
                  <c:v>12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69-45C4-B0D2-EA024AC8D742}"/>
            </c:ext>
          </c:extLst>
        </c:ser>
        <c:ser>
          <c:idx val="8"/>
          <c:order val="8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Dunlendings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39</c:v>
                </c:pt>
                <c:pt idx="1">
                  <c:v>39</c:v>
                </c:pt>
                <c:pt idx="2">
                  <c:v>41</c:v>
                </c:pt>
                <c:pt idx="3">
                  <c:v>41</c:v>
                </c:pt>
                <c:pt idx="4">
                  <c:v>41</c:v>
                </c:pt>
                <c:pt idx="5">
                  <c:v>44</c:v>
                </c:pt>
                <c:pt idx="6">
                  <c:v>45</c:v>
                </c:pt>
                <c:pt idx="7">
                  <c:v>48</c:v>
                </c:pt>
                <c:pt idx="8">
                  <c:v>51</c:v>
                </c:pt>
                <c:pt idx="9">
                  <c:v>52</c:v>
                </c:pt>
                <c:pt idx="10">
                  <c:v>56</c:v>
                </c:pt>
                <c:pt idx="11">
                  <c:v>56</c:v>
                </c:pt>
                <c:pt idx="12">
                  <c:v>61</c:v>
                </c:pt>
                <c:pt idx="13">
                  <c:v>61</c:v>
                </c:pt>
                <c:pt idx="14">
                  <c:v>62</c:v>
                </c:pt>
                <c:pt idx="15">
                  <c:v>62</c:v>
                </c:pt>
                <c:pt idx="16">
                  <c:v>58</c:v>
                </c:pt>
                <c:pt idx="17">
                  <c:v>58</c:v>
                </c:pt>
                <c:pt idx="18">
                  <c:v>61</c:v>
                </c:pt>
                <c:pt idx="19">
                  <c:v>64</c:v>
                </c:pt>
                <c:pt idx="20">
                  <c:v>56</c:v>
                </c:pt>
                <c:pt idx="21">
                  <c:v>57.9</c:v>
                </c:pt>
                <c:pt idx="22">
                  <c:v>57.9</c:v>
                </c:pt>
                <c:pt idx="23">
                  <c:v>56.9</c:v>
                </c:pt>
                <c:pt idx="24">
                  <c:v>57.9</c:v>
                </c:pt>
                <c:pt idx="25">
                  <c:v>57.9</c:v>
                </c:pt>
                <c:pt idx="26">
                  <c:v>57.9</c:v>
                </c:pt>
                <c:pt idx="27">
                  <c:v>57.9</c:v>
                </c:pt>
                <c:pt idx="28">
                  <c:v>57.9</c:v>
                </c:pt>
                <c:pt idx="29">
                  <c:v>57.9</c:v>
                </c:pt>
                <c:pt idx="30">
                  <c:v>57.9</c:v>
                </c:pt>
                <c:pt idx="31">
                  <c:v>57.9</c:v>
                </c:pt>
                <c:pt idx="32">
                  <c:v>56.9</c:v>
                </c:pt>
                <c:pt idx="33">
                  <c:v>56.9</c:v>
                </c:pt>
                <c:pt idx="34">
                  <c:v>57.9</c:v>
                </c:pt>
                <c:pt idx="35">
                  <c:v>56.9</c:v>
                </c:pt>
                <c:pt idx="36">
                  <c:v>72.900000000000006</c:v>
                </c:pt>
                <c:pt idx="37">
                  <c:v>73.900000000000006</c:v>
                </c:pt>
                <c:pt idx="38">
                  <c:v>82.9</c:v>
                </c:pt>
                <c:pt idx="39">
                  <c:v>88.9</c:v>
                </c:pt>
                <c:pt idx="40">
                  <c:v>97.9</c:v>
                </c:pt>
                <c:pt idx="41">
                  <c:v>101.6</c:v>
                </c:pt>
                <c:pt idx="42">
                  <c:v>103.6</c:v>
                </c:pt>
                <c:pt idx="43">
                  <c:v>104.6</c:v>
                </c:pt>
                <c:pt idx="44">
                  <c:v>104.6</c:v>
                </c:pt>
                <c:pt idx="45">
                  <c:v>122.6</c:v>
                </c:pt>
                <c:pt idx="46">
                  <c:v>122.8</c:v>
                </c:pt>
                <c:pt idx="47">
                  <c:v>142.4</c:v>
                </c:pt>
                <c:pt idx="48">
                  <c:v>137.4</c:v>
                </c:pt>
                <c:pt idx="49">
                  <c:v>142.5</c:v>
                </c:pt>
                <c:pt idx="50">
                  <c:v>141.5</c:v>
                </c:pt>
                <c:pt idx="51">
                  <c:v>144.6</c:v>
                </c:pt>
                <c:pt idx="52">
                  <c:v>146.80000000000001</c:v>
                </c:pt>
                <c:pt idx="53">
                  <c:v>147.80000000000001</c:v>
                </c:pt>
                <c:pt idx="54">
                  <c:v>147.80000000000001</c:v>
                </c:pt>
                <c:pt idx="55">
                  <c:v>150.80000000000001</c:v>
                </c:pt>
                <c:pt idx="56">
                  <c:v>151.80000000000001</c:v>
                </c:pt>
                <c:pt idx="57">
                  <c:v>154.69999999999999</c:v>
                </c:pt>
                <c:pt idx="58">
                  <c:v>155.69999999999999</c:v>
                </c:pt>
                <c:pt idx="59">
                  <c:v>155.69999999999999</c:v>
                </c:pt>
                <c:pt idx="60">
                  <c:v>164.7</c:v>
                </c:pt>
                <c:pt idx="61">
                  <c:v>171</c:v>
                </c:pt>
                <c:pt idx="62">
                  <c:v>176</c:v>
                </c:pt>
                <c:pt idx="63">
                  <c:v>177</c:v>
                </c:pt>
                <c:pt idx="64">
                  <c:v>188</c:v>
                </c:pt>
                <c:pt idx="65">
                  <c:v>185</c:v>
                </c:pt>
                <c:pt idx="66">
                  <c:v>191</c:v>
                </c:pt>
                <c:pt idx="67">
                  <c:v>191</c:v>
                </c:pt>
                <c:pt idx="68">
                  <c:v>191</c:v>
                </c:pt>
                <c:pt idx="69">
                  <c:v>191</c:v>
                </c:pt>
                <c:pt idx="70">
                  <c:v>191</c:v>
                </c:pt>
                <c:pt idx="71">
                  <c:v>191</c:v>
                </c:pt>
                <c:pt idx="72">
                  <c:v>191</c:v>
                </c:pt>
                <c:pt idx="73">
                  <c:v>191</c:v>
                </c:pt>
                <c:pt idx="74">
                  <c:v>191</c:v>
                </c:pt>
                <c:pt idx="75">
                  <c:v>191</c:v>
                </c:pt>
                <c:pt idx="76">
                  <c:v>191</c:v>
                </c:pt>
                <c:pt idx="77">
                  <c:v>191</c:v>
                </c:pt>
                <c:pt idx="78">
                  <c:v>191</c:v>
                </c:pt>
                <c:pt idx="79">
                  <c:v>191</c:v>
                </c:pt>
                <c:pt idx="80">
                  <c:v>191</c:v>
                </c:pt>
                <c:pt idx="81">
                  <c:v>191</c:v>
                </c:pt>
                <c:pt idx="82">
                  <c:v>191</c:v>
                </c:pt>
                <c:pt idx="83">
                  <c:v>191</c:v>
                </c:pt>
                <c:pt idx="84">
                  <c:v>207</c:v>
                </c:pt>
                <c:pt idx="85">
                  <c:v>213</c:v>
                </c:pt>
                <c:pt idx="86">
                  <c:v>225</c:v>
                </c:pt>
                <c:pt idx="87">
                  <c:v>230</c:v>
                </c:pt>
                <c:pt idx="88">
                  <c:v>234</c:v>
                </c:pt>
                <c:pt idx="89">
                  <c:v>238</c:v>
                </c:pt>
                <c:pt idx="90">
                  <c:v>240</c:v>
                </c:pt>
                <c:pt idx="91">
                  <c:v>244</c:v>
                </c:pt>
                <c:pt idx="92">
                  <c:v>246</c:v>
                </c:pt>
                <c:pt idx="93">
                  <c:v>246</c:v>
                </c:pt>
                <c:pt idx="94">
                  <c:v>246</c:v>
                </c:pt>
                <c:pt idx="95">
                  <c:v>247</c:v>
                </c:pt>
                <c:pt idx="96">
                  <c:v>256</c:v>
                </c:pt>
                <c:pt idx="97">
                  <c:v>258</c:v>
                </c:pt>
                <c:pt idx="98">
                  <c:v>258</c:v>
                </c:pt>
                <c:pt idx="99">
                  <c:v>258</c:v>
                </c:pt>
                <c:pt idx="100">
                  <c:v>258</c:v>
                </c:pt>
                <c:pt idx="101">
                  <c:v>258</c:v>
                </c:pt>
                <c:pt idx="102">
                  <c:v>258</c:v>
                </c:pt>
                <c:pt idx="103">
                  <c:v>258</c:v>
                </c:pt>
                <c:pt idx="104">
                  <c:v>258</c:v>
                </c:pt>
                <c:pt idx="105">
                  <c:v>258</c:v>
                </c:pt>
                <c:pt idx="106">
                  <c:v>258</c:v>
                </c:pt>
                <c:pt idx="107">
                  <c:v>258</c:v>
                </c:pt>
                <c:pt idx="108">
                  <c:v>258</c:v>
                </c:pt>
                <c:pt idx="109">
                  <c:v>258</c:v>
                </c:pt>
                <c:pt idx="110">
                  <c:v>253</c:v>
                </c:pt>
                <c:pt idx="111">
                  <c:v>253</c:v>
                </c:pt>
                <c:pt idx="112">
                  <c:v>253</c:v>
                </c:pt>
                <c:pt idx="113">
                  <c:v>247</c:v>
                </c:pt>
                <c:pt idx="114">
                  <c:v>244.6</c:v>
                </c:pt>
                <c:pt idx="115">
                  <c:v>227.39999999999901</c:v>
                </c:pt>
                <c:pt idx="116">
                  <c:v>214.6</c:v>
                </c:pt>
                <c:pt idx="117">
                  <c:v>217.6</c:v>
                </c:pt>
                <c:pt idx="118">
                  <c:v>226.6</c:v>
                </c:pt>
                <c:pt idx="119">
                  <c:v>234</c:v>
                </c:pt>
                <c:pt idx="120">
                  <c:v>242</c:v>
                </c:pt>
                <c:pt idx="121">
                  <c:v>249</c:v>
                </c:pt>
                <c:pt idx="122">
                  <c:v>221</c:v>
                </c:pt>
                <c:pt idx="123">
                  <c:v>222</c:v>
                </c:pt>
                <c:pt idx="124">
                  <c:v>239.5</c:v>
                </c:pt>
                <c:pt idx="125">
                  <c:v>246.5</c:v>
                </c:pt>
                <c:pt idx="126">
                  <c:v>262.10000000000002</c:v>
                </c:pt>
                <c:pt idx="127">
                  <c:v>281</c:v>
                </c:pt>
                <c:pt idx="128">
                  <c:v>290.3</c:v>
                </c:pt>
                <c:pt idx="129">
                  <c:v>299.3</c:v>
                </c:pt>
                <c:pt idx="130">
                  <c:v>281.3</c:v>
                </c:pt>
                <c:pt idx="131">
                  <c:v>284.89999999999998</c:v>
                </c:pt>
                <c:pt idx="132">
                  <c:v>271.10000000000002</c:v>
                </c:pt>
                <c:pt idx="133">
                  <c:v>277.10000000000002</c:v>
                </c:pt>
                <c:pt idx="134">
                  <c:v>279.10000000000002</c:v>
                </c:pt>
                <c:pt idx="135">
                  <c:v>277</c:v>
                </c:pt>
                <c:pt idx="136">
                  <c:v>250.39999999999901</c:v>
                </c:pt>
                <c:pt idx="137">
                  <c:v>257.89999999999998</c:v>
                </c:pt>
                <c:pt idx="138">
                  <c:v>234</c:v>
                </c:pt>
                <c:pt idx="139">
                  <c:v>245.7</c:v>
                </c:pt>
                <c:pt idx="140">
                  <c:v>252.5</c:v>
                </c:pt>
                <c:pt idx="141">
                  <c:v>209.8</c:v>
                </c:pt>
                <c:pt idx="142">
                  <c:v>216.7</c:v>
                </c:pt>
                <c:pt idx="143">
                  <c:v>229.6</c:v>
                </c:pt>
                <c:pt idx="144">
                  <c:v>234.5</c:v>
                </c:pt>
                <c:pt idx="145">
                  <c:v>233.89999999999901</c:v>
                </c:pt>
                <c:pt idx="146">
                  <c:v>198.6</c:v>
                </c:pt>
                <c:pt idx="147">
                  <c:v>177.5</c:v>
                </c:pt>
                <c:pt idx="148">
                  <c:v>167.6</c:v>
                </c:pt>
                <c:pt idx="149">
                  <c:v>174.2</c:v>
                </c:pt>
                <c:pt idx="150">
                  <c:v>144.6</c:v>
                </c:pt>
                <c:pt idx="151">
                  <c:v>149.6</c:v>
                </c:pt>
                <c:pt idx="152">
                  <c:v>151.69999999999999</c:v>
                </c:pt>
                <c:pt idx="153">
                  <c:v>159.6</c:v>
                </c:pt>
                <c:pt idx="154">
                  <c:v>165.8</c:v>
                </c:pt>
                <c:pt idx="155">
                  <c:v>172.6</c:v>
                </c:pt>
                <c:pt idx="156">
                  <c:v>180.1</c:v>
                </c:pt>
                <c:pt idx="157">
                  <c:v>162</c:v>
                </c:pt>
                <c:pt idx="158">
                  <c:v>160.89999999999901</c:v>
                </c:pt>
                <c:pt idx="159">
                  <c:v>173.099999999999</c:v>
                </c:pt>
                <c:pt idx="160">
                  <c:v>105.8</c:v>
                </c:pt>
                <c:pt idx="161">
                  <c:v>106.8</c:v>
                </c:pt>
                <c:pt idx="162">
                  <c:v>107.8</c:v>
                </c:pt>
                <c:pt idx="163">
                  <c:v>109.399999999999</c:v>
                </c:pt>
                <c:pt idx="164">
                  <c:v>97.2</c:v>
                </c:pt>
                <c:pt idx="165">
                  <c:v>53.1</c:v>
                </c:pt>
                <c:pt idx="166">
                  <c:v>37.1</c:v>
                </c:pt>
                <c:pt idx="167">
                  <c:v>1.1000000000000001</c:v>
                </c:pt>
                <c:pt idx="168">
                  <c:v>1.1000000000000001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69-45C4-B0D2-EA024AC8D742}"/>
            </c:ext>
          </c:extLst>
        </c:ser>
        <c:ser>
          <c:idx val="9"/>
          <c:order val="9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Erebor</c:v>
                </c:pt>
              </c:strCache>
            </c:strRef>
          </c:tx>
          <c:spPr>
            <a:ln w="50800" cap="rnd">
              <a:solidFill>
                <a:srgbClr val="A02B93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30</c:v>
                </c:pt>
                <c:pt idx="1">
                  <c:v>33</c:v>
                </c:pt>
                <c:pt idx="2">
                  <c:v>34</c:v>
                </c:pt>
                <c:pt idx="3">
                  <c:v>37</c:v>
                </c:pt>
                <c:pt idx="4">
                  <c:v>38</c:v>
                </c:pt>
                <c:pt idx="5">
                  <c:v>40</c:v>
                </c:pt>
                <c:pt idx="6">
                  <c:v>42</c:v>
                </c:pt>
                <c:pt idx="7">
                  <c:v>42</c:v>
                </c:pt>
                <c:pt idx="8">
                  <c:v>43</c:v>
                </c:pt>
                <c:pt idx="9">
                  <c:v>46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56</c:v>
                </c:pt>
                <c:pt idx="14">
                  <c:v>55</c:v>
                </c:pt>
                <c:pt idx="15">
                  <c:v>64</c:v>
                </c:pt>
                <c:pt idx="16">
                  <c:v>65</c:v>
                </c:pt>
                <c:pt idx="17">
                  <c:v>65</c:v>
                </c:pt>
                <c:pt idx="18">
                  <c:v>66</c:v>
                </c:pt>
                <c:pt idx="19">
                  <c:v>67</c:v>
                </c:pt>
                <c:pt idx="20">
                  <c:v>68</c:v>
                </c:pt>
                <c:pt idx="21">
                  <c:v>68</c:v>
                </c:pt>
                <c:pt idx="22">
                  <c:v>71</c:v>
                </c:pt>
                <c:pt idx="23">
                  <c:v>75</c:v>
                </c:pt>
                <c:pt idx="24">
                  <c:v>77</c:v>
                </c:pt>
                <c:pt idx="25">
                  <c:v>76</c:v>
                </c:pt>
                <c:pt idx="26">
                  <c:v>77</c:v>
                </c:pt>
                <c:pt idx="27">
                  <c:v>77</c:v>
                </c:pt>
                <c:pt idx="28">
                  <c:v>54</c:v>
                </c:pt>
                <c:pt idx="29">
                  <c:v>56.1</c:v>
                </c:pt>
                <c:pt idx="30">
                  <c:v>59.4</c:v>
                </c:pt>
                <c:pt idx="31">
                  <c:v>65.3</c:v>
                </c:pt>
                <c:pt idx="32">
                  <c:v>67.2</c:v>
                </c:pt>
                <c:pt idx="33">
                  <c:v>70.2</c:v>
                </c:pt>
                <c:pt idx="34">
                  <c:v>74.3</c:v>
                </c:pt>
                <c:pt idx="35">
                  <c:v>75.099999999999994</c:v>
                </c:pt>
                <c:pt idx="36">
                  <c:v>78.099999999999994</c:v>
                </c:pt>
                <c:pt idx="37">
                  <c:v>78.099999999999994</c:v>
                </c:pt>
                <c:pt idx="38">
                  <c:v>81.400000000000006</c:v>
                </c:pt>
                <c:pt idx="39">
                  <c:v>83.7</c:v>
                </c:pt>
                <c:pt idx="40">
                  <c:v>83.7</c:v>
                </c:pt>
                <c:pt idx="41">
                  <c:v>75.7</c:v>
                </c:pt>
                <c:pt idx="42">
                  <c:v>57.7</c:v>
                </c:pt>
                <c:pt idx="43">
                  <c:v>60.8</c:v>
                </c:pt>
                <c:pt idx="44">
                  <c:v>72.8</c:v>
                </c:pt>
                <c:pt idx="45">
                  <c:v>75.8</c:v>
                </c:pt>
                <c:pt idx="46">
                  <c:v>77.8</c:v>
                </c:pt>
                <c:pt idx="47">
                  <c:v>82.8</c:v>
                </c:pt>
                <c:pt idx="48">
                  <c:v>85.8</c:v>
                </c:pt>
                <c:pt idx="49">
                  <c:v>90.1</c:v>
                </c:pt>
                <c:pt idx="50">
                  <c:v>61.1</c:v>
                </c:pt>
                <c:pt idx="51">
                  <c:v>51.1</c:v>
                </c:pt>
                <c:pt idx="52">
                  <c:v>65.2</c:v>
                </c:pt>
                <c:pt idx="53">
                  <c:v>26.1</c:v>
                </c:pt>
                <c:pt idx="54">
                  <c:v>37.299999999999997</c:v>
                </c:pt>
                <c:pt idx="55">
                  <c:v>37.1</c:v>
                </c:pt>
                <c:pt idx="56">
                  <c:v>27</c:v>
                </c:pt>
                <c:pt idx="57">
                  <c:v>26</c:v>
                </c:pt>
                <c:pt idx="58">
                  <c:v>27</c:v>
                </c:pt>
                <c:pt idx="59">
                  <c:v>32.200000000000003</c:v>
                </c:pt>
                <c:pt idx="60">
                  <c:v>36.799999999999997</c:v>
                </c:pt>
                <c:pt idx="61">
                  <c:v>37.4</c:v>
                </c:pt>
                <c:pt idx="62">
                  <c:v>44</c:v>
                </c:pt>
                <c:pt idx="63">
                  <c:v>44</c:v>
                </c:pt>
                <c:pt idx="64">
                  <c:v>34</c:v>
                </c:pt>
                <c:pt idx="65">
                  <c:v>34</c:v>
                </c:pt>
                <c:pt idx="66">
                  <c:v>32</c:v>
                </c:pt>
                <c:pt idx="67">
                  <c:v>27.6</c:v>
                </c:pt>
                <c:pt idx="68">
                  <c:v>35.5</c:v>
                </c:pt>
                <c:pt idx="69">
                  <c:v>40</c:v>
                </c:pt>
                <c:pt idx="70">
                  <c:v>42.8</c:v>
                </c:pt>
                <c:pt idx="71">
                  <c:v>46.4</c:v>
                </c:pt>
                <c:pt idx="72">
                  <c:v>21.599999999999898</c:v>
                </c:pt>
                <c:pt idx="73">
                  <c:v>16.399999999999999</c:v>
                </c:pt>
                <c:pt idx="74">
                  <c:v>18</c:v>
                </c:pt>
                <c:pt idx="75">
                  <c:v>18</c:v>
                </c:pt>
                <c:pt idx="76">
                  <c:v>0</c:v>
                </c:pt>
                <c:pt idx="77">
                  <c:v>1.2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469-45C4-B0D2-EA024AC8D742}"/>
            </c:ext>
          </c:extLst>
        </c:ser>
        <c:ser>
          <c:idx val="10"/>
          <c:order val="10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Feredrim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31</c:v>
                </c:pt>
                <c:pt idx="1">
                  <c:v>32</c:v>
                </c:pt>
                <c:pt idx="2">
                  <c:v>34</c:v>
                </c:pt>
                <c:pt idx="3">
                  <c:v>38</c:v>
                </c:pt>
                <c:pt idx="4">
                  <c:v>43</c:v>
                </c:pt>
                <c:pt idx="5">
                  <c:v>45</c:v>
                </c:pt>
                <c:pt idx="6">
                  <c:v>45</c:v>
                </c:pt>
                <c:pt idx="7">
                  <c:v>41</c:v>
                </c:pt>
                <c:pt idx="8">
                  <c:v>41</c:v>
                </c:pt>
                <c:pt idx="9">
                  <c:v>45</c:v>
                </c:pt>
                <c:pt idx="10">
                  <c:v>48</c:v>
                </c:pt>
                <c:pt idx="11">
                  <c:v>54</c:v>
                </c:pt>
                <c:pt idx="12">
                  <c:v>53</c:v>
                </c:pt>
                <c:pt idx="13">
                  <c:v>52</c:v>
                </c:pt>
                <c:pt idx="14">
                  <c:v>53</c:v>
                </c:pt>
                <c:pt idx="15">
                  <c:v>63</c:v>
                </c:pt>
                <c:pt idx="16">
                  <c:v>63</c:v>
                </c:pt>
                <c:pt idx="17">
                  <c:v>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69-45C4-B0D2-EA024AC8D742}"/>
            </c:ext>
          </c:extLst>
        </c:ser>
        <c:ser>
          <c:idx val="11"/>
          <c:order val="11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Goblins</c:v>
                </c:pt>
              </c:strCache>
            </c:strRef>
          </c:tx>
          <c:spPr>
            <a:ln w="28575" cap="rnd">
              <a:solidFill>
                <a:srgbClr val="E8E8E8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51</c:v>
                </c:pt>
                <c:pt idx="1">
                  <c:v>52</c:v>
                </c:pt>
                <c:pt idx="2">
                  <c:v>52</c:v>
                </c:pt>
                <c:pt idx="3">
                  <c:v>52</c:v>
                </c:pt>
                <c:pt idx="4">
                  <c:v>57</c:v>
                </c:pt>
                <c:pt idx="5">
                  <c:v>67</c:v>
                </c:pt>
                <c:pt idx="6">
                  <c:v>71</c:v>
                </c:pt>
                <c:pt idx="7">
                  <c:v>74</c:v>
                </c:pt>
                <c:pt idx="8">
                  <c:v>79</c:v>
                </c:pt>
                <c:pt idx="9">
                  <c:v>79</c:v>
                </c:pt>
                <c:pt idx="10">
                  <c:v>84</c:v>
                </c:pt>
                <c:pt idx="11">
                  <c:v>94</c:v>
                </c:pt>
                <c:pt idx="12">
                  <c:v>97</c:v>
                </c:pt>
                <c:pt idx="13">
                  <c:v>101.9</c:v>
                </c:pt>
                <c:pt idx="14">
                  <c:v>107.9</c:v>
                </c:pt>
                <c:pt idx="15">
                  <c:v>116.9</c:v>
                </c:pt>
                <c:pt idx="16">
                  <c:v>123.9</c:v>
                </c:pt>
                <c:pt idx="17">
                  <c:v>124.9</c:v>
                </c:pt>
                <c:pt idx="18">
                  <c:v>124.9</c:v>
                </c:pt>
                <c:pt idx="19">
                  <c:v>124.9</c:v>
                </c:pt>
                <c:pt idx="20">
                  <c:v>124.9</c:v>
                </c:pt>
                <c:pt idx="21">
                  <c:v>124.9</c:v>
                </c:pt>
                <c:pt idx="22">
                  <c:v>123.9</c:v>
                </c:pt>
                <c:pt idx="23">
                  <c:v>126.9</c:v>
                </c:pt>
                <c:pt idx="24">
                  <c:v>128.80000000000001</c:v>
                </c:pt>
                <c:pt idx="25">
                  <c:v>134.69999999999999</c:v>
                </c:pt>
                <c:pt idx="26">
                  <c:v>134.69999999999999</c:v>
                </c:pt>
                <c:pt idx="27">
                  <c:v>132.80000000000001</c:v>
                </c:pt>
                <c:pt idx="28">
                  <c:v>138.80000000000001</c:v>
                </c:pt>
                <c:pt idx="29">
                  <c:v>131.4</c:v>
                </c:pt>
                <c:pt idx="30">
                  <c:v>126.8</c:v>
                </c:pt>
                <c:pt idx="31">
                  <c:v>137.80000000000001</c:v>
                </c:pt>
                <c:pt idx="32">
                  <c:v>139.4</c:v>
                </c:pt>
                <c:pt idx="33">
                  <c:v>144.19999999999999</c:v>
                </c:pt>
                <c:pt idx="34">
                  <c:v>140.4</c:v>
                </c:pt>
                <c:pt idx="35">
                  <c:v>140.4</c:v>
                </c:pt>
                <c:pt idx="36">
                  <c:v>143</c:v>
                </c:pt>
                <c:pt idx="37">
                  <c:v>146</c:v>
                </c:pt>
                <c:pt idx="38">
                  <c:v>155</c:v>
                </c:pt>
                <c:pt idx="39">
                  <c:v>151.19999999999999</c:v>
                </c:pt>
                <c:pt idx="40">
                  <c:v>153.80000000000001</c:v>
                </c:pt>
                <c:pt idx="41">
                  <c:v>160.80000000000001</c:v>
                </c:pt>
                <c:pt idx="42">
                  <c:v>161.80000000000001</c:v>
                </c:pt>
                <c:pt idx="43">
                  <c:v>173.8</c:v>
                </c:pt>
                <c:pt idx="44">
                  <c:v>173.8</c:v>
                </c:pt>
                <c:pt idx="45">
                  <c:v>189.8</c:v>
                </c:pt>
                <c:pt idx="46">
                  <c:v>199.6</c:v>
                </c:pt>
                <c:pt idx="47">
                  <c:v>200.6</c:v>
                </c:pt>
                <c:pt idx="48">
                  <c:v>206.6</c:v>
                </c:pt>
                <c:pt idx="49">
                  <c:v>207.6</c:v>
                </c:pt>
                <c:pt idx="50">
                  <c:v>207.6</c:v>
                </c:pt>
                <c:pt idx="51">
                  <c:v>212.6</c:v>
                </c:pt>
                <c:pt idx="52">
                  <c:v>214.6</c:v>
                </c:pt>
                <c:pt idx="53">
                  <c:v>228.6</c:v>
                </c:pt>
                <c:pt idx="54">
                  <c:v>251.7</c:v>
                </c:pt>
                <c:pt idx="55">
                  <c:v>254.7</c:v>
                </c:pt>
                <c:pt idx="56">
                  <c:v>262.7</c:v>
                </c:pt>
                <c:pt idx="57">
                  <c:v>263.89999999999998</c:v>
                </c:pt>
                <c:pt idx="58">
                  <c:v>265</c:v>
                </c:pt>
                <c:pt idx="59">
                  <c:v>271</c:v>
                </c:pt>
                <c:pt idx="60">
                  <c:v>268.8</c:v>
                </c:pt>
                <c:pt idx="61">
                  <c:v>280.8</c:v>
                </c:pt>
                <c:pt idx="62">
                  <c:v>282.7</c:v>
                </c:pt>
                <c:pt idx="63">
                  <c:v>284.7</c:v>
                </c:pt>
                <c:pt idx="64">
                  <c:v>284.7</c:v>
                </c:pt>
                <c:pt idx="65">
                  <c:v>285.7</c:v>
                </c:pt>
                <c:pt idx="66">
                  <c:v>294.7</c:v>
                </c:pt>
                <c:pt idx="67">
                  <c:v>303.7</c:v>
                </c:pt>
                <c:pt idx="68">
                  <c:v>314.7</c:v>
                </c:pt>
                <c:pt idx="69">
                  <c:v>328.7</c:v>
                </c:pt>
                <c:pt idx="70">
                  <c:v>331.7</c:v>
                </c:pt>
                <c:pt idx="71">
                  <c:v>342.3</c:v>
                </c:pt>
                <c:pt idx="72">
                  <c:v>344.6</c:v>
                </c:pt>
                <c:pt idx="73">
                  <c:v>344.6</c:v>
                </c:pt>
                <c:pt idx="74">
                  <c:v>346</c:v>
                </c:pt>
                <c:pt idx="75">
                  <c:v>350.2</c:v>
                </c:pt>
                <c:pt idx="76">
                  <c:v>353.6</c:v>
                </c:pt>
                <c:pt idx="77">
                  <c:v>362.6</c:v>
                </c:pt>
                <c:pt idx="78">
                  <c:v>365.6</c:v>
                </c:pt>
                <c:pt idx="79">
                  <c:v>366.79999999999899</c:v>
                </c:pt>
                <c:pt idx="80">
                  <c:v>372.2</c:v>
                </c:pt>
                <c:pt idx="81">
                  <c:v>373.4</c:v>
                </c:pt>
                <c:pt idx="82">
                  <c:v>376.4</c:v>
                </c:pt>
                <c:pt idx="83">
                  <c:v>386.4</c:v>
                </c:pt>
                <c:pt idx="84">
                  <c:v>397.2</c:v>
                </c:pt>
                <c:pt idx="85">
                  <c:v>400.2</c:v>
                </c:pt>
                <c:pt idx="86">
                  <c:v>404.2</c:v>
                </c:pt>
                <c:pt idx="87">
                  <c:v>404.2</c:v>
                </c:pt>
                <c:pt idx="88">
                  <c:v>404.2</c:v>
                </c:pt>
                <c:pt idx="89">
                  <c:v>420.9</c:v>
                </c:pt>
                <c:pt idx="90">
                  <c:v>415.9</c:v>
                </c:pt>
                <c:pt idx="91">
                  <c:v>410.9</c:v>
                </c:pt>
                <c:pt idx="92">
                  <c:v>415.599999999999</c:v>
                </c:pt>
                <c:pt idx="93">
                  <c:v>387.7</c:v>
                </c:pt>
                <c:pt idx="94">
                  <c:v>356.099999999999</c:v>
                </c:pt>
                <c:pt idx="95">
                  <c:v>368.3</c:v>
                </c:pt>
                <c:pt idx="96">
                  <c:v>376.9</c:v>
                </c:pt>
                <c:pt idx="97">
                  <c:v>389.3</c:v>
                </c:pt>
                <c:pt idx="98">
                  <c:v>394.3</c:v>
                </c:pt>
                <c:pt idx="99">
                  <c:v>403.3</c:v>
                </c:pt>
                <c:pt idx="100">
                  <c:v>408.3</c:v>
                </c:pt>
                <c:pt idx="101">
                  <c:v>409.3</c:v>
                </c:pt>
                <c:pt idx="102">
                  <c:v>409.3</c:v>
                </c:pt>
                <c:pt idx="103">
                  <c:v>411.3</c:v>
                </c:pt>
                <c:pt idx="104">
                  <c:v>411.3</c:v>
                </c:pt>
                <c:pt idx="105">
                  <c:v>411.3</c:v>
                </c:pt>
                <c:pt idx="106">
                  <c:v>412.6</c:v>
                </c:pt>
                <c:pt idx="107">
                  <c:v>430</c:v>
                </c:pt>
                <c:pt idx="108">
                  <c:v>444</c:v>
                </c:pt>
                <c:pt idx="109">
                  <c:v>473.79999999999899</c:v>
                </c:pt>
                <c:pt idx="110">
                  <c:v>503.1</c:v>
                </c:pt>
                <c:pt idx="111">
                  <c:v>515.5</c:v>
                </c:pt>
                <c:pt idx="112">
                  <c:v>522.5</c:v>
                </c:pt>
                <c:pt idx="113">
                  <c:v>518.5</c:v>
                </c:pt>
                <c:pt idx="114">
                  <c:v>530.5</c:v>
                </c:pt>
                <c:pt idx="115">
                  <c:v>504.5</c:v>
                </c:pt>
                <c:pt idx="116">
                  <c:v>504.5</c:v>
                </c:pt>
                <c:pt idx="117">
                  <c:v>496.5</c:v>
                </c:pt>
                <c:pt idx="118">
                  <c:v>496.5</c:v>
                </c:pt>
                <c:pt idx="119">
                  <c:v>488.5</c:v>
                </c:pt>
                <c:pt idx="120">
                  <c:v>449.5</c:v>
                </c:pt>
                <c:pt idx="121">
                  <c:v>430.5</c:v>
                </c:pt>
                <c:pt idx="122">
                  <c:v>431.5</c:v>
                </c:pt>
                <c:pt idx="123">
                  <c:v>431.5</c:v>
                </c:pt>
                <c:pt idx="124">
                  <c:v>418.5</c:v>
                </c:pt>
                <c:pt idx="125">
                  <c:v>413.5</c:v>
                </c:pt>
                <c:pt idx="126">
                  <c:v>390.1</c:v>
                </c:pt>
                <c:pt idx="127">
                  <c:v>281.8</c:v>
                </c:pt>
                <c:pt idx="128">
                  <c:v>254.8</c:v>
                </c:pt>
                <c:pt idx="129">
                  <c:v>220.8</c:v>
                </c:pt>
                <c:pt idx="130">
                  <c:v>226.3</c:v>
                </c:pt>
                <c:pt idx="131">
                  <c:v>180.1</c:v>
                </c:pt>
                <c:pt idx="132">
                  <c:v>161.30000000000001</c:v>
                </c:pt>
                <c:pt idx="133">
                  <c:v>160.1</c:v>
                </c:pt>
                <c:pt idx="134">
                  <c:v>102.5</c:v>
                </c:pt>
                <c:pt idx="135">
                  <c:v>68.5</c:v>
                </c:pt>
                <c:pt idx="136">
                  <c:v>40.5</c:v>
                </c:pt>
                <c:pt idx="137">
                  <c:v>31.9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469-45C4-B0D2-EA024AC8D742}"/>
            </c:ext>
          </c:extLst>
        </c:ser>
        <c:ser>
          <c:idx val="12"/>
          <c:order val="12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Gondor</c:v>
                </c:pt>
              </c:strCache>
            </c:strRef>
          </c:tx>
          <c:spPr>
            <a:ln w="50800" cap="rnd">
              <a:solidFill>
                <a:srgbClr val="0E2841">
                  <a:lumMod val="10000"/>
                  <a:lumOff val="9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169</c:v>
                </c:pt>
                <c:pt idx="1">
                  <c:v>171</c:v>
                </c:pt>
                <c:pt idx="2">
                  <c:v>174</c:v>
                </c:pt>
                <c:pt idx="3">
                  <c:v>178</c:v>
                </c:pt>
                <c:pt idx="4">
                  <c:v>179</c:v>
                </c:pt>
                <c:pt idx="5">
                  <c:v>180</c:v>
                </c:pt>
                <c:pt idx="6">
                  <c:v>160</c:v>
                </c:pt>
                <c:pt idx="7">
                  <c:v>160</c:v>
                </c:pt>
                <c:pt idx="8">
                  <c:v>148</c:v>
                </c:pt>
                <c:pt idx="9">
                  <c:v>152</c:v>
                </c:pt>
                <c:pt idx="10">
                  <c:v>155</c:v>
                </c:pt>
                <c:pt idx="11">
                  <c:v>158</c:v>
                </c:pt>
                <c:pt idx="12">
                  <c:v>161</c:v>
                </c:pt>
                <c:pt idx="13">
                  <c:v>161</c:v>
                </c:pt>
                <c:pt idx="14">
                  <c:v>166</c:v>
                </c:pt>
                <c:pt idx="15">
                  <c:v>169</c:v>
                </c:pt>
                <c:pt idx="16">
                  <c:v>170</c:v>
                </c:pt>
                <c:pt idx="17">
                  <c:v>164</c:v>
                </c:pt>
                <c:pt idx="18">
                  <c:v>175</c:v>
                </c:pt>
                <c:pt idx="19">
                  <c:v>157</c:v>
                </c:pt>
                <c:pt idx="20">
                  <c:v>159</c:v>
                </c:pt>
                <c:pt idx="21">
                  <c:v>159</c:v>
                </c:pt>
                <c:pt idx="22">
                  <c:v>160</c:v>
                </c:pt>
                <c:pt idx="23">
                  <c:v>163</c:v>
                </c:pt>
                <c:pt idx="24">
                  <c:v>170</c:v>
                </c:pt>
                <c:pt idx="25">
                  <c:v>175</c:v>
                </c:pt>
                <c:pt idx="26">
                  <c:v>178</c:v>
                </c:pt>
                <c:pt idx="27">
                  <c:v>154</c:v>
                </c:pt>
                <c:pt idx="28">
                  <c:v>156</c:v>
                </c:pt>
                <c:pt idx="29">
                  <c:v>157</c:v>
                </c:pt>
                <c:pt idx="30">
                  <c:v>158</c:v>
                </c:pt>
                <c:pt idx="31">
                  <c:v>159</c:v>
                </c:pt>
                <c:pt idx="32">
                  <c:v>160</c:v>
                </c:pt>
                <c:pt idx="33">
                  <c:v>160</c:v>
                </c:pt>
                <c:pt idx="34">
                  <c:v>160</c:v>
                </c:pt>
                <c:pt idx="35">
                  <c:v>160</c:v>
                </c:pt>
                <c:pt idx="36">
                  <c:v>168</c:v>
                </c:pt>
                <c:pt idx="37">
                  <c:v>164</c:v>
                </c:pt>
                <c:pt idx="38">
                  <c:v>138</c:v>
                </c:pt>
                <c:pt idx="39">
                  <c:v>132</c:v>
                </c:pt>
                <c:pt idx="40">
                  <c:v>132</c:v>
                </c:pt>
                <c:pt idx="41">
                  <c:v>137</c:v>
                </c:pt>
                <c:pt idx="42">
                  <c:v>129</c:v>
                </c:pt>
                <c:pt idx="43">
                  <c:v>118</c:v>
                </c:pt>
                <c:pt idx="44">
                  <c:v>125</c:v>
                </c:pt>
                <c:pt idx="45">
                  <c:v>123</c:v>
                </c:pt>
                <c:pt idx="46">
                  <c:v>125</c:v>
                </c:pt>
                <c:pt idx="47">
                  <c:v>108</c:v>
                </c:pt>
                <c:pt idx="48">
                  <c:v>115</c:v>
                </c:pt>
                <c:pt idx="49">
                  <c:v>119</c:v>
                </c:pt>
                <c:pt idx="50">
                  <c:v>122</c:v>
                </c:pt>
                <c:pt idx="51">
                  <c:v>124</c:v>
                </c:pt>
                <c:pt idx="52">
                  <c:v>126</c:v>
                </c:pt>
                <c:pt idx="53">
                  <c:v>126</c:v>
                </c:pt>
                <c:pt idx="54">
                  <c:v>126</c:v>
                </c:pt>
                <c:pt idx="55">
                  <c:v>107</c:v>
                </c:pt>
                <c:pt idx="56">
                  <c:v>94</c:v>
                </c:pt>
                <c:pt idx="57">
                  <c:v>54</c:v>
                </c:pt>
                <c:pt idx="58">
                  <c:v>52</c:v>
                </c:pt>
                <c:pt idx="59">
                  <c:v>60</c:v>
                </c:pt>
                <c:pt idx="60">
                  <c:v>64</c:v>
                </c:pt>
                <c:pt idx="61">
                  <c:v>57</c:v>
                </c:pt>
                <c:pt idx="62">
                  <c:v>51</c:v>
                </c:pt>
                <c:pt idx="63">
                  <c:v>34</c:v>
                </c:pt>
                <c:pt idx="64">
                  <c:v>14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69-45C4-B0D2-EA024AC8D742}"/>
            </c:ext>
          </c:extLst>
        </c:ser>
        <c:ser>
          <c:idx val="13"/>
          <c:order val="13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Gundabad</c:v>
                </c:pt>
              </c:strCache>
            </c:strRef>
          </c:tx>
          <c:spPr>
            <a:ln w="28575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51</c:v>
                </c:pt>
                <c:pt idx="1">
                  <c:v>43</c:v>
                </c:pt>
                <c:pt idx="2">
                  <c:v>44</c:v>
                </c:pt>
                <c:pt idx="3">
                  <c:v>50</c:v>
                </c:pt>
                <c:pt idx="4">
                  <c:v>57</c:v>
                </c:pt>
                <c:pt idx="5">
                  <c:v>61</c:v>
                </c:pt>
                <c:pt idx="6">
                  <c:v>62</c:v>
                </c:pt>
                <c:pt idx="7">
                  <c:v>62</c:v>
                </c:pt>
                <c:pt idx="8">
                  <c:v>70</c:v>
                </c:pt>
                <c:pt idx="9">
                  <c:v>81</c:v>
                </c:pt>
                <c:pt idx="10">
                  <c:v>85</c:v>
                </c:pt>
                <c:pt idx="11">
                  <c:v>90</c:v>
                </c:pt>
                <c:pt idx="12">
                  <c:v>93</c:v>
                </c:pt>
                <c:pt idx="13">
                  <c:v>90</c:v>
                </c:pt>
                <c:pt idx="14">
                  <c:v>91</c:v>
                </c:pt>
                <c:pt idx="15">
                  <c:v>96</c:v>
                </c:pt>
                <c:pt idx="16">
                  <c:v>100</c:v>
                </c:pt>
                <c:pt idx="17">
                  <c:v>103</c:v>
                </c:pt>
                <c:pt idx="18">
                  <c:v>109</c:v>
                </c:pt>
                <c:pt idx="19">
                  <c:v>109</c:v>
                </c:pt>
                <c:pt idx="20">
                  <c:v>109</c:v>
                </c:pt>
                <c:pt idx="21">
                  <c:v>110.2</c:v>
                </c:pt>
                <c:pt idx="22">
                  <c:v>111.8</c:v>
                </c:pt>
                <c:pt idx="23">
                  <c:v>111.8</c:v>
                </c:pt>
                <c:pt idx="24">
                  <c:v>111.8</c:v>
                </c:pt>
                <c:pt idx="25">
                  <c:v>111.8</c:v>
                </c:pt>
                <c:pt idx="26">
                  <c:v>116.8</c:v>
                </c:pt>
                <c:pt idx="27">
                  <c:v>117.9</c:v>
                </c:pt>
                <c:pt idx="28">
                  <c:v>132.5</c:v>
                </c:pt>
                <c:pt idx="29">
                  <c:v>137.5</c:v>
                </c:pt>
                <c:pt idx="30">
                  <c:v>137.5</c:v>
                </c:pt>
                <c:pt idx="31">
                  <c:v>137.1</c:v>
                </c:pt>
                <c:pt idx="32">
                  <c:v>115.5</c:v>
                </c:pt>
                <c:pt idx="33">
                  <c:v>116.9</c:v>
                </c:pt>
                <c:pt idx="34">
                  <c:v>126.3</c:v>
                </c:pt>
                <c:pt idx="35">
                  <c:v>126.3</c:v>
                </c:pt>
                <c:pt idx="36">
                  <c:v>126.3</c:v>
                </c:pt>
                <c:pt idx="37">
                  <c:v>128</c:v>
                </c:pt>
                <c:pt idx="38">
                  <c:v>131</c:v>
                </c:pt>
                <c:pt idx="39">
                  <c:v>134</c:v>
                </c:pt>
                <c:pt idx="40">
                  <c:v>140</c:v>
                </c:pt>
                <c:pt idx="41">
                  <c:v>143.30000000000001</c:v>
                </c:pt>
                <c:pt idx="42">
                  <c:v>149.69999999999999</c:v>
                </c:pt>
                <c:pt idx="43">
                  <c:v>152.69999999999999</c:v>
                </c:pt>
                <c:pt idx="44">
                  <c:v>161</c:v>
                </c:pt>
                <c:pt idx="45">
                  <c:v>162</c:v>
                </c:pt>
                <c:pt idx="46">
                  <c:v>165.6</c:v>
                </c:pt>
                <c:pt idx="47">
                  <c:v>178.3</c:v>
                </c:pt>
                <c:pt idx="48">
                  <c:v>189.5</c:v>
                </c:pt>
                <c:pt idx="49">
                  <c:v>189.5</c:v>
                </c:pt>
                <c:pt idx="50">
                  <c:v>190</c:v>
                </c:pt>
                <c:pt idx="51">
                  <c:v>194.8</c:v>
                </c:pt>
                <c:pt idx="52">
                  <c:v>187.4</c:v>
                </c:pt>
                <c:pt idx="53">
                  <c:v>191.4</c:v>
                </c:pt>
                <c:pt idx="54">
                  <c:v>187.6</c:v>
                </c:pt>
                <c:pt idx="55">
                  <c:v>196.6</c:v>
                </c:pt>
                <c:pt idx="56">
                  <c:v>178.5</c:v>
                </c:pt>
                <c:pt idx="57">
                  <c:v>178.5</c:v>
                </c:pt>
                <c:pt idx="58">
                  <c:v>187.5</c:v>
                </c:pt>
                <c:pt idx="59">
                  <c:v>187.5</c:v>
                </c:pt>
                <c:pt idx="60">
                  <c:v>195</c:v>
                </c:pt>
                <c:pt idx="61">
                  <c:v>205.8</c:v>
                </c:pt>
                <c:pt idx="62">
                  <c:v>208.6</c:v>
                </c:pt>
                <c:pt idx="63">
                  <c:v>214.8</c:v>
                </c:pt>
                <c:pt idx="64">
                  <c:v>230.3</c:v>
                </c:pt>
                <c:pt idx="65">
                  <c:v>231.7</c:v>
                </c:pt>
                <c:pt idx="66">
                  <c:v>218.6</c:v>
                </c:pt>
                <c:pt idx="67">
                  <c:v>233.6</c:v>
                </c:pt>
                <c:pt idx="68">
                  <c:v>231.6</c:v>
                </c:pt>
                <c:pt idx="69">
                  <c:v>229.2</c:v>
                </c:pt>
                <c:pt idx="70">
                  <c:v>221.6</c:v>
                </c:pt>
                <c:pt idx="71">
                  <c:v>220.6</c:v>
                </c:pt>
                <c:pt idx="72">
                  <c:v>226.4</c:v>
                </c:pt>
                <c:pt idx="73">
                  <c:v>230.2</c:v>
                </c:pt>
                <c:pt idx="74">
                  <c:v>231.3</c:v>
                </c:pt>
                <c:pt idx="75">
                  <c:v>232.3</c:v>
                </c:pt>
                <c:pt idx="76">
                  <c:v>241.6</c:v>
                </c:pt>
                <c:pt idx="77">
                  <c:v>257.39999999999998</c:v>
                </c:pt>
                <c:pt idx="78">
                  <c:v>285.8</c:v>
                </c:pt>
                <c:pt idx="79">
                  <c:v>302</c:v>
                </c:pt>
                <c:pt idx="80">
                  <c:v>307</c:v>
                </c:pt>
                <c:pt idx="81">
                  <c:v>320.2</c:v>
                </c:pt>
                <c:pt idx="82">
                  <c:v>319</c:v>
                </c:pt>
                <c:pt idx="83">
                  <c:v>259.2</c:v>
                </c:pt>
                <c:pt idx="84">
                  <c:v>270.60000000000002</c:v>
                </c:pt>
                <c:pt idx="85">
                  <c:v>276.60000000000002</c:v>
                </c:pt>
                <c:pt idx="86">
                  <c:v>267.8</c:v>
                </c:pt>
                <c:pt idx="87">
                  <c:v>264.60000000000002</c:v>
                </c:pt>
                <c:pt idx="88">
                  <c:v>221.2</c:v>
                </c:pt>
                <c:pt idx="89">
                  <c:v>202.8</c:v>
                </c:pt>
                <c:pt idx="90">
                  <c:v>141.19999999999999</c:v>
                </c:pt>
                <c:pt idx="91">
                  <c:v>136.19999999999999</c:v>
                </c:pt>
                <c:pt idx="92">
                  <c:v>100.2</c:v>
                </c:pt>
                <c:pt idx="93">
                  <c:v>108.8</c:v>
                </c:pt>
                <c:pt idx="94">
                  <c:v>108.2</c:v>
                </c:pt>
                <c:pt idx="95">
                  <c:v>85.6</c:v>
                </c:pt>
                <c:pt idx="96">
                  <c:v>84.8</c:v>
                </c:pt>
                <c:pt idx="97">
                  <c:v>72.599999999999994</c:v>
                </c:pt>
                <c:pt idx="98">
                  <c:v>79.400000000000006</c:v>
                </c:pt>
                <c:pt idx="99">
                  <c:v>38.5</c:v>
                </c:pt>
                <c:pt idx="100">
                  <c:v>37</c:v>
                </c:pt>
                <c:pt idx="101">
                  <c:v>29.1</c:v>
                </c:pt>
                <c:pt idx="102">
                  <c:v>35.9</c:v>
                </c:pt>
                <c:pt idx="103">
                  <c:v>14.7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469-45C4-B0D2-EA024AC8D742}"/>
            </c:ext>
          </c:extLst>
        </c:ser>
        <c:ser>
          <c:idx val="14"/>
          <c:order val="14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Haerrim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35</c:v>
                </c:pt>
                <c:pt idx="1">
                  <c:v>35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69-45C4-B0D2-EA024AC8D742}"/>
            </c:ext>
          </c:extLst>
        </c:ser>
        <c:ser>
          <c:idx val="15"/>
          <c:order val="15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Haradrim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42</c:v>
                </c:pt>
                <c:pt idx="1">
                  <c:v>40</c:v>
                </c:pt>
                <c:pt idx="2">
                  <c:v>43</c:v>
                </c:pt>
                <c:pt idx="3">
                  <c:v>46</c:v>
                </c:pt>
                <c:pt idx="4">
                  <c:v>50</c:v>
                </c:pt>
                <c:pt idx="5">
                  <c:v>56</c:v>
                </c:pt>
                <c:pt idx="6">
                  <c:v>60</c:v>
                </c:pt>
                <c:pt idx="7">
                  <c:v>62</c:v>
                </c:pt>
                <c:pt idx="8">
                  <c:v>62</c:v>
                </c:pt>
                <c:pt idx="9">
                  <c:v>63</c:v>
                </c:pt>
                <c:pt idx="10">
                  <c:v>66</c:v>
                </c:pt>
                <c:pt idx="11">
                  <c:v>67</c:v>
                </c:pt>
                <c:pt idx="12">
                  <c:v>59</c:v>
                </c:pt>
                <c:pt idx="13">
                  <c:v>60</c:v>
                </c:pt>
                <c:pt idx="14">
                  <c:v>62</c:v>
                </c:pt>
                <c:pt idx="15">
                  <c:v>64</c:v>
                </c:pt>
                <c:pt idx="16">
                  <c:v>65</c:v>
                </c:pt>
                <c:pt idx="17">
                  <c:v>68</c:v>
                </c:pt>
                <c:pt idx="18">
                  <c:v>69</c:v>
                </c:pt>
                <c:pt idx="19">
                  <c:v>70</c:v>
                </c:pt>
                <c:pt idx="20">
                  <c:v>70</c:v>
                </c:pt>
                <c:pt idx="21">
                  <c:v>59</c:v>
                </c:pt>
                <c:pt idx="22">
                  <c:v>61</c:v>
                </c:pt>
                <c:pt idx="23">
                  <c:v>62</c:v>
                </c:pt>
                <c:pt idx="24">
                  <c:v>63</c:v>
                </c:pt>
                <c:pt idx="25">
                  <c:v>62</c:v>
                </c:pt>
                <c:pt idx="26">
                  <c:v>63</c:v>
                </c:pt>
                <c:pt idx="27">
                  <c:v>62</c:v>
                </c:pt>
                <c:pt idx="28">
                  <c:v>64</c:v>
                </c:pt>
                <c:pt idx="29">
                  <c:v>68</c:v>
                </c:pt>
                <c:pt idx="30">
                  <c:v>73</c:v>
                </c:pt>
                <c:pt idx="31">
                  <c:v>73</c:v>
                </c:pt>
                <c:pt idx="32">
                  <c:v>73</c:v>
                </c:pt>
                <c:pt idx="33">
                  <c:v>73</c:v>
                </c:pt>
                <c:pt idx="34">
                  <c:v>73</c:v>
                </c:pt>
                <c:pt idx="35">
                  <c:v>73</c:v>
                </c:pt>
                <c:pt idx="36">
                  <c:v>74.900000000000006</c:v>
                </c:pt>
                <c:pt idx="37">
                  <c:v>77</c:v>
                </c:pt>
                <c:pt idx="38">
                  <c:v>78</c:v>
                </c:pt>
                <c:pt idx="39">
                  <c:v>78</c:v>
                </c:pt>
                <c:pt idx="40">
                  <c:v>78</c:v>
                </c:pt>
                <c:pt idx="41">
                  <c:v>84</c:v>
                </c:pt>
                <c:pt idx="42">
                  <c:v>85</c:v>
                </c:pt>
                <c:pt idx="43">
                  <c:v>85</c:v>
                </c:pt>
                <c:pt idx="44">
                  <c:v>84</c:v>
                </c:pt>
                <c:pt idx="45">
                  <c:v>85</c:v>
                </c:pt>
                <c:pt idx="46">
                  <c:v>85</c:v>
                </c:pt>
                <c:pt idx="47">
                  <c:v>85</c:v>
                </c:pt>
                <c:pt idx="48">
                  <c:v>87</c:v>
                </c:pt>
                <c:pt idx="49">
                  <c:v>90</c:v>
                </c:pt>
                <c:pt idx="50">
                  <c:v>100</c:v>
                </c:pt>
                <c:pt idx="51">
                  <c:v>99</c:v>
                </c:pt>
                <c:pt idx="52">
                  <c:v>102</c:v>
                </c:pt>
                <c:pt idx="53">
                  <c:v>109</c:v>
                </c:pt>
                <c:pt idx="54">
                  <c:v>121</c:v>
                </c:pt>
                <c:pt idx="55">
                  <c:v>134</c:v>
                </c:pt>
                <c:pt idx="56">
                  <c:v>119</c:v>
                </c:pt>
                <c:pt idx="57">
                  <c:v>126</c:v>
                </c:pt>
                <c:pt idx="58">
                  <c:v>125</c:v>
                </c:pt>
                <c:pt idx="59">
                  <c:v>121</c:v>
                </c:pt>
                <c:pt idx="60">
                  <c:v>119</c:v>
                </c:pt>
                <c:pt idx="61">
                  <c:v>120</c:v>
                </c:pt>
                <c:pt idx="62">
                  <c:v>121</c:v>
                </c:pt>
                <c:pt idx="63">
                  <c:v>109</c:v>
                </c:pt>
                <c:pt idx="64">
                  <c:v>109</c:v>
                </c:pt>
                <c:pt idx="65">
                  <c:v>109</c:v>
                </c:pt>
                <c:pt idx="66">
                  <c:v>119</c:v>
                </c:pt>
                <c:pt idx="67">
                  <c:v>120</c:v>
                </c:pt>
                <c:pt idx="68">
                  <c:v>120</c:v>
                </c:pt>
                <c:pt idx="69">
                  <c:v>130</c:v>
                </c:pt>
                <c:pt idx="70">
                  <c:v>130</c:v>
                </c:pt>
                <c:pt idx="71">
                  <c:v>146</c:v>
                </c:pt>
                <c:pt idx="72">
                  <c:v>141</c:v>
                </c:pt>
                <c:pt idx="73">
                  <c:v>147</c:v>
                </c:pt>
                <c:pt idx="74">
                  <c:v>146</c:v>
                </c:pt>
                <c:pt idx="75">
                  <c:v>149</c:v>
                </c:pt>
                <c:pt idx="76">
                  <c:v>147</c:v>
                </c:pt>
                <c:pt idx="77">
                  <c:v>150</c:v>
                </c:pt>
                <c:pt idx="78">
                  <c:v>149</c:v>
                </c:pt>
                <c:pt idx="79">
                  <c:v>149</c:v>
                </c:pt>
                <c:pt idx="80">
                  <c:v>154</c:v>
                </c:pt>
                <c:pt idx="81">
                  <c:v>162</c:v>
                </c:pt>
                <c:pt idx="82">
                  <c:v>168</c:v>
                </c:pt>
                <c:pt idx="83">
                  <c:v>173</c:v>
                </c:pt>
                <c:pt idx="84">
                  <c:v>175</c:v>
                </c:pt>
                <c:pt idx="85">
                  <c:v>177</c:v>
                </c:pt>
                <c:pt idx="86">
                  <c:v>177</c:v>
                </c:pt>
                <c:pt idx="87">
                  <c:v>190</c:v>
                </c:pt>
                <c:pt idx="88">
                  <c:v>198</c:v>
                </c:pt>
                <c:pt idx="89">
                  <c:v>209</c:v>
                </c:pt>
                <c:pt idx="90">
                  <c:v>201.9</c:v>
                </c:pt>
                <c:pt idx="91">
                  <c:v>211.9</c:v>
                </c:pt>
                <c:pt idx="92">
                  <c:v>198.6</c:v>
                </c:pt>
                <c:pt idx="93">
                  <c:v>195.1</c:v>
                </c:pt>
                <c:pt idx="94">
                  <c:v>209.2</c:v>
                </c:pt>
                <c:pt idx="95">
                  <c:v>210</c:v>
                </c:pt>
                <c:pt idx="96">
                  <c:v>207.7</c:v>
                </c:pt>
                <c:pt idx="97">
                  <c:v>214</c:v>
                </c:pt>
                <c:pt idx="98">
                  <c:v>204.7</c:v>
                </c:pt>
                <c:pt idx="99">
                  <c:v>206.9</c:v>
                </c:pt>
                <c:pt idx="100">
                  <c:v>211.6</c:v>
                </c:pt>
                <c:pt idx="101">
                  <c:v>217.8</c:v>
                </c:pt>
                <c:pt idx="102">
                  <c:v>222</c:v>
                </c:pt>
                <c:pt idx="103">
                  <c:v>230.3</c:v>
                </c:pt>
                <c:pt idx="104">
                  <c:v>241.29999999999899</c:v>
                </c:pt>
                <c:pt idx="105">
                  <c:v>242.5</c:v>
                </c:pt>
                <c:pt idx="106">
                  <c:v>256.89999999999998</c:v>
                </c:pt>
                <c:pt idx="107">
                  <c:v>257.89999999999998</c:v>
                </c:pt>
                <c:pt idx="108">
                  <c:v>256.89999999999998</c:v>
                </c:pt>
                <c:pt idx="109">
                  <c:v>272.3</c:v>
                </c:pt>
                <c:pt idx="110">
                  <c:v>274.3</c:v>
                </c:pt>
                <c:pt idx="111">
                  <c:v>235.3</c:v>
                </c:pt>
                <c:pt idx="112">
                  <c:v>244.6</c:v>
                </c:pt>
                <c:pt idx="113">
                  <c:v>227.5</c:v>
                </c:pt>
                <c:pt idx="114">
                  <c:v>239</c:v>
                </c:pt>
                <c:pt idx="115">
                  <c:v>208.1</c:v>
                </c:pt>
                <c:pt idx="116">
                  <c:v>209.1</c:v>
                </c:pt>
                <c:pt idx="117">
                  <c:v>212.7</c:v>
                </c:pt>
                <c:pt idx="118">
                  <c:v>221.89999999999901</c:v>
                </c:pt>
                <c:pt idx="119">
                  <c:v>220.8</c:v>
                </c:pt>
                <c:pt idx="120">
                  <c:v>191.5</c:v>
                </c:pt>
                <c:pt idx="121">
                  <c:v>199.2</c:v>
                </c:pt>
                <c:pt idx="122">
                  <c:v>208.39999999999901</c:v>
                </c:pt>
                <c:pt idx="123">
                  <c:v>219</c:v>
                </c:pt>
                <c:pt idx="124">
                  <c:v>231.6</c:v>
                </c:pt>
                <c:pt idx="125">
                  <c:v>237.8</c:v>
                </c:pt>
                <c:pt idx="126">
                  <c:v>209.5</c:v>
                </c:pt>
                <c:pt idx="127">
                  <c:v>210.5</c:v>
                </c:pt>
                <c:pt idx="128">
                  <c:v>211.5</c:v>
                </c:pt>
                <c:pt idx="129">
                  <c:v>220.1</c:v>
                </c:pt>
                <c:pt idx="130">
                  <c:v>223.2</c:v>
                </c:pt>
                <c:pt idx="131">
                  <c:v>231.2</c:v>
                </c:pt>
                <c:pt idx="132">
                  <c:v>238.7</c:v>
                </c:pt>
                <c:pt idx="133">
                  <c:v>246.39999999999901</c:v>
                </c:pt>
                <c:pt idx="134">
                  <c:v>255.5</c:v>
                </c:pt>
                <c:pt idx="135">
                  <c:v>262.10000000000002</c:v>
                </c:pt>
                <c:pt idx="136">
                  <c:v>268.2</c:v>
                </c:pt>
                <c:pt idx="137">
                  <c:v>272.39999999999998</c:v>
                </c:pt>
                <c:pt idx="138">
                  <c:v>256.39999999999998</c:v>
                </c:pt>
                <c:pt idx="139">
                  <c:v>258.39999999999998</c:v>
                </c:pt>
                <c:pt idx="140">
                  <c:v>265.8</c:v>
                </c:pt>
                <c:pt idx="141">
                  <c:v>262.8</c:v>
                </c:pt>
                <c:pt idx="142">
                  <c:v>275.10000000000002</c:v>
                </c:pt>
                <c:pt idx="143">
                  <c:v>278.10000000000002</c:v>
                </c:pt>
                <c:pt idx="144">
                  <c:v>292.3</c:v>
                </c:pt>
                <c:pt idx="145">
                  <c:v>314.8</c:v>
                </c:pt>
                <c:pt idx="146">
                  <c:v>329.3</c:v>
                </c:pt>
                <c:pt idx="147">
                  <c:v>335.5</c:v>
                </c:pt>
                <c:pt idx="148">
                  <c:v>339.5</c:v>
                </c:pt>
                <c:pt idx="149">
                  <c:v>346.5</c:v>
                </c:pt>
                <c:pt idx="150">
                  <c:v>354.5</c:v>
                </c:pt>
                <c:pt idx="151">
                  <c:v>329.4</c:v>
                </c:pt>
                <c:pt idx="152">
                  <c:v>332.4</c:v>
                </c:pt>
                <c:pt idx="153">
                  <c:v>334.4</c:v>
                </c:pt>
                <c:pt idx="154">
                  <c:v>331.7</c:v>
                </c:pt>
                <c:pt idx="155">
                  <c:v>331.7</c:v>
                </c:pt>
                <c:pt idx="156">
                  <c:v>336.9</c:v>
                </c:pt>
                <c:pt idx="157">
                  <c:v>343.9</c:v>
                </c:pt>
                <c:pt idx="158">
                  <c:v>344.9</c:v>
                </c:pt>
                <c:pt idx="159">
                  <c:v>354</c:v>
                </c:pt>
                <c:pt idx="160">
                  <c:v>356</c:v>
                </c:pt>
                <c:pt idx="161">
                  <c:v>371</c:v>
                </c:pt>
                <c:pt idx="162">
                  <c:v>379</c:v>
                </c:pt>
                <c:pt idx="163">
                  <c:v>368</c:v>
                </c:pt>
                <c:pt idx="164">
                  <c:v>381</c:v>
                </c:pt>
                <c:pt idx="165">
                  <c:v>381</c:v>
                </c:pt>
                <c:pt idx="166">
                  <c:v>384.4</c:v>
                </c:pt>
                <c:pt idx="167">
                  <c:v>390.1</c:v>
                </c:pt>
                <c:pt idx="168">
                  <c:v>392.2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469-45C4-B0D2-EA024AC8D742}"/>
            </c:ext>
          </c:extLst>
        </c:ser>
        <c:ser>
          <c:idx val="16"/>
          <c:order val="16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Harondor</c:v>
                </c:pt>
              </c:strCache>
            </c:strRef>
          </c:tx>
          <c:spPr>
            <a:ln w="28575" cap="rnd">
              <a:solidFill>
                <a:srgbClr val="FE937E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18</c:v>
                </c:pt>
                <c:pt idx="1">
                  <c:v>21</c:v>
                </c:pt>
                <c:pt idx="2">
                  <c:v>22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22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20</c:v>
                </c:pt>
                <c:pt idx="18">
                  <c:v>16</c:v>
                </c:pt>
                <c:pt idx="19">
                  <c:v>18</c:v>
                </c:pt>
                <c:pt idx="20">
                  <c:v>22</c:v>
                </c:pt>
                <c:pt idx="21">
                  <c:v>21</c:v>
                </c:pt>
                <c:pt idx="22">
                  <c:v>22</c:v>
                </c:pt>
                <c:pt idx="23">
                  <c:v>21</c:v>
                </c:pt>
                <c:pt idx="24">
                  <c:v>22</c:v>
                </c:pt>
                <c:pt idx="25">
                  <c:v>22</c:v>
                </c:pt>
                <c:pt idx="26">
                  <c:v>23</c:v>
                </c:pt>
                <c:pt idx="27">
                  <c:v>22</c:v>
                </c:pt>
                <c:pt idx="28">
                  <c:v>23</c:v>
                </c:pt>
                <c:pt idx="29">
                  <c:v>22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23</c:v>
                </c:pt>
                <c:pt idx="35">
                  <c:v>22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469-45C4-B0D2-EA024AC8D742}"/>
            </c:ext>
          </c:extLst>
        </c:ser>
        <c:ser>
          <c:idx val="17"/>
          <c:order val="17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Ironfist-Stiffbeard Union</c:v>
                </c:pt>
              </c:strCache>
            </c:strRef>
          </c:tx>
          <c:spPr>
            <a:ln w="28575" cap="rnd">
              <a:solidFill>
                <a:srgbClr val="A02B93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17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23</c:v>
                </c:pt>
                <c:pt idx="7">
                  <c:v>24</c:v>
                </c:pt>
                <c:pt idx="8">
                  <c:v>25</c:v>
                </c:pt>
                <c:pt idx="9">
                  <c:v>25</c:v>
                </c:pt>
                <c:pt idx="10">
                  <c:v>26</c:v>
                </c:pt>
                <c:pt idx="11">
                  <c:v>26</c:v>
                </c:pt>
                <c:pt idx="12">
                  <c:v>26</c:v>
                </c:pt>
                <c:pt idx="13">
                  <c:v>26</c:v>
                </c:pt>
                <c:pt idx="14">
                  <c:v>26</c:v>
                </c:pt>
                <c:pt idx="15">
                  <c:v>26</c:v>
                </c:pt>
                <c:pt idx="16">
                  <c:v>26</c:v>
                </c:pt>
                <c:pt idx="17">
                  <c:v>26</c:v>
                </c:pt>
                <c:pt idx="18">
                  <c:v>26</c:v>
                </c:pt>
                <c:pt idx="19">
                  <c:v>26</c:v>
                </c:pt>
                <c:pt idx="20">
                  <c:v>26</c:v>
                </c:pt>
                <c:pt idx="21">
                  <c:v>26</c:v>
                </c:pt>
                <c:pt idx="22">
                  <c:v>26</c:v>
                </c:pt>
                <c:pt idx="23">
                  <c:v>28</c:v>
                </c:pt>
                <c:pt idx="24">
                  <c:v>28</c:v>
                </c:pt>
                <c:pt idx="25">
                  <c:v>28</c:v>
                </c:pt>
                <c:pt idx="26">
                  <c:v>28</c:v>
                </c:pt>
                <c:pt idx="27">
                  <c:v>28</c:v>
                </c:pt>
                <c:pt idx="28">
                  <c:v>28</c:v>
                </c:pt>
                <c:pt idx="29">
                  <c:v>28</c:v>
                </c:pt>
                <c:pt idx="30">
                  <c:v>28</c:v>
                </c:pt>
                <c:pt idx="31">
                  <c:v>28</c:v>
                </c:pt>
                <c:pt idx="32">
                  <c:v>28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32</c:v>
                </c:pt>
                <c:pt idx="37">
                  <c:v>31</c:v>
                </c:pt>
                <c:pt idx="38">
                  <c:v>31</c:v>
                </c:pt>
                <c:pt idx="39">
                  <c:v>32</c:v>
                </c:pt>
                <c:pt idx="40">
                  <c:v>32</c:v>
                </c:pt>
                <c:pt idx="41">
                  <c:v>32</c:v>
                </c:pt>
                <c:pt idx="42">
                  <c:v>35</c:v>
                </c:pt>
                <c:pt idx="43">
                  <c:v>38</c:v>
                </c:pt>
                <c:pt idx="44">
                  <c:v>41</c:v>
                </c:pt>
                <c:pt idx="45">
                  <c:v>41</c:v>
                </c:pt>
                <c:pt idx="46">
                  <c:v>41</c:v>
                </c:pt>
                <c:pt idx="47">
                  <c:v>41</c:v>
                </c:pt>
                <c:pt idx="48">
                  <c:v>41</c:v>
                </c:pt>
                <c:pt idx="49">
                  <c:v>41</c:v>
                </c:pt>
                <c:pt idx="50">
                  <c:v>41</c:v>
                </c:pt>
                <c:pt idx="51">
                  <c:v>41</c:v>
                </c:pt>
                <c:pt idx="52">
                  <c:v>41</c:v>
                </c:pt>
                <c:pt idx="53">
                  <c:v>41</c:v>
                </c:pt>
                <c:pt idx="54">
                  <c:v>41</c:v>
                </c:pt>
                <c:pt idx="55">
                  <c:v>41</c:v>
                </c:pt>
                <c:pt idx="56">
                  <c:v>41</c:v>
                </c:pt>
                <c:pt idx="57">
                  <c:v>41</c:v>
                </c:pt>
                <c:pt idx="58">
                  <c:v>41</c:v>
                </c:pt>
                <c:pt idx="59">
                  <c:v>41</c:v>
                </c:pt>
                <c:pt idx="60">
                  <c:v>41</c:v>
                </c:pt>
                <c:pt idx="61">
                  <c:v>41</c:v>
                </c:pt>
                <c:pt idx="62">
                  <c:v>41</c:v>
                </c:pt>
                <c:pt idx="63">
                  <c:v>41</c:v>
                </c:pt>
                <c:pt idx="64">
                  <c:v>41</c:v>
                </c:pt>
                <c:pt idx="65">
                  <c:v>41</c:v>
                </c:pt>
                <c:pt idx="66">
                  <c:v>41</c:v>
                </c:pt>
                <c:pt idx="67">
                  <c:v>41</c:v>
                </c:pt>
                <c:pt idx="68">
                  <c:v>41</c:v>
                </c:pt>
                <c:pt idx="69">
                  <c:v>41</c:v>
                </c:pt>
                <c:pt idx="70">
                  <c:v>41</c:v>
                </c:pt>
                <c:pt idx="71">
                  <c:v>41</c:v>
                </c:pt>
                <c:pt idx="72">
                  <c:v>41</c:v>
                </c:pt>
                <c:pt idx="73">
                  <c:v>41</c:v>
                </c:pt>
                <c:pt idx="74">
                  <c:v>41</c:v>
                </c:pt>
                <c:pt idx="75">
                  <c:v>40</c:v>
                </c:pt>
                <c:pt idx="76">
                  <c:v>40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42</c:v>
                </c:pt>
                <c:pt idx="84">
                  <c:v>42</c:v>
                </c:pt>
                <c:pt idx="85">
                  <c:v>43</c:v>
                </c:pt>
                <c:pt idx="86">
                  <c:v>43</c:v>
                </c:pt>
                <c:pt idx="87">
                  <c:v>43</c:v>
                </c:pt>
                <c:pt idx="88">
                  <c:v>43</c:v>
                </c:pt>
                <c:pt idx="89">
                  <c:v>43</c:v>
                </c:pt>
                <c:pt idx="90">
                  <c:v>42</c:v>
                </c:pt>
                <c:pt idx="91">
                  <c:v>42</c:v>
                </c:pt>
                <c:pt idx="92">
                  <c:v>42</c:v>
                </c:pt>
                <c:pt idx="93">
                  <c:v>46</c:v>
                </c:pt>
                <c:pt idx="94">
                  <c:v>51</c:v>
                </c:pt>
                <c:pt idx="95">
                  <c:v>55</c:v>
                </c:pt>
                <c:pt idx="96">
                  <c:v>60</c:v>
                </c:pt>
                <c:pt idx="97">
                  <c:v>54</c:v>
                </c:pt>
                <c:pt idx="98">
                  <c:v>54</c:v>
                </c:pt>
                <c:pt idx="99">
                  <c:v>62</c:v>
                </c:pt>
                <c:pt idx="100">
                  <c:v>68</c:v>
                </c:pt>
                <c:pt idx="101">
                  <c:v>45</c:v>
                </c:pt>
                <c:pt idx="102">
                  <c:v>47</c:v>
                </c:pt>
                <c:pt idx="103">
                  <c:v>48</c:v>
                </c:pt>
                <c:pt idx="104">
                  <c:v>45</c:v>
                </c:pt>
                <c:pt idx="105">
                  <c:v>48</c:v>
                </c:pt>
                <c:pt idx="106">
                  <c:v>48</c:v>
                </c:pt>
                <c:pt idx="107">
                  <c:v>40</c:v>
                </c:pt>
                <c:pt idx="108">
                  <c:v>35</c:v>
                </c:pt>
                <c:pt idx="109">
                  <c:v>32</c:v>
                </c:pt>
                <c:pt idx="110">
                  <c:v>29</c:v>
                </c:pt>
                <c:pt idx="111">
                  <c:v>17</c:v>
                </c:pt>
                <c:pt idx="112">
                  <c:v>17</c:v>
                </c:pt>
                <c:pt idx="113">
                  <c:v>17</c:v>
                </c:pt>
                <c:pt idx="114">
                  <c:v>17</c:v>
                </c:pt>
                <c:pt idx="115">
                  <c:v>17</c:v>
                </c:pt>
                <c:pt idx="116">
                  <c:v>19</c:v>
                </c:pt>
                <c:pt idx="117">
                  <c:v>19</c:v>
                </c:pt>
                <c:pt idx="118">
                  <c:v>17</c:v>
                </c:pt>
                <c:pt idx="119">
                  <c:v>17</c:v>
                </c:pt>
                <c:pt idx="120">
                  <c:v>17</c:v>
                </c:pt>
                <c:pt idx="121">
                  <c:v>17</c:v>
                </c:pt>
                <c:pt idx="122">
                  <c:v>16</c:v>
                </c:pt>
                <c:pt idx="123">
                  <c:v>18.100000000000001</c:v>
                </c:pt>
                <c:pt idx="124">
                  <c:v>18.100000000000001</c:v>
                </c:pt>
                <c:pt idx="125">
                  <c:v>18.100000000000001</c:v>
                </c:pt>
                <c:pt idx="126">
                  <c:v>18.100000000000001</c:v>
                </c:pt>
                <c:pt idx="127">
                  <c:v>18.100000000000001</c:v>
                </c:pt>
                <c:pt idx="128">
                  <c:v>17.100000000000001</c:v>
                </c:pt>
                <c:pt idx="129">
                  <c:v>17.100000000000001</c:v>
                </c:pt>
                <c:pt idx="130">
                  <c:v>20.399999999999999</c:v>
                </c:pt>
                <c:pt idx="131">
                  <c:v>23.7</c:v>
                </c:pt>
                <c:pt idx="132">
                  <c:v>22</c:v>
                </c:pt>
                <c:pt idx="133">
                  <c:v>30.3</c:v>
                </c:pt>
                <c:pt idx="134">
                  <c:v>34.6</c:v>
                </c:pt>
                <c:pt idx="135">
                  <c:v>38.6</c:v>
                </c:pt>
                <c:pt idx="136">
                  <c:v>42.6</c:v>
                </c:pt>
                <c:pt idx="137">
                  <c:v>42.6</c:v>
                </c:pt>
                <c:pt idx="138">
                  <c:v>45.6</c:v>
                </c:pt>
                <c:pt idx="139">
                  <c:v>48.6</c:v>
                </c:pt>
                <c:pt idx="140">
                  <c:v>48.6</c:v>
                </c:pt>
                <c:pt idx="141">
                  <c:v>48.6</c:v>
                </c:pt>
                <c:pt idx="142">
                  <c:v>48.6</c:v>
                </c:pt>
                <c:pt idx="143">
                  <c:v>48.6</c:v>
                </c:pt>
                <c:pt idx="144">
                  <c:v>49.6</c:v>
                </c:pt>
                <c:pt idx="145">
                  <c:v>51.9</c:v>
                </c:pt>
                <c:pt idx="146">
                  <c:v>52.9</c:v>
                </c:pt>
                <c:pt idx="147">
                  <c:v>54</c:v>
                </c:pt>
                <c:pt idx="148">
                  <c:v>58</c:v>
                </c:pt>
                <c:pt idx="149">
                  <c:v>64</c:v>
                </c:pt>
                <c:pt idx="150">
                  <c:v>69</c:v>
                </c:pt>
                <c:pt idx="151">
                  <c:v>72</c:v>
                </c:pt>
                <c:pt idx="152">
                  <c:v>78</c:v>
                </c:pt>
                <c:pt idx="153">
                  <c:v>95</c:v>
                </c:pt>
                <c:pt idx="154">
                  <c:v>105</c:v>
                </c:pt>
                <c:pt idx="155">
                  <c:v>111</c:v>
                </c:pt>
                <c:pt idx="156">
                  <c:v>114</c:v>
                </c:pt>
                <c:pt idx="157">
                  <c:v>118</c:v>
                </c:pt>
                <c:pt idx="158">
                  <c:v>129</c:v>
                </c:pt>
                <c:pt idx="159">
                  <c:v>140</c:v>
                </c:pt>
                <c:pt idx="160">
                  <c:v>150</c:v>
                </c:pt>
                <c:pt idx="161">
                  <c:v>154</c:v>
                </c:pt>
                <c:pt idx="162">
                  <c:v>152</c:v>
                </c:pt>
                <c:pt idx="163">
                  <c:v>152</c:v>
                </c:pt>
                <c:pt idx="164">
                  <c:v>152</c:v>
                </c:pt>
                <c:pt idx="165">
                  <c:v>157</c:v>
                </c:pt>
                <c:pt idx="166">
                  <c:v>158</c:v>
                </c:pt>
                <c:pt idx="167">
                  <c:v>159</c:v>
                </c:pt>
                <c:pt idx="168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469-45C4-B0D2-EA024AC8D742}"/>
            </c:ext>
          </c:extLst>
        </c:ser>
        <c:ser>
          <c:idx val="18"/>
          <c:order val="18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Isengard</c:v>
                </c:pt>
              </c:strCache>
            </c:strRef>
          </c:tx>
          <c:spPr>
            <a:ln w="508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18</c:v>
                </c:pt>
                <c:pt idx="1">
                  <c:v>19</c:v>
                </c:pt>
                <c:pt idx="2">
                  <c:v>22</c:v>
                </c:pt>
                <c:pt idx="3">
                  <c:v>26</c:v>
                </c:pt>
                <c:pt idx="4">
                  <c:v>30</c:v>
                </c:pt>
                <c:pt idx="5">
                  <c:v>32</c:v>
                </c:pt>
                <c:pt idx="6">
                  <c:v>35</c:v>
                </c:pt>
                <c:pt idx="7">
                  <c:v>38</c:v>
                </c:pt>
                <c:pt idx="8">
                  <c:v>41</c:v>
                </c:pt>
                <c:pt idx="9">
                  <c:v>44</c:v>
                </c:pt>
                <c:pt idx="10">
                  <c:v>48</c:v>
                </c:pt>
                <c:pt idx="11">
                  <c:v>50</c:v>
                </c:pt>
                <c:pt idx="12">
                  <c:v>50</c:v>
                </c:pt>
                <c:pt idx="13">
                  <c:v>54</c:v>
                </c:pt>
                <c:pt idx="14">
                  <c:v>55</c:v>
                </c:pt>
                <c:pt idx="15">
                  <c:v>38</c:v>
                </c:pt>
                <c:pt idx="16">
                  <c:v>40</c:v>
                </c:pt>
                <c:pt idx="17">
                  <c:v>40.799999999999997</c:v>
                </c:pt>
                <c:pt idx="18">
                  <c:v>41.8</c:v>
                </c:pt>
                <c:pt idx="19">
                  <c:v>46.8</c:v>
                </c:pt>
                <c:pt idx="20">
                  <c:v>49.8</c:v>
                </c:pt>
                <c:pt idx="21">
                  <c:v>62.9</c:v>
                </c:pt>
                <c:pt idx="22">
                  <c:v>67</c:v>
                </c:pt>
                <c:pt idx="23">
                  <c:v>68.2</c:v>
                </c:pt>
                <c:pt idx="24">
                  <c:v>68.2</c:v>
                </c:pt>
                <c:pt idx="25">
                  <c:v>64.900000000000006</c:v>
                </c:pt>
                <c:pt idx="26">
                  <c:v>68.2</c:v>
                </c:pt>
                <c:pt idx="27">
                  <c:v>70.599999999999994</c:v>
                </c:pt>
                <c:pt idx="28">
                  <c:v>70.599999999999994</c:v>
                </c:pt>
                <c:pt idx="29">
                  <c:v>70.599999999999994</c:v>
                </c:pt>
                <c:pt idx="30">
                  <c:v>75.400000000000006</c:v>
                </c:pt>
                <c:pt idx="31">
                  <c:v>78.3</c:v>
                </c:pt>
                <c:pt idx="32">
                  <c:v>84</c:v>
                </c:pt>
                <c:pt idx="33">
                  <c:v>75.5</c:v>
                </c:pt>
                <c:pt idx="34">
                  <c:v>79.7</c:v>
                </c:pt>
                <c:pt idx="35">
                  <c:v>80.7</c:v>
                </c:pt>
                <c:pt idx="36">
                  <c:v>81.7</c:v>
                </c:pt>
                <c:pt idx="37">
                  <c:v>87.7</c:v>
                </c:pt>
                <c:pt idx="38">
                  <c:v>104.69999999999899</c:v>
                </c:pt>
                <c:pt idx="39">
                  <c:v>107.9</c:v>
                </c:pt>
                <c:pt idx="40">
                  <c:v>95.6</c:v>
                </c:pt>
                <c:pt idx="41">
                  <c:v>86.3</c:v>
                </c:pt>
                <c:pt idx="42">
                  <c:v>92.8</c:v>
                </c:pt>
                <c:pt idx="43">
                  <c:v>104.1</c:v>
                </c:pt>
                <c:pt idx="44">
                  <c:v>111.8</c:v>
                </c:pt>
                <c:pt idx="45">
                  <c:v>118.1</c:v>
                </c:pt>
                <c:pt idx="46">
                  <c:v>118.4</c:v>
                </c:pt>
                <c:pt idx="47">
                  <c:v>120.8</c:v>
                </c:pt>
                <c:pt idx="48">
                  <c:v>121.9</c:v>
                </c:pt>
                <c:pt idx="49">
                  <c:v>120.3</c:v>
                </c:pt>
                <c:pt idx="50">
                  <c:v>113.2</c:v>
                </c:pt>
                <c:pt idx="51">
                  <c:v>114.5</c:v>
                </c:pt>
                <c:pt idx="52">
                  <c:v>77.899999999999906</c:v>
                </c:pt>
                <c:pt idx="53">
                  <c:v>86.3</c:v>
                </c:pt>
                <c:pt idx="54">
                  <c:v>88.5</c:v>
                </c:pt>
                <c:pt idx="55">
                  <c:v>91.3</c:v>
                </c:pt>
                <c:pt idx="56">
                  <c:v>93.5</c:v>
                </c:pt>
                <c:pt idx="57">
                  <c:v>107.4</c:v>
                </c:pt>
                <c:pt idx="58">
                  <c:v>114.9</c:v>
                </c:pt>
                <c:pt idx="59">
                  <c:v>125.7</c:v>
                </c:pt>
                <c:pt idx="60">
                  <c:v>133.5</c:v>
                </c:pt>
                <c:pt idx="61">
                  <c:v>136.9</c:v>
                </c:pt>
                <c:pt idx="62">
                  <c:v>136.9</c:v>
                </c:pt>
                <c:pt idx="63">
                  <c:v>138.9</c:v>
                </c:pt>
                <c:pt idx="64">
                  <c:v>138.9</c:v>
                </c:pt>
                <c:pt idx="65">
                  <c:v>137.6</c:v>
                </c:pt>
                <c:pt idx="66">
                  <c:v>152.19999999999999</c:v>
                </c:pt>
                <c:pt idx="67">
                  <c:v>155.1</c:v>
                </c:pt>
                <c:pt idx="68">
                  <c:v>160.1</c:v>
                </c:pt>
                <c:pt idx="69">
                  <c:v>165.1</c:v>
                </c:pt>
                <c:pt idx="70">
                  <c:v>173.1</c:v>
                </c:pt>
                <c:pt idx="71">
                  <c:v>175.1</c:v>
                </c:pt>
                <c:pt idx="72">
                  <c:v>179</c:v>
                </c:pt>
                <c:pt idx="73">
                  <c:v>182</c:v>
                </c:pt>
                <c:pt idx="74">
                  <c:v>184.4</c:v>
                </c:pt>
                <c:pt idx="75">
                  <c:v>185.4</c:v>
                </c:pt>
                <c:pt idx="76">
                  <c:v>189.6</c:v>
                </c:pt>
                <c:pt idx="77">
                  <c:v>193</c:v>
                </c:pt>
                <c:pt idx="78">
                  <c:v>193</c:v>
                </c:pt>
                <c:pt idx="79">
                  <c:v>194</c:v>
                </c:pt>
                <c:pt idx="80">
                  <c:v>194</c:v>
                </c:pt>
                <c:pt idx="81">
                  <c:v>194</c:v>
                </c:pt>
                <c:pt idx="82">
                  <c:v>194</c:v>
                </c:pt>
                <c:pt idx="83">
                  <c:v>194</c:v>
                </c:pt>
                <c:pt idx="84">
                  <c:v>194</c:v>
                </c:pt>
                <c:pt idx="85">
                  <c:v>194</c:v>
                </c:pt>
                <c:pt idx="86">
                  <c:v>194</c:v>
                </c:pt>
                <c:pt idx="87">
                  <c:v>195.4</c:v>
                </c:pt>
                <c:pt idx="88">
                  <c:v>195.4</c:v>
                </c:pt>
                <c:pt idx="89">
                  <c:v>196.7</c:v>
                </c:pt>
                <c:pt idx="90">
                  <c:v>196.7</c:v>
                </c:pt>
                <c:pt idx="91">
                  <c:v>196.7</c:v>
                </c:pt>
                <c:pt idx="92">
                  <c:v>196.7</c:v>
                </c:pt>
                <c:pt idx="93">
                  <c:v>199.3</c:v>
                </c:pt>
                <c:pt idx="94">
                  <c:v>200.6</c:v>
                </c:pt>
                <c:pt idx="95">
                  <c:v>200.6</c:v>
                </c:pt>
                <c:pt idx="96">
                  <c:v>200.6</c:v>
                </c:pt>
                <c:pt idx="97">
                  <c:v>201.9</c:v>
                </c:pt>
                <c:pt idx="98">
                  <c:v>204.5</c:v>
                </c:pt>
                <c:pt idx="99">
                  <c:v>204.5</c:v>
                </c:pt>
                <c:pt idx="100">
                  <c:v>205.8</c:v>
                </c:pt>
                <c:pt idx="101">
                  <c:v>207.1</c:v>
                </c:pt>
                <c:pt idx="102">
                  <c:v>207.1</c:v>
                </c:pt>
                <c:pt idx="103">
                  <c:v>209.7</c:v>
                </c:pt>
                <c:pt idx="104">
                  <c:v>210.7</c:v>
                </c:pt>
                <c:pt idx="105">
                  <c:v>218.7</c:v>
                </c:pt>
                <c:pt idx="106">
                  <c:v>224.7</c:v>
                </c:pt>
                <c:pt idx="107">
                  <c:v>228</c:v>
                </c:pt>
                <c:pt idx="108">
                  <c:v>216</c:v>
                </c:pt>
                <c:pt idx="109">
                  <c:v>199.3</c:v>
                </c:pt>
                <c:pt idx="110">
                  <c:v>194.5</c:v>
                </c:pt>
                <c:pt idx="111">
                  <c:v>168.89999999999901</c:v>
                </c:pt>
                <c:pt idx="112">
                  <c:v>173.8</c:v>
                </c:pt>
                <c:pt idx="113">
                  <c:v>186</c:v>
                </c:pt>
                <c:pt idx="114">
                  <c:v>179.2</c:v>
                </c:pt>
                <c:pt idx="115">
                  <c:v>179</c:v>
                </c:pt>
                <c:pt idx="116">
                  <c:v>167.6</c:v>
                </c:pt>
                <c:pt idx="117">
                  <c:v>180.6</c:v>
                </c:pt>
                <c:pt idx="118">
                  <c:v>185.2</c:v>
                </c:pt>
                <c:pt idx="119">
                  <c:v>194.2</c:v>
                </c:pt>
                <c:pt idx="120">
                  <c:v>177.6</c:v>
                </c:pt>
                <c:pt idx="121">
                  <c:v>181.5</c:v>
                </c:pt>
                <c:pt idx="122">
                  <c:v>184</c:v>
                </c:pt>
                <c:pt idx="123">
                  <c:v>181.2</c:v>
                </c:pt>
                <c:pt idx="124">
                  <c:v>161.6</c:v>
                </c:pt>
                <c:pt idx="125">
                  <c:v>129</c:v>
                </c:pt>
                <c:pt idx="126">
                  <c:v>136</c:v>
                </c:pt>
                <c:pt idx="127">
                  <c:v>152.5</c:v>
                </c:pt>
                <c:pt idx="128">
                  <c:v>137.6</c:v>
                </c:pt>
                <c:pt idx="129">
                  <c:v>152</c:v>
                </c:pt>
                <c:pt idx="130">
                  <c:v>128</c:v>
                </c:pt>
                <c:pt idx="131">
                  <c:v>133</c:v>
                </c:pt>
                <c:pt idx="132">
                  <c:v>64.5</c:v>
                </c:pt>
                <c:pt idx="133">
                  <c:v>40.5</c:v>
                </c:pt>
                <c:pt idx="134">
                  <c:v>62.2</c:v>
                </c:pt>
                <c:pt idx="135">
                  <c:v>79.900000000000006</c:v>
                </c:pt>
                <c:pt idx="136">
                  <c:v>100.7</c:v>
                </c:pt>
                <c:pt idx="137">
                  <c:v>114.4</c:v>
                </c:pt>
                <c:pt idx="138">
                  <c:v>63.2</c:v>
                </c:pt>
                <c:pt idx="139">
                  <c:v>48.3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469-45C4-B0D2-EA024AC8D742}"/>
            </c:ext>
          </c:extLst>
        </c:ser>
        <c:ser>
          <c:idx val="19"/>
          <c:order val="19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Lothlorien</c:v>
                </c:pt>
              </c:strCache>
            </c:strRef>
          </c:tx>
          <c:spPr>
            <a:ln w="28575" cap="rnd">
              <a:solidFill>
                <a:srgbClr val="CCFF99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24</c:v>
                </c:pt>
                <c:pt idx="1">
                  <c:v>24</c:v>
                </c:pt>
                <c:pt idx="2">
                  <c:v>25</c:v>
                </c:pt>
                <c:pt idx="3">
                  <c:v>27</c:v>
                </c:pt>
                <c:pt idx="4">
                  <c:v>29</c:v>
                </c:pt>
                <c:pt idx="5">
                  <c:v>31</c:v>
                </c:pt>
                <c:pt idx="6">
                  <c:v>33</c:v>
                </c:pt>
                <c:pt idx="7">
                  <c:v>35</c:v>
                </c:pt>
                <c:pt idx="8">
                  <c:v>36</c:v>
                </c:pt>
                <c:pt idx="9">
                  <c:v>37</c:v>
                </c:pt>
                <c:pt idx="10">
                  <c:v>39</c:v>
                </c:pt>
                <c:pt idx="11">
                  <c:v>39</c:v>
                </c:pt>
                <c:pt idx="12">
                  <c:v>34</c:v>
                </c:pt>
                <c:pt idx="13">
                  <c:v>20</c:v>
                </c:pt>
                <c:pt idx="14">
                  <c:v>2</c:v>
                </c:pt>
                <c:pt idx="15">
                  <c:v>3</c:v>
                </c:pt>
                <c:pt idx="16">
                  <c:v>8</c:v>
                </c:pt>
                <c:pt idx="17">
                  <c:v>15</c:v>
                </c:pt>
                <c:pt idx="18">
                  <c:v>16</c:v>
                </c:pt>
                <c:pt idx="19">
                  <c:v>20</c:v>
                </c:pt>
                <c:pt idx="20">
                  <c:v>24</c:v>
                </c:pt>
                <c:pt idx="21">
                  <c:v>21</c:v>
                </c:pt>
                <c:pt idx="22">
                  <c:v>30</c:v>
                </c:pt>
                <c:pt idx="23">
                  <c:v>29</c:v>
                </c:pt>
                <c:pt idx="24">
                  <c:v>32</c:v>
                </c:pt>
                <c:pt idx="25">
                  <c:v>31</c:v>
                </c:pt>
                <c:pt idx="26">
                  <c:v>19</c:v>
                </c:pt>
                <c:pt idx="27">
                  <c:v>28</c:v>
                </c:pt>
                <c:pt idx="28">
                  <c:v>29</c:v>
                </c:pt>
                <c:pt idx="29">
                  <c:v>29</c:v>
                </c:pt>
                <c:pt idx="30">
                  <c:v>29</c:v>
                </c:pt>
                <c:pt idx="31">
                  <c:v>29</c:v>
                </c:pt>
                <c:pt idx="32">
                  <c:v>20</c:v>
                </c:pt>
                <c:pt idx="33">
                  <c:v>20</c:v>
                </c:pt>
                <c:pt idx="34">
                  <c:v>18</c:v>
                </c:pt>
                <c:pt idx="35">
                  <c:v>18</c:v>
                </c:pt>
                <c:pt idx="36">
                  <c:v>22</c:v>
                </c:pt>
                <c:pt idx="37">
                  <c:v>20</c:v>
                </c:pt>
                <c:pt idx="38">
                  <c:v>20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3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469-45C4-B0D2-EA024AC8D742}"/>
            </c:ext>
          </c:extLst>
        </c:ser>
        <c:ser>
          <c:idx val="20"/>
          <c:order val="20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Mahud</c:v>
                </c:pt>
              </c:strCache>
            </c:strRef>
          </c:tx>
          <c:spPr>
            <a:ln w="28575" cap="rnd">
              <a:solidFill>
                <a:srgbClr val="FE937E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24</c:v>
                </c:pt>
                <c:pt idx="1">
                  <c:v>26</c:v>
                </c:pt>
                <c:pt idx="2">
                  <c:v>29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32</c:v>
                </c:pt>
                <c:pt idx="7">
                  <c:v>34</c:v>
                </c:pt>
                <c:pt idx="8">
                  <c:v>35</c:v>
                </c:pt>
                <c:pt idx="9">
                  <c:v>37</c:v>
                </c:pt>
                <c:pt idx="10">
                  <c:v>40</c:v>
                </c:pt>
                <c:pt idx="11">
                  <c:v>41</c:v>
                </c:pt>
                <c:pt idx="12">
                  <c:v>41</c:v>
                </c:pt>
                <c:pt idx="13">
                  <c:v>42</c:v>
                </c:pt>
                <c:pt idx="14">
                  <c:v>42</c:v>
                </c:pt>
                <c:pt idx="15">
                  <c:v>41</c:v>
                </c:pt>
                <c:pt idx="16">
                  <c:v>41</c:v>
                </c:pt>
                <c:pt idx="17">
                  <c:v>41</c:v>
                </c:pt>
                <c:pt idx="18">
                  <c:v>41</c:v>
                </c:pt>
                <c:pt idx="19">
                  <c:v>42</c:v>
                </c:pt>
                <c:pt idx="20">
                  <c:v>41</c:v>
                </c:pt>
                <c:pt idx="21">
                  <c:v>41</c:v>
                </c:pt>
                <c:pt idx="22">
                  <c:v>41</c:v>
                </c:pt>
                <c:pt idx="23">
                  <c:v>41</c:v>
                </c:pt>
                <c:pt idx="24">
                  <c:v>41</c:v>
                </c:pt>
                <c:pt idx="25">
                  <c:v>41</c:v>
                </c:pt>
                <c:pt idx="26">
                  <c:v>41</c:v>
                </c:pt>
                <c:pt idx="27">
                  <c:v>41</c:v>
                </c:pt>
                <c:pt idx="28">
                  <c:v>41</c:v>
                </c:pt>
                <c:pt idx="29">
                  <c:v>41</c:v>
                </c:pt>
                <c:pt idx="30">
                  <c:v>41</c:v>
                </c:pt>
                <c:pt idx="31">
                  <c:v>42</c:v>
                </c:pt>
                <c:pt idx="32">
                  <c:v>43</c:v>
                </c:pt>
                <c:pt idx="33">
                  <c:v>43</c:v>
                </c:pt>
                <c:pt idx="34">
                  <c:v>43</c:v>
                </c:pt>
                <c:pt idx="35">
                  <c:v>43</c:v>
                </c:pt>
                <c:pt idx="36">
                  <c:v>24</c:v>
                </c:pt>
                <c:pt idx="37">
                  <c:v>25</c:v>
                </c:pt>
                <c:pt idx="38">
                  <c:v>27</c:v>
                </c:pt>
                <c:pt idx="39">
                  <c:v>33</c:v>
                </c:pt>
                <c:pt idx="40">
                  <c:v>38</c:v>
                </c:pt>
                <c:pt idx="41">
                  <c:v>42</c:v>
                </c:pt>
                <c:pt idx="42">
                  <c:v>45</c:v>
                </c:pt>
                <c:pt idx="43">
                  <c:v>48</c:v>
                </c:pt>
                <c:pt idx="44">
                  <c:v>48</c:v>
                </c:pt>
                <c:pt idx="45">
                  <c:v>48</c:v>
                </c:pt>
                <c:pt idx="46">
                  <c:v>48</c:v>
                </c:pt>
                <c:pt idx="47">
                  <c:v>48</c:v>
                </c:pt>
                <c:pt idx="48">
                  <c:v>48</c:v>
                </c:pt>
                <c:pt idx="49">
                  <c:v>48</c:v>
                </c:pt>
                <c:pt idx="50">
                  <c:v>48</c:v>
                </c:pt>
                <c:pt idx="51">
                  <c:v>48</c:v>
                </c:pt>
                <c:pt idx="52">
                  <c:v>48</c:v>
                </c:pt>
                <c:pt idx="53">
                  <c:v>48</c:v>
                </c:pt>
                <c:pt idx="54">
                  <c:v>48</c:v>
                </c:pt>
                <c:pt idx="55">
                  <c:v>40</c:v>
                </c:pt>
                <c:pt idx="56">
                  <c:v>50</c:v>
                </c:pt>
                <c:pt idx="57">
                  <c:v>44</c:v>
                </c:pt>
                <c:pt idx="58">
                  <c:v>41</c:v>
                </c:pt>
                <c:pt idx="59">
                  <c:v>44</c:v>
                </c:pt>
                <c:pt idx="60">
                  <c:v>51</c:v>
                </c:pt>
                <c:pt idx="61">
                  <c:v>50</c:v>
                </c:pt>
                <c:pt idx="62">
                  <c:v>54</c:v>
                </c:pt>
                <c:pt idx="63">
                  <c:v>49</c:v>
                </c:pt>
                <c:pt idx="64">
                  <c:v>44</c:v>
                </c:pt>
                <c:pt idx="65">
                  <c:v>44</c:v>
                </c:pt>
                <c:pt idx="66">
                  <c:v>36</c:v>
                </c:pt>
                <c:pt idx="67">
                  <c:v>34.4</c:v>
                </c:pt>
                <c:pt idx="68">
                  <c:v>30.2</c:v>
                </c:pt>
                <c:pt idx="69">
                  <c:v>28</c:v>
                </c:pt>
                <c:pt idx="70">
                  <c:v>27</c:v>
                </c:pt>
                <c:pt idx="71">
                  <c:v>11</c:v>
                </c:pt>
                <c:pt idx="72">
                  <c:v>8.8000000000000007</c:v>
                </c:pt>
                <c:pt idx="73">
                  <c:v>11</c:v>
                </c:pt>
                <c:pt idx="74">
                  <c:v>12.1</c:v>
                </c:pt>
                <c:pt idx="75">
                  <c:v>12.1</c:v>
                </c:pt>
                <c:pt idx="76">
                  <c:v>12.1</c:v>
                </c:pt>
                <c:pt idx="77">
                  <c:v>12.1</c:v>
                </c:pt>
                <c:pt idx="78">
                  <c:v>12.1</c:v>
                </c:pt>
                <c:pt idx="79">
                  <c:v>12.1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469-45C4-B0D2-EA024AC8D742}"/>
            </c:ext>
          </c:extLst>
        </c:ser>
        <c:ser>
          <c:idx val="21"/>
          <c:order val="21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Mordor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95</c:v>
                </c:pt>
                <c:pt idx="1">
                  <c:v>100</c:v>
                </c:pt>
                <c:pt idx="2">
                  <c:v>106</c:v>
                </c:pt>
                <c:pt idx="3">
                  <c:v>106</c:v>
                </c:pt>
                <c:pt idx="4">
                  <c:v>110</c:v>
                </c:pt>
                <c:pt idx="5">
                  <c:v>114</c:v>
                </c:pt>
                <c:pt idx="6">
                  <c:v>114.5</c:v>
                </c:pt>
                <c:pt idx="7">
                  <c:v>117.5</c:v>
                </c:pt>
                <c:pt idx="8">
                  <c:v>120.5</c:v>
                </c:pt>
                <c:pt idx="9">
                  <c:v>124.5</c:v>
                </c:pt>
                <c:pt idx="10">
                  <c:v>128.6</c:v>
                </c:pt>
                <c:pt idx="11">
                  <c:v>129.6</c:v>
                </c:pt>
                <c:pt idx="12">
                  <c:v>129.6</c:v>
                </c:pt>
                <c:pt idx="13">
                  <c:v>129.6</c:v>
                </c:pt>
                <c:pt idx="14">
                  <c:v>129.6</c:v>
                </c:pt>
                <c:pt idx="15">
                  <c:v>129.6</c:v>
                </c:pt>
                <c:pt idx="16">
                  <c:v>137.6</c:v>
                </c:pt>
                <c:pt idx="17">
                  <c:v>137.6</c:v>
                </c:pt>
                <c:pt idx="18">
                  <c:v>142</c:v>
                </c:pt>
                <c:pt idx="19">
                  <c:v>142.69999999999999</c:v>
                </c:pt>
                <c:pt idx="20">
                  <c:v>152.69999999999999</c:v>
                </c:pt>
                <c:pt idx="21">
                  <c:v>157.69999999999999</c:v>
                </c:pt>
                <c:pt idx="22">
                  <c:v>157.69999999999999</c:v>
                </c:pt>
                <c:pt idx="23">
                  <c:v>163.69999999999999</c:v>
                </c:pt>
                <c:pt idx="24">
                  <c:v>167.5</c:v>
                </c:pt>
                <c:pt idx="25">
                  <c:v>168.7</c:v>
                </c:pt>
                <c:pt idx="26">
                  <c:v>179.7</c:v>
                </c:pt>
                <c:pt idx="27">
                  <c:v>177.2</c:v>
                </c:pt>
                <c:pt idx="28">
                  <c:v>179.4</c:v>
                </c:pt>
                <c:pt idx="29">
                  <c:v>179.4</c:v>
                </c:pt>
                <c:pt idx="30">
                  <c:v>176.4</c:v>
                </c:pt>
                <c:pt idx="31">
                  <c:v>176.4</c:v>
                </c:pt>
                <c:pt idx="32">
                  <c:v>176.4</c:v>
                </c:pt>
                <c:pt idx="33">
                  <c:v>176.4</c:v>
                </c:pt>
                <c:pt idx="34">
                  <c:v>177.4</c:v>
                </c:pt>
                <c:pt idx="35">
                  <c:v>177.4</c:v>
                </c:pt>
                <c:pt idx="36">
                  <c:v>177.4</c:v>
                </c:pt>
                <c:pt idx="37">
                  <c:v>177.4</c:v>
                </c:pt>
                <c:pt idx="38">
                  <c:v>173</c:v>
                </c:pt>
                <c:pt idx="39">
                  <c:v>178.4</c:v>
                </c:pt>
                <c:pt idx="40">
                  <c:v>179.4</c:v>
                </c:pt>
                <c:pt idx="41">
                  <c:v>191.8</c:v>
                </c:pt>
                <c:pt idx="42">
                  <c:v>202.5</c:v>
                </c:pt>
                <c:pt idx="43">
                  <c:v>204.3</c:v>
                </c:pt>
                <c:pt idx="44">
                  <c:v>202.4</c:v>
                </c:pt>
                <c:pt idx="45">
                  <c:v>207.3</c:v>
                </c:pt>
                <c:pt idx="46">
                  <c:v>213.7</c:v>
                </c:pt>
                <c:pt idx="47">
                  <c:v>212.3</c:v>
                </c:pt>
                <c:pt idx="48">
                  <c:v>209.2</c:v>
                </c:pt>
                <c:pt idx="49">
                  <c:v>209.2</c:v>
                </c:pt>
                <c:pt idx="50">
                  <c:v>210.2</c:v>
                </c:pt>
                <c:pt idx="51">
                  <c:v>213.8</c:v>
                </c:pt>
                <c:pt idx="52">
                  <c:v>214.8</c:v>
                </c:pt>
                <c:pt idx="53">
                  <c:v>219.8</c:v>
                </c:pt>
                <c:pt idx="54">
                  <c:v>219.8</c:v>
                </c:pt>
                <c:pt idx="55">
                  <c:v>219.8</c:v>
                </c:pt>
                <c:pt idx="56">
                  <c:v>220.7</c:v>
                </c:pt>
                <c:pt idx="57">
                  <c:v>220.7</c:v>
                </c:pt>
                <c:pt idx="58">
                  <c:v>219.4</c:v>
                </c:pt>
                <c:pt idx="59">
                  <c:v>219.4</c:v>
                </c:pt>
                <c:pt idx="60">
                  <c:v>218</c:v>
                </c:pt>
                <c:pt idx="61">
                  <c:v>225.6</c:v>
                </c:pt>
                <c:pt idx="62">
                  <c:v>225.6</c:v>
                </c:pt>
                <c:pt idx="63">
                  <c:v>224.3</c:v>
                </c:pt>
                <c:pt idx="64">
                  <c:v>234.3</c:v>
                </c:pt>
                <c:pt idx="65">
                  <c:v>245.3</c:v>
                </c:pt>
                <c:pt idx="66">
                  <c:v>254.3</c:v>
                </c:pt>
                <c:pt idx="67">
                  <c:v>257.3</c:v>
                </c:pt>
                <c:pt idx="68">
                  <c:v>257.3</c:v>
                </c:pt>
                <c:pt idx="69">
                  <c:v>258.3</c:v>
                </c:pt>
                <c:pt idx="70">
                  <c:v>258.3</c:v>
                </c:pt>
                <c:pt idx="71">
                  <c:v>259.3</c:v>
                </c:pt>
                <c:pt idx="72">
                  <c:v>263.3</c:v>
                </c:pt>
                <c:pt idx="73">
                  <c:v>263.3</c:v>
                </c:pt>
                <c:pt idx="74">
                  <c:v>263.3</c:v>
                </c:pt>
                <c:pt idx="75">
                  <c:v>263.3</c:v>
                </c:pt>
                <c:pt idx="76">
                  <c:v>263.3</c:v>
                </c:pt>
                <c:pt idx="77">
                  <c:v>263.3</c:v>
                </c:pt>
                <c:pt idx="78">
                  <c:v>263.3</c:v>
                </c:pt>
                <c:pt idx="79">
                  <c:v>263.3</c:v>
                </c:pt>
                <c:pt idx="80">
                  <c:v>288.3</c:v>
                </c:pt>
                <c:pt idx="81">
                  <c:v>292.89999999999998</c:v>
                </c:pt>
                <c:pt idx="82">
                  <c:v>295.10000000000002</c:v>
                </c:pt>
                <c:pt idx="83">
                  <c:v>295.10000000000002</c:v>
                </c:pt>
                <c:pt idx="84">
                  <c:v>295.10000000000002</c:v>
                </c:pt>
                <c:pt idx="85">
                  <c:v>295.10000000000002</c:v>
                </c:pt>
                <c:pt idx="86">
                  <c:v>295.10000000000002</c:v>
                </c:pt>
                <c:pt idx="87">
                  <c:v>297.10000000000002</c:v>
                </c:pt>
                <c:pt idx="88">
                  <c:v>300.10000000000002</c:v>
                </c:pt>
                <c:pt idx="89">
                  <c:v>300.10000000000002</c:v>
                </c:pt>
                <c:pt idx="90">
                  <c:v>312.10000000000002</c:v>
                </c:pt>
                <c:pt idx="91">
                  <c:v>303.10000000000002</c:v>
                </c:pt>
                <c:pt idx="92">
                  <c:v>320.5</c:v>
                </c:pt>
                <c:pt idx="93">
                  <c:v>331.1</c:v>
                </c:pt>
                <c:pt idx="94">
                  <c:v>331.1</c:v>
                </c:pt>
                <c:pt idx="95">
                  <c:v>331.1</c:v>
                </c:pt>
                <c:pt idx="96">
                  <c:v>340.1</c:v>
                </c:pt>
                <c:pt idx="97">
                  <c:v>341.1</c:v>
                </c:pt>
                <c:pt idx="98">
                  <c:v>345.1</c:v>
                </c:pt>
                <c:pt idx="99">
                  <c:v>349.1</c:v>
                </c:pt>
                <c:pt idx="100">
                  <c:v>349.1</c:v>
                </c:pt>
                <c:pt idx="101">
                  <c:v>351.1</c:v>
                </c:pt>
                <c:pt idx="102">
                  <c:v>351.1</c:v>
                </c:pt>
                <c:pt idx="103">
                  <c:v>351.1</c:v>
                </c:pt>
                <c:pt idx="104">
                  <c:v>359.1</c:v>
                </c:pt>
                <c:pt idx="105">
                  <c:v>362.9</c:v>
                </c:pt>
                <c:pt idx="106">
                  <c:v>379.7</c:v>
                </c:pt>
                <c:pt idx="107">
                  <c:v>395.1</c:v>
                </c:pt>
                <c:pt idx="108">
                  <c:v>400.1</c:v>
                </c:pt>
                <c:pt idx="109">
                  <c:v>400.1</c:v>
                </c:pt>
                <c:pt idx="110">
                  <c:v>390.4</c:v>
                </c:pt>
                <c:pt idx="111">
                  <c:v>401.4</c:v>
                </c:pt>
                <c:pt idx="112">
                  <c:v>416.4</c:v>
                </c:pt>
                <c:pt idx="113">
                  <c:v>438.4</c:v>
                </c:pt>
                <c:pt idx="114">
                  <c:v>446.4</c:v>
                </c:pt>
                <c:pt idx="115">
                  <c:v>467.2</c:v>
                </c:pt>
                <c:pt idx="116">
                  <c:v>464.3</c:v>
                </c:pt>
                <c:pt idx="117">
                  <c:v>484.3</c:v>
                </c:pt>
                <c:pt idx="118">
                  <c:v>484.3</c:v>
                </c:pt>
                <c:pt idx="119">
                  <c:v>478.3</c:v>
                </c:pt>
                <c:pt idx="120">
                  <c:v>478.6</c:v>
                </c:pt>
                <c:pt idx="121">
                  <c:v>488.8</c:v>
                </c:pt>
                <c:pt idx="122">
                  <c:v>492.8</c:v>
                </c:pt>
                <c:pt idx="123">
                  <c:v>486.8</c:v>
                </c:pt>
                <c:pt idx="124">
                  <c:v>496.8</c:v>
                </c:pt>
                <c:pt idx="125">
                  <c:v>516.9</c:v>
                </c:pt>
                <c:pt idx="126">
                  <c:v>519.9</c:v>
                </c:pt>
                <c:pt idx="127">
                  <c:v>532.1</c:v>
                </c:pt>
                <c:pt idx="128">
                  <c:v>523.29999999999995</c:v>
                </c:pt>
                <c:pt idx="129">
                  <c:v>546.9</c:v>
                </c:pt>
                <c:pt idx="130">
                  <c:v>562.70000000000005</c:v>
                </c:pt>
                <c:pt idx="131">
                  <c:v>587.9</c:v>
                </c:pt>
                <c:pt idx="132">
                  <c:v>613.9</c:v>
                </c:pt>
                <c:pt idx="133">
                  <c:v>621.6</c:v>
                </c:pt>
                <c:pt idx="134">
                  <c:v>633.9</c:v>
                </c:pt>
                <c:pt idx="135">
                  <c:v>656.1</c:v>
                </c:pt>
                <c:pt idx="136">
                  <c:v>692.9</c:v>
                </c:pt>
                <c:pt idx="137">
                  <c:v>693.6</c:v>
                </c:pt>
                <c:pt idx="138">
                  <c:v>744.6</c:v>
                </c:pt>
                <c:pt idx="139">
                  <c:v>742.7</c:v>
                </c:pt>
                <c:pt idx="140">
                  <c:v>758.6</c:v>
                </c:pt>
                <c:pt idx="141">
                  <c:v>757.6</c:v>
                </c:pt>
                <c:pt idx="142">
                  <c:v>766.6</c:v>
                </c:pt>
                <c:pt idx="143">
                  <c:v>784.6</c:v>
                </c:pt>
                <c:pt idx="144">
                  <c:v>818.6</c:v>
                </c:pt>
                <c:pt idx="145">
                  <c:v>820.2</c:v>
                </c:pt>
                <c:pt idx="146">
                  <c:v>833.6</c:v>
                </c:pt>
                <c:pt idx="147">
                  <c:v>843.6</c:v>
                </c:pt>
                <c:pt idx="148">
                  <c:v>860.6</c:v>
                </c:pt>
                <c:pt idx="149">
                  <c:v>880.6</c:v>
                </c:pt>
                <c:pt idx="150">
                  <c:v>881.6</c:v>
                </c:pt>
                <c:pt idx="151">
                  <c:v>905.6</c:v>
                </c:pt>
                <c:pt idx="152">
                  <c:v>907.6</c:v>
                </c:pt>
                <c:pt idx="153">
                  <c:v>912.6</c:v>
                </c:pt>
                <c:pt idx="154">
                  <c:v>914.6</c:v>
                </c:pt>
                <c:pt idx="155">
                  <c:v>916.6</c:v>
                </c:pt>
                <c:pt idx="156">
                  <c:v>919.6</c:v>
                </c:pt>
                <c:pt idx="157">
                  <c:v>926.6</c:v>
                </c:pt>
                <c:pt idx="158">
                  <c:v>928.6</c:v>
                </c:pt>
                <c:pt idx="159">
                  <c:v>928.6</c:v>
                </c:pt>
                <c:pt idx="160">
                  <c:v>928.2</c:v>
                </c:pt>
                <c:pt idx="161">
                  <c:v>930.2</c:v>
                </c:pt>
                <c:pt idx="162">
                  <c:v>943.2</c:v>
                </c:pt>
                <c:pt idx="163">
                  <c:v>944.2</c:v>
                </c:pt>
                <c:pt idx="164">
                  <c:v>950.2</c:v>
                </c:pt>
                <c:pt idx="165">
                  <c:v>962.1</c:v>
                </c:pt>
                <c:pt idx="166">
                  <c:v>981.1</c:v>
                </c:pt>
                <c:pt idx="167">
                  <c:v>1003.1</c:v>
                </c:pt>
                <c:pt idx="168">
                  <c:v>1028.0999999999999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469-45C4-B0D2-EA024AC8D742}"/>
            </c:ext>
          </c:extLst>
        </c:ser>
        <c:ser>
          <c:idx val="22"/>
          <c:order val="22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Northern Enedwaith</c:v>
                </c:pt>
              </c:strCache>
            </c:strRef>
          </c:tx>
          <c:spPr>
            <a:ln w="28575" cap="rnd">
              <a:solidFill>
                <a:srgbClr val="FFCCCC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14</c:v>
                </c:pt>
                <c:pt idx="9">
                  <c:v>14</c:v>
                </c:pt>
                <c:pt idx="10">
                  <c:v>15</c:v>
                </c:pt>
                <c:pt idx="11">
                  <c:v>15</c:v>
                </c:pt>
                <c:pt idx="12">
                  <c:v>24</c:v>
                </c:pt>
                <c:pt idx="13">
                  <c:v>25</c:v>
                </c:pt>
                <c:pt idx="14">
                  <c:v>28</c:v>
                </c:pt>
                <c:pt idx="15">
                  <c:v>28</c:v>
                </c:pt>
                <c:pt idx="16">
                  <c:v>28</c:v>
                </c:pt>
                <c:pt idx="17">
                  <c:v>28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30</c:v>
                </c:pt>
                <c:pt idx="27">
                  <c:v>30</c:v>
                </c:pt>
                <c:pt idx="28">
                  <c:v>31</c:v>
                </c:pt>
                <c:pt idx="29">
                  <c:v>30</c:v>
                </c:pt>
                <c:pt idx="30">
                  <c:v>30</c:v>
                </c:pt>
                <c:pt idx="31">
                  <c:v>35</c:v>
                </c:pt>
                <c:pt idx="32">
                  <c:v>34</c:v>
                </c:pt>
                <c:pt idx="33">
                  <c:v>34</c:v>
                </c:pt>
                <c:pt idx="34">
                  <c:v>34</c:v>
                </c:pt>
                <c:pt idx="35">
                  <c:v>37</c:v>
                </c:pt>
                <c:pt idx="36">
                  <c:v>40</c:v>
                </c:pt>
                <c:pt idx="37">
                  <c:v>40</c:v>
                </c:pt>
                <c:pt idx="38">
                  <c:v>41</c:v>
                </c:pt>
                <c:pt idx="39">
                  <c:v>41</c:v>
                </c:pt>
                <c:pt idx="40">
                  <c:v>42</c:v>
                </c:pt>
                <c:pt idx="41">
                  <c:v>42</c:v>
                </c:pt>
                <c:pt idx="42">
                  <c:v>42</c:v>
                </c:pt>
                <c:pt idx="43">
                  <c:v>42</c:v>
                </c:pt>
                <c:pt idx="44">
                  <c:v>43</c:v>
                </c:pt>
                <c:pt idx="45">
                  <c:v>43</c:v>
                </c:pt>
                <c:pt idx="46">
                  <c:v>49</c:v>
                </c:pt>
                <c:pt idx="47">
                  <c:v>49</c:v>
                </c:pt>
                <c:pt idx="48">
                  <c:v>48</c:v>
                </c:pt>
                <c:pt idx="49">
                  <c:v>52</c:v>
                </c:pt>
                <c:pt idx="50">
                  <c:v>55</c:v>
                </c:pt>
                <c:pt idx="51">
                  <c:v>55</c:v>
                </c:pt>
                <c:pt idx="52">
                  <c:v>55</c:v>
                </c:pt>
                <c:pt idx="53">
                  <c:v>55</c:v>
                </c:pt>
                <c:pt idx="54">
                  <c:v>55</c:v>
                </c:pt>
                <c:pt idx="55">
                  <c:v>55</c:v>
                </c:pt>
                <c:pt idx="56">
                  <c:v>55</c:v>
                </c:pt>
                <c:pt idx="57">
                  <c:v>55</c:v>
                </c:pt>
                <c:pt idx="58">
                  <c:v>55</c:v>
                </c:pt>
                <c:pt idx="59">
                  <c:v>55</c:v>
                </c:pt>
                <c:pt idx="60">
                  <c:v>55</c:v>
                </c:pt>
                <c:pt idx="61">
                  <c:v>57</c:v>
                </c:pt>
                <c:pt idx="62">
                  <c:v>59</c:v>
                </c:pt>
                <c:pt idx="63">
                  <c:v>58</c:v>
                </c:pt>
                <c:pt idx="64">
                  <c:v>60</c:v>
                </c:pt>
                <c:pt idx="65">
                  <c:v>64</c:v>
                </c:pt>
                <c:pt idx="66">
                  <c:v>67</c:v>
                </c:pt>
                <c:pt idx="67">
                  <c:v>68</c:v>
                </c:pt>
                <c:pt idx="68">
                  <c:v>71</c:v>
                </c:pt>
                <c:pt idx="69">
                  <c:v>71</c:v>
                </c:pt>
                <c:pt idx="70">
                  <c:v>74</c:v>
                </c:pt>
                <c:pt idx="71">
                  <c:v>74</c:v>
                </c:pt>
                <c:pt idx="72">
                  <c:v>75</c:v>
                </c:pt>
                <c:pt idx="73">
                  <c:v>77</c:v>
                </c:pt>
                <c:pt idx="74">
                  <c:v>77</c:v>
                </c:pt>
                <c:pt idx="75">
                  <c:v>77</c:v>
                </c:pt>
                <c:pt idx="76">
                  <c:v>77</c:v>
                </c:pt>
                <c:pt idx="77">
                  <c:v>78</c:v>
                </c:pt>
                <c:pt idx="78">
                  <c:v>78</c:v>
                </c:pt>
                <c:pt idx="79">
                  <c:v>79</c:v>
                </c:pt>
                <c:pt idx="80">
                  <c:v>79</c:v>
                </c:pt>
                <c:pt idx="81">
                  <c:v>80</c:v>
                </c:pt>
                <c:pt idx="82">
                  <c:v>81</c:v>
                </c:pt>
                <c:pt idx="83">
                  <c:v>81</c:v>
                </c:pt>
                <c:pt idx="84">
                  <c:v>81</c:v>
                </c:pt>
                <c:pt idx="85">
                  <c:v>81</c:v>
                </c:pt>
                <c:pt idx="86">
                  <c:v>81</c:v>
                </c:pt>
                <c:pt idx="87">
                  <c:v>81</c:v>
                </c:pt>
                <c:pt idx="88">
                  <c:v>81</c:v>
                </c:pt>
                <c:pt idx="89">
                  <c:v>83</c:v>
                </c:pt>
                <c:pt idx="90">
                  <c:v>83</c:v>
                </c:pt>
                <c:pt idx="91">
                  <c:v>84</c:v>
                </c:pt>
                <c:pt idx="92">
                  <c:v>84</c:v>
                </c:pt>
                <c:pt idx="93">
                  <c:v>85</c:v>
                </c:pt>
                <c:pt idx="94">
                  <c:v>85</c:v>
                </c:pt>
                <c:pt idx="95">
                  <c:v>85</c:v>
                </c:pt>
                <c:pt idx="96">
                  <c:v>85</c:v>
                </c:pt>
                <c:pt idx="97">
                  <c:v>85</c:v>
                </c:pt>
                <c:pt idx="98">
                  <c:v>87</c:v>
                </c:pt>
                <c:pt idx="99">
                  <c:v>87</c:v>
                </c:pt>
                <c:pt idx="100">
                  <c:v>90</c:v>
                </c:pt>
                <c:pt idx="101">
                  <c:v>90</c:v>
                </c:pt>
                <c:pt idx="102">
                  <c:v>90</c:v>
                </c:pt>
                <c:pt idx="103">
                  <c:v>93</c:v>
                </c:pt>
                <c:pt idx="104">
                  <c:v>94</c:v>
                </c:pt>
                <c:pt idx="105">
                  <c:v>94</c:v>
                </c:pt>
                <c:pt idx="106">
                  <c:v>95</c:v>
                </c:pt>
                <c:pt idx="107">
                  <c:v>95</c:v>
                </c:pt>
                <c:pt idx="108">
                  <c:v>95</c:v>
                </c:pt>
                <c:pt idx="109">
                  <c:v>95</c:v>
                </c:pt>
                <c:pt idx="110">
                  <c:v>95</c:v>
                </c:pt>
                <c:pt idx="111">
                  <c:v>95</c:v>
                </c:pt>
                <c:pt idx="112">
                  <c:v>95</c:v>
                </c:pt>
                <c:pt idx="113">
                  <c:v>95</c:v>
                </c:pt>
                <c:pt idx="114">
                  <c:v>95</c:v>
                </c:pt>
                <c:pt idx="115">
                  <c:v>95</c:v>
                </c:pt>
                <c:pt idx="116">
                  <c:v>96</c:v>
                </c:pt>
                <c:pt idx="117">
                  <c:v>100</c:v>
                </c:pt>
                <c:pt idx="118">
                  <c:v>101</c:v>
                </c:pt>
                <c:pt idx="119">
                  <c:v>101</c:v>
                </c:pt>
                <c:pt idx="120">
                  <c:v>103</c:v>
                </c:pt>
                <c:pt idx="121">
                  <c:v>108</c:v>
                </c:pt>
                <c:pt idx="122">
                  <c:v>110.6</c:v>
                </c:pt>
                <c:pt idx="123">
                  <c:v>110.6</c:v>
                </c:pt>
                <c:pt idx="124">
                  <c:v>65.099999999999994</c:v>
                </c:pt>
                <c:pt idx="125">
                  <c:v>68.5</c:v>
                </c:pt>
                <c:pt idx="126">
                  <c:v>58.5</c:v>
                </c:pt>
                <c:pt idx="127">
                  <c:v>21.2</c:v>
                </c:pt>
                <c:pt idx="128">
                  <c:v>21.2</c:v>
                </c:pt>
                <c:pt idx="129">
                  <c:v>21.2</c:v>
                </c:pt>
                <c:pt idx="130">
                  <c:v>19</c:v>
                </c:pt>
                <c:pt idx="131">
                  <c:v>20.100000000000001</c:v>
                </c:pt>
                <c:pt idx="132">
                  <c:v>20.100000000000001</c:v>
                </c:pt>
                <c:pt idx="133">
                  <c:v>20.100000000000001</c:v>
                </c:pt>
                <c:pt idx="134">
                  <c:v>20.100000000000001</c:v>
                </c:pt>
                <c:pt idx="135">
                  <c:v>20.100000000000001</c:v>
                </c:pt>
                <c:pt idx="136">
                  <c:v>16.100000000000001</c:v>
                </c:pt>
                <c:pt idx="137">
                  <c:v>9.1</c:v>
                </c:pt>
                <c:pt idx="138">
                  <c:v>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469-45C4-B0D2-EA024AC8D742}"/>
            </c:ext>
          </c:extLst>
        </c:ser>
        <c:ser>
          <c:idx val="23"/>
          <c:order val="23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Rachrohir (Wainriders)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26</c:v>
                </c:pt>
                <c:pt idx="4">
                  <c:v>27</c:v>
                </c:pt>
                <c:pt idx="5">
                  <c:v>30</c:v>
                </c:pt>
                <c:pt idx="6">
                  <c:v>32</c:v>
                </c:pt>
                <c:pt idx="7">
                  <c:v>33</c:v>
                </c:pt>
                <c:pt idx="8">
                  <c:v>35</c:v>
                </c:pt>
                <c:pt idx="9">
                  <c:v>35</c:v>
                </c:pt>
                <c:pt idx="10">
                  <c:v>36</c:v>
                </c:pt>
                <c:pt idx="11">
                  <c:v>36</c:v>
                </c:pt>
                <c:pt idx="12">
                  <c:v>36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469-45C4-B0D2-EA024AC8D742}"/>
            </c:ext>
          </c:extLst>
        </c:ser>
        <c:ser>
          <c:idx val="24"/>
          <c:order val="24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Rhurim/Rhun</c:v>
                </c:pt>
              </c:strCache>
            </c:strRef>
          </c:tx>
          <c:spPr>
            <a:ln w="50800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32</c:v>
                </c:pt>
                <c:pt idx="1">
                  <c:v>34</c:v>
                </c:pt>
                <c:pt idx="2">
                  <c:v>48</c:v>
                </c:pt>
                <c:pt idx="3">
                  <c:v>65</c:v>
                </c:pt>
                <c:pt idx="4">
                  <c:v>88</c:v>
                </c:pt>
                <c:pt idx="5">
                  <c:v>101</c:v>
                </c:pt>
                <c:pt idx="6">
                  <c:v>110</c:v>
                </c:pt>
                <c:pt idx="7">
                  <c:v>121</c:v>
                </c:pt>
                <c:pt idx="8">
                  <c:v>131.5</c:v>
                </c:pt>
                <c:pt idx="9">
                  <c:v>130.30000000000001</c:v>
                </c:pt>
                <c:pt idx="10">
                  <c:v>135.30000000000001</c:v>
                </c:pt>
                <c:pt idx="11">
                  <c:v>142.5</c:v>
                </c:pt>
                <c:pt idx="12">
                  <c:v>155.5</c:v>
                </c:pt>
                <c:pt idx="13">
                  <c:v>168.5</c:v>
                </c:pt>
                <c:pt idx="14">
                  <c:v>170.5</c:v>
                </c:pt>
                <c:pt idx="15">
                  <c:v>183.2</c:v>
                </c:pt>
                <c:pt idx="16">
                  <c:v>195.2</c:v>
                </c:pt>
                <c:pt idx="17">
                  <c:v>188.5</c:v>
                </c:pt>
                <c:pt idx="18">
                  <c:v>216.5</c:v>
                </c:pt>
                <c:pt idx="19">
                  <c:v>222.6</c:v>
                </c:pt>
                <c:pt idx="20">
                  <c:v>237.7</c:v>
                </c:pt>
                <c:pt idx="21">
                  <c:v>248.8</c:v>
                </c:pt>
                <c:pt idx="22">
                  <c:v>256.3</c:v>
                </c:pt>
                <c:pt idx="23">
                  <c:v>278</c:v>
                </c:pt>
                <c:pt idx="24">
                  <c:v>288.89999999999998</c:v>
                </c:pt>
                <c:pt idx="25">
                  <c:v>305.8</c:v>
                </c:pt>
                <c:pt idx="26">
                  <c:v>318</c:v>
                </c:pt>
                <c:pt idx="27">
                  <c:v>322.7</c:v>
                </c:pt>
                <c:pt idx="28">
                  <c:v>329.4</c:v>
                </c:pt>
                <c:pt idx="29">
                  <c:v>342.4</c:v>
                </c:pt>
                <c:pt idx="30">
                  <c:v>351.9</c:v>
                </c:pt>
                <c:pt idx="31">
                  <c:v>357.8</c:v>
                </c:pt>
                <c:pt idx="32">
                  <c:v>367.1</c:v>
                </c:pt>
                <c:pt idx="33">
                  <c:v>381.29999999999899</c:v>
                </c:pt>
                <c:pt idx="34">
                  <c:v>396.29999999999899</c:v>
                </c:pt>
                <c:pt idx="35">
                  <c:v>403.1</c:v>
                </c:pt>
                <c:pt idx="36">
                  <c:v>416.1</c:v>
                </c:pt>
                <c:pt idx="37">
                  <c:v>425.1</c:v>
                </c:pt>
                <c:pt idx="38">
                  <c:v>427.1</c:v>
                </c:pt>
                <c:pt idx="39">
                  <c:v>429.2</c:v>
                </c:pt>
                <c:pt idx="40">
                  <c:v>421.2</c:v>
                </c:pt>
                <c:pt idx="41">
                  <c:v>426.2</c:v>
                </c:pt>
                <c:pt idx="42">
                  <c:v>430.4</c:v>
                </c:pt>
                <c:pt idx="43">
                  <c:v>416.1</c:v>
                </c:pt>
                <c:pt idx="44">
                  <c:v>425.5</c:v>
                </c:pt>
                <c:pt idx="45">
                  <c:v>409.29999999999899</c:v>
                </c:pt>
                <c:pt idx="46">
                  <c:v>371.3</c:v>
                </c:pt>
                <c:pt idx="47">
                  <c:v>362.7</c:v>
                </c:pt>
                <c:pt idx="48">
                  <c:v>364.7</c:v>
                </c:pt>
                <c:pt idx="49">
                  <c:v>365.7</c:v>
                </c:pt>
                <c:pt idx="50">
                  <c:v>364.7</c:v>
                </c:pt>
                <c:pt idx="51">
                  <c:v>365.7</c:v>
                </c:pt>
                <c:pt idx="52">
                  <c:v>365.7</c:v>
                </c:pt>
                <c:pt idx="53">
                  <c:v>372.7</c:v>
                </c:pt>
                <c:pt idx="54">
                  <c:v>375.7</c:v>
                </c:pt>
                <c:pt idx="55">
                  <c:v>367.7</c:v>
                </c:pt>
                <c:pt idx="56">
                  <c:v>347.7</c:v>
                </c:pt>
                <c:pt idx="57">
                  <c:v>348.7</c:v>
                </c:pt>
                <c:pt idx="58">
                  <c:v>332.5</c:v>
                </c:pt>
                <c:pt idx="59">
                  <c:v>344.2</c:v>
                </c:pt>
                <c:pt idx="60">
                  <c:v>348.5</c:v>
                </c:pt>
                <c:pt idx="61">
                  <c:v>351.5</c:v>
                </c:pt>
                <c:pt idx="62">
                  <c:v>354.5</c:v>
                </c:pt>
                <c:pt idx="63">
                  <c:v>361.3</c:v>
                </c:pt>
                <c:pt idx="64">
                  <c:v>386.2</c:v>
                </c:pt>
                <c:pt idx="65">
                  <c:v>402.8</c:v>
                </c:pt>
                <c:pt idx="66">
                  <c:v>412.2</c:v>
                </c:pt>
                <c:pt idx="67">
                  <c:v>426.2</c:v>
                </c:pt>
                <c:pt idx="68">
                  <c:v>435.2</c:v>
                </c:pt>
                <c:pt idx="69">
                  <c:v>397</c:v>
                </c:pt>
                <c:pt idx="70">
                  <c:v>384.5</c:v>
                </c:pt>
                <c:pt idx="71">
                  <c:v>402.2</c:v>
                </c:pt>
                <c:pt idx="72">
                  <c:v>409.5</c:v>
                </c:pt>
                <c:pt idx="73">
                  <c:v>425.6</c:v>
                </c:pt>
                <c:pt idx="74">
                  <c:v>433.3</c:v>
                </c:pt>
                <c:pt idx="75">
                  <c:v>431</c:v>
                </c:pt>
                <c:pt idx="76">
                  <c:v>433.8</c:v>
                </c:pt>
                <c:pt idx="77">
                  <c:v>446.4</c:v>
                </c:pt>
                <c:pt idx="78">
                  <c:v>432.1</c:v>
                </c:pt>
                <c:pt idx="79">
                  <c:v>449.4</c:v>
                </c:pt>
                <c:pt idx="80">
                  <c:v>456</c:v>
                </c:pt>
                <c:pt idx="81">
                  <c:v>440.1</c:v>
                </c:pt>
                <c:pt idx="82">
                  <c:v>461.9</c:v>
                </c:pt>
                <c:pt idx="83">
                  <c:v>477.5</c:v>
                </c:pt>
                <c:pt idx="84">
                  <c:v>490.9</c:v>
                </c:pt>
                <c:pt idx="85">
                  <c:v>496.79999999999899</c:v>
                </c:pt>
                <c:pt idx="86">
                  <c:v>498.79999999999899</c:v>
                </c:pt>
                <c:pt idx="87">
                  <c:v>492.79999999999899</c:v>
                </c:pt>
                <c:pt idx="88">
                  <c:v>493.79999999999899</c:v>
                </c:pt>
                <c:pt idx="89">
                  <c:v>504.79999999999899</c:v>
                </c:pt>
                <c:pt idx="90">
                  <c:v>441.6</c:v>
                </c:pt>
                <c:pt idx="91">
                  <c:v>448.29999999999899</c:v>
                </c:pt>
                <c:pt idx="92">
                  <c:v>444.5</c:v>
                </c:pt>
                <c:pt idx="93">
                  <c:v>451.29999999999899</c:v>
                </c:pt>
                <c:pt idx="94">
                  <c:v>436.7</c:v>
                </c:pt>
                <c:pt idx="95">
                  <c:v>447.9</c:v>
                </c:pt>
                <c:pt idx="96">
                  <c:v>450.4</c:v>
                </c:pt>
                <c:pt idx="97">
                  <c:v>457.6</c:v>
                </c:pt>
                <c:pt idx="98">
                  <c:v>424.9</c:v>
                </c:pt>
                <c:pt idx="99">
                  <c:v>405.8</c:v>
                </c:pt>
                <c:pt idx="100">
                  <c:v>411.9</c:v>
                </c:pt>
                <c:pt idx="101">
                  <c:v>408.9</c:v>
                </c:pt>
                <c:pt idx="102">
                  <c:v>413.1</c:v>
                </c:pt>
                <c:pt idx="103">
                  <c:v>401.9</c:v>
                </c:pt>
                <c:pt idx="104">
                  <c:v>417.9</c:v>
                </c:pt>
                <c:pt idx="105">
                  <c:v>421.7</c:v>
                </c:pt>
                <c:pt idx="106">
                  <c:v>424.9</c:v>
                </c:pt>
                <c:pt idx="107">
                  <c:v>379.9</c:v>
                </c:pt>
                <c:pt idx="108">
                  <c:v>380.9</c:v>
                </c:pt>
                <c:pt idx="109">
                  <c:v>377.3</c:v>
                </c:pt>
                <c:pt idx="110">
                  <c:v>377.3</c:v>
                </c:pt>
                <c:pt idx="111">
                  <c:v>368.9</c:v>
                </c:pt>
                <c:pt idx="112">
                  <c:v>368.6</c:v>
                </c:pt>
                <c:pt idx="113">
                  <c:v>391</c:v>
                </c:pt>
                <c:pt idx="114">
                  <c:v>416.7</c:v>
                </c:pt>
                <c:pt idx="115">
                  <c:v>407.5</c:v>
                </c:pt>
                <c:pt idx="116">
                  <c:v>414.9</c:v>
                </c:pt>
                <c:pt idx="117">
                  <c:v>429.29999999999899</c:v>
                </c:pt>
                <c:pt idx="118">
                  <c:v>430.9</c:v>
                </c:pt>
                <c:pt idx="119">
                  <c:v>398.9</c:v>
                </c:pt>
                <c:pt idx="120">
                  <c:v>371.5</c:v>
                </c:pt>
                <c:pt idx="121">
                  <c:v>378</c:v>
                </c:pt>
                <c:pt idx="122">
                  <c:v>396.29999999999899</c:v>
                </c:pt>
                <c:pt idx="123">
                  <c:v>403.5</c:v>
                </c:pt>
                <c:pt idx="124">
                  <c:v>408.2</c:v>
                </c:pt>
                <c:pt idx="125">
                  <c:v>410</c:v>
                </c:pt>
                <c:pt idx="126">
                  <c:v>390.7</c:v>
                </c:pt>
                <c:pt idx="127">
                  <c:v>394.8</c:v>
                </c:pt>
                <c:pt idx="128">
                  <c:v>370.29999999999899</c:v>
                </c:pt>
                <c:pt idx="129">
                  <c:v>342.4</c:v>
                </c:pt>
                <c:pt idx="130">
                  <c:v>311.2</c:v>
                </c:pt>
                <c:pt idx="131">
                  <c:v>321</c:v>
                </c:pt>
                <c:pt idx="132">
                  <c:v>325.60000000000002</c:v>
                </c:pt>
                <c:pt idx="133">
                  <c:v>326.60000000000002</c:v>
                </c:pt>
                <c:pt idx="134">
                  <c:v>339.7</c:v>
                </c:pt>
                <c:pt idx="135">
                  <c:v>304.5</c:v>
                </c:pt>
                <c:pt idx="136">
                  <c:v>309.3</c:v>
                </c:pt>
                <c:pt idx="137">
                  <c:v>303.89999999999998</c:v>
                </c:pt>
                <c:pt idx="138">
                  <c:v>291</c:v>
                </c:pt>
                <c:pt idx="139">
                  <c:v>298.7</c:v>
                </c:pt>
                <c:pt idx="140">
                  <c:v>264.7</c:v>
                </c:pt>
                <c:pt idx="141">
                  <c:v>274.2</c:v>
                </c:pt>
                <c:pt idx="142">
                  <c:v>267.5</c:v>
                </c:pt>
                <c:pt idx="143">
                  <c:v>278.5</c:v>
                </c:pt>
                <c:pt idx="144">
                  <c:v>251.5</c:v>
                </c:pt>
                <c:pt idx="145">
                  <c:v>263</c:v>
                </c:pt>
                <c:pt idx="146">
                  <c:v>285.39999999999998</c:v>
                </c:pt>
                <c:pt idx="147">
                  <c:v>275.3</c:v>
                </c:pt>
                <c:pt idx="148">
                  <c:v>255.6</c:v>
                </c:pt>
                <c:pt idx="149">
                  <c:v>218.5</c:v>
                </c:pt>
                <c:pt idx="150">
                  <c:v>192.4</c:v>
                </c:pt>
                <c:pt idx="151">
                  <c:v>178.1</c:v>
                </c:pt>
                <c:pt idx="152">
                  <c:v>177.1</c:v>
                </c:pt>
                <c:pt idx="153">
                  <c:v>155.5</c:v>
                </c:pt>
                <c:pt idx="154">
                  <c:v>110.1</c:v>
                </c:pt>
                <c:pt idx="155">
                  <c:v>79.8</c:v>
                </c:pt>
                <c:pt idx="156">
                  <c:v>79.7</c:v>
                </c:pt>
                <c:pt idx="157">
                  <c:v>88.7</c:v>
                </c:pt>
                <c:pt idx="158">
                  <c:v>81.7</c:v>
                </c:pt>
                <c:pt idx="159">
                  <c:v>52.7</c:v>
                </c:pt>
                <c:pt idx="160">
                  <c:v>36</c:v>
                </c:pt>
                <c:pt idx="161">
                  <c:v>36</c:v>
                </c:pt>
                <c:pt idx="162">
                  <c:v>29</c:v>
                </c:pt>
                <c:pt idx="163">
                  <c:v>12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469-45C4-B0D2-EA024AC8D742}"/>
            </c:ext>
          </c:extLst>
        </c:ser>
        <c:ser>
          <c:idx val="25"/>
          <c:order val="25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Rohan</c:v>
                </c:pt>
              </c:strCache>
            </c:strRef>
          </c:tx>
          <c:spPr>
            <a:ln w="50800" cap="rnd">
              <a:solidFill>
                <a:srgbClr val="33CC33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99</c:v>
                </c:pt>
                <c:pt idx="1">
                  <c:v>100</c:v>
                </c:pt>
                <c:pt idx="2">
                  <c:v>100</c:v>
                </c:pt>
                <c:pt idx="3">
                  <c:v>103</c:v>
                </c:pt>
                <c:pt idx="4">
                  <c:v>107</c:v>
                </c:pt>
                <c:pt idx="5">
                  <c:v>111</c:v>
                </c:pt>
                <c:pt idx="6">
                  <c:v>112</c:v>
                </c:pt>
                <c:pt idx="7">
                  <c:v>115</c:v>
                </c:pt>
                <c:pt idx="8">
                  <c:v>118</c:v>
                </c:pt>
                <c:pt idx="9">
                  <c:v>121</c:v>
                </c:pt>
                <c:pt idx="10">
                  <c:v>118</c:v>
                </c:pt>
                <c:pt idx="11">
                  <c:v>121</c:v>
                </c:pt>
                <c:pt idx="12">
                  <c:v>124</c:v>
                </c:pt>
                <c:pt idx="13">
                  <c:v>124</c:v>
                </c:pt>
                <c:pt idx="14">
                  <c:v>118</c:v>
                </c:pt>
                <c:pt idx="15">
                  <c:v>103</c:v>
                </c:pt>
                <c:pt idx="16">
                  <c:v>96</c:v>
                </c:pt>
                <c:pt idx="17">
                  <c:v>87</c:v>
                </c:pt>
                <c:pt idx="18">
                  <c:v>88</c:v>
                </c:pt>
                <c:pt idx="19">
                  <c:v>97</c:v>
                </c:pt>
                <c:pt idx="20">
                  <c:v>108</c:v>
                </c:pt>
                <c:pt idx="21">
                  <c:v>100</c:v>
                </c:pt>
                <c:pt idx="22">
                  <c:v>89</c:v>
                </c:pt>
                <c:pt idx="23">
                  <c:v>103</c:v>
                </c:pt>
                <c:pt idx="24">
                  <c:v>105</c:v>
                </c:pt>
                <c:pt idx="25">
                  <c:v>103</c:v>
                </c:pt>
                <c:pt idx="26">
                  <c:v>120</c:v>
                </c:pt>
                <c:pt idx="27">
                  <c:v>97</c:v>
                </c:pt>
                <c:pt idx="28">
                  <c:v>95</c:v>
                </c:pt>
                <c:pt idx="29">
                  <c:v>112.1</c:v>
                </c:pt>
                <c:pt idx="30">
                  <c:v>87</c:v>
                </c:pt>
                <c:pt idx="31">
                  <c:v>88.1</c:v>
                </c:pt>
                <c:pt idx="32">
                  <c:v>84.1</c:v>
                </c:pt>
                <c:pt idx="33">
                  <c:v>84.1</c:v>
                </c:pt>
                <c:pt idx="34">
                  <c:v>76.099999999999994</c:v>
                </c:pt>
                <c:pt idx="35">
                  <c:v>77.099999999999994</c:v>
                </c:pt>
                <c:pt idx="36">
                  <c:v>64</c:v>
                </c:pt>
                <c:pt idx="37">
                  <c:v>55</c:v>
                </c:pt>
                <c:pt idx="38">
                  <c:v>55</c:v>
                </c:pt>
                <c:pt idx="39">
                  <c:v>55</c:v>
                </c:pt>
                <c:pt idx="40">
                  <c:v>70.8</c:v>
                </c:pt>
                <c:pt idx="41">
                  <c:v>69.2</c:v>
                </c:pt>
                <c:pt idx="42">
                  <c:v>70.2</c:v>
                </c:pt>
                <c:pt idx="43">
                  <c:v>70.2</c:v>
                </c:pt>
                <c:pt idx="44">
                  <c:v>78.2</c:v>
                </c:pt>
                <c:pt idx="45">
                  <c:v>72.2</c:v>
                </c:pt>
                <c:pt idx="46">
                  <c:v>74.2</c:v>
                </c:pt>
                <c:pt idx="47">
                  <c:v>62</c:v>
                </c:pt>
                <c:pt idx="48">
                  <c:v>64</c:v>
                </c:pt>
                <c:pt idx="49">
                  <c:v>63.8</c:v>
                </c:pt>
                <c:pt idx="50">
                  <c:v>78.599999999999994</c:v>
                </c:pt>
                <c:pt idx="51">
                  <c:v>60.599999999999902</c:v>
                </c:pt>
                <c:pt idx="52">
                  <c:v>59.9</c:v>
                </c:pt>
                <c:pt idx="53">
                  <c:v>43</c:v>
                </c:pt>
                <c:pt idx="54">
                  <c:v>24</c:v>
                </c:pt>
                <c:pt idx="55">
                  <c:v>39</c:v>
                </c:pt>
                <c:pt idx="56">
                  <c:v>33.6</c:v>
                </c:pt>
                <c:pt idx="57">
                  <c:v>16.600000000000001</c:v>
                </c:pt>
                <c:pt idx="58">
                  <c:v>10.6</c:v>
                </c:pt>
                <c:pt idx="59">
                  <c:v>10.6</c:v>
                </c:pt>
                <c:pt idx="60">
                  <c:v>13.6</c:v>
                </c:pt>
                <c:pt idx="61">
                  <c:v>13.6</c:v>
                </c:pt>
                <c:pt idx="62">
                  <c:v>11.6</c:v>
                </c:pt>
                <c:pt idx="63">
                  <c:v>2.6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469-45C4-B0D2-EA024AC8D742}"/>
            </c:ext>
          </c:extLst>
        </c:ser>
        <c:ser>
          <c:idx val="26"/>
          <c:order val="26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Scouts of Rohan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3</c:v>
                </c:pt>
                <c:pt idx="77">
                  <c:v>3</c:v>
                </c:pt>
                <c:pt idx="78">
                  <c:v>3</c:v>
                </c:pt>
                <c:pt idx="79">
                  <c:v>3</c:v>
                </c:pt>
                <c:pt idx="80">
                  <c:v>3</c:v>
                </c:pt>
                <c:pt idx="81">
                  <c:v>3</c:v>
                </c:pt>
                <c:pt idx="82">
                  <c:v>3</c:v>
                </c:pt>
                <c:pt idx="83">
                  <c:v>3</c:v>
                </c:pt>
                <c:pt idx="84">
                  <c:v>3</c:v>
                </c:pt>
                <c:pt idx="85">
                  <c:v>3</c:v>
                </c:pt>
                <c:pt idx="86">
                  <c:v>3</c:v>
                </c:pt>
                <c:pt idx="87">
                  <c:v>3</c:v>
                </c:pt>
                <c:pt idx="88">
                  <c:v>3</c:v>
                </c:pt>
                <c:pt idx="89">
                  <c:v>3</c:v>
                </c:pt>
                <c:pt idx="90">
                  <c:v>3</c:v>
                </c:pt>
                <c:pt idx="91">
                  <c:v>3</c:v>
                </c:pt>
                <c:pt idx="92">
                  <c:v>3</c:v>
                </c:pt>
                <c:pt idx="93">
                  <c:v>3</c:v>
                </c:pt>
                <c:pt idx="94">
                  <c:v>3</c:v>
                </c:pt>
                <c:pt idx="95">
                  <c:v>3</c:v>
                </c:pt>
                <c:pt idx="96">
                  <c:v>3</c:v>
                </c:pt>
                <c:pt idx="97">
                  <c:v>3</c:v>
                </c:pt>
                <c:pt idx="98">
                  <c:v>3</c:v>
                </c:pt>
                <c:pt idx="99">
                  <c:v>3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3</c:v>
                </c:pt>
                <c:pt idx="105">
                  <c:v>3</c:v>
                </c:pt>
                <c:pt idx="106">
                  <c:v>3</c:v>
                </c:pt>
                <c:pt idx="107">
                  <c:v>3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469-45C4-B0D2-EA024AC8D742}"/>
            </c:ext>
          </c:extLst>
        </c:ser>
        <c:ser>
          <c:idx val="27"/>
          <c:order val="27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Southern Enedwaith</c:v>
                </c:pt>
              </c:strCache>
            </c:strRef>
          </c:tx>
          <c:spPr>
            <a:ln w="28575" cap="rnd">
              <a:solidFill>
                <a:srgbClr val="FFCCCC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16</c:v>
                </c:pt>
                <c:pt idx="1">
                  <c:v>16</c:v>
                </c:pt>
                <c:pt idx="2">
                  <c:v>16</c:v>
                </c:pt>
                <c:pt idx="3">
                  <c:v>16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  <c:pt idx="15">
                  <c:v>16</c:v>
                </c:pt>
                <c:pt idx="16">
                  <c:v>17</c:v>
                </c:pt>
                <c:pt idx="17">
                  <c:v>17</c:v>
                </c:pt>
                <c:pt idx="18">
                  <c:v>16</c:v>
                </c:pt>
                <c:pt idx="19">
                  <c:v>16</c:v>
                </c:pt>
                <c:pt idx="20">
                  <c:v>17</c:v>
                </c:pt>
                <c:pt idx="21">
                  <c:v>16</c:v>
                </c:pt>
                <c:pt idx="22">
                  <c:v>17</c:v>
                </c:pt>
                <c:pt idx="23">
                  <c:v>16</c:v>
                </c:pt>
                <c:pt idx="24">
                  <c:v>17</c:v>
                </c:pt>
                <c:pt idx="25">
                  <c:v>17</c:v>
                </c:pt>
                <c:pt idx="26">
                  <c:v>12</c:v>
                </c:pt>
                <c:pt idx="27">
                  <c:v>14</c:v>
                </c:pt>
                <c:pt idx="28">
                  <c:v>14</c:v>
                </c:pt>
                <c:pt idx="29">
                  <c:v>14</c:v>
                </c:pt>
                <c:pt idx="30">
                  <c:v>14</c:v>
                </c:pt>
                <c:pt idx="31">
                  <c:v>14</c:v>
                </c:pt>
                <c:pt idx="32">
                  <c:v>14</c:v>
                </c:pt>
                <c:pt idx="33">
                  <c:v>14</c:v>
                </c:pt>
                <c:pt idx="34">
                  <c:v>14</c:v>
                </c:pt>
                <c:pt idx="35">
                  <c:v>14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469-45C4-B0D2-EA024AC8D742}"/>
            </c:ext>
          </c:extLst>
        </c:ser>
        <c:ser>
          <c:idx val="28"/>
          <c:order val="28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Southron Nomads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AA74-4798-9A55-09075630D31D}"/>
            </c:ext>
          </c:extLst>
        </c:ser>
        <c:ser>
          <c:idx val="29"/>
          <c:order val="29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Variags (Khand)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23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27</c:v>
                </c:pt>
                <c:pt idx="5">
                  <c:v>29</c:v>
                </c:pt>
                <c:pt idx="6">
                  <c:v>31</c:v>
                </c:pt>
                <c:pt idx="7">
                  <c:v>34</c:v>
                </c:pt>
                <c:pt idx="8">
                  <c:v>36</c:v>
                </c:pt>
                <c:pt idx="9">
                  <c:v>39</c:v>
                </c:pt>
                <c:pt idx="10">
                  <c:v>39</c:v>
                </c:pt>
                <c:pt idx="11">
                  <c:v>40</c:v>
                </c:pt>
                <c:pt idx="12">
                  <c:v>41</c:v>
                </c:pt>
                <c:pt idx="13">
                  <c:v>41</c:v>
                </c:pt>
                <c:pt idx="14">
                  <c:v>42</c:v>
                </c:pt>
                <c:pt idx="15">
                  <c:v>45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54</c:v>
                </c:pt>
                <c:pt idx="22">
                  <c:v>56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AA74-4798-9A55-09075630D31D}"/>
            </c:ext>
          </c:extLst>
        </c:ser>
        <c:ser>
          <c:idx val="30"/>
          <c:order val="30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Woodland Realm</c:v>
                </c:pt>
              </c:strCache>
            </c:strRef>
          </c:tx>
          <c:spPr>
            <a:ln w="508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  <c:pt idx="0">
                  <c:v>28</c:v>
                </c:pt>
                <c:pt idx="1">
                  <c:v>29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24</c:v>
                </c:pt>
                <c:pt idx="9">
                  <c:v>27</c:v>
                </c:pt>
                <c:pt idx="10">
                  <c:v>30</c:v>
                </c:pt>
                <c:pt idx="11">
                  <c:v>31</c:v>
                </c:pt>
                <c:pt idx="12">
                  <c:v>33</c:v>
                </c:pt>
                <c:pt idx="13">
                  <c:v>34</c:v>
                </c:pt>
                <c:pt idx="14">
                  <c:v>36</c:v>
                </c:pt>
                <c:pt idx="15">
                  <c:v>36</c:v>
                </c:pt>
                <c:pt idx="16">
                  <c:v>36</c:v>
                </c:pt>
                <c:pt idx="17">
                  <c:v>35</c:v>
                </c:pt>
                <c:pt idx="18">
                  <c:v>12</c:v>
                </c:pt>
                <c:pt idx="19">
                  <c:v>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AA74-4798-9A55-09075630D31D}"/>
            </c:ext>
          </c:extLst>
        </c:ser>
        <c:ser>
          <c:idx val="31"/>
          <c:order val="31"/>
          <c:tx>
            <c:strRef>
              <c:f>Table3[[#Headers],[Faction Strength = Sum of strengths of Field and Garrison armies and navies (slightly adjusted for force rank)]]</c:f>
              <c:strCache>
                <c:ptCount val="1"/>
                <c:pt idx="0">
                  <c:v>#N/A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Table3[[#Headers],[Faction Strength = Sum of strengths of Field and Garrison armies and navies (slightly adjusted for force rank)]]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Table3[[#Headers],[Faction Strength = Sum of strengths of Field and Garrison armies and navies (slightly adjusted for force rank)]]</c:f>
              <c:numCache>
                <c:formatCode>General</c:formatCode>
                <c:ptCount val="17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AA74-4798-9A55-09075630D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00015"/>
        <c:axId val="1469399535"/>
      </c:lineChart>
      <c:catAx>
        <c:axId val="14694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399535"/>
        <c:crosses val="autoZero"/>
        <c:auto val="1"/>
        <c:lblAlgn val="ctr"/>
        <c:lblOffset val="100"/>
        <c:noMultiLvlLbl val="0"/>
      </c:catAx>
      <c:valAx>
        <c:axId val="14693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211573328812947"/>
          <c:y val="5.0432732464928326E-2"/>
          <c:w val="0.17954185682136081"/>
          <c:h val="0.85950328721847724"/>
        </c:manualLayout>
      </c:layout>
      <c:overlay val="0"/>
      <c:spPr>
        <a:noFill/>
        <a:ln>
          <a:solidFill>
            <a:schemeClr val="tx2">
              <a:lumMod val="10000"/>
              <a:lumOff val="9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[tdd stats.xlsx]Regions!PivotTable2</c:name>
    <c:fmtId val="8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rgbClr val="FF7C8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50800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rgbClr val="CC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rgbClr val="FF7C8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508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rgbClr val="F685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50800" cap="rnd">
            <a:solidFill>
              <a:srgbClr val="FF99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50800" cap="rnd">
            <a:solidFill>
              <a:srgbClr val="33CC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rgbClr val="F685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rgbClr val="FF7C8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50800" cap="rnd">
            <a:solidFill>
              <a:srgbClr val="99FF6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rgbClr val="F685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50800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508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bg2">
                <a:lumMod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508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rgbClr val="A02B93">
                <a:lumMod val="40000"/>
                <a:lumOff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50800" cap="rnd">
            <a:solidFill>
              <a:srgbClr val="156082">
                <a:lumMod val="60000"/>
                <a:lumOff val="4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rgbClr val="4EA72E">
                <a:lumMod val="75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50800" cap="rnd">
            <a:solidFill>
              <a:srgbClr val="A02B9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rgbClr val="E8E8E8">
                <a:lumMod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50800" cap="rnd">
            <a:solidFill>
              <a:srgbClr val="0E2841">
                <a:lumMod val="10000"/>
                <a:lumOff val="9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508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50800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50800" cap="rnd">
            <a:solidFill>
              <a:sysClr val="windowText" lastClr="0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rgbClr val="CC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508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50800" cap="rnd">
            <a:solidFill>
              <a:srgbClr val="FF99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50800" cap="rnd">
            <a:solidFill>
              <a:srgbClr val="33CC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50800" cap="rnd">
            <a:solidFill>
              <a:srgbClr val="92D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ysClr val="window" lastClr="FFFFFF">
                <a:lumMod val="75000"/>
              </a:sys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rgbClr val="A02B93">
                <a:lumMod val="40000"/>
                <a:lumOff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</c:pivotFmt>
      <c:pivotFmt>
        <c:idx val="206"/>
        <c:spPr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ln w="28575" cap="rnd">
            <a:solidFill>
              <a:srgbClr val="A02B93">
                <a:lumMod val="40000"/>
                <a:lumOff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ln w="50800" cap="rnd">
            <a:solidFill>
              <a:srgbClr val="156082">
                <a:lumMod val="60000"/>
                <a:lumOff val="4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ln w="28575" cap="rnd">
            <a:solidFill>
              <a:srgbClr val="4EA72E">
                <a:lumMod val="75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ln w="28575" cap="rnd">
            <a:solidFill>
              <a:srgbClr val="99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ln w="50800" cap="rnd">
            <a:solidFill>
              <a:srgbClr val="A02B9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ln w="28575" cap="rnd">
            <a:solidFill>
              <a:srgbClr val="E8E8E8">
                <a:lumMod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ln w="50800" cap="rnd">
            <a:solidFill>
              <a:srgbClr val="0E2841">
                <a:lumMod val="10000"/>
                <a:lumOff val="9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ln w="28575" cap="rnd">
            <a:solidFill>
              <a:sysClr val="window" lastClr="FFFFFF">
                <a:lumMod val="75000"/>
              </a:sys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ln w="508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ln w="28575" cap="rnd">
            <a:solidFill>
              <a:srgbClr val="A02B93">
                <a:lumMod val="40000"/>
                <a:lumOff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ln w="50800" cap="rnd">
            <a:solidFill>
              <a:sysClr val="windowText" lastClr="0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ln w="28575" cap="rnd">
            <a:solidFill>
              <a:srgbClr val="CC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ln w="508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ln w="50800" cap="rnd">
            <a:solidFill>
              <a:srgbClr val="FF99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ln w="50800" cap="rnd">
            <a:solidFill>
              <a:srgbClr val="33CC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none"/>
        </c:marker>
      </c:pivotFmt>
      <c:pivotFmt>
        <c:idx val="24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ln w="28575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5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ln w="25400" cap="rnd">
            <a:noFill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Regions!$B$4:$B$5</c:f>
              <c:strCache>
                <c:ptCount val="1"/>
                <c:pt idx="0">
                  <c:v>_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Regions!$B$6:$B$176</c:f>
              <c:numCache>
                <c:formatCode>General</c:formatCode>
                <c:ptCount val="1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9-45C4-B0D2-EA024AC8D742}"/>
            </c:ext>
          </c:extLst>
        </c:ser>
        <c:ser>
          <c:idx val="1"/>
          <c:order val="1"/>
          <c:tx>
            <c:strRef>
              <c:f>Regions!$C$4:$C$5</c:f>
              <c:strCache>
                <c:ptCount val="1"/>
                <c:pt idx="0">
                  <c:v>Anduin Vale</c:v>
                </c:pt>
              </c:strCache>
            </c:strRef>
          </c:tx>
          <c:spPr>
            <a:ln w="28575" cap="rnd">
              <a:solidFill>
                <a:srgbClr val="F4EE00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Regions!$C$6:$C$176</c:f>
              <c:numCache>
                <c:formatCode>General</c:formatCode>
                <c:ptCount val="170"/>
                <c:pt idx="0">
                  <c:v>9</c:v>
                </c:pt>
                <c:pt idx="1">
                  <c:v>9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11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6</c:v>
                </c:pt>
                <c:pt idx="25">
                  <c:v>6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6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69-45C4-B0D2-EA024AC8D742}"/>
            </c:ext>
          </c:extLst>
        </c:ser>
        <c:ser>
          <c:idx val="2"/>
          <c:order val="2"/>
          <c:tx>
            <c:strRef>
              <c:f>Regions!$D$4:$D$5</c:f>
              <c:strCache>
                <c:ptCount val="1"/>
                <c:pt idx="0">
                  <c:v>Balchoth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Regions!$D$6:$D$176</c:f>
              <c:numCache>
                <c:formatCode>General</c:formatCode>
                <c:ptCount val="17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69-45C4-B0D2-EA024AC8D742}"/>
            </c:ext>
          </c:extLst>
        </c:ser>
        <c:ser>
          <c:idx val="3"/>
          <c:order val="3"/>
          <c:tx>
            <c:strRef>
              <c:f>Regions!$E$4:$E$5</c:f>
              <c:strCache>
                <c:ptCount val="1"/>
                <c:pt idx="0">
                  <c:v>Blacklock-Stonefoot League</c:v>
                </c:pt>
              </c:strCache>
            </c:strRef>
          </c:tx>
          <c:spPr>
            <a:ln w="28575" cap="rnd">
              <a:solidFill>
                <a:srgbClr val="A02B93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Regions!$E$6:$E$176</c:f>
              <c:numCache>
                <c:formatCode>General</c:formatCode>
                <c:ptCount val="1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3</c:v>
                </c:pt>
                <c:pt idx="72">
                  <c:v>3</c:v>
                </c:pt>
                <c:pt idx="73">
                  <c:v>3</c:v>
                </c:pt>
                <c:pt idx="74">
                  <c:v>3</c:v>
                </c:pt>
                <c:pt idx="75">
                  <c:v>3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4</c:v>
                </c:pt>
                <c:pt idx="136">
                  <c:v>4</c:v>
                </c:pt>
                <c:pt idx="137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4</c:v>
                </c:pt>
                <c:pt idx="142">
                  <c:v>4</c:v>
                </c:pt>
                <c:pt idx="143">
                  <c:v>4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69-45C4-B0D2-EA024AC8D742}"/>
            </c:ext>
          </c:extLst>
        </c:ser>
        <c:ser>
          <c:idx val="4"/>
          <c:order val="4"/>
          <c:tx>
            <c:strRef>
              <c:f>Regions!$F$4:$F$5</c:f>
              <c:strCache>
                <c:ptCount val="1"/>
                <c:pt idx="0">
                  <c:v>Corsairs of Umbar</c:v>
                </c:pt>
              </c:strCache>
            </c:strRef>
          </c:tx>
          <c:spPr>
            <a:ln w="28575" cap="rnd">
              <a:solidFill>
                <a:srgbClr val="FE937E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Regions!$F$6:$F$176</c:f>
              <c:numCache>
                <c:formatCode>General</c:formatCode>
                <c:ptCount val="1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6</c:v>
                </c:pt>
                <c:pt idx="35">
                  <c:v>6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9</c:v>
                </c:pt>
                <c:pt idx="99">
                  <c:v>10</c:v>
                </c:pt>
                <c:pt idx="100">
                  <c:v>11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14</c:v>
                </c:pt>
                <c:pt idx="108">
                  <c:v>14</c:v>
                </c:pt>
                <c:pt idx="109">
                  <c:v>14</c:v>
                </c:pt>
                <c:pt idx="110">
                  <c:v>13</c:v>
                </c:pt>
                <c:pt idx="111">
                  <c:v>13</c:v>
                </c:pt>
                <c:pt idx="112">
                  <c:v>13</c:v>
                </c:pt>
                <c:pt idx="113">
                  <c:v>13</c:v>
                </c:pt>
                <c:pt idx="114">
                  <c:v>13</c:v>
                </c:pt>
                <c:pt idx="115">
                  <c:v>13</c:v>
                </c:pt>
                <c:pt idx="116">
                  <c:v>13</c:v>
                </c:pt>
                <c:pt idx="117">
                  <c:v>13</c:v>
                </c:pt>
                <c:pt idx="118">
                  <c:v>13</c:v>
                </c:pt>
                <c:pt idx="119">
                  <c:v>14</c:v>
                </c:pt>
                <c:pt idx="120">
                  <c:v>14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14</c:v>
                </c:pt>
                <c:pt idx="128">
                  <c:v>14</c:v>
                </c:pt>
                <c:pt idx="129">
                  <c:v>14</c:v>
                </c:pt>
                <c:pt idx="130">
                  <c:v>14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15</c:v>
                </c:pt>
                <c:pt idx="138">
                  <c:v>15</c:v>
                </c:pt>
                <c:pt idx="139">
                  <c:v>15</c:v>
                </c:pt>
                <c:pt idx="140">
                  <c:v>15</c:v>
                </c:pt>
                <c:pt idx="141">
                  <c:v>15</c:v>
                </c:pt>
                <c:pt idx="142">
                  <c:v>15</c:v>
                </c:pt>
                <c:pt idx="143">
                  <c:v>15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15</c:v>
                </c:pt>
                <c:pt idx="148">
                  <c:v>15</c:v>
                </c:pt>
                <c:pt idx="149">
                  <c:v>15</c:v>
                </c:pt>
                <c:pt idx="150">
                  <c:v>15</c:v>
                </c:pt>
                <c:pt idx="151">
                  <c:v>15</c:v>
                </c:pt>
                <c:pt idx="152">
                  <c:v>15</c:v>
                </c:pt>
                <c:pt idx="153">
                  <c:v>15</c:v>
                </c:pt>
                <c:pt idx="154">
                  <c:v>16</c:v>
                </c:pt>
                <c:pt idx="155">
                  <c:v>17</c:v>
                </c:pt>
                <c:pt idx="156">
                  <c:v>17</c:v>
                </c:pt>
                <c:pt idx="157">
                  <c:v>17</c:v>
                </c:pt>
                <c:pt idx="158">
                  <c:v>17</c:v>
                </c:pt>
                <c:pt idx="159">
                  <c:v>18</c:v>
                </c:pt>
                <c:pt idx="160">
                  <c:v>18</c:v>
                </c:pt>
                <c:pt idx="161">
                  <c:v>18</c:v>
                </c:pt>
                <c:pt idx="162">
                  <c:v>18</c:v>
                </c:pt>
                <c:pt idx="163">
                  <c:v>18</c:v>
                </c:pt>
                <c:pt idx="164">
                  <c:v>18</c:v>
                </c:pt>
                <c:pt idx="165">
                  <c:v>18</c:v>
                </c:pt>
                <c:pt idx="166">
                  <c:v>18</c:v>
                </c:pt>
                <c:pt idx="167">
                  <c:v>18</c:v>
                </c:pt>
                <c:pt idx="168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69-45C4-B0D2-EA024AC8D742}"/>
            </c:ext>
          </c:extLst>
        </c:ser>
        <c:ser>
          <c:idx val="5"/>
          <c:order val="5"/>
          <c:tx>
            <c:strRef>
              <c:f>Regions!$G$4:$G$5</c:f>
              <c:strCache>
                <c:ptCount val="1"/>
                <c:pt idx="0">
                  <c:v>Dale</c:v>
                </c:pt>
              </c:strCache>
            </c:strRef>
          </c:tx>
          <c:spPr>
            <a:ln w="50800" cap="rnd">
              <a:solidFill>
                <a:srgbClr val="156082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Regions!$G$6:$G$176</c:f>
              <c:numCache>
                <c:formatCode>General</c:formatCode>
                <c:ptCount val="170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10</c:v>
                </c:pt>
                <c:pt idx="12">
                  <c:v>9</c:v>
                </c:pt>
                <c:pt idx="13">
                  <c:v>9</c:v>
                </c:pt>
                <c:pt idx="14">
                  <c:v>8</c:v>
                </c:pt>
                <c:pt idx="15">
                  <c:v>9</c:v>
                </c:pt>
                <c:pt idx="16">
                  <c:v>9</c:v>
                </c:pt>
                <c:pt idx="17">
                  <c:v>9</c:v>
                </c:pt>
                <c:pt idx="18">
                  <c:v>9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6</c:v>
                </c:pt>
                <c:pt idx="27">
                  <c:v>6</c:v>
                </c:pt>
                <c:pt idx="28">
                  <c:v>7</c:v>
                </c:pt>
                <c:pt idx="29">
                  <c:v>5</c:v>
                </c:pt>
                <c:pt idx="30">
                  <c:v>6</c:v>
                </c:pt>
                <c:pt idx="31">
                  <c:v>7</c:v>
                </c:pt>
                <c:pt idx="32">
                  <c:v>7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4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2</c:v>
                </c:pt>
                <c:pt idx="69">
                  <c:v>2</c:v>
                </c:pt>
                <c:pt idx="70">
                  <c:v>3</c:v>
                </c:pt>
                <c:pt idx="71">
                  <c:v>3</c:v>
                </c:pt>
                <c:pt idx="72">
                  <c:v>3</c:v>
                </c:pt>
                <c:pt idx="73">
                  <c:v>2</c:v>
                </c:pt>
                <c:pt idx="74">
                  <c:v>2</c:v>
                </c:pt>
                <c:pt idx="75">
                  <c:v>3</c:v>
                </c:pt>
                <c:pt idx="76">
                  <c:v>2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0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69-45C4-B0D2-EA024AC8D742}"/>
            </c:ext>
          </c:extLst>
        </c:ser>
        <c:ser>
          <c:idx val="6"/>
          <c:order val="6"/>
          <c:tx>
            <c:strRef>
              <c:f>Regions!$H$4:$H$5</c:f>
              <c:strCache>
                <c:ptCount val="1"/>
                <c:pt idx="0">
                  <c:v>Dol Guldur</c:v>
                </c:pt>
              </c:strCache>
            </c:strRef>
          </c:tx>
          <c:spPr>
            <a:ln w="28575" cap="rnd">
              <a:solidFill>
                <a:srgbClr val="4EA72E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Regions!$H$6:$H$176</c:f>
              <c:numCache>
                <c:formatCode>General</c:formatCode>
                <c:ptCount val="17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9</c:v>
                </c:pt>
                <c:pt idx="19">
                  <c:v>10</c:v>
                </c:pt>
                <c:pt idx="20">
                  <c:v>11</c:v>
                </c:pt>
                <c:pt idx="21">
                  <c:v>11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11</c:v>
                </c:pt>
                <c:pt idx="27">
                  <c:v>11</c:v>
                </c:pt>
                <c:pt idx="28">
                  <c:v>11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13</c:v>
                </c:pt>
                <c:pt idx="37">
                  <c:v>13</c:v>
                </c:pt>
                <c:pt idx="38">
                  <c:v>13</c:v>
                </c:pt>
                <c:pt idx="39">
                  <c:v>14</c:v>
                </c:pt>
                <c:pt idx="40">
                  <c:v>14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14</c:v>
                </c:pt>
                <c:pt idx="48">
                  <c:v>14</c:v>
                </c:pt>
                <c:pt idx="49">
                  <c:v>14</c:v>
                </c:pt>
                <c:pt idx="50">
                  <c:v>13</c:v>
                </c:pt>
                <c:pt idx="51">
                  <c:v>13</c:v>
                </c:pt>
                <c:pt idx="52">
                  <c:v>13</c:v>
                </c:pt>
                <c:pt idx="53">
                  <c:v>13</c:v>
                </c:pt>
                <c:pt idx="54">
                  <c:v>13</c:v>
                </c:pt>
                <c:pt idx="55">
                  <c:v>13</c:v>
                </c:pt>
                <c:pt idx="56">
                  <c:v>13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14</c:v>
                </c:pt>
                <c:pt idx="61">
                  <c:v>14</c:v>
                </c:pt>
                <c:pt idx="62">
                  <c:v>14</c:v>
                </c:pt>
                <c:pt idx="63">
                  <c:v>14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14</c:v>
                </c:pt>
                <c:pt idx="72">
                  <c:v>14</c:v>
                </c:pt>
                <c:pt idx="73">
                  <c:v>14</c:v>
                </c:pt>
                <c:pt idx="74">
                  <c:v>14</c:v>
                </c:pt>
                <c:pt idx="75">
                  <c:v>14</c:v>
                </c:pt>
                <c:pt idx="76">
                  <c:v>14</c:v>
                </c:pt>
                <c:pt idx="77">
                  <c:v>14</c:v>
                </c:pt>
                <c:pt idx="78">
                  <c:v>14</c:v>
                </c:pt>
                <c:pt idx="79">
                  <c:v>15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15</c:v>
                </c:pt>
                <c:pt idx="85">
                  <c:v>16</c:v>
                </c:pt>
                <c:pt idx="86">
                  <c:v>16</c:v>
                </c:pt>
                <c:pt idx="87">
                  <c:v>15</c:v>
                </c:pt>
                <c:pt idx="88">
                  <c:v>15</c:v>
                </c:pt>
                <c:pt idx="89">
                  <c:v>15</c:v>
                </c:pt>
                <c:pt idx="90">
                  <c:v>17</c:v>
                </c:pt>
                <c:pt idx="91">
                  <c:v>18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</c:v>
                </c:pt>
                <c:pt idx="97">
                  <c:v>19</c:v>
                </c:pt>
                <c:pt idx="98">
                  <c:v>20</c:v>
                </c:pt>
                <c:pt idx="99">
                  <c:v>20</c:v>
                </c:pt>
                <c:pt idx="100">
                  <c:v>20</c:v>
                </c:pt>
                <c:pt idx="101">
                  <c:v>20</c:v>
                </c:pt>
                <c:pt idx="102">
                  <c:v>20</c:v>
                </c:pt>
                <c:pt idx="103">
                  <c:v>20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21</c:v>
                </c:pt>
                <c:pt idx="111">
                  <c:v>21</c:v>
                </c:pt>
                <c:pt idx="112">
                  <c:v>21</c:v>
                </c:pt>
                <c:pt idx="113">
                  <c:v>21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22</c:v>
                </c:pt>
                <c:pt idx="118">
                  <c:v>22</c:v>
                </c:pt>
                <c:pt idx="119">
                  <c:v>23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24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27</c:v>
                </c:pt>
                <c:pt idx="135">
                  <c:v>27</c:v>
                </c:pt>
                <c:pt idx="136">
                  <c:v>27</c:v>
                </c:pt>
                <c:pt idx="137">
                  <c:v>28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69-45C4-B0D2-EA024AC8D742}"/>
            </c:ext>
          </c:extLst>
        </c:ser>
        <c:ser>
          <c:idx val="7"/>
          <c:order val="7"/>
          <c:tx>
            <c:strRef>
              <c:f>Regions!$I$4:$I$5</c:f>
              <c:strCache>
                <c:ptCount val="1"/>
                <c:pt idx="0">
                  <c:v>Druedain</c:v>
                </c:pt>
              </c:strCache>
            </c:strRef>
          </c:tx>
          <c:spPr>
            <a:ln w="28575" cap="rnd">
              <a:solidFill>
                <a:srgbClr val="FFCCCC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Regions!$I$6:$I$176</c:f>
              <c:numCache>
                <c:formatCode>General</c:formatCode>
                <c:ptCount val="17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69-45C4-B0D2-EA024AC8D742}"/>
            </c:ext>
          </c:extLst>
        </c:ser>
        <c:ser>
          <c:idx val="8"/>
          <c:order val="8"/>
          <c:tx>
            <c:strRef>
              <c:f>Regions!$J$4:$J$5</c:f>
              <c:strCache>
                <c:ptCount val="1"/>
                <c:pt idx="0">
                  <c:v>Dunlendings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Regions!$J$6:$J$176</c:f>
              <c:numCache>
                <c:formatCode>General</c:formatCode>
                <c:ptCount val="17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8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9</c:v>
                </c:pt>
                <c:pt idx="56">
                  <c:v>9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11</c:v>
                </c:pt>
                <c:pt idx="62">
                  <c:v>11</c:v>
                </c:pt>
                <c:pt idx="63">
                  <c:v>11</c:v>
                </c:pt>
                <c:pt idx="64">
                  <c:v>12</c:v>
                </c:pt>
                <c:pt idx="65">
                  <c:v>12</c:v>
                </c:pt>
                <c:pt idx="66">
                  <c:v>12</c:v>
                </c:pt>
                <c:pt idx="67">
                  <c:v>12</c:v>
                </c:pt>
                <c:pt idx="68">
                  <c:v>12</c:v>
                </c:pt>
                <c:pt idx="69">
                  <c:v>12</c:v>
                </c:pt>
                <c:pt idx="70">
                  <c:v>12</c:v>
                </c:pt>
                <c:pt idx="71">
                  <c:v>12</c:v>
                </c:pt>
                <c:pt idx="72">
                  <c:v>12</c:v>
                </c:pt>
                <c:pt idx="73">
                  <c:v>12</c:v>
                </c:pt>
                <c:pt idx="74">
                  <c:v>12</c:v>
                </c:pt>
                <c:pt idx="75">
                  <c:v>12</c:v>
                </c:pt>
                <c:pt idx="76">
                  <c:v>12</c:v>
                </c:pt>
                <c:pt idx="77">
                  <c:v>12</c:v>
                </c:pt>
                <c:pt idx="78">
                  <c:v>12</c:v>
                </c:pt>
                <c:pt idx="79">
                  <c:v>12</c:v>
                </c:pt>
                <c:pt idx="80">
                  <c:v>12</c:v>
                </c:pt>
                <c:pt idx="81">
                  <c:v>12</c:v>
                </c:pt>
                <c:pt idx="82">
                  <c:v>12</c:v>
                </c:pt>
                <c:pt idx="83">
                  <c:v>12</c:v>
                </c:pt>
                <c:pt idx="84">
                  <c:v>12</c:v>
                </c:pt>
                <c:pt idx="85">
                  <c:v>12</c:v>
                </c:pt>
                <c:pt idx="86">
                  <c:v>12</c:v>
                </c:pt>
                <c:pt idx="87">
                  <c:v>12</c:v>
                </c:pt>
                <c:pt idx="88">
                  <c:v>12</c:v>
                </c:pt>
                <c:pt idx="89">
                  <c:v>12</c:v>
                </c:pt>
                <c:pt idx="90">
                  <c:v>12</c:v>
                </c:pt>
                <c:pt idx="91">
                  <c:v>12</c:v>
                </c:pt>
                <c:pt idx="92">
                  <c:v>12</c:v>
                </c:pt>
                <c:pt idx="93">
                  <c:v>12</c:v>
                </c:pt>
                <c:pt idx="94">
                  <c:v>12</c:v>
                </c:pt>
                <c:pt idx="95">
                  <c:v>12</c:v>
                </c:pt>
                <c:pt idx="96">
                  <c:v>12</c:v>
                </c:pt>
                <c:pt idx="97">
                  <c:v>12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12</c:v>
                </c:pt>
                <c:pt idx="102">
                  <c:v>12</c:v>
                </c:pt>
                <c:pt idx="103">
                  <c:v>12</c:v>
                </c:pt>
                <c:pt idx="104">
                  <c:v>12</c:v>
                </c:pt>
                <c:pt idx="105">
                  <c:v>12</c:v>
                </c:pt>
                <c:pt idx="106">
                  <c:v>12</c:v>
                </c:pt>
                <c:pt idx="107">
                  <c:v>12</c:v>
                </c:pt>
                <c:pt idx="108">
                  <c:v>12</c:v>
                </c:pt>
                <c:pt idx="109">
                  <c:v>12</c:v>
                </c:pt>
                <c:pt idx="110">
                  <c:v>12</c:v>
                </c:pt>
                <c:pt idx="111">
                  <c:v>12</c:v>
                </c:pt>
                <c:pt idx="112">
                  <c:v>12</c:v>
                </c:pt>
                <c:pt idx="113">
                  <c:v>12</c:v>
                </c:pt>
                <c:pt idx="114">
                  <c:v>12</c:v>
                </c:pt>
                <c:pt idx="115">
                  <c:v>11</c:v>
                </c:pt>
                <c:pt idx="116">
                  <c:v>11</c:v>
                </c:pt>
                <c:pt idx="117">
                  <c:v>11</c:v>
                </c:pt>
                <c:pt idx="118">
                  <c:v>11</c:v>
                </c:pt>
                <c:pt idx="119">
                  <c:v>11</c:v>
                </c:pt>
                <c:pt idx="120">
                  <c:v>11</c:v>
                </c:pt>
                <c:pt idx="121">
                  <c:v>11</c:v>
                </c:pt>
                <c:pt idx="122">
                  <c:v>11</c:v>
                </c:pt>
                <c:pt idx="123">
                  <c:v>11</c:v>
                </c:pt>
                <c:pt idx="124">
                  <c:v>11</c:v>
                </c:pt>
                <c:pt idx="125">
                  <c:v>11</c:v>
                </c:pt>
                <c:pt idx="126">
                  <c:v>12</c:v>
                </c:pt>
                <c:pt idx="127">
                  <c:v>13</c:v>
                </c:pt>
                <c:pt idx="128">
                  <c:v>13</c:v>
                </c:pt>
                <c:pt idx="129">
                  <c:v>13</c:v>
                </c:pt>
                <c:pt idx="130">
                  <c:v>13</c:v>
                </c:pt>
                <c:pt idx="131">
                  <c:v>13</c:v>
                </c:pt>
                <c:pt idx="132">
                  <c:v>12</c:v>
                </c:pt>
                <c:pt idx="133">
                  <c:v>12</c:v>
                </c:pt>
                <c:pt idx="134">
                  <c:v>12</c:v>
                </c:pt>
                <c:pt idx="135">
                  <c:v>12</c:v>
                </c:pt>
                <c:pt idx="136">
                  <c:v>12</c:v>
                </c:pt>
                <c:pt idx="137">
                  <c:v>12</c:v>
                </c:pt>
                <c:pt idx="138">
                  <c:v>13</c:v>
                </c:pt>
                <c:pt idx="139">
                  <c:v>13</c:v>
                </c:pt>
                <c:pt idx="140">
                  <c:v>13</c:v>
                </c:pt>
                <c:pt idx="141">
                  <c:v>11</c:v>
                </c:pt>
                <c:pt idx="142">
                  <c:v>11</c:v>
                </c:pt>
                <c:pt idx="143">
                  <c:v>11</c:v>
                </c:pt>
                <c:pt idx="144">
                  <c:v>11</c:v>
                </c:pt>
                <c:pt idx="145">
                  <c:v>10</c:v>
                </c:pt>
                <c:pt idx="146">
                  <c:v>10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3</c:v>
                </c:pt>
                <c:pt idx="166">
                  <c:v>2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69-45C4-B0D2-EA024AC8D742}"/>
            </c:ext>
          </c:extLst>
        </c:ser>
        <c:ser>
          <c:idx val="9"/>
          <c:order val="9"/>
          <c:tx>
            <c:strRef>
              <c:f>Regions!$K$4:$K$5</c:f>
              <c:strCache>
                <c:ptCount val="1"/>
                <c:pt idx="0">
                  <c:v>Erebor</c:v>
                </c:pt>
              </c:strCache>
            </c:strRef>
          </c:tx>
          <c:spPr>
            <a:ln w="50800" cap="rnd">
              <a:solidFill>
                <a:srgbClr val="A02B93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Regions!$K$6:$K$176</c:f>
              <c:numCache>
                <c:formatCode>General</c:formatCode>
                <c:ptCount val="1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5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469-45C4-B0D2-EA024AC8D742}"/>
            </c:ext>
          </c:extLst>
        </c:ser>
        <c:ser>
          <c:idx val="10"/>
          <c:order val="10"/>
          <c:tx>
            <c:strRef>
              <c:f>Regions!$L$4:$L$5</c:f>
              <c:strCache>
                <c:ptCount val="1"/>
                <c:pt idx="0">
                  <c:v>Feredrim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Regions!$L$6:$L$176</c:f>
              <c:numCache>
                <c:formatCode>General</c:formatCode>
                <c:ptCount val="17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69-45C4-B0D2-EA024AC8D742}"/>
            </c:ext>
          </c:extLst>
        </c:ser>
        <c:ser>
          <c:idx val="11"/>
          <c:order val="11"/>
          <c:tx>
            <c:strRef>
              <c:f>Regions!$M$4:$M$5</c:f>
              <c:strCache>
                <c:ptCount val="1"/>
                <c:pt idx="0">
                  <c:v>Goblins</c:v>
                </c:pt>
              </c:strCache>
            </c:strRef>
          </c:tx>
          <c:spPr>
            <a:ln w="28575" cap="rnd">
              <a:solidFill>
                <a:srgbClr val="E8E8E8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Regions!$M$6:$M$176</c:f>
              <c:numCache>
                <c:formatCode>General</c:formatCode>
                <c:ptCount val="17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8</c:v>
                </c:pt>
                <c:pt idx="12">
                  <c:v>9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10</c:v>
                </c:pt>
                <c:pt idx="25">
                  <c:v>10</c:v>
                </c:pt>
                <c:pt idx="26">
                  <c:v>9</c:v>
                </c:pt>
                <c:pt idx="27">
                  <c:v>9</c:v>
                </c:pt>
                <c:pt idx="28">
                  <c:v>9</c:v>
                </c:pt>
                <c:pt idx="29">
                  <c:v>9</c:v>
                </c:pt>
                <c:pt idx="30">
                  <c:v>9</c:v>
                </c:pt>
                <c:pt idx="31">
                  <c:v>10</c:v>
                </c:pt>
                <c:pt idx="32">
                  <c:v>10</c:v>
                </c:pt>
                <c:pt idx="33">
                  <c:v>11</c:v>
                </c:pt>
                <c:pt idx="34">
                  <c:v>11</c:v>
                </c:pt>
                <c:pt idx="35">
                  <c:v>12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13</c:v>
                </c:pt>
                <c:pt idx="40">
                  <c:v>13</c:v>
                </c:pt>
                <c:pt idx="41">
                  <c:v>14</c:v>
                </c:pt>
                <c:pt idx="42">
                  <c:v>14</c:v>
                </c:pt>
                <c:pt idx="43">
                  <c:v>14</c:v>
                </c:pt>
                <c:pt idx="44">
                  <c:v>14</c:v>
                </c:pt>
                <c:pt idx="45">
                  <c:v>14</c:v>
                </c:pt>
                <c:pt idx="46">
                  <c:v>14</c:v>
                </c:pt>
                <c:pt idx="47">
                  <c:v>15</c:v>
                </c:pt>
                <c:pt idx="48">
                  <c:v>15</c:v>
                </c:pt>
                <c:pt idx="49">
                  <c:v>15</c:v>
                </c:pt>
                <c:pt idx="50">
                  <c:v>15</c:v>
                </c:pt>
                <c:pt idx="51">
                  <c:v>16</c:v>
                </c:pt>
                <c:pt idx="52">
                  <c:v>16</c:v>
                </c:pt>
                <c:pt idx="53">
                  <c:v>16</c:v>
                </c:pt>
                <c:pt idx="54">
                  <c:v>17</c:v>
                </c:pt>
                <c:pt idx="55">
                  <c:v>17</c:v>
                </c:pt>
                <c:pt idx="56">
                  <c:v>17</c:v>
                </c:pt>
                <c:pt idx="57">
                  <c:v>19</c:v>
                </c:pt>
                <c:pt idx="58">
                  <c:v>19</c:v>
                </c:pt>
                <c:pt idx="59">
                  <c:v>19</c:v>
                </c:pt>
                <c:pt idx="60">
                  <c:v>19</c:v>
                </c:pt>
                <c:pt idx="61">
                  <c:v>19</c:v>
                </c:pt>
                <c:pt idx="62">
                  <c:v>19</c:v>
                </c:pt>
                <c:pt idx="63">
                  <c:v>20</c:v>
                </c:pt>
                <c:pt idx="64">
                  <c:v>19</c:v>
                </c:pt>
                <c:pt idx="65">
                  <c:v>19</c:v>
                </c:pt>
                <c:pt idx="66">
                  <c:v>19</c:v>
                </c:pt>
                <c:pt idx="67">
                  <c:v>19</c:v>
                </c:pt>
                <c:pt idx="68">
                  <c:v>19</c:v>
                </c:pt>
                <c:pt idx="69">
                  <c:v>19</c:v>
                </c:pt>
                <c:pt idx="70">
                  <c:v>19</c:v>
                </c:pt>
                <c:pt idx="71">
                  <c:v>19</c:v>
                </c:pt>
                <c:pt idx="72">
                  <c:v>19</c:v>
                </c:pt>
                <c:pt idx="73">
                  <c:v>19</c:v>
                </c:pt>
                <c:pt idx="74">
                  <c:v>19</c:v>
                </c:pt>
                <c:pt idx="75">
                  <c:v>19</c:v>
                </c:pt>
                <c:pt idx="76">
                  <c:v>19</c:v>
                </c:pt>
                <c:pt idx="77">
                  <c:v>19</c:v>
                </c:pt>
                <c:pt idx="78">
                  <c:v>19</c:v>
                </c:pt>
                <c:pt idx="79">
                  <c:v>19</c:v>
                </c:pt>
                <c:pt idx="80">
                  <c:v>19</c:v>
                </c:pt>
                <c:pt idx="81">
                  <c:v>19</c:v>
                </c:pt>
                <c:pt idx="82">
                  <c:v>19</c:v>
                </c:pt>
                <c:pt idx="83">
                  <c:v>19</c:v>
                </c:pt>
                <c:pt idx="84">
                  <c:v>19</c:v>
                </c:pt>
                <c:pt idx="85">
                  <c:v>19</c:v>
                </c:pt>
                <c:pt idx="86">
                  <c:v>19</c:v>
                </c:pt>
                <c:pt idx="87">
                  <c:v>19</c:v>
                </c:pt>
                <c:pt idx="88">
                  <c:v>19</c:v>
                </c:pt>
                <c:pt idx="89">
                  <c:v>21</c:v>
                </c:pt>
                <c:pt idx="90">
                  <c:v>21</c:v>
                </c:pt>
                <c:pt idx="91">
                  <c:v>21</c:v>
                </c:pt>
                <c:pt idx="92">
                  <c:v>21</c:v>
                </c:pt>
                <c:pt idx="93">
                  <c:v>21</c:v>
                </c:pt>
                <c:pt idx="94">
                  <c:v>21</c:v>
                </c:pt>
                <c:pt idx="95">
                  <c:v>22</c:v>
                </c:pt>
                <c:pt idx="96">
                  <c:v>22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23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23</c:v>
                </c:pt>
                <c:pt idx="107">
                  <c:v>23</c:v>
                </c:pt>
                <c:pt idx="108">
                  <c:v>23</c:v>
                </c:pt>
                <c:pt idx="109">
                  <c:v>23</c:v>
                </c:pt>
                <c:pt idx="110">
                  <c:v>23</c:v>
                </c:pt>
                <c:pt idx="111">
                  <c:v>23</c:v>
                </c:pt>
                <c:pt idx="112">
                  <c:v>23</c:v>
                </c:pt>
                <c:pt idx="113">
                  <c:v>22</c:v>
                </c:pt>
                <c:pt idx="114">
                  <c:v>22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19</c:v>
                </c:pt>
                <c:pt idx="120">
                  <c:v>18</c:v>
                </c:pt>
                <c:pt idx="121">
                  <c:v>17</c:v>
                </c:pt>
                <c:pt idx="122">
                  <c:v>17</c:v>
                </c:pt>
                <c:pt idx="123">
                  <c:v>17</c:v>
                </c:pt>
                <c:pt idx="124">
                  <c:v>17</c:v>
                </c:pt>
                <c:pt idx="125">
                  <c:v>16</c:v>
                </c:pt>
                <c:pt idx="126">
                  <c:v>16</c:v>
                </c:pt>
                <c:pt idx="127">
                  <c:v>15</c:v>
                </c:pt>
                <c:pt idx="128">
                  <c:v>13</c:v>
                </c:pt>
                <c:pt idx="129">
                  <c:v>10</c:v>
                </c:pt>
                <c:pt idx="130">
                  <c:v>10</c:v>
                </c:pt>
                <c:pt idx="131">
                  <c:v>9</c:v>
                </c:pt>
                <c:pt idx="132">
                  <c:v>8</c:v>
                </c:pt>
                <c:pt idx="133">
                  <c:v>8</c:v>
                </c:pt>
                <c:pt idx="134">
                  <c:v>6</c:v>
                </c:pt>
                <c:pt idx="135">
                  <c:v>4</c:v>
                </c:pt>
                <c:pt idx="136">
                  <c:v>2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469-45C4-B0D2-EA024AC8D742}"/>
            </c:ext>
          </c:extLst>
        </c:ser>
        <c:ser>
          <c:idx val="12"/>
          <c:order val="12"/>
          <c:tx>
            <c:strRef>
              <c:f>Regions!$N$4:$N$5</c:f>
              <c:strCache>
                <c:ptCount val="1"/>
                <c:pt idx="0">
                  <c:v>Gondor</c:v>
                </c:pt>
              </c:strCache>
            </c:strRef>
          </c:tx>
          <c:spPr>
            <a:ln w="50800" cap="rnd">
              <a:solidFill>
                <a:srgbClr val="0E2841">
                  <a:lumMod val="10000"/>
                  <a:lumOff val="9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Regions!$N$6:$N$176</c:f>
              <c:numCache>
                <c:formatCode>General</c:formatCode>
                <c:ptCount val="170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19</c:v>
                </c:pt>
                <c:pt idx="6">
                  <c:v>16</c:v>
                </c:pt>
                <c:pt idx="7">
                  <c:v>16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13</c:v>
                </c:pt>
                <c:pt idx="20">
                  <c:v>13</c:v>
                </c:pt>
                <c:pt idx="21">
                  <c:v>13</c:v>
                </c:pt>
                <c:pt idx="22">
                  <c:v>13</c:v>
                </c:pt>
                <c:pt idx="23">
                  <c:v>13</c:v>
                </c:pt>
                <c:pt idx="24">
                  <c:v>13</c:v>
                </c:pt>
                <c:pt idx="25">
                  <c:v>13</c:v>
                </c:pt>
                <c:pt idx="26">
                  <c:v>13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</c:v>
                </c:pt>
                <c:pt idx="34">
                  <c:v>12</c:v>
                </c:pt>
                <c:pt idx="35">
                  <c:v>12</c:v>
                </c:pt>
                <c:pt idx="36">
                  <c:v>12</c:v>
                </c:pt>
                <c:pt idx="37">
                  <c:v>12</c:v>
                </c:pt>
                <c:pt idx="38">
                  <c:v>10</c:v>
                </c:pt>
                <c:pt idx="39">
                  <c:v>9</c:v>
                </c:pt>
                <c:pt idx="40">
                  <c:v>9</c:v>
                </c:pt>
                <c:pt idx="41">
                  <c:v>9</c:v>
                </c:pt>
                <c:pt idx="42">
                  <c:v>8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4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69-45C4-B0D2-EA024AC8D742}"/>
            </c:ext>
          </c:extLst>
        </c:ser>
        <c:ser>
          <c:idx val="13"/>
          <c:order val="13"/>
          <c:tx>
            <c:strRef>
              <c:f>Regions!$O$4:$O$5</c:f>
              <c:strCache>
                <c:ptCount val="1"/>
                <c:pt idx="0">
                  <c:v>Gundabad</c:v>
                </c:pt>
              </c:strCache>
            </c:strRef>
          </c:tx>
          <c:spPr>
            <a:ln w="28575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Regions!$O$6:$O$176</c:f>
              <c:numCache>
                <c:formatCode>General</c:formatCode>
                <c:ptCount val="1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11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11</c:v>
                </c:pt>
                <c:pt idx="35">
                  <c:v>11</c:v>
                </c:pt>
                <c:pt idx="36">
                  <c:v>11</c:v>
                </c:pt>
                <c:pt idx="37">
                  <c:v>11</c:v>
                </c:pt>
                <c:pt idx="38">
                  <c:v>11</c:v>
                </c:pt>
                <c:pt idx="39">
                  <c:v>12</c:v>
                </c:pt>
                <c:pt idx="40">
                  <c:v>12</c:v>
                </c:pt>
                <c:pt idx="41">
                  <c:v>12</c:v>
                </c:pt>
                <c:pt idx="42">
                  <c:v>12</c:v>
                </c:pt>
                <c:pt idx="43">
                  <c:v>12</c:v>
                </c:pt>
                <c:pt idx="44">
                  <c:v>12</c:v>
                </c:pt>
                <c:pt idx="45">
                  <c:v>12</c:v>
                </c:pt>
                <c:pt idx="46">
                  <c:v>12</c:v>
                </c:pt>
                <c:pt idx="47">
                  <c:v>12</c:v>
                </c:pt>
                <c:pt idx="48">
                  <c:v>12</c:v>
                </c:pt>
                <c:pt idx="49">
                  <c:v>12</c:v>
                </c:pt>
                <c:pt idx="50">
                  <c:v>12</c:v>
                </c:pt>
                <c:pt idx="51">
                  <c:v>12</c:v>
                </c:pt>
                <c:pt idx="52">
                  <c:v>12</c:v>
                </c:pt>
                <c:pt idx="53">
                  <c:v>12</c:v>
                </c:pt>
                <c:pt idx="54">
                  <c:v>12</c:v>
                </c:pt>
                <c:pt idx="55">
                  <c:v>12</c:v>
                </c:pt>
                <c:pt idx="56">
                  <c:v>12</c:v>
                </c:pt>
                <c:pt idx="57">
                  <c:v>12</c:v>
                </c:pt>
                <c:pt idx="58">
                  <c:v>12</c:v>
                </c:pt>
                <c:pt idx="59">
                  <c:v>12</c:v>
                </c:pt>
                <c:pt idx="60">
                  <c:v>12</c:v>
                </c:pt>
                <c:pt idx="61">
                  <c:v>12</c:v>
                </c:pt>
                <c:pt idx="62">
                  <c:v>12</c:v>
                </c:pt>
                <c:pt idx="63">
                  <c:v>12</c:v>
                </c:pt>
                <c:pt idx="64">
                  <c:v>13</c:v>
                </c:pt>
                <c:pt idx="65">
                  <c:v>13</c:v>
                </c:pt>
                <c:pt idx="66">
                  <c:v>13</c:v>
                </c:pt>
                <c:pt idx="67">
                  <c:v>15</c:v>
                </c:pt>
                <c:pt idx="68">
                  <c:v>16</c:v>
                </c:pt>
                <c:pt idx="69">
                  <c:v>16</c:v>
                </c:pt>
                <c:pt idx="70">
                  <c:v>16</c:v>
                </c:pt>
                <c:pt idx="71">
                  <c:v>16</c:v>
                </c:pt>
                <c:pt idx="72">
                  <c:v>16</c:v>
                </c:pt>
                <c:pt idx="73">
                  <c:v>17</c:v>
                </c:pt>
                <c:pt idx="74">
                  <c:v>17</c:v>
                </c:pt>
                <c:pt idx="75">
                  <c:v>17</c:v>
                </c:pt>
                <c:pt idx="76">
                  <c:v>18</c:v>
                </c:pt>
                <c:pt idx="77">
                  <c:v>19</c:v>
                </c:pt>
                <c:pt idx="78">
                  <c:v>19</c:v>
                </c:pt>
                <c:pt idx="79">
                  <c:v>18</c:v>
                </c:pt>
                <c:pt idx="80">
                  <c:v>17</c:v>
                </c:pt>
                <c:pt idx="81">
                  <c:v>17</c:v>
                </c:pt>
                <c:pt idx="82">
                  <c:v>17</c:v>
                </c:pt>
                <c:pt idx="83">
                  <c:v>17</c:v>
                </c:pt>
                <c:pt idx="84">
                  <c:v>18</c:v>
                </c:pt>
                <c:pt idx="85">
                  <c:v>17</c:v>
                </c:pt>
                <c:pt idx="86">
                  <c:v>17</c:v>
                </c:pt>
                <c:pt idx="87">
                  <c:v>18</c:v>
                </c:pt>
                <c:pt idx="88">
                  <c:v>18</c:v>
                </c:pt>
                <c:pt idx="89">
                  <c:v>16</c:v>
                </c:pt>
                <c:pt idx="90">
                  <c:v>13</c:v>
                </c:pt>
                <c:pt idx="91">
                  <c:v>12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9</c:v>
                </c:pt>
                <c:pt idx="96">
                  <c:v>9</c:v>
                </c:pt>
                <c:pt idx="97">
                  <c:v>8</c:v>
                </c:pt>
                <c:pt idx="98">
                  <c:v>6</c:v>
                </c:pt>
                <c:pt idx="99">
                  <c:v>5</c:v>
                </c:pt>
                <c:pt idx="100">
                  <c:v>4</c:v>
                </c:pt>
                <c:pt idx="101">
                  <c:v>3</c:v>
                </c:pt>
                <c:pt idx="102">
                  <c:v>3</c:v>
                </c:pt>
                <c:pt idx="103">
                  <c:v>3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469-45C4-B0D2-EA024AC8D742}"/>
            </c:ext>
          </c:extLst>
        </c:ser>
        <c:ser>
          <c:idx val="14"/>
          <c:order val="14"/>
          <c:tx>
            <c:strRef>
              <c:f>Regions!$P$4:$P$5</c:f>
              <c:strCache>
                <c:ptCount val="1"/>
                <c:pt idx="0">
                  <c:v>Haerrim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Regions!$P$6:$P$176</c:f>
              <c:numCache>
                <c:formatCode>General</c:formatCode>
                <c:ptCount val="170"/>
                <c:pt idx="0">
                  <c:v>4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69-45C4-B0D2-EA024AC8D742}"/>
            </c:ext>
          </c:extLst>
        </c:ser>
        <c:ser>
          <c:idx val="15"/>
          <c:order val="15"/>
          <c:tx>
            <c:strRef>
              <c:f>Regions!$Q$4:$Q$5</c:f>
              <c:strCache>
                <c:ptCount val="1"/>
                <c:pt idx="0">
                  <c:v>Haradrim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Regions!$Q$6:$Q$176</c:f>
              <c:numCache>
                <c:formatCode>General</c:formatCode>
                <c:ptCount val="17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8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9</c:v>
                </c:pt>
                <c:pt idx="85">
                  <c:v>10</c:v>
                </c:pt>
                <c:pt idx="86">
                  <c:v>10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10</c:v>
                </c:pt>
                <c:pt idx="91">
                  <c:v>10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12</c:v>
                </c:pt>
                <c:pt idx="99">
                  <c:v>12</c:v>
                </c:pt>
                <c:pt idx="100">
                  <c:v>12</c:v>
                </c:pt>
                <c:pt idx="101">
                  <c:v>13</c:v>
                </c:pt>
                <c:pt idx="102">
                  <c:v>13</c:v>
                </c:pt>
                <c:pt idx="103">
                  <c:v>13</c:v>
                </c:pt>
                <c:pt idx="104">
                  <c:v>13</c:v>
                </c:pt>
                <c:pt idx="105">
                  <c:v>13</c:v>
                </c:pt>
                <c:pt idx="106">
                  <c:v>13</c:v>
                </c:pt>
                <c:pt idx="107">
                  <c:v>14</c:v>
                </c:pt>
                <c:pt idx="108">
                  <c:v>14</c:v>
                </c:pt>
                <c:pt idx="109">
                  <c:v>15</c:v>
                </c:pt>
                <c:pt idx="110">
                  <c:v>15</c:v>
                </c:pt>
                <c:pt idx="111">
                  <c:v>15</c:v>
                </c:pt>
                <c:pt idx="112">
                  <c:v>15</c:v>
                </c:pt>
                <c:pt idx="113">
                  <c:v>15</c:v>
                </c:pt>
                <c:pt idx="114">
                  <c:v>14</c:v>
                </c:pt>
                <c:pt idx="115">
                  <c:v>14</c:v>
                </c:pt>
                <c:pt idx="116">
                  <c:v>14</c:v>
                </c:pt>
                <c:pt idx="117">
                  <c:v>14</c:v>
                </c:pt>
                <c:pt idx="118">
                  <c:v>14</c:v>
                </c:pt>
                <c:pt idx="119">
                  <c:v>14</c:v>
                </c:pt>
                <c:pt idx="120">
                  <c:v>13</c:v>
                </c:pt>
                <c:pt idx="121">
                  <c:v>14</c:v>
                </c:pt>
                <c:pt idx="122">
                  <c:v>14</c:v>
                </c:pt>
                <c:pt idx="123">
                  <c:v>14</c:v>
                </c:pt>
                <c:pt idx="124">
                  <c:v>14</c:v>
                </c:pt>
                <c:pt idx="125">
                  <c:v>14</c:v>
                </c:pt>
                <c:pt idx="126">
                  <c:v>14</c:v>
                </c:pt>
                <c:pt idx="127">
                  <c:v>13</c:v>
                </c:pt>
                <c:pt idx="128">
                  <c:v>13</c:v>
                </c:pt>
                <c:pt idx="129">
                  <c:v>14</c:v>
                </c:pt>
                <c:pt idx="130">
                  <c:v>14</c:v>
                </c:pt>
                <c:pt idx="131">
                  <c:v>14</c:v>
                </c:pt>
                <c:pt idx="132">
                  <c:v>14</c:v>
                </c:pt>
                <c:pt idx="133">
                  <c:v>14</c:v>
                </c:pt>
                <c:pt idx="134">
                  <c:v>14</c:v>
                </c:pt>
                <c:pt idx="135">
                  <c:v>14</c:v>
                </c:pt>
                <c:pt idx="136">
                  <c:v>14</c:v>
                </c:pt>
                <c:pt idx="137">
                  <c:v>14</c:v>
                </c:pt>
                <c:pt idx="138">
                  <c:v>15</c:v>
                </c:pt>
                <c:pt idx="139">
                  <c:v>15</c:v>
                </c:pt>
                <c:pt idx="140">
                  <c:v>16</c:v>
                </c:pt>
                <c:pt idx="141">
                  <c:v>16</c:v>
                </c:pt>
                <c:pt idx="142">
                  <c:v>16</c:v>
                </c:pt>
                <c:pt idx="143">
                  <c:v>16</c:v>
                </c:pt>
                <c:pt idx="144">
                  <c:v>18</c:v>
                </c:pt>
                <c:pt idx="145">
                  <c:v>18</c:v>
                </c:pt>
                <c:pt idx="146">
                  <c:v>18</c:v>
                </c:pt>
                <c:pt idx="147">
                  <c:v>18</c:v>
                </c:pt>
                <c:pt idx="148">
                  <c:v>18</c:v>
                </c:pt>
                <c:pt idx="149">
                  <c:v>18</c:v>
                </c:pt>
                <c:pt idx="150">
                  <c:v>18</c:v>
                </c:pt>
                <c:pt idx="151">
                  <c:v>18</c:v>
                </c:pt>
                <c:pt idx="152">
                  <c:v>18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19</c:v>
                </c:pt>
                <c:pt idx="158">
                  <c:v>20</c:v>
                </c:pt>
                <c:pt idx="159">
                  <c:v>21</c:v>
                </c:pt>
                <c:pt idx="160">
                  <c:v>21</c:v>
                </c:pt>
                <c:pt idx="161">
                  <c:v>21</c:v>
                </c:pt>
                <c:pt idx="162">
                  <c:v>22</c:v>
                </c:pt>
                <c:pt idx="163">
                  <c:v>23</c:v>
                </c:pt>
                <c:pt idx="164">
                  <c:v>23</c:v>
                </c:pt>
                <c:pt idx="165">
                  <c:v>23</c:v>
                </c:pt>
                <c:pt idx="166">
                  <c:v>23</c:v>
                </c:pt>
                <c:pt idx="167">
                  <c:v>23</c:v>
                </c:pt>
                <c:pt idx="168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469-45C4-B0D2-EA024AC8D742}"/>
            </c:ext>
          </c:extLst>
        </c:ser>
        <c:ser>
          <c:idx val="16"/>
          <c:order val="16"/>
          <c:tx>
            <c:strRef>
              <c:f>Regions!$R$4:$R$5</c:f>
              <c:strCache>
                <c:ptCount val="1"/>
                <c:pt idx="0">
                  <c:v>Harondor</c:v>
                </c:pt>
              </c:strCache>
            </c:strRef>
          </c:tx>
          <c:spPr>
            <a:ln w="28575" cap="rnd">
              <a:solidFill>
                <a:srgbClr val="FE937E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Regions!$R$6:$R$176</c:f>
              <c:numCache>
                <c:formatCode>General</c:formatCode>
                <c:ptCount val="17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469-45C4-B0D2-EA024AC8D742}"/>
            </c:ext>
          </c:extLst>
        </c:ser>
        <c:ser>
          <c:idx val="17"/>
          <c:order val="17"/>
          <c:tx>
            <c:strRef>
              <c:f>Regions!$S$4:$S$5</c:f>
              <c:strCache>
                <c:ptCount val="1"/>
                <c:pt idx="0">
                  <c:v>Ironfist-Stiffbeard Union</c:v>
                </c:pt>
              </c:strCache>
            </c:strRef>
          </c:tx>
          <c:spPr>
            <a:ln w="28575" cap="rnd">
              <a:solidFill>
                <a:srgbClr val="A02B93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Regions!$S$6:$S$176</c:f>
              <c:numCache>
                <c:formatCode>General</c:formatCode>
                <c:ptCount val="17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3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3</c:v>
                </c:pt>
                <c:pt idx="101">
                  <c:v>3</c:v>
                </c:pt>
                <c:pt idx="102">
                  <c:v>3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2</c:v>
                </c:pt>
                <c:pt idx="121">
                  <c:v>2</c:v>
                </c:pt>
                <c:pt idx="122">
                  <c:v>2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2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4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5</c:v>
                </c:pt>
                <c:pt idx="154">
                  <c:v>6</c:v>
                </c:pt>
                <c:pt idx="155">
                  <c:v>6</c:v>
                </c:pt>
                <c:pt idx="156">
                  <c:v>6</c:v>
                </c:pt>
                <c:pt idx="157">
                  <c:v>6</c:v>
                </c:pt>
                <c:pt idx="158">
                  <c:v>6</c:v>
                </c:pt>
                <c:pt idx="159">
                  <c:v>6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469-45C4-B0D2-EA024AC8D742}"/>
            </c:ext>
          </c:extLst>
        </c:ser>
        <c:ser>
          <c:idx val="18"/>
          <c:order val="18"/>
          <c:tx>
            <c:strRef>
              <c:f>Regions!$T$4:$T$5</c:f>
              <c:strCache>
                <c:ptCount val="1"/>
                <c:pt idx="0">
                  <c:v>Isengard</c:v>
                </c:pt>
              </c:strCache>
            </c:strRef>
          </c:tx>
          <c:spPr>
            <a:ln w="508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Regions!$T$6:$T$176</c:f>
              <c:numCache>
                <c:formatCode>General</c:formatCode>
                <c:ptCount val="17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5</c:v>
                </c:pt>
                <c:pt idx="37">
                  <c:v>5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7</c:v>
                </c:pt>
                <c:pt idx="64">
                  <c:v>7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8</c:v>
                </c:pt>
                <c:pt idx="69">
                  <c:v>8</c:v>
                </c:pt>
                <c:pt idx="70">
                  <c:v>8</c:v>
                </c:pt>
                <c:pt idx="71">
                  <c:v>8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8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8</c:v>
                </c:pt>
                <c:pt idx="84">
                  <c:v>8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7</c:v>
                </c:pt>
                <c:pt idx="113">
                  <c:v>7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7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5</c:v>
                </c:pt>
                <c:pt idx="129">
                  <c:v>5</c:v>
                </c:pt>
                <c:pt idx="130">
                  <c:v>4</c:v>
                </c:pt>
                <c:pt idx="131">
                  <c:v>4</c:v>
                </c:pt>
                <c:pt idx="132">
                  <c:v>4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469-45C4-B0D2-EA024AC8D742}"/>
            </c:ext>
          </c:extLst>
        </c:ser>
        <c:ser>
          <c:idx val="19"/>
          <c:order val="19"/>
          <c:tx>
            <c:strRef>
              <c:f>Regions!$U$4:$U$5</c:f>
              <c:strCache>
                <c:ptCount val="1"/>
                <c:pt idx="0">
                  <c:v>Lothlorien</c:v>
                </c:pt>
              </c:strCache>
            </c:strRef>
          </c:tx>
          <c:spPr>
            <a:ln w="28575" cap="rnd">
              <a:solidFill>
                <a:srgbClr val="CCFF99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Regions!$U$6:$U$176</c:f>
              <c:numCache>
                <c:formatCode>General</c:formatCode>
                <c:ptCount val="1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1</c:v>
                </c:pt>
                <c:pt idx="40">
                  <c:v>1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469-45C4-B0D2-EA024AC8D742}"/>
            </c:ext>
          </c:extLst>
        </c:ser>
        <c:ser>
          <c:idx val="20"/>
          <c:order val="20"/>
          <c:tx>
            <c:strRef>
              <c:f>Regions!$V$4:$V$5</c:f>
              <c:strCache>
                <c:ptCount val="1"/>
                <c:pt idx="0">
                  <c:v>Mahud</c:v>
                </c:pt>
              </c:strCache>
            </c:strRef>
          </c:tx>
          <c:spPr>
            <a:ln w="28575" cap="rnd">
              <a:solidFill>
                <a:srgbClr val="FE937E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Regions!$V$6:$V$176</c:f>
              <c:numCache>
                <c:formatCode>General</c:formatCode>
                <c:ptCount val="1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3</c:v>
                </c:pt>
                <c:pt idx="58">
                  <c:v>2</c:v>
                </c:pt>
                <c:pt idx="59">
                  <c:v>2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469-45C4-B0D2-EA024AC8D742}"/>
            </c:ext>
          </c:extLst>
        </c:ser>
        <c:ser>
          <c:idx val="21"/>
          <c:order val="21"/>
          <c:tx>
            <c:strRef>
              <c:f>Regions!$W$4:$W$5</c:f>
              <c:strCache>
                <c:ptCount val="1"/>
                <c:pt idx="0">
                  <c:v>Mordor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Regions!$W$6:$W$176</c:f>
              <c:numCache>
                <c:formatCode>General</c:formatCode>
                <c:ptCount val="170"/>
                <c:pt idx="0">
                  <c:v>11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14</c:v>
                </c:pt>
                <c:pt idx="7">
                  <c:v>14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17</c:v>
                </c:pt>
                <c:pt idx="20">
                  <c:v>17</c:v>
                </c:pt>
                <c:pt idx="21">
                  <c:v>17</c:v>
                </c:pt>
                <c:pt idx="22">
                  <c:v>17</c:v>
                </c:pt>
                <c:pt idx="23">
                  <c:v>17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18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21</c:v>
                </c:pt>
                <c:pt idx="43">
                  <c:v>22</c:v>
                </c:pt>
                <c:pt idx="44">
                  <c:v>21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</c:v>
                </c:pt>
                <c:pt idx="49">
                  <c:v>21</c:v>
                </c:pt>
                <c:pt idx="50">
                  <c:v>21</c:v>
                </c:pt>
                <c:pt idx="51">
                  <c:v>22</c:v>
                </c:pt>
                <c:pt idx="52">
                  <c:v>22</c:v>
                </c:pt>
                <c:pt idx="53">
                  <c:v>22</c:v>
                </c:pt>
                <c:pt idx="54">
                  <c:v>22</c:v>
                </c:pt>
                <c:pt idx="55">
                  <c:v>22</c:v>
                </c:pt>
                <c:pt idx="56">
                  <c:v>22</c:v>
                </c:pt>
                <c:pt idx="57">
                  <c:v>22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24</c:v>
                </c:pt>
                <c:pt idx="62">
                  <c:v>24</c:v>
                </c:pt>
                <c:pt idx="63">
                  <c:v>26</c:v>
                </c:pt>
                <c:pt idx="64">
                  <c:v>26</c:v>
                </c:pt>
                <c:pt idx="65">
                  <c:v>26</c:v>
                </c:pt>
                <c:pt idx="66">
                  <c:v>26</c:v>
                </c:pt>
                <c:pt idx="67">
                  <c:v>26</c:v>
                </c:pt>
                <c:pt idx="68">
                  <c:v>26</c:v>
                </c:pt>
                <c:pt idx="69">
                  <c:v>26</c:v>
                </c:pt>
                <c:pt idx="70">
                  <c:v>26</c:v>
                </c:pt>
                <c:pt idx="71">
                  <c:v>26</c:v>
                </c:pt>
                <c:pt idx="72">
                  <c:v>26</c:v>
                </c:pt>
                <c:pt idx="73">
                  <c:v>26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26</c:v>
                </c:pt>
                <c:pt idx="82">
                  <c:v>26</c:v>
                </c:pt>
                <c:pt idx="83">
                  <c:v>26</c:v>
                </c:pt>
                <c:pt idx="84">
                  <c:v>26</c:v>
                </c:pt>
                <c:pt idx="85">
                  <c:v>26</c:v>
                </c:pt>
                <c:pt idx="86">
                  <c:v>26</c:v>
                </c:pt>
                <c:pt idx="87">
                  <c:v>26</c:v>
                </c:pt>
                <c:pt idx="88">
                  <c:v>26</c:v>
                </c:pt>
                <c:pt idx="89">
                  <c:v>26</c:v>
                </c:pt>
                <c:pt idx="90">
                  <c:v>28</c:v>
                </c:pt>
                <c:pt idx="91">
                  <c:v>27</c:v>
                </c:pt>
                <c:pt idx="92">
                  <c:v>28</c:v>
                </c:pt>
                <c:pt idx="93">
                  <c:v>28</c:v>
                </c:pt>
                <c:pt idx="94">
                  <c:v>28</c:v>
                </c:pt>
                <c:pt idx="95">
                  <c:v>28</c:v>
                </c:pt>
                <c:pt idx="96">
                  <c:v>29</c:v>
                </c:pt>
                <c:pt idx="97">
                  <c:v>29</c:v>
                </c:pt>
                <c:pt idx="98">
                  <c:v>29</c:v>
                </c:pt>
                <c:pt idx="99">
                  <c:v>29</c:v>
                </c:pt>
                <c:pt idx="100">
                  <c:v>29</c:v>
                </c:pt>
                <c:pt idx="101">
                  <c:v>29</c:v>
                </c:pt>
                <c:pt idx="102">
                  <c:v>29</c:v>
                </c:pt>
                <c:pt idx="103">
                  <c:v>29</c:v>
                </c:pt>
                <c:pt idx="104">
                  <c:v>30</c:v>
                </c:pt>
                <c:pt idx="105">
                  <c:v>30</c:v>
                </c:pt>
                <c:pt idx="106">
                  <c:v>30</c:v>
                </c:pt>
                <c:pt idx="107">
                  <c:v>30</c:v>
                </c:pt>
                <c:pt idx="108">
                  <c:v>30</c:v>
                </c:pt>
                <c:pt idx="109">
                  <c:v>30</c:v>
                </c:pt>
                <c:pt idx="110">
                  <c:v>31</c:v>
                </c:pt>
                <c:pt idx="111">
                  <c:v>31</c:v>
                </c:pt>
                <c:pt idx="112">
                  <c:v>32</c:v>
                </c:pt>
                <c:pt idx="113">
                  <c:v>33</c:v>
                </c:pt>
                <c:pt idx="114">
                  <c:v>33</c:v>
                </c:pt>
                <c:pt idx="115">
                  <c:v>36</c:v>
                </c:pt>
                <c:pt idx="116">
                  <c:v>35</c:v>
                </c:pt>
                <c:pt idx="117">
                  <c:v>36</c:v>
                </c:pt>
                <c:pt idx="118">
                  <c:v>36</c:v>
                </c:pt>
                <c:pt idx="119">
                  <c:v>35</c:v>
                </c:pt>
                <c:pt idx="120">
                  <c:v>36</c:v>
                </c:pt>
                <c:pt idx="121">
                  <c:v>37</c:v>
                </c:pt>
                <c:pt idx="122">
                  <c:v>37</c:v>
                </c:pt>
                <c:pt idx="123">
                  <c:v>37</c:v>
                </c:pt>
                <c:pt idx="124">
                  <c:v>36</c:v>
                </c:pt>
                <c:pt idx="125">
                  <c:v>38</c:v>
                </c:pt>
                <c:pt idx="126">
                  <c:v>38</c:v>
                </c:pt>
                <c:pt idx="127">
                  <c:v>39</c:v>
                </c:pt>
                <c:pt idx="128">
                  <c:v>41</c:v>
                </c:pt>
                <c:pt idx="129">
                  <c:v>43</c:v>
                </c:pt>
                <c:pt idx="130">
                  <c:v>44</c:v>
                </c:pt>
                <c:pt idx="131">
                  <c:v>45</c:v>
                </c:pt>
                <c:pt idx="132">
                  <c:v>47</c:v>
                </c:pt>
                <c:pt idx="133">
                  <c:v>48</c:v>
                </c:pt>
                <c:pt idx="134">
                  <c:v>48</c:v>
                </c:pt>
                <c:pt idx="135">
                  <c:v>50</c:v>
                </c:pt>
                <c:pt idx="136">
                  <c:v>52</c:v>
                </c:pt>
                <c:pt idx="137">
                  <c:v>52</c:v>
                </c:pt>
                <c:pt idx="138">
                  <c:v>59</c:v>
                </c:pt>
                <c:pt idx="139">
                  <c:v>59</c:v>
                </c:pt>
                <c:pt idx="140">
                  <c:v>59</c:v>
                </c:pt>
                <c:pt idx="141">
                  <c:v>62</c:v>
                </c:pt>
                <c:pt idx="142">
                  <c:v>63</c:v>
                </c:pt>
                <c:pt idx="143">
                  <c:v>64</c:v>
                </c:pt>
                <c:pt idx="144">
                  <c:v>64</c:v>
                </c:pt>
                <c:pt idx="145">
                  <c:v>65</c:v>
                </c:pt>
                <c:pt idx="146">
                  <c:v>65</c:v>
                </c:pt>
                <c:pt idx="147">
                  <c:v>68</c:v>
                </c:pt>
                <c:pt idx="148">
                  <c:v>68</c:v>
                </c:pt>
                <c:pt idx="149">
                  <c:v>68</c:v>
                </c:pt>
                <c:pt idx="150">
                  <c:v>70</c:v>
                </c:pt>
                <c:pt idx="151">
                  <c:v>70</c:v>
                </c:pt>
                <c:pt idx="152">
                  <c:v>70</c:v>
                </c:pt>
                <c:pt idx="153">
                  <c:v>70</c:v>
                </c:pt>
                <c:pt idx="154">
                  <c:v>70</c:v>
                </c:pt>
                <c:pt idx="155">
                  <c:v>70</c:v>
                </c:pt>
                <c:pt idx="156">
                  <c:v>70</c:v>
                </c:pt>
                <c:pt idx="157">
                  <c:v>70</c:v>
                </c:pt>
                <c:pt idx="158">
                  <c:v>70</c:v>
                </c:pt>
                <c:pt idx="159">
                  <c:v>70</c:v>
                </c:pt>
                <c:pt idx="160">
                  <c:v>71</c:v>
                </c:pt>
                <c:pt idx="161">
                  <c:v>71</c:v>
                </c:pt>
                <c:pt idx="162">
                  <c:v>71</c:v>
                </c:pt>
                <c:pt idx="163">
                  <c:v>71</c:v>
                </c:pt>
                <c:pt idx="164">
                  <c:v>71</c:v>
                </c:pt>
                <c:pt idx="165">
                  <c:v>72</c:v>
                </c:pt>
                <c:pt idx="166">
                  <c:v>73</c:v>
                </c:pt>
                <c:pt idx="167">
                  <c:v>75</c:v>
                </c:pt>
                <c:pt idx="168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469-45C4-B0D2-EA024AC8D742}"/>
            </c:ext>
          </c:extLst>
        </c:ser>
        <c:ser>
          <c:idx val="22"/>
          <c:order val="22"/>
          <c:tx>
            <c:strRef>
              <c:f>Regions!$X$4:$X$5</c:f>
              <c:strCache>
                <c:ptCount val="1"/>
                <c:pt idx="0">
                  <c:v>Northern Enedwaith</c:v>
                </c:pt>
              </c:strCache>
            </c:strRef>
          </c:tx>
          <c:spPr>
            <a:ln w="28575" cap="rnd">
              <a:solidFill>
                <a:srgbClr val="FFCCCC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Regions!$X$6:$X$176</c:f>
              <c:numCache>
                <c:formatCode>General</c:formatCode>
                <c:ptCount val="17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4</c:v>
                </c:pt>
                <c:pt idx="109">
                  <c:v>4</c:v>
                </c:pt>
                <c:pt idx="110">
                  <c:v>4</c:v>
                </c:pt>
                <c:pt idx="111">
                  <c:v>4</c:v>
                </c:pt>
                <c:pt idx="112">
                  <c:v>4</c:v>
                </c:pt>
                <c:pt idx="113">
                  <c:v>4</c:v>
                </c:pt>
                <c:pt idx="114">
                  <c:v>4</c:v>
                </c:pt>
                <c:pt idx="115">
                  <c:v>4</c:v>
                </c:pt>
                <c:pt idx="116">
                  <c:v>4</c:v>
                </c:pt>
                <c:pt idx="117">
                  <c:v>4</c:v>
                </c:pt>
                <c:pt idx="118">
                  <c:v>4</c:v>
                </c:pt>
                <c:pt idx="119">
                  <c:v>4</c:v>
                </c:pt>
                <c:pt idx="120">
                  <c:v>4</c:v>
                </c:pt>
                <c:pt idx="121">
                  <c:v>4</c:v>
                </c:pt>
                <c:pt idx="122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26">
                  <c:v>3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469-45C4-B0D2-EA024AC8D742}"/>
            </c:ext>
          </c:extLst>
        </c:ser>
        <c:ser>
          <c:idx val="23"/>
          <c:order val="23"/>
          <c:tx>
            <c:strRef>
              <c:f>Regions!$Y$4:$Y$5</c:f>
              <c:strCache>
                <c:ptCount val="1"/>
                <c:pt idx="0">
                  <c:v>Rachrohir (Wainriders)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Regions!$Y$6:$Y$176</c:f>
              <c:numCache>
                <c:formatCode>General</c:formatCode>
                <c:ptCount val="1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5</c:v>
                </c:pt>
                <c:pt idx="12">
                  <c:v>5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469-45C4-B0D2-EA024AC8D742}"/>
            </c:ext>
          </c:extLst>
        </c:ser>
        <c:ser>
          <c:idx val="24"/>
          <c:order val="24"/>
          <c:tx>
            <c:strRef>
              <c:f>Regions!$Z$4:$Z$5</c:f>
              <c:strCache>
                <c:ptCount val="1"/>
                <c:pt idx="0">
                  <c:v>Rhurim/Rhun</c:v>
                </c:pt>
              </c:strCache>
            </c:strRef>
          </c:tx>
          <c:spPr>
            <a:ln w="50800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Regions!$Z$6:$Z$176</c:f>
              <c:numCache>
                <c:formatCode>General</c:formatCode>
                <c:ptCount val="170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13</c:v>
                </c:pt>
                <c:pt idx="13">
                  <c:v>18</c:v>
                </c:pt>
                <c:pt idx="14">
                  <c:v>19</c:v>
                </c:pt>
                <c:pt idx="15">
                  <c:v>18</c:v>
                </c:pt>
                <c:pt idx="16">
                  <c:v>18</c:v>
                </c:pt>
                <c:pt idx="17">
                  <c:v>18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25</c:v>
                </c:pt>
                <c:pt idx="23">
                  <c:v>31</c:v>
                </c:pt>
                <c:pt idx="24">
                  <c:v>31</c:v>
                </c:pt>
                <c:pt idx="25">
                  <c:v>31</c:v>
                </c:pt>
                <c:pt idx="26">
                  <c:v>32</c:v>
                </c:pt>
                <c:pt idx="27">
                  <c:v>32</c:v>
                </c:pt>
                <c:pt idx="28">
                  <c:v>31</c:v>
                </c:pt>
                <c:pt idx="29">
                  <c:v>32</c:v>
                </c:pt>
                <c:pt idx="30">
                  <c:v>31</c:v>
                </c:pt>
                <c:pt idx="31">
                  <c:v>30</c:v>
                </c:pt>
                <c:pt idx="32">
                  <c:v>30</c:v>
                </c:pt>
                <c:pt idx="33">
                  <c:v>31</c:v>
                </c:pt>
                <c:pt idx="34">
                  <c:v>31</c:v>
                </c:pt>
                <c:pt idx="35">
                  <c:v>31</c:v>
                </c:pt>
                <c:pt idx="36">
                  <c:v>30</c:v>
                </c:pt>
                <c:pt idx="37">
                  <c:v>31</c:v>
                </c:pt>
                <c:pt idx="38">
                  <c:v>32</c:v>
                </c:pt>
                <c:pt idx="39">
                  <c:v>33</c:v>
                </c:pt>
                <c:pt idx="40">
                  <c:v>33</c:v>
                </c:pt>
                <c:pt idx="41">
                  <c:v>33</c:v>
                </c:pt>
                <c:pt idx="42">
                  <c:v>33</c:v>
                </c:pt>
                <c:pt idx="43">
                  <c:v>33</c:v>
                </c:pt>
                <c:pt idx="44">
                  <c:v>33</c:v>
                </c:pt>
                <c:pt idx="45">
                  <c:v>33</c:v>
                </c:pt>
                <c:pt idx="46">
                  <c:v>33</c:v>
                </c:pt>
                <c:pt idx="47">
                  <c:v>32</c:v>
                </c:pt>
                <c:pt idx="48">
                  <c:v>32</c:v>
                </c:pt>
                <c:pt idx="49">
                  <c:v>32</c:v>
                </c:pt>
                <c:pt idx="50">
                  <c:v>31</c:v>
                </c:pt>
                <c:pt idx="51">
                  <c:v>31</c:v>
                </c:pt>
                <c:pt idx="52">
                  <c:v>31</c:v>
                </c:pt>
                <c:pt idx="53">
                  <c:v>31</c:v>
                </c:pt>
                <c:pt idx="54">
                  <c:v>31</c:v>
                </c:pt>
                <c:pt idx="55">
                  <c:v>30</c:v>
                </c:pt>
                <c:pt idx="56">
                  <c:v>31</c:v>
                </c:pt>
                <c:pt idx="57">
                  <c:v>31</c:v>
                </c:pt>
                <c:pt idx="58">
                  <c:v>32</c:v>
                </c:pt>
                <c:pt idx="59">
                  <c:v>32</c:v>
                </c:pt>
                <c:pt idx="60">
                  <c:v>32</c:v>
                </c:pt>
                <c:pt idx="61">
                  <c:v>31</c:v>
                </c:pt>
                <c:pt idx="62">
                  <c:v>31</c:v>
                </c:pt>
                <c:pt idx="63">
                  <c:v>31</c:v>
                </c:pt>
                <c:pt idx="64">
                  <c:v>32</c:v>
                </c:pt>
                <c:pt idx="65">
                  <c:v>32</c:v>
                </c:pt>
                <c:pt idx="66">
                  <c:v>31</c:v>
                </c:pt>
                <c:pt idx="67">
                  <c:v>31</c:v>
                </c:pt>
                <c:pt idx="68">
                  <c:v>31</c:v>
                </c:pt>
                <c:pt idx="69">
                  <c:v>31</c:v>
                </c:pt>
                <c:pt idx="70">
                  <c:v>30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30</c:v>
                </c:pt>
                <c:pt idx="76">
                  <c:v>32</c:v>
                </c:pt>
                <c:pt idx="77">
                  <c:v>33</c:v>
                </c:pt>
                <c:pt idx="78">
                  <c:v>33</c:v>
                </c:pt>
                <c:pt idx="79">
                  <c:v>33</c:v>
                </c:pt>
                <c:pt idx="80">
                  <c:v>33</c:v>
                </c:pt>
                <c:pt idx="81">
                  <c:v>33</c:v>
                </c:pt>
                <c:pt idx="82">
                  <c:v>33</c:v>
                </c:pt>
                <c:pt idx="83">
                  <c:v>33</c:v>
                </c:pt>
                <c:pt idx="84">
                  <c:v>32</c:v>
                </c:pt>
                <c:pt idx="85">
                  <c:v>32</c:v>
                </c:pt>
                <c:pt idx="86">
                  <c:v>32</c:v>
                </c:pt>
                <c:pt idx="87">
                  <c:v>31</c:v>
                </c:pt>
                <c:pt idx="88">
                  <c:v>31</c:v>
                </c:pt>
                <c:pt idx="89">
                  <c:v>31</c:v>
                </c:pt>
                <c:pt idx="90">
                  <c:v>32</c:v>
                </c:pt>
                <c:pt idx="91">
                  <c:v>32</c:v>
                </c:pt>
                <c:pt idx="92">
                  <c:v>31</c:v>
                </c:pt>
                <c:pt idx="93">
                  <c:v>31</c:v>
                </c:pt>
                <c:pt idx="94">
                  <c:v>31</c:v>
                </c:pt>
                <c:pt idx="95">
                  <c:v>31</c:v>
                </c:pt>
                <c:pt idx="96">
                  <c:v>30</c:v>
                </c:pt>
                <c:pt idx="97">
                  <c:v>31</c:v>
                </c:pt>
                <c:pt idx="98">
                  <c:v>30</c:v>
                </c:pt>
                <c:pt idx="99">
                  <c:v>30</c:v>
                </c:pt>
                <c:pt idx="100">
                  <c:v>29</c:v>
                </c:pt>
                <c:pt idx="101">
                  <c:v>28</c:v>
                </c:pt>
                <c:pt idx="102">
                  <c:v>28</c:v>
                </c:pt>
                <c:pt idx="103">
                  <c:v>27</c:v>
                </c:pt>
                <c:pt idx="104">
                  <c:v>27</c:v>
                </c:pt>
                <c:pt idx="105">
                  <c:v>26</c:v>
                </c:pt>
                <c:pt idx="106">
                  <c:v>26</c:v>
                </c:pt>
                <c:pt idx="107">
                  <c:v>25</c:v>
                </c:pt>
                <c:pt idx="108">
                  <c:v>25</c:v>
                </c:pt>
                <c:pt idx="109">
                  <c:v>24</c:v>
                </c:pt>
                <c:pt idx="110">
                  <c:v>24</c:v>
                </c:pt>
                <c:pt idx="111">
                  <c:v>24</c:v>
                </c:pt>
                <c:pt idx="112">
                  <c:v>24</c:v>
                </c:pt>
                <c:pt idx="113">
                  <c:v>24</c:v>
                </c:pt>
                <c:pt idx="114">
                  <c:v>26</c:v>
                </c:pt>
                <c:pt idx="115">
                  <c:v>26</c:v>
                </c:pt>
                <c:pt idx="116">
                  <c:v>26</c:v>
                </c:pt>
                <c:pt idx="117">
                  <c:v>26</c:v>
                </c:pt>
                <c:pt idx="118">
                  <c:v>26</c:v>
                </c:pt>
                <c:pt idx="119">
                  <c:v>26</c:v>
                </c:pt>
                <c:pt idx="120">
                  <c:v>26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26</c:v>
                </c:pt>
                <c:pt idx="128">
                  <c:v>26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24</c:v>
                </c:pt>
                <c:pt idx="136">
                  <c:v>24</c:v>
                </c:pt>
                <c:pt idx="137">
                  <c:v>23</c:v>
                </c:pt>
                <c:pt idx="138">
                  <c:v>22</c:v>
                </c:pt>
                <c:pt idx="139">
                  <c:v>22</c:v>
                </c:pt>
                <c:pt idx="140">
                  <c:v>21</c:v>
                </c:pt>
                <c:pt idx="141">
                  <c:v>21</c:v>
                </c:pt>
                <c:pt idx="142">
                  <c:v>20</c:v>
                </c:pt>
                <c:pt idx="143">
                  <c:v>19</c:v>
                </c:pt>
                <c:pt idx="144">
                  <c:v>15</c:v>
                </c:pt>
                <c:pt idx="145">
                  <c:v>15</c:v>
                </c:pt>
                <c:pt idx="146">
                  <c:v>15</c:v>
                </c:pt>
                <c:pt idx="147">
                  <c:v>14</c:v>
                </c:pt>
                <c:pt idx="148">
                  <c:v>14</c:v>
                </c:pt>
                <c:pt idx="149">
                  <c:v>14</c:v>
                </c:pt>
                <c:pt idx="150">
                  <c:v>14</c:v>
                </c:pt>
                <c:pt idx="151">
                  <c:v>14</c:v>
                </c:pt>
                <c:pt idx="152">
                  <c:v>14</c:v>
                </c:pt>
                <c:pt idx="153">
                  <c:v>12</c:v>
                </c:pt>
                <c:pt idx="154">
                  <c:v>9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7</c:v>
                </c:pt>
                <c:pt idx="159">
                  <c:v>5</c:v>
                </c:pt>
                <c:pt idx="160">
                  <c:v>3</c:v>
                </c:pt>
                <c:pt idx="161">
                  <c:v>3</c:v>
                </c:pt>
                <c:pt idx="162">
                  <c:v>2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469-45C4-B0D2-EA024AC8D742}"/>
            </c:ext>
          </c:extLst>
        </c:ser>
        <c:ser>
          <c:idx val="25"/>
          <c:order val="25"/>
          <c:tx>
            <c:strRef>
              <c:f>Regions!$AA$4:$AA$5</c:f>
              <c:strCache>
                <c:ptCount val="1"/>
                <c:pt idx="0">
                  <c:v>Rohan</c:v>
                </c:pt>
              </c:strCache>
            </c:strRef>
          </c:tx>
          <c:spPr>
            <a:ln w="50800" cap="rnd">
              <a:solidFill>
                <a:srgbClr val="33CC33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Regions!$AA$6:$AA$176</c:f>
              <c:numCache>
                <c:formatCode>General</c:formatCode>
                <c:ptCount val="17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14</c:v>
                </c:pt>
                <c:pt idx="9">
                  <c:v>14</c:v>
                </c:pt>
                <c:pt idx="10">
                  <c:v>13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13</c:v>
                </c:pt>
                <c:pt idx="17">
                  <c:v>12</c:v>
                </c:pt>
                <c:pt idx="18">
                  <c:v>12</c:v>
                </c:pt>
                <c:pt idx="19">
                  <c:v>12</c:v>
                </c:pt>
                <c:pt idx="20">
                  <c:v>13</c:v>
                </c:pt>
                <c:pt idx="21">
                  <c:v>12</c:v>
                </c:pt>
                <c:pt idx="22">
                  <c:v>11</c:v>
                </c:pt>
                <c:pt idx="23">
                  <c:v>11</c:v>
                </c:pt>
                <c:pt idx="24">
                  <c:v>11</c:v>
                </c:pt>
                <c:pt idx="25">
                  <c:v>11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11</c:v>
                </c:pt>
                <c:pt idx="32">
                  <c:v>11</c:v>
                </c:pt>
                <c:pt idx="33">
                  <c:v>11</c:v>
                </c:pt>
                <c:pt idx="34">
                  <c:v>10</c:v>
                </c:pt>
                <c:pt idx="35">
                  <c:v>10</c:v>
                </c:pt>
                <c:pt idx="36">
                  <c:v>8</c:v>
                </c:pt>
                <c:pt idx="37">
                  <c:v>8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6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469-45C4-B0D2-EA024AC8D742}"/>
            </c:ext>
          </c:extLst>
        </c:ser>
        <c:ser>
          <c:idx val="26"/>
          <c:order val="26"/>
          <c:tx>
            <c:strRef>
              <c:f>Regions!$AB$4:$AB$5</c:f>
              <c:strCache>
                <c:ptCount val="1"/>
                <c:pt idx="0">
                  <c:v>Scouts of Rohan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Regions!$AB$6:$AB$176</c:f>
              <c:numCache>
                <c:formatCode>General</c:formatCode>
                <c:ptCount val="1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469-45C4-B0D2-EA024AC8D742}"/>
            </c:ext>
          </c:extLst>
        </c:ser>
        <c:ser>
          <c:idx val="27"/>
          <c:order val="27"/>
          <c:tx>
            <c:strRef>
              <c:f>Regions!$AC$4:$AC$5</c:f>
              <c:strCache>
                <c:ptCount val="1"/>
                <c:pt idx="0">
                  <c:v>Southern Enedwaith</c:v>
                </c:pt>
              </c:strCache>
            </c:strRef>
          </c:tx>
          <c:spPr>
            <a:ln w="28575" cap="rnd">
              <a:solidFill>
                <a:srgbClr val="FFCCCC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Regions!$AC$6:$AC$176</c:f>
              <c:numCache>
                <c:formatCode>General</c:formatCode>
                <c:ptCount val="17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469-45C4-B0D2-EA024AC8D742}"/>
            </c:ext>
          </c:extLst>
        </c:ser>
        <c:ser>
          <c:idx val="28"/>
          <c:order val="28"/>
          <c:tx>
            <c:strRef>
              <c:f>Regions!$AD$4:$AD$5</c:f>
              <c:strCache>
                <c:ptCount val="1"/>
                <c:pt idx="0">
                  <c:v>Southron Nomads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Regions!$AD$6:$AD$176</c:f>
              <c:numCache>
                <c:formatCode>General</c:formatCode>
                <c:ptCount val="1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F70F-4536-AE00-F7EAE01F9DDE}"/>
            </c:ext>
          </c:extLst>
        </c:ser>
        <c:ser>
          <c:idx val="29"/>
          <c:order val="29"/>
          <c:tx>
            <c:strRef>
              <c:f>Regions!$AE$4:$AE$5</c:f>
              <c:strCache>
                <c:ptCount val="1"/>
                <c:pt idx="0">
                  <c:v>Variags (Khand)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Regions!$AE$6:$AE$176</c:f>
              <c:numCache>
                <c:formatCode>General</c:formatCode>
                <c:ptCount val="1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5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F70F-4536-AE00-F7EAE01F9DDE}"/>
            </c:ext>
          </c:extLst>
        </c:ser>
        <c:ser>
          <c:idx val="30"/>
          <c:order val="30"/>
          <c:tx>
            <c:strRef>
              <c:f>Regions!$AF$4:$AF$5</c:f>
              <c:strCache>
                <c:ptCount val="1"/>
                <c:pt idx="0">
                  <c:v>Woodland Realm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Regions!$AF$6:$AF$176</c:f>
              <c:numCache>
                <c:formatCode>General</c:formatCode>
                <c:ptCount val="1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F70F-4536-AE00-F7EAE01F9DDE}"/>
            </c:ext>
          </c:extLst>
        </c:ser>
        <c:ser>
          <c:idx val="31"/>
          <c:order val="31"/>
          <c:tx>
            <c:strRef>
              <c:f>Regions!$AG$4:$AG$5</c:f>
              <c:strCache>
                <c:ptCount val="1"/>
                <c:pt idx="0">
                  <c:v>#N/A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Regions!$A$6:$A$176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Regions!$AG$6:$AG$176</c:f>
              <c:numCache>
                <c:formatCode>General</c:formatCode>
                <c:ptCount val="17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F70F-4536-AE00-F7EAE01F9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00015"/>
        <c:axId val="1469399535"/>
      </c:lineChart>
      <c:catAx>
        <c:axId val="14694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399535"/>
        <c:crosses val="autoZero"/>
        <c:auto val="1"/>
        <c:lblAlgn val="ctr"/>
        <c:lblOffset val="100"/>
        <c:noMultiLvlLbl val="0"/>
      </c:catAx>
      <c:valAx>
        <c:axId val="14693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56105621721874"/>
          <c:y val="5.5234669148784506E-2"/>
          <c:w val="0.1747684039967819"/>
          <c:h val="0.85895985845219824"/>
        </c:manualLayout>
      </c:layout>
      <c:overlay val="0"/>
      <c:spPr>
        <a:noFill/>
        <a:ln>
          <a:solidFill>
            <a:schemeClr val="tx2">
              <a:lumMod val="10000"/>
              <a:lumOff val="9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[tdd stats.xlsx]Dominance!PivotTable2</c:name>
    <c:fmtId val="7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</c:pivotFmt>
      <c:pivotFmt>
        <c:idx val="79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 w="28575" cap="rnd">
            <a:solidFill>
              <a:schemeClr val="accent1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 w="28575" cap="rnd">
            <a:solidFill>
              <a:schemeClr val="accent2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 w="28575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 w="381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 w="28575" cap="rnd">
            <a:solidFill>
              <a:schemeClr val="accent3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 w="28575" cap="rnd">
            <a:solidFill>
              <a:schemeClr val="accent5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 w="28575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 w="28575" cap="rnd">
            <a:solidFill>
              <a:schemeClr val="accent4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 w="28575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 w="28575" cap="rnd">
            <a:solidFill>
              <a:srgbClr val="FFC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 w="28575" cap="rnd">
            <a:solidFill>
              <a:schemeClr val="accent6">
                <a:lumMod val="40000"/>
                <a:lumOff val="6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 w="28575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 w="28575" cap="rnd">
            <a:solidFill>
              <a:srgbClr val="FF7C8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 w="28575" cap="rnd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 w="50800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 w="28575" cap="rnd">
            <a:solidFill>
              <a:srgbClr val="CC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 w="28575" cap="rnd">
            <a:solidFill>
              <a:srgbClr val="FF7C8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 w="508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 w="28575" cap="rnd">
            <a:solidFill>
              <a:srgbClr val="F685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 w="50800" cap="rnd">
            <a:solidFill>
              <a:srgbClr val="FF99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 w="50800" cap="rnd">
            <a:solidFill>
              <a:srgbClr val="33CC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 w="28575" cap="rnd">
            <a:solidFill>
              <a:srgbClr val="F685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 w="28575" cap="rnd">
            <a:solidFill>
              <a:srgbClr val="FF7C8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 w="50800" cap="rnd">
            <a:solidFill>
              <a:srgbClr val="99FF6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 w="28575" cap="rnd">
            <a:solidFill>
              <a:schemeClr val="accent5">
                <a:lumMod val="20000"/>
                <a:lumOff val="8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 w="5080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 w="28575" cap="rnd">
            <a:solidFill>
              <a:srgbClr val="F6855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 w="50800" cap="rnd">
            <a:solidFill>
              <a:schemeClr val="accent5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 w="28575" cap="rnd">
            <a:solidFill>
              <a:schemeClr val="bg2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 w="50800" cap="rnd">
            <a:solidFill>
              <a:schemeClr val="tx2">
                <a:lumMod val="10000"/>
                <a:lumOff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 w="28575" cap="rnd">
            <a:solidFill>
              <a:schemeClr val="bg2">
                <a:lumMod val="9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 w="508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 w="28575" cap="rnd">
            <a:solidFill>
              <a:srgbClr val="A02B93">
                <a:lumMod val="40000"/>
                <a:lumOff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 w="50800" cap="rnd">
            <a:solidFill>
              <a:srgbClr val="156082">
                <a:lumMod val="60000"/>
                <a:lumOff val="4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 w="28575" cap="rnd">
            <a:solidFill>
              <a:srgbClr val="4EA72E">
                <a:lumMod val="75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 w="28575" cap="rnd">
            <a:solidFill>
              <a:srgbClr val="99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 w="50800" cap="rnd">
            <a:solidFill>
              <a:srgbClr val="A02B9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 w="28575" cap="rnd">
            <a:solidFill>
              <a:srgbClr val="E8E8E8">
                <a:lumMod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 w="50800" cap="rnd">
            <a:solidFill>
              <a:srgbClr val="0E2841">
                <a:lumMod val="10000"/>
                <a:lumOff val="9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 w="508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 w="50800" cap="rnd">
            <a:solidFill>
              <a:schemeClr val="tx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 w="50800" cap="rnd">
            <a:solidFill>
              <a:sysClr val="windowText" lastClr="0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 w="28575" cap="rnd">
            <a:solidFill>
              <a:srgbClr val="CC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 w="508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 w="50800" cap="rnd">
            <a:solidFill>
              <a:srgbClr val="FF99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 w="50800" cap="rnd">
            <a:solidFill>
              <a:srgbClr val="33CC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 w="50800" cap="rnd">
            <a:solidFill>
              <a:srgbClr val="92D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 w="28575" cap="rnd">
            <a:solidFill>
              <a:sysClr val="window" lastClr="FFFFFF">
                <a:lumMod val="75000"/>
              </a:sys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 w="28575" cap="rnd">
            <a:solidFill>
              <a:srgbClr val="A02B93">
                <a:lumMod val="40000"/>
                <a:lumOff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</c:pivotFmt>
      <c:pivotFmt>
        <c:idx val="206"/>
        <c:spPr>
          <a:ln w="28575" cap="rnd">
            <a:solidFill>
              <a:srgbClr val="F4EE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ln w="28575" cap="rnd">
            <a:solidFill>
              <a:srgbClr val="A02B93">
                <a:lumMod val="40000"/>
                <a:lumOff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ln w="50800" cap="rnd">
            <a:solidFill>
              <a:srgbClr val="156082">
                <a:lumMod val="60000"/>
                <a:lumOff val="4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ln w="28575" cap="rnd">
            <a:solidFill>
              <a:srgbClr val="4EA72E">
                <a:lumMod val="75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ln w="28575" cap="rnd">
            <a:solidFill>
              <a:srgbClr val="9933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ln w="50800" cap="rnd">
            <a:solidFill>
              <a:srgbClr val="A02B9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ln w="28575" cap="rnd">
            <a:solidFill>
              <a:srgbClr val="E8E8E8">
                <a:lumMod val="5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ln w="50800" cap="rnd">
            <a:solidFill>
              <a:srgbClr val="0E2841">
                <a:lumMod val="10000"/>
                <a:lumOff val="9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ln w="28575" cap="rnd">
            <a:solidFill>
              <a:sysClr val="window" lastClr="FFFFFF">
                <a:lumMod val="75000"/>
              </a:sys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ln w="50800" cap="rnd">
            <a:solidFill>
              <a:srgbClr val="C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ln w="28575" cap="rnd">
            <a:solidFill>
              <a:srgbClr val="A02B93">
                <a:lumMod val="40000"/>
                <a:lumOff val="60000"/>
              </a:srgb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ln w="50800" cap="rnd">
            <a:solidFill>
              <a:sysClr val="windowText" lastClr="00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ln w="28575" cap="rnd">
            <a:solidFill>
              <a:srgbClr val="CCFF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ln w="28575" cap="rnd">
            <a:solidFill>
              <a:srgbClr val="FE937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ln w="50800" cap="rnd">
            <a:solidFill>
              <a:srgbClr val="FF000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ln w="50800" cap="rnd">
            <a:solidFill>
              <a:srgbClr val="FF99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ln w="50800" cap="rnd">
            <a:solidFill>
              <a:srgbClr val="33CC33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ln w="28575" cap="rnd">
            <a:solidFill>
              <a:srgbClr val="FFCCCC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ln w="28575" cap="rnd">
            <a:solidFill>
              <a:srgbClr val="FFCC9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ln w="50800" cap="rnd">
            <a:solidFill>
              <a:srgbClr val="92D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Dominance!$B$3:$B$4</c:f>
              <c:strCache>
                <c:ptCount val="1"/>
                <c:pt idx="0">
                  <c:v>Anduin Vale</c:v>
                </c:pt>
              </c:strCache>
            </c:strRef>
          </c:tx>
          <c:spPr>
            <a:ln w="28575" cap="rnd">
              <a:solidFill>
                <a:srgbClr val="F4EE00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Dominance!$B$5:$B$175</c:f>
              <c:numCache>
                <c:formatCode>General</c:formatCode>
                <c:ptCount val="170"/>
                <c:pt idx="0">
                  <c:v>14</c:v>
                </c:pt>
                <c:pt idx="1">
                  <c:v>14</c:v>
                </c:pt>
                <c:pt idx="2">
                  <c:v>16</c:v>
                </c:pt>
                <c:pt idx="3">
                  <c:v>16</c:v>
                </c:pt>
                <c:pt idx="4">
                  <c:v>21</c:v>
                </c:pt>
                <c:pt idx="5">
                  <c:v>26</c:v>
                </c:pt>
                <c:pt idx="6">
                  <c:v>26</c:v>
                </c:pt>
                <c:pt idx="7">
                  <c:v>31</c:v>
                </c:pt>
                <c:pt idx="8">
                  <c:v>31</c:v>
                </c:pt>
                <c:pt idx="9">
                  <c:v>30</c:v>
                </c:pt>
                <c:pt idx="10">
                  <c:v>35</c:v>
                </c:pt>
                <c:pt idx="11">
                  <c:v>34</c:v>
                </c:pt>
                <c:pt idx="12">
                  <c:v>34</c:v>
                </c:pt>
                <c:pt idx="13">
                  <c:v>39</c:v>
                </c:pt>
                <c:pt idx="14">
                  <c:v>38</c:v>
                </c:pt>
                <c:pt idx="15">
                  <c:v>38</c:v>
                </c:pt>
                <c:pt idx="16">
                  <c:v>43</c:v>
                </c:pt>
                <c:pt idx="17">
                  <c:v>42</c:v>
                </c:pt>
                <c:pt idx="18">
                  <c:v>42</c:v>
                </c:pt>
                <c:pt idx="19">
                  <c:v>42</c:v>
                </c:pt>
                <c:pt idx="20">
                  <c:v>47</c:v>
                </c:pt>
                <c:pt idx="21">
                  <c:v>47</c:v>
                </c:pt>
                <c:pt idx="22">
                  <c:v>51</c:v>
                </c:pt>
                <c:pt idx="23">
                  <c:v>51</c:v>
                </c:pt>
                <c:pt idx="24">
                  <c:v>52</c:v>
                </c:pt>
                <c:pt idx="25">
                  <c:v>52</c:v>
                </c:pt>
                <c:pt idx="26">
                  <c:v>53</c:v>
                </c:pt>
                <c:pt idx="27">
                  <c:v>53</c:v>
                </c:pt>
                <c:pt idx="28">
                  <c:v>58</c:v>
                </c:pt>
                <c:pt idx="29">
                  <c:v>57</c:v>
                </c:pt>
                <c:pt idx="30">
                  <c:v>55</c:v>
                </c:pt>
                <c:pt idx="31">
                  <c:v>54</c:v>
                </c:pt>
                <c:pt idx="32">
                  <c:v>59</c:v>
                </c:pt>
                <c:pt idx="33">
                  <c:v>59</c:v>
                </c:pt>
                <c:pt idx="34">
                  <c:v>56</c:v>
                </c:pt>
                <c:pt idx="35">
                  <c:v>56</c:v>
                </c:pt>
                <c:pt idx="36">
                  <c:v>61</c:v>
                </c:pt>
                <c:pt idx="37">
                  <c:v>61</c:v>
                </c:pt>
                <c:pt idx="38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69-45C4-B0D2-EA024AC8D742}"/>
            </c:ext>
          </c:extLst>
        </c:ser>
        <c:ser>
          <c:idx val="1"/>
          <c:order val="1"/>
          <c:tx>
            <c:strRef>
              <c:f>Dominance!$C$3:$C$4</c:f>
              <c:strCache>
                <c:ptCount val="1"/>
                <c:pt idx="0">
                  <c:v>Balchoth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Dominance!$C$5:$C$175</c:f>
              <c:numCache>
                <c:formatCode>General</c:formatCode>
                <c:ptCount val="170"/>
                <c:pt idx="0">
                  <c:v>7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69-45C4-B0D2-EA024AC8D742}"/>
            </c:ext>
          </c:extLst>
        </c:ser>
        <c:ser>
          <c:idx val="2"/>
          <c:order val="2"/>
          <c:tx>
            <c:strRef>
              <c:f>Dominance!$D$3:$D$4</c:f>
              <c:strCache>
                <c:ptCount val="1"/>
                <c:pt idx="0">
                  <c:v>Blacklock-Stonefoot League</c:v>
                </c:pt>
              </c:strCache>
            </c:strRef>
          </c:tx>
          <c:spPr>
            <a:ln w="28575" cap="rnd">
              <a:solidFill>
                <a:srgbClr val="A02B93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Dominance!$D$5:$D$175</c:f>
              <c:numCache>
                <c:formatCode>General</c:formatCode>
                <c:ptCount val="1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9</c:v>
                </c:pt>
                <c:pt idx="161">
                  <c:v>9</c:v>
                </c:pt>
                <c:pt idx="162">
                  <c:v>9</c:v>
                </c:pt>
                <c:pt idx="163">
                  <c:v>9</c:v>
                </c:pt>
                <c:pt idx="164">
                  <c:v>9</c:v>
                </c:pt>
                <c:pt idx="165">
                  <c:v>9</c:v>
                </c:pt>
                <c:pt idx="166">
                  <c:v>9</c:v>
                </c:pt>
                <c:pt idx="167">
                  <c:v>9</c:v>
                </c:pt>
                <c:pt idx="168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69-45C4-B0D2-EA024AC8D742}"/>
            </c:ext>
          </c:extLst>
        </c:ser>
        <c:ser>
          <c:idx val="3"/>
          <c:order val="3"/>
          <c:tx>
            <c:strRef>
              <c:f>Dominance!$E$3:$E$4</c:f>
              <c:strCache>
                <c:ptCount val="1"/>
                <c:pt idx="0">
                  <c:v>Corsairs of Umbar</c:v>
                </c:pt>
              </c:strCache>
            </c:strRef>
          </c:tx>
          <c:spPr>
            <a:ln w="28575" cap="rnd">
              <a:solidFill>
                <a:srgbClr val="FE937E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Dominance!$E$5:$E$175</c:f>
              <c:numCache>
                <c:formatCode>General</c:formatCode>
                <c:ptCount val="17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9</c:v>
                </c:pt>
                <c:pt idx="35">
                  <c:v>9</c:v>
                </c:pt>
                <c:pt idx="36">
                  <c:v>10</c:v>
                </c:pt>
                <c:pt idx="37">
                  <c:v>10</c:v>
                </c:pt>
                <c:pt idx="38">
                  <c:v>10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10</c:v>
                </c:pt>
                <c:pt idx="43">
                  <c:v>10</c:v>
                </c:pt>
                <c:pt idx="44">
                  <c:v>10</c:v>
                </c:pt>
                <c:pt idx="45">
                  <c:v>10</c:v>
                </c:pt>
                <c:pt idx="46">
                  <c:v>10</c:v>
                </c:pt>
                <c:pt idx="47">
                  <c:v>10</c:v>
                </c:pt>
                <c:pt idx="48">
                  <c:v>10</c:v>
                </c:pt>
                <c:pt idx="49">
                  <c:v>10</c:v>
                </c:pt>
                <c:pt idx="50">
                  <c:v>10</c:v>
                </c:pt>
                <c:pt idx="51">
                  <c:v>10</c:v>
                </c:pt>
                <c:pt idx="52">
                  <c:v>10</c:v>
                </c:pt>
                <c:pt idx="53">
                  <c:v>10</c:v>
                </c:pt>
                <c:pt idx="54">
                  <c:v>10</c:v>
                </c:pt>
                <c:pt idx="55">
                  <c:v>10</c:v>
                </c:pt>
                <c:pt idx="56">
                  <c:v>10</c:v>
                </c:pt>
                <c:pt idx="57">
                  <c:v>10</c:v>
                </c:pt>
                <c:pt idx="58">
                  <c:v>10</c:v>
                </c:pt>
                <c:pt idx="59">
                  <c:v>10</c:v>
                </c:pt>
                <c:pt idx="60">
                  <c:v>10</c:v>
                </c:pt>
                <c:pt idx="61">
                  <c:v>10</c:v>
                </c:pt>
                <c:pt idx="62">
                  <c:v>10</c:v>
                </c:pt>
                <c:pt idx="63">
                  <c:v>11</c:v>
                </c:pt>
                <c:pt idx="64">
                  <c:v>11</c:v>
                </c:pt>
                <c:pt idx="65">
                  <c:v>11</c:v>
                </c:pt>
                <c:pt idx="66">
                  <c:v>11</c:v>
                </c:pt>
                <c:pt idx="67">
                  <c:v>11</c:v>
                </c:pt>
                <c:pt idx="68">
                  <c:v>11</c:v>
                </c:pt>
                <c:pt idx="69">
                  <c:v>11</c:v>
                </c:pt>
                <c:pt idx="70">
                  <c:v>11</c:v>
                </c:pt>
                <c:pt idx="71">
                  <c:v>11</c:v>
                </c:pt>
                <c:pt idx="72">
                  <c:v>11</c:v>
                </c:pt>
                <c:pt idx="73">
                  <c:v>11</c:v>
                </c:pt>
                <c:pt idx="74">
                  <c:v>11</c:v>
                </c:pt>
                <c:pt idx="75">
                  <c:v>11</c:v>
                </c:pt>
                <c:pt idx="76">
                  <c:v>11</c:v>
                </c:pt>
                <c:pt idx="77">
                  <c:v>11</c:v>
                </c:pt>
                <c:pt idx="78">
                  <c:v>11</c:v>
                </c:pt>
                <c:pt idx="79">
                  <c:v>11</c:v>
                </c:pt>
                <c:pt idx="80">
                  <c:v>11</c:v>
                </c:pt>
                <c:pt idx="81">
                  <c:v>11</c:v>
                </c:pt>
                <c:pt idx="82">
                  <c:v>11</c:v>
                </c:pt>
                <c:pt idx="83">
                  <c:v>11</c:v>
                </c:pt>
                <c:pt idx="84">
                  <c:v>11</c:v>
                </c:pt>
                <c:pt idx="85">
                  <c:v>11</c:v>
                </c:pt>
                <c:pt idx="86">
                  <c:v>11</c:v>
                </c:pt>
                <c:pt idx="87">
                  <c:v>11</c:v>
                </c:pt>
                <c:pt idx="88">
                  <c:v>11</c:v>
                </c:pt>
                <c:pt idx="89">
                  <c:v>11</c:v>
                </c:pt>
                <c:pt idx="90">
                  <c:v>11</c:v>
                </c:pt>
                <c:pt idx="91">
                  <c:v>11</c:v>
                </c:pt>
                <c:pt idx="92">
                  <c:v>11</c:v>
                </c:pt>
                <c:pt idx="93">
                  <c:v>11</c:v>
                </c:pt>
                <c:pt idx="94">
                  <c:v>11</c:v>
                </c:pt>
                <c:pt idx="95">
                  <c:v>11</c:v>
                </c:pt>
                <c:pt idx="96">
                  <c:v>11</c:v>
                </c:pt>
                <c:pt idx="97">
                  <c:v>11</c:v>
                </c:pt>
                <c:pt idx="98">
                  <c:v>13</c:v>
                </c:pt>
                <c:pt idx="99">
                  <c:v>15</c:v>
                </c:pt>
                <c:pt idx="100">
                  <c:v>16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18</c:v>
                </c:pt>
                <c:pt idx="105">
                  <c:v>18</c:v>
                </c:pt>
                <c:pt idx="106">
                  <c:v>18</c:v>
                </c:pt>
                <c:pt idx="107">
                  <c:v>20</c:v>
                </c:pt>
                <c:pt idx="108">
                  <c:v>20</c:v>
                </c:pt>
                <c:pt idx="109">
                  <c:v>20</c:v>
                </c:pt>
                <c:pt idx="110">
                  <c:v>19</c:v>
                </c:pt>
                <c:pt idx="111">
                  <c:v>19</c:v>
                </c:pt>
                <c:pt idx="112">
                  <c:v>19</c:v>
                </c:pt>
                <c:pt idx="113">
                  <c:v>19</c:v>
                </c:pt>
                <c:pt idx="114">
                  <c:v>19</c:v>
                </c:pt>
                <c:pt idx="115">
                  <c:v>19</c:v>
                </c:pt>
                <c:pt idx="116">
                  <c:v>19</c:v>
                </c:pt>
                <c:pt idx="117">
                  <c:v>19</c:v>
                </c:pt>
                <c:pt idx="118">
                  <c:v>19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</c:v>
                </c:pt>
                <c:pt idx="131">
                  <c:v>20</c:v>
                </c:pt>
                <c:pt idx="132">
                  <c:v>20</c:v>
                </c:pt>
                <c:pt idx="133">
                  <c:v>20</c:v>
                </c:pt>
                <c:pt idx="134">
                  <c:v>20</c:v>
                </c:pt>
                <c:pt idx="135">
                  <c:v>20</c:v>
                </c:pt>
                <c:pt idx="136">
                  <c:v>20</c:v>
                </c:pt>
                <c:pt idx="137">
                  <c:v>21</c:v>
                </c:pt>
                <c:pt idx="138">
                  <c:v>21</c:v>
                </c:pt>
                <c:pt idx="139">
                  <c:v>21</c:v>
                </c:pt>
                <c:pt idx="140">
                  <c:v>21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  <c:pt idx="144">
                  <c:v>21</c:v>
                </c:pt>
                <c:pt idx="145">
                  <c:v>21</c:v>
                </c:pt>
                <c:pt idx="146">
                  <c:v>21</c:v>
                </c:pt>
                <c:pt idx="147">
                  <c:v>21</c:v>
                </c:pt>
                <c:pt idx="148">
                  <c:v>21</c:v>
                </c:pt>
                <c:pt idx="149">
                  <c:v>21</c:v>
                </c:pt>
                <c:pt idx="150">
                  <c:v>21</c:v>
                </c:pt>
                <c:pt idx="151">
                  <c:v>21</c:v>
                </c:pt>
                <c:pt idx="152">
                  <c:v>21</c:v>
                </c:pt>
                <c:pt idx="153">
                  <c:v>21</c:v>
                </c:pt>
                <c:pt idx="154">
                  <c:v>23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26</c:v>
                </c:pt>
                <c:pt idx="160">
                  <c:v>26</c:v>
                </c:pt>
                <c:pt idx="161">
                  <c:v>26</c:v>
                </c:pt>
                <c:pt idx="162">
                  <c:v>26</c:v>
                </c:pt>
                <c:pt idx="163">
                  <c:v>26</c:v>
                </c:pt>
                <c:pt idx="164">
                  <c:v>26</c:v>
                </c:pt>
                <c:pt idx="165">
                  <c:v>26</c:v>
                </c:pt>
                <c:pt idx="166">
                  <c:v>26</c:v>
                </c:pt>
                <c:pt idx="167">
                  <c:v>26</c:v>
                </c:pt>
                <c:pt idx="168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69-45C4-B0D2-EA024AC8D742}"/>
            </c:ext>
          </c:extLst>
        </c:ser>
        <c:ser>
          <c:idx val="4"/>
          <c:order val="4"/>
          <c:tx>
            <c:strRef>
              <c:f>Dominance!$F$3:$F$4</c:f>
              <c:strCache>
                <c:ptCount val="1"/>
                <c:pt idx="0">
                  <c:v>Dale</c:v>
                </c:pt>
              </c:strCache>
            </c:strRef>
          </c:tx>
          <c:spPr>
            <a:ln w="50800" cap="rnd">
              <a:solidFill>
                <a:srgbClr val="156082">
                  <a:lumMod val="60000"/>
                  <a:lumOff val="4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Dominance!$F$5:$F$175</c:f>
              <c:numCache>
                <c:formatCode>General</c:formatCode>
                <c:ptCount val="170"/>
                <c:pt idx="0">
                  <c:v>17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26</c:v>
                </c:pt>
                <c:pt idx="5">
                  <c:v>26</c:v>
                </c:pt>
                <c:pt idx="6">
                  <c:v>26</c:v>
                </c:pt>
                <c:pt idx="7">
                  <c:v>31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34</c:v>
                </c:pt>
                <c:pt idx="12">
                  <c:v>33</c:v>
                </c:pt>
                <c:pt idx="13">
                  <c:v>33</c:v>
                </c:pt>
                <c:pt idx="14">
                  <c:v>37</c:v>
                </c:pt>
                <c:pt idx="15">
                  <c:v>38</c:v>
                </c:pt>
                <c:pt idx="16">
                  <c:v>38</c:v>
                </c:pt>
                <c:pt idx="17">
                  <c:v>43</c:v>
                </c:pt>
                <c:pt idx="18">
                  <c:v>43</c:v>
                </c:pt>
                <c:pt idx="19">
                  <c:v>43</c:v>
                </c:pt>
                <c:pt idx="20">
                  <c:v>63</c:v>
                </c:pt>
                <c:pt idx="21">
                  <c:v>63</c:v>
                </c:pt>
                <c:pt idx="22">
                  <c:v>62</c:v>
                </c:pt>
                <c:pt idx="23">
                  <c:v>61</c:v>
                </c:pt>
                <c:pt idx="24">
                  <c:v>66</c:v>
                </c:pt>
                <c:pt idx="25">
                  <c:v>66</c:v>
                </c:pt>
                <c:pt idx="26">
                  <c:v>64</c:v>
                </c:pt>
                <c:pt idx="27">
                  <c:v>69</c:v>
                </c:pt>
                <c:pt idx="28">
                  <c:v>70</c:v>
                </c:pt>
                <c:pt idx="29">
                  <c:v>67</c:v>
                </c:pt>
                <c:pt idx="30">
                  <c:v>83</c:v>
                </c:pt>
                <c:pt idx="31">
                  <c:v>89</c:v>
                </c:pt>
                <c:pt idx="32">
                  <c:v>89</c:v>
                </c:pt>
                <c:pt idx="33">
                  <c:v>87</c:v>
                </c:pt>
                <c:pt idx="34">
                  <c:v>87</c:v>
                </c:pt>
                <c:pt idx="35">
                  <c:v>92</c:v>
                </c:pt>
                <c:pt idx="36">
                  <c:v>92</c:v>
                </c:pt>
                <c:pt idx="37">
                  <c:v>91</c:v>
                </c:pt>
                <c:pt idx="38">
                  <c:v>95</c:v>
                </c:pt>
                <c:pt idx="39">
                  <c:v>95</c:v>
                </c:pt>
                <c:pt idx="40">
                  <c:v>95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105</c:v>
                </c:pt>
                <c:pt idx="45">
                  <c:v>105</c:v>
                </c:pt>
                <c:pt idx="46">
                  <c:v>105</c:v>
                </c:pt>
                <c:pt idx="47">
                  <c:v>105</c:v>
                </c:pt>
                <c:pt idx="48">
                  <c:v>110</c:v>
                </c:pt>
                <c:pt idx="49">
                  <c:v>110</c:v>
                </c:pt>
                <c:pt idx="50">
                  <c:v>110</c:v>
                </c:pt>
                <c:pt idx="51">
                  <c:v>110</c:v>
                </c:pt>
                <c:pt idx="52">
                  <c:v>115</c:v>
                </c:pt>
                <c:pt idx="53">
                  <c:v>115</c:v>
                </c:pt>
                <c:pt idx="54">
                  <c:v>115</c:v>
                </c:pt>
                <c:pt idx="55">
                  <c:v>115</c:v>
                </c:pt>
                <c:pt idx="56">
                  <c:v>140</c:v>
                </c:pt>
                <c:pt idx="57">
                  <c:v>140</c:v>
                </c:pt>
                <c:pt idx="58">
                  <c:v>160</c:v>
                </c:pt>
                <c:pt idx="59">
                  <c:v>160</c:v>
                </c:pt>
                <c:pt idx="60">
                  <c:v>165</c:v>
                </c:pt>
                <c:pt idx="61">
                  <c:v>166</c:v>
                </c:pt>
                <c:pt idx="62">
                  <c:v>166</c:v>
                </c:pt>
                <c:pt idx="63">
                  <c:v>166</c:v>
                </c:pt>
                <c:pt idx="64">
                  <c:v>170</c:v>
                </c:pt>
                <c:pt idx="65">
                  <c:v>170</c:v>
                </c:pt>
                <c:pt idx="66">
                  <c:v>170</c:v>
                </c:pt>
                <c:pt idx="67">
                  <c:v>170</c:v>
                </c:pt>
                <c:pt idx="68">
                  <c:v>174</c:v>
                </c:pt>
                <c:pt idx="69">
                  <c:v>174</c:v>
                </c:pt>
                <c:pt idx="70">
                  <c:v>175</c:v>
                </c:pt>
                <c:pt idx="71">
                  <c:v>175</c:v>
                </c:pt>
                <c:pt idx="72">
                  <c:v>180</c:v>
                </c:pt>
                <c:pt idx="73">
                  <c:v>177</c:v>
                </c:pt>
                <c:pt idx="74">
                  <c:v>177</c:v>
                </c:pt>
                <c:pt idx="75">
                  <c:v>178</c:v>
                </c:pt>
                <c:pt idx="76">
                  <c:v>177</c:v>
                </c:pt>
                <c:pt idx="77">
                  <c:v>181</c:v>
                </c:pt>
                <c:pt idx="78">
                  <c:v>181</c:v>
                </c:pt>
                <c:pt idx="79">
                  <c:v>181</c:v>
                </c:pt>
                <c:pt idx="80">
                  <c:v>181</c:v>
                </c:pt>
                <c:pt idx="81">
                  <c:v>181</c:v>
                </c:pt>
                <c:pt idx="82">
                  <c:v>186</c:v>
                </c:pt>
                <c:pt idx="83">
                  <c:v>186</c:v>
                </c:pt>
                <c:pt idx="84">
                  <c:v>186</c:v>
                </c:pt>
                <c:pt idx="85">
                  <c:v>186</c:v>
                </c:pt>
                <c:pt idx="86">
                  <c:v>191</c:v>
                </c:pt>
                <c:pt idx="87">
                  <c:v>191</c:v>
                </c:pt>
                <c:pt idx="88">
                  <c:v>191</c:v>
                </c:pt>
                <c:pt idx="89">
                  <c:v>191</c:v>
                </c:pt>
                <c:pt idx="91">
                  <c:v>195</c:v>
                </c:pt>
                <c:pt idx="92">
                  <c:v>195</c:v>
                </c:pt>
                <c:pt idx="93">
                  <c:v>195</c:v>
                </c:pt>
                <c:pt idx="94">
                  <c:v>195</c:v>
                </c:pt>
                <c:pt idx="95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69-45C4-B0D2-EA024AC8D742}"/>
            </c:ext>
          </c:extLst>
        </c:ser>
        <c:ser>
          <c:idx val="5"/>
          <c:order val="5"/>
          <c:tx>
            <c:strRef>
              <c:f>Dominance!$G$3:$G$4</c:f>
              <c:strCache>
                <c:ptCount val="1"/>
                <c:pt idx="0">
                  <c:v>Dol Guldur</c:v>
                </c:pt>
              </c:strCache>
            </c:strRef>
          </c:tx>
          <c:spPr>
            <a:ln w="28575" cap="rnd">
              <a:solidFill>
                <a:srgbClr val="4EA72E">
                  <a:lumMod val="75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Dominance!$G$5:$G$175</c:f>
              <c:numCache>
                <c:formatCode>General</c:formatCode>
                <c:ptCount val="17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  <c:pt idx="7">
                  <c:v>19</c:v>
                </c:pt>
                <c:pt idx="8">
                  <c:v>20</c:v>
                </c:pt>
                <c:pt idx="9">
                  <c:v>24</c:v>
                </c:pt>
                <c:pt idx="10">
                  <c:v>29</c:v>
                </c:pt>
                <c:pt idx="11">
                  <c:v>29</c:v>
                </c:pt>
                <c:pt idx="12">
                  <c:v>33</c:v>
                </c:pt>
                <c:pt idx="13">
                  <c:v>38</c:v>
                </c:pt>
                <c:pt idx="14">
                  <c:v>38</c:v>
                </c:pt>
                <c:pt idx="15">
                  <c:v>38</c:v>
                </c:pt>
                <c:pt idx="16">
                  <c:v>58</c:v>
                </c:pt>
                <c:pt idx="17">
                  <c:v>58</c:v>
                </c:pt>
                <c:pt idx="18">
                  <c:v>60</c:v>
                </c:pt>
                <c:pt idx="19">
                  <c:v>62</c:v>
                </c:pt>
                <c:pt idx="20">
                  <c:v>69</c:v>
                </c:pt>
                <c:pt idx="21">
                  <c:v>69</c:v>
                </c:pt>
                <c:pt idx="22">
                  <c:v>69</c:v>
                </c:pt>
                <c:pt idx="23">
                  <c:v>69</c:v>
                </c:pt>
                <c:pt idx="24">
                  <c:v>84</c:v>
                </c:pt>
                <c:pt idx="25">
                  <c:v>84</c:v>
                </c:pt>
                <c:pt idx="26">
                  <c:v>84</c:v>
                </c:pt>
                <c:pt idx="27">
                  <c:v>84</c:v>
                </c:pt>
                <c:pt idx="28">
                  <c:v>89</c:v>
                </c:pt>
                <c:pt idx="29">
                  <c:v>90</c:v>
                </c:pt>
                <c:pt idx="30">
                  <c:v>90</c:v>
                </c:pt>
                <c:pt idx="31">
                  <c:v>95</c:v>
                </c:pt>
                <c:pt idx="32">
                  <c:v>95</c:v>
                </c:pt>
                <c:pt idx="33">
                  <c:v>114</c:v>
                </c:pt>
                <c:pt idx="34">
                  <c:v>119</c:v>
                </c:pt>
                <c:pt idx="35">
                  <c:v>119</c:v>
                </c:pt>
                <c:pt idx="36">
                  <c:v>120</c:v>
                </c:pt>
                <c:pt idx="37">
                  <c:v>129</c:v>
                </c:pt>
                <c:pt idx="38">
                  <c:v>129</c:v>
                </c:pt>
                <c:pt idx="39">
                  <c:v>130</c:v>
                </c:pt>
                <c:pt idx="40">
                  <c:v>135</c:v>
                </c:pt>
                <c:pt idx="41">
                  <c:v>135</c:v>
                </c:pt>
                <c:pt idx="42">
                  <c:v>135</c:v>
                </c:pt>
                <c:pt idx="43">
                  <c:v>135</c:v>
                </c:pt>
                <c:pt idx="44">
                  <c:v>140</c:v>
                </c:pt>
                <c:pt idx="45">
                  <c:v>144</c:v>
                </c:pt>
                <c:pt idx="46">
                  <c:v>144</c:v>
                </c:pt>
                <c:pt idx="47">
                  <c:v>144</c:v>
                </c:pt>
                <c:pt idx="48">
                  <c:v>149</c:v>
                </c:pt>
                <c:pt idx="49">
                  <c:v>149</c:v>
                </c:pt>
                <c:pt idx="50">
                  <c:v>148</c:v>
                </c:pt>
                <c:pt idx="51">
                  <c:v>148</c:v>
                </c:pt>
                <c:pt idx="52">
                  <c:v>153</c:v>
                </c:pt>
                <c:pt idx="53">
                  <c:v>153</c:v>
                </c:pt>
                <c:pt idx="54">
                  <c:v>153</c:v>
                </c:pt>
                <c:pt idx="55">
                  <c:v>158</c:v>
                </c:pt>
                <c:pt idx="56">
                  <c:v>158</c:v>
                </c:pt>
                <c:pt idx="57">
                  <c:v>159</c:v>
                </c:pt>
                <c:pt idx="58">
                  <c:v>159</c:v>
                </c:pt>
                <c:pt idx="59">
                  <c:v>164</c:v>
                </c:pt>
                <c:pt idx="60">
                  <c:v>164</c:v>
                </c:pt>
                <c:pt idx="61">
                  <c:v>184</c:v>
                </c:pt>
                <c:pt idx="62">
                  <c:v>193</c:v>
                </c:pt>
                <c:pt idx="63">
                  <c:v>193</c:v>
                </c:pt>
                <c:pt idx="64">
                  <c:v>193</c:v>
                </c:pt>
                <c:pt idx="65">
                  <c:v>198</c:v>
                </c:pt>
                <c:pt idx="66">
                  <c:v>198</c:v>
                </c:pt>
                <c:pt idx="67">
                  <c:v>198</c:v>
                </c:pt>
                <c:pt idx="68">
                  <c:v>198</c:v>
                </c:pt>
                <c:pt idx="69">
                  <c:v>203</c:v>
                </c:pt>
                <c:pt idx="70">
                  <c:v>203</c:v>
                </c:pt>
                <c:pt idx="71">
                  <c:v>203</c:v>
                </c:pt>
                <c:pt idx="72">
                  <c:v>203</c:v>
                </c:pt>
                <c:pt idx="73">
                  <c:v>208</c:v>
                </c:pt>
                <c:pt idx="74">
                  <c:v>208</c:v>
                </c:pt>
                <c:pt idx="75">
                  <c:v>208</c:v>
                </c:pt>
                <c:pt idx="76">
                  <c:v>208</c:v>
                </c:pt>
                <c:pt idx="77">
                  <c:v>213</c:v>
                </c:pt>
                <c:pt idx="78">
                  <c:v>213</c:v>
                </c:pt>
                <c:pt idx="79">
                  <c:v>214</c:v>
                </c:pt>
                <c:pt idx="80">
                  <c:v>223</c:v>
                </c:pt>
                <c:pt idx="81">
                  <c:v>252</c:v>
                </c:pt>
                <c:pt idx="82">
                  <c:v>252</c:v>
                </c:pt>
                <c:pt idx="83">
                  <c:v>252</c:v>
                </c:pt>
                <c:pt idx="84">
                  <c:v>263</c:v>
                </c:pt>
                <c:pt idx="85">
                  <c:v>264</c:v>
                </c:pt>
                <c:pt idx="86">
                  <c:v>264</c:v>
                </c:pt>
                <c:pt idx="87">
                  <c:v>271</c:v>
                </c:pt>
                <c:pt idx="88">
                  <c:v>284</c:v>
                </c:pt>
                <c:pt idx="89">
                  <c:v>292</c:v>
                </c:pt>
                <c:pt idx="90">
                  <c:v>298</c:v>
                </c:pt>
                <c:pt idx="91">
                  <c:v>300</c:v>
                </c:pt>
                <c:pt idx="92">
                  <c:v>322</c:v>
                </c:pt>
                <c:pt idx="93">
                  <c:v>338</c:v>
                </c:pt>
                <c:pt idx="94">
                  <c:v>338</c:v>
                </c:pt>
                <c:pt idx="95">
                  <c:v>354</c:v>
                </c:pt>
                <c:pt idx="96">
                  <c:v>390</c:v>
                </c:pt>
                <c:pt idx="97">
                  <c:v>390</c:v>
                </c:pt>
                <c:pt idx="98">
                  <c:v>395</c:v>
                </c:pt>
                <c:pt idx="99">
                  <c:v>395</c:v>
                </c:pt>
                <c:pt idx="100">
                  <c:v>395</c:v>
                </c:pt>
                <c:pt idx="101">
                  <c:v>412</c:v>
                </c:pt>
                <c:pt idx="102">
                  <c:v>412</c:v>
                </c:pt>
                <c:pt idx="103">
                  <c:v>412</c:v>
                </c:pt>
                <c:pt idx="104">
                  <c:v>441</c:v>
                </c:pt>
                <c:pt idx="105">
                  <c:v>446</c:v>
                </c:pt>
                <c:pt idx="106">
                  <c:v>446</c:v>
                </c:pt>
                <c:pt idx="107">
                  <c:v>454</c:v>
                </c:pt>
                <c:pt idx="108">
                  <c:v>454</c:v>
                </c:pt>
                <c:pt idx="109">
                  <c:v>454</c:v>
                </c:pt>
                <c:pt idx="110">
                  <c:v>459</c:v>
                </c:pt>
                <c:pt idx="111">
                  <c:v>464</c:v>
                </c:pt>
                <c:pt idx="112">
                  <c:v>464</c:v>
                </c:pt>
                <c:pt idx="113">
                  <c:v>464</c:v>
                </c:pt>
                <c:pt idx="114">
                  <c:v>466</c:v>
                </c:pt>
                <c:pt idx="115">
                  <c:v>471</c:v>
                </c:pt>
                <c:pt idx="116">
                  <c:v>472</c:v>
                </c:pt>
                <c:pt idx="117">
                  <c:v>470</c:v>
                </c:pt>
                <c:pt idx="118">
                  <c:v>470</c:v>
                </c:pt>
                <c:pt idx="119">
                  <c:v>477</c:v>
                </c:pt>
                <c:pt idx="120">
                  <c:v>478</c:v>
                </c:pt>
                <c:pt idx="121">
                  <c:v>486</c:v>
                </c:pt>
                <c:pt idx="122">
                  <c:v>486</c:v>
                </c:pt>
                <c:pt idx="123">
                  <c:v>515</c:v>
                </c:pt>
                <c:pt idx="124">
                  <c:v>515</c:v>
                </c:pt>
                <c:pt idx="125">
                  <c:v>515</c:v>
                </c:pt>
                <c:pt idx="126">
                  <c:v>515</c:v>
                </c:pt>
                <c:pt idx="127">
                  <c:v>520</c:v>
                </c:pt>
                <c:pt idx="128">
                  <c:v>521</c:v>
                </c:pt>
                <c:pt idx="129">
                  <c:v>523</c:v>
                </c:pt>
                <c:pt idx="130">
                  <c:v>523</c:v>
                </c:pt>
                <c:pt idx="131">
                  <c:v>528</c:v>
                </c:pt>
                <c:pt idx="132">
                  <c:v>528</c:v>
                </c:pt>
                <c:pt idx="133">
                  <c:v>528</c:v>
                </c:pt>
                <c:pt idx="134">
                  <c:v>530</c:v>
                </c:pt>
                <c:pt idx="135">
                  <c:v>535</c:v>
                </c:pt>
                <c:pt idx="136">
                  <c:v>535</c:v>
                </c:pt>
                <c:pt idx="137">
                  <c:v>536</c:v>
                </c:pt>
                <c:pt idx="138">
                  <c:v>538</c:v>
                </c:pt>
                <c:pt idx="139">
                  <c:v>538</c:v>
                </c:pt>
                <c:pt idx="140">
                  <c:v>538</c:v>
                </c:pt>
                <c:pt idx="141">
                  <c:v>543</c:v>
                </c:pt>
                <c:pt idx="142">
                  <c:v>543</c:v>
                </c:pt>
                <c:pt idx="143">
                  <c:v>543</c:v>
                </c:pt>
                <c:pt idx="144">
                  <c:v>548</c:v>
                </c:pt>
                <c:pt idx="145">
                  <c:v>565</c:v>
                </c:pt>
                <c:pt idx="146">
                  <c:v>573</c:v>
                </c:pt>
                <c:pt idx="147">
                  <c:v>573</c:v>
                </c:pt>
                <c:pt idx="148">
                  <c:v>573</c:v>
                </c:pt>
                <c:pt idx="149">
                  <c:v>573</c:v>
                </c:pt>
                <c:pt idx="150">
                  <c:v>573</c:v>
                </c:pt>
                <c:pt idx="151">
                  <c:v>573</c:v>
                </c:pt>
                <c:pt idx="152">
                  <c:v>573</c:v>
                </c:pt>
                <c:pt idx="153">
                  <c:v>573</c:v>
                </c:pt>
                <c:pt idx="154">
                  <c:v>573</c:v>
                </c:pt>
                <c:pt idx="155">
                  <c:v>573</c:v>
                </c:pt>
                <c:pt idx="156">
                  <c:v>597</c:v>
                </c:pt>
                <c:pt idx="157">
                  <c:v>621</c:v>
                </c:pt>
                <c:pt idx="158">
                  <c:v>621</c:v>
                </c:pt>
                <c:pt idx="159">
                  <c:v>621</c:v>
                </c:pt>
                <c:pt idx="160">
                  <c:v>621</c:v>
                </c:pt>
                <c:pt idx="161">
                  <c:v>621</c:v>
                </c:pt>
                <c:pt idx="162">
                  <c:v>621</c:v>
                </c:pt>
                <c:pt idx="163">
                  <c:v>621</c:v>
                </c:pt>
                <c:pt idx="164">
                  <c:v>629</c:v>
                </c:pt>
                <c:pt idx="165">
                  <c:v>629</c:v>
                </c:pt>
                <c:pt idx="166">
                  <c:v>629</c:v>
                </c:pt>
                <c:pt idx="167">
                  <c:v>629</c:v>
                </c:pt>
                <c:pt idx="168">
                  <c:v>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469-45C4-B0D2-EA024AC8D742}"/>
            </c:ext>
          </c:extLst>
        </c:ser>
        <c:ser>
          <c:idx val="6"/>
          <c:order val="6"/>
          <c:tx>
            <c:strRef>
              <c:f>Dominance!$H$3:$H$4</c:f>
              <c:strCache>
                <c:ptCount val="1"/>
                <c:pt idx="0">
                  <c:v>Druedain</c:v>
                </c:pt>
              </c:strCache>
            </c:strRef>
          </c:tx>
          <c:spPr>
            <a:ln w="28575" cap="rnd">
              <a:solidFill>
                <a:srgbClr val="FFCCCC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Dominance!$H$5:$H$175</c:f>
              <c:numCache>
                <c:formatCode>General</c:formatCode>
                <c:ptCount val="17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6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6</c:v>
                </c:pt>
                <c:pt idx="41">
                  <c:v>6</c:v>
                </c:pt>
                <c:pt idx="42">
                  <c:v>6</c:v>
                </c:pt>
                <c:pt idx="43">
                  <c:v>6</c:v>
                </c:pt>
                <c:pt idx="44">
                  <c:v>6</c:v>
                </c:pt>
                <c:pt idx="45">
                  <c:v>4</c:v>
                </c:pt>
                <c:pt idx="46">
                  <c:v>4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469-45C4-B0D2-EA024AC8D742}"/>
            </c:ext>
          </c:extLst>
        </c:ser>
        <c:ser>
          <c:idx val="7"/>
          <c:order val="7"/>
          <c:tx>
            <c:strRef>
              <c:f>Dominance!$I$3:$I$4</c:f>
              <c:strCache>
                <c:ptCount val="1"/>
                <c:pt idx="0">
                  <c:v>Dunlendings</c:v>
                </c:pt>
              </c:strCache>
            </c:strRef>
          </c:tx>
          <c:spPr>
            <a:ln w="28575" cap="rnd">
              <a:solidFill>
                <a:srgbClr val="993300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Dominance!$I$5:$I$175</c:f>
              <c:numCache>
                <c:formatCode>General</c:formatCode>
                <c:ptCount val="170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17</c:v>
                </c:pt>
                <c:pt idx="8">
                  <c:v>17</c:v>
                </c:pt>
                <c:pt idx="9">
                  <c:v>17</c:v>
                </c:pt>
                <c:pt idx="10">
                  <c:v>23</c:v>
                </c:pt>
                <c:pt idx="11">
                  <c:v>27</c:v>
                </c:pt>
                <c:pt idx="12">
                  <c:v>27</c:v>
                </c:pt>
                <c:pt idx="13">
                  <c:v>32</c:v>
                </c:pt>
                <c:pt idx="14">
                  <c:v>32</c:v>
                </c:pt>
                <c:pt idx="15">
                  <c:v>32</c:v>
                </c:pt>
                <c:pt idx="16">
                  <c:v>39</c:v>
                </c:pt>
                <c:pt idx="17">
                  <c:v>39</c:v>
                </c:pt>
                <c:pt idx="18">
                  <c:v>39</c:v>
                </c:pt>
                <c:pt idx="19">
                  <c:v>44</c:v>
                </c:pt>
                <c:pt idx="20">
                  <c:v>43</c:v>
                </c:pt>
                <c:pt idx="21">
                  <c:v>44</c:v>
                </c:pt>
                <c:pt idx="22">
                  <c:v>49</c:v>
                </c:pt>
                <c:pt idx="23">
                  <c:v>49</c:v>
                </c:pt>
                <c:pt idx="24">
                  <c:v>49</c:v>
                </c:pt>
                <c:pt idx="25">
                  <c:v>54</c:v>
                </c:pt>
                <c:pt idx="26">
                  <c:v>53</c:v>
                </c:pt>
                <c:pt idx="27">
                  <c:v>53</c:v>
                </c:pt>
                <c:pt idx="28">
                  <c:v>58</c:v>
                </c:pt>
                <c:pt idx="29">
                  <c:v>58</c:v>
                </c:pt>
                <c:pt idx="30">
                  <c:v>58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71</c:v>
                </c:pt>
                <c:pt idx="35">
                  <c:v>71</c:v>
                </c:pt>
                <c:pt idx="36">
                  <c:v>76</c:v>
                </c:pt>
                <c:pt idx="37">
                  <c:v>76</c:v>
                </c:pt>
                <c:pt idx="38">
                  <c:v>85</c:v>
                </c:pt>
                <c:pt idx="39">
                  <c:v>85</c:v>
                </c:pt>
                <c:pt idx="40">
                  <c:v>89</c:v>
                </c:pt>
                <c:pt idx="41">
                  <c:v>89</c:v>
                </c:pt>
                <c:pt idx="42">
                  <c:v>94</c:v>
                </c:pt>
                <c:pt idx="43">
                  <c:v>94</c:v>
                </c:pt>
                <c:pt idx="44">
                  <c:v>94</c:v>
                </c:pt>
                <c:pt idx="45">
                  <c:v>96</c:v>
                </c:pt>
                <c:pt idx="46">
                  <c:v>101</c:v>
                </c:pt>
                <c:pt idx="47">
                  <c:v>103</c:v>
                </c:pt>
                <c:pt idx="48">
                  <c:v>103</c:v>
                </c:pt>
                <c:pt idx="49">
                  <c:v>103</c:v>
                </c:pt>
                <c:pt idx="50">
                  <c:v>108</c:v>
                </c:pt>
                <c:pt idx="51">
                  <c:v>108</c:v>
                </c:pt>
                <c:pt idx="52">
                  <c:v>108</c:v>
                </c:pt>
                <c:pt idx="53">
                  <c:v>108</c:v>
                </c:pt>
                <c:pt idx="54">
                  <c:v>113</c:v>
                </c:pt>
                <c:pt idx="55">
                  <c:v>117</c:v>
                </c:pt>
                <c:pt idx="56">
                  <c:v>117</c:v>
                </c:pt>
                <c:pt idx="57">
                  <c:v>119</c:v>
                </c:pt>
                <c:pt idx="58">
                  <c:v>124</c:v>
                </c:pt>
                <c:pt idx="59">
                  <c:v>124</c:v>
                </c:pt>
                <c:pt idx="60">
                  <c:v>128</c:v>
                </c:pt>
                <c:pt idx="61">
                  <c:v>132</c:v>
                </c:pt>
                <c:pt idx="62">
                  <c:v>137</c:v>
                </c:pt>
                <c:pt idx="63">
                  <c:v>137</c:v>
                </c:pt>
                <c:pt idx="64">
                  <c:v>138</c:v>
                </c:pt>
                <c:pt idx="65">
                  <c:v>138</c:v>
                </c:pt>
                <c:pt idx="66">
                  <c:v>143</c:v>
                </c:pt>
                <c:pt idx="67">
                  <c:v>143</c:v>
                </c:pt>
                <c:pt idx="68">
                  <c:v>143</c:v>
                </c:pt>
                <c:pt idx="69">
                  <c:v>143</c:v>
                </c:pt>
                <c:pt idx="70">
                  <c:v>143</c:v>
                </c:pt>
                <c:pt idx="71">
                  <c:v>148</c:v>
                </c:pt>
                <c:pt idx="72">
                  <c:v>148</c:v>
                </c:pt>
                <c:pt idx="73">
                  <c:v>148</c:v>
                </c:pt>
                <c:pt idx="74">
                  <c:v>148</c:v>
                </c:pt>
                <c:pt idx="75">
                  <c:v>148</c:v>
                </c:pt>
                <c:pt idx="76">
                  <c:v>153</c:v>
                </c:pt>
                <c:pt idx="77">
                  <c:v>153</c:v>
                </c:pt>
                <c:pt idx="78">
                  <c:v>153</c:v>
                </c:pt>
                <c:pt idx="79">
                  <c:v>153</c:v>
                </c:pt>
                <c:pt idx="80">
                  <c:v>153</c:v>
                </c:pt>
                <c:pt idx="81">
                  <c:v>158</c:v>
                </c:pt>
                <c:pt idx="82">
                  <c:v>158</c:v>
                </c:pt>
                <c:pt idx="83">
                  <c:v>158</c:v>
                </c:pt>
                <c:pt idx="84">
                  <c:v>163</c:v>
                </c:pt>
                <c:pt idx="85">
                  <c:v>163</c:v>
                </c:pt>
                <c:pt idx="86">
                  <c:v>163</c:v>
                </c:pt>
                <c:pt idx="87">
                  <c:v>163</c:v>
                </c:pt>
                <c:pt idx="88">
                  <c:v>168</c:v>
                </c:pt>
                <c:pt idx="89">
                  <c:v>168</c:v>
                </c:pt>
                <c:pt idx="90">
                  <c:v>168</c:v>
                </c:pt>
                <c:pt idx="91">
                  <c:v>168</c:v>
                </c:pt>
                <c:pt idx="92">
                  <c:v>173</c:v>
                </c:pt>
                <c:pt idx="93">
                  <c:v>173</c:v>
                </c:pt>
                <c:pt idx="94">
                  <c:v>173</c:v>
                </c:pt>
                <c:pt idx="95">
                  <c:v>181</c:v>
                </c:pt>
                <c:pt idx="96">
                  <c:v>253</c:v>
                </c:pt>
                <c:pt idx="97">
                  <c:v>274</c:v>
                </c:pt>
                <c:pt idx="98">
                  <c:v>274</c:v>
                </c:pt>
                <c:pt idx="99">
                  <c:v>274</c:v>
                </c:pt>
                <c:pt idx="100">
                  <c:v>274</c:v>
                </c:pt>
                <c:pt idx="101">
                  <c:v>274</c:v>
                </c:pt>
                <c:pt idx="102">
                  <c:v>279</c:v>
                </c:pt>
                <c:pt idx="103">
                  <c:v>279</c:v>
                </c:pt>
                <c:pt idx="104">
                  <c:v>279</c:v>
                </c:pt>
                <c:pt idx="105">
                  <c:v>279</c:v>
                </c:pt>
                <c:pt idx="106">
                  <c:v>279</c:v>
                </c:pt>
                <c:pt idx="107">
                  <c:v>284</c:v>
                </c:pt>
                <c:pt idx="108">
                  <c:v>284</c:v>
                </c:pt>
                <c:pt idx="109">
                  <c:v>284</c:v>
                </c:pt>
                <c:pt idx="110">
                  <c:v>284</c:v>
                </c:pt>
                <c:pt idx="111">
                  <c:v>284</c:v>
                </c:pt>
                <c:pt idx="112">
                  <c:v>289</c:v>
                </c:pt>
                <c:pt idx="113">
                  <c:v>289</c:v>
                </c:pt>
                <c:pt idx="114">
                  <c:v>297</c:v>
                </c:pt>
                <c:pt idx="115">
                  <c:v>296</c:v>
                </c:pt>
                <c:pt idx="116">
                  <c:v>296</c:v>
                </c:pt>
                <c:pt idx="117">
                  <c:v>301</c:v>
                </c:pt>
                <c:pt idx="118">
                  <c:v>301</c:v>
                </c:pt>
                <c:pt idx="119">
                  <c:v>301</c:v>
                </c:pt>
                <c:pt idx="120">
                  <c:v>301</c:v>
                </c:pt>
                <c:pt idx="121">
                  <c:v>301</c:v>
                </c:pt>
                <c:pt idx="122">
                  <c:v>306</c:v>
                </c:pt>
                <c:pt idx="123">
                  <c:v>306</c:v>
                </c:pt>
                <c:pt idx="124">
                  <c:v>306</c:v>
                </c:pt>
                <c:pt idx="125">
                  <c:v>306</c:v>
                </c:pt>
                <c:pt idx="126">
                  <c:v>307</c:v>
                </c:pt>
                <c:pt idx="127">
                  <c:v>309</c:v>
                </c:pt>
                <c:pt idx="128">
                  <c:v>314</c:v>
                </c:pt>
                <c:pt idx="129">
                  <c:v>314</c:v>
                </c:pt>
                <c:pt idx="130">
                  <c:v>314</c:v>
                </c:pt>
                <c:pt idx="131">
                  <c:v>314</c:v>
                </c:pt>
                <c:pt idx="132">
                  <c:v>313</c:v>
                </c:pt>
                <c:pt idx="133">
                  <c:v>318</c:v>
                </c:pt>
                <c:pt idx="134">
                  <c:v>318</c:v>
                </c:pt>
                <c:pt idx="135">
                  <c:v>318</c:v>
                </c:pt>
                <c:pt idx="136">
                  <c:v>318</c:v>
                </c:pt>
                <c:pt idx="137">
                  <c:v>318</c:v>
                </c:pt>
                <c:pt idx="138">
                  <c:v>324</c:v>
                </c:pt>
                <c:pt idx="139">
                  <c:v>348</c:v>
                </c:pt>
                <c:pt idx="140">
                  <c:v>360</c:v>
                </c:pt>
                <c:pt idx="141">
                  <c:v>370</c:v>
                </c:pt>
                <c:pt idx="142">
                  <c:v>370</c:v>
                </c:pt>
                <c:pt idx="143">
                  <c:v>370</c:v>
                </c:pt>
                <c:pt idx="144">
                  <c:v>375</c:v>
                </c:pt>
                <c:pt idx="145">
                  <c:v>374</c:v>
                </c:pt>
                <c:pt idx="146">
                  <c:v>382</c:v>
                </c:pt>
                <c:pt idx="147">
                  <c:v>390</c:v>
                </c:pt>
                <c:pt idx="148">
                  <c:v>390</c:v>
                </c:pt>
                <c:pt idx="149">
                  <c:v>399</c:v>
                </c:pt>
                <c:pt idx="150">
                  <c:v>401</c:v>
                </c:pt>
                <c:pt idx="151">
                  <c:v>401</c:v>
                </c:pt>
                <c:pt idx="152">
                  <c:v>401</c:v>
                </c:pt>
                <c:pt idx="153">
                  <c:v>413</c:v>
                </c:pt>
                <c:pt idx="154">
                  <c:v>413</c:v>
                </c:pt>
                <c:pt idx="155">
                  <c:v>418</c:v>
                </c:pt>
                <c:pt idx="156">
                  <c:v>423</c:v>
                </c:pt>
                <c:pt idx="157">
                  <c:v>423</c:v>
                </c:pt>
                <c:pt idx="158">
                  <c:v>423</c:v>
                </c:pt>
                <c:pt idx="159">
                  <c:v>423</c:v>
                </c:pt>
                <c:pt idx="160">
                  <c:v>421</c:v>
                </c:pt>
                <c:pt idx="161">
                  <c:v>421</c:v>
                </c:pt>
                <c:pt idx="162">
                  <c:v>421</c:v>
                </c:pt>
                <c:pt idx="163">
                  <c:v>421</c:v>
                </c:pt>
                <c:pt idx="164">
                  <c:v>421</c:v>
                </c:pt>
                <c:pt idx="165">
                  <c:v>420</c:v>
                </c:pt>
                <c:pt idx="166">
                  <c:v>417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69-45C4-B0D2-EA024AC8D742}"/>
            </c:ext>
          </c:extLst>
        </c:ser>
        <c:ser>
          <c:idx val="8"/>
          <c:order val="8"/>
          <c:tx>
            <c:strRef>
              <c:f>Dominance!$J$3:$J$4</c:f>
              <c:strCache>
                <c:ptCount val="1"/>
                <c:pt idx="0">
                  <c:v>Erebor</c:v>
                </c:pt>
              </c:strCache>
            </c:strRef>
          </c:tx>
          <c:spPr>
            <a:ln w="50800" cap="rnd">
              <a:solidFill>
                <a:srgbClr val="A02B93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Dominance!$J$5:$J$175</c:f>
              <c:numCache>
                <c:formatCode>General</c:formatCode>
                <c:ptCount val="1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15</c:v>
                </c:pt>
                <c:pt idx="8">
                  <c:v>19</c:v>
                </c:pt>
                <c:pt idx="9">
                  <c:v>19</c:v>
                </c:pt>
                <c:pt idx="10">
                  <c:v>24</c:v>
                </c:pt>
                <c:pt idx="11">
                  <c:v>24</c:v>
                </c:pt>
                <c:pt idx="12">
                  <c:v>39</c:v>
                </c:pt>
                <c:pt idx="13">
                  <c:v>45</c:v>
                </c:pt>
                <c:pt idx="14">
                  <c:v>45</c:v>
                </c:pt>
                <c:pt idx="15">
                  <c:v>45</c:v>
                </c:pt>
                <c:pt idx="16">
                  <c:v>45</c:v>
                </c:pt>
                <c:pt idx="17">
                  <c:v>50</c:v>
                </c:pt>
                <c:pt idx="18">
                  <c:v>50</c:v>
                </c:pt>
                <c:pt idx="19">
                  <c:v>54</c:v>
                </c:pt>
                <c:pt idx="20">
                  <c:v>69</c:v>
                </c:pt>
                <c:pt idx="21">
                  <c:v>69</c:v>
                </c:pt>
                <c:pt idx="22">
                  <c:v>69</c:v>
                </c:pt>
                <c:pt idx="23">
                  <c:v>74</c:v>
                </c:pt>
                <c:pt idx="24">
                  <c:v>74</c:v>
                </c:pt>
                <c:pt idx="25">
                  <c:v>74</c:v>
                </c:pt>
                <c:pt idx="26">
                  <c:v>74</c:v>
                </c:pt>
                <c:pt idx="27">
                  <c:v>80</c:v>
                </c:pt>
                <c:pt idx="28">
                  <c:v>79</c:v>
                </c:pt>
                <c:pt idx="29">
                  <c:v>79</c:v>
                </c:pt>
                <c:pt idx="30">
                  <c:v>79</c:v>
                </c:pt>
                <c:pt idx="31">
                  <c:v>84</c:v>
                </c:pt>
                <c:pt idx="32">
                  <c:v>84</c:v>
                </c:pt>
                <c:pt idx="33">
                  <c:v>84</c:v>
                </c:pt>
                <c:pt idx="34">
                  <c:v>84</c:v>
                </c:pt>
                <c:pt idx="35">
                  <c:v>89</c:v>
                </c:pt>
                <c:pt idx="36">
                  <c:v>89</c:v>
                </c:pt>
                <c:pt idx="37">
                  <c:v>89</c:v>
                </c:pt>
                <c:pt idx="38">
                  <c:v>94</c:v>
                </c:pt>
                <c:pt idx="39">
                  <c:v>94</c:v>
                </c:pt>
                <c:pt idx="40">
                  <c:v>94</c:v>
                </c:pt>
                <c:pt idx="41">
                  <c:v>99</c:v>
                </c:pt>
                <c:pt idx="42">
                  <c:v>99</c:v>
                </c:pt>
                <c:pt idx="43">
                  <c:v>119</c:v>
                </c:pt>
                <c:pt idx="44">
                  <c:v>124</c:v>
                </c:pt>
                <c:pt idx="45">
                  <c:v>124</c:v>
                </c:pt>
                <c:pt idx="46">
                  <c:v>124</c:v>
                </c:pt>
                <c:pt idx="47">
                  <c:v>133</c:v>
                </c:pt>
                <c:pt idx="48">
                  <c:v>143</c:v>
                </c:pt>
                <c:pt idx="49">
                  <c:v>143</c:v>
                </c:pt>
                <c:pt idx="50">
                  <c:v>143</c:v>
                </c:pt>
                <c:pt idx="51">
                  <c:v>148</c:v>
                </c:pt>
                <c:pt idx="52">
                  <c:v>148</c:v>
                </c:pt>
                <c:pt idx="53">
                  <c:v>148</c:v>
                </c:pt>
                <c:pt idx="54">
                  <c:v>148</c:v>
                </c:pt>
                <c:pt idx="55">
                  <c:v>153</c:v>
                </c:pt>
                <c:pt idx="56">
                  <c:v>153</c:v>
                </c:pt>
                <c:pt idx="57">
                  <c:v>153</c:v>
                </c:pt>
                <c:pt idx="58">
                  <c:v>153</c:v>
                </c:pt>
                <c:pt idx="59">
                  <c:v>166</c:v>
                </c:pt>
                <c:pt idx="60">
                  <c:v>166</c:v>
                </c:pt>
                <c:pt idx="61">
                  <c:v>166</c:v>
                </c:pt>
                <c:pt idx="62">
                  <c:v>166</c:v>
                </c:pt>
                <c:pt idx="63">
                  <c:v>171</c:v>
                </c:pt>
                <c:pt idx="64">
                  <c:v>170</c:v>
                </c:pt>
                <c:pt idx="65">
                  <c:v>170</c:v>
                </c:pt>
                <c:pt idx="66">
                  <c:v>170</c:v>
                </c:pt>
                <c:pt idx="67">
                  <c:v>173</c:v>
                </c:pt>
                <c:pt idx="68">
                  <c:v>193</c:v>
                </c:pt>
                <c:pt idx="69">
                  <c:v>193</c:v>
                </c:pt>
                <c:pt idx="70">
                  <c:v>193</c:v>
                </c:pt>
                <c:pt idx="71">
                  <c:v>198</c:v>
                </c:pt>
                <c:pt idx="72">
                  <c:v>198</c:v>
                </c:pt>
                <c:pt idx="73">
                  <c:v>198</c:v>
                </c:pt>
                <c:pt idx="74">
                  <c:v>198</c:v>
                </c:pt>
                <c:pt idx="75">
                  <c:v>203</c:v>
                </c:pt>
                <c:pt idx="76">
                  <c:v>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469-45C4-B0D2-EA024AC8D742}"/>
            </c:ext>
          </c:extLst>
        </c:ser>
        <c:ser>
          <c:idx val="9"/>
          <c:order val="9"/>
          <c:tx>
            <c:strRef>
              <c:f>Dominance!$K$3:$K$4</c:f>
              <c:strCache>
                <c:ptCount val="1"/>
                <c:pt idx="0">
                  <c:v>Feredrim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Dominance!$K$5:$K$175</c:f>
              <c:numCache>
                <c:formatCode>General</c:formatCode>
                <c:ptCount val="1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8</c:v>
                </c:pt>
                <c:pt idx="16">
                  <c:v>8</c:v>
                </c:pt>
                <c:pt idx="1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469-45C4-B0D2-EA024AC8D742}"/>
            </c:ext>
          </c:extLst>
        </c:ser>
        <c:ser>
          <c:idx val="10"/>
          <c:order val="10"/>
          <c:tx>
            <c:strRef>
              <c:f>Dominance!$L$3:$L$4</c:f>
              <c:strCache>
                <c:ptCount val="1"/>
                <c:pt idx="0">
                  <c:v>Goblins</c:v>
                </c:pt>
              </c:strCache>
            </c:strRef>
          </c:tx>
          <c:spPr>
            <a:ln w="28575" cap="rnd">
              <a:solidFill>
                <a:srgbClr val="E8E8E8">
                  <a:lumMod val="5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Dominance!$L$5:$L$175</c:f>
              <c:numCache>
                <c:formatCode>General</c:formatCode>
                <c:ptCount val="17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26</c:v>
                </c:pt>
                <c:pt idx="12">
                  <c:v>42</c:v>
                </c:pt>
                <c:pt idx="13">
                  <c:v>44</c:v>
                </c:pt>
                <c:pt idx="14">
                  <c:v>49</c:v>
                </c:pt>
                <c:pt idx="15">
                  <c:v>49</c:v>
                </c:pt>
                <c:pt idx="16">
                  <c:v>52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75</c:v>
                </c:pt>
                <c:pt idx="21">
                  <c:v>75</c:v>
                </c:pt>
                <c:pt idx="22">
                  <c:v>75</c:v>
                </c:pt>
                <c:pt idx="23">
                  <c:v>75</c:v>
                </c:pt>
                <c:pt idx="24">
                  <c:v>83</c:v>
                </c:pt>
                <c:pt idx="25">
                  <c:v>87</c:v>
                </c:pt>
                <c:pt idx="26">
                  <c:v>86</c:v>
                </c:pt>
                <c:pt idx="27">
                  <c:v>86</c:v>
                </c:pt>
                <c:pt idx="28">
                  <c:v>91</c:v>
                </c:pt>
                <c:pt idx="29">
                  <c:v>91</c:v>
                </c:pt>
                <c:pt idx="30">
                  <c:v>95</c:v>
                </c:pt>
                <c:pt idx="31">
                  <c:v>105</c:v>
                </c:pt>
                <c:pt idx="32">
                  <c:v>105</c:v>
                </c:pt>
                <c:pt idx="33">
                  <c:v>106</c:v>
                </c:pt>
                <c:pt idx="34">
                  <c:v>112</c:v>
                </c:pt>
                <c:pt idx="35">
                  <c:v>114</c:v>
                </c:pt>
                <c:pt idx="36">
                  <c:v>113</c:v>
                </c:pt>
                <c:pt idx="37">
                  <c:v>133</c:v>
                </c:pt>
                <c:pt idx="38">
                  <c:v>142</c:v>
                </c:pt>
                <c:pt idx="39">
                  <c:v>145</c:v>
                </c:pt>
                <c:pt idx="40">
                  <c:v>165</c:v>
                </c:pt>
                <c:pt idx="41">
                  <c:v>170</c:v>
                </c:pt>
                <c:pt idx="42">
                  <c:v>175</c:v>
                </c:pt>
                <c:pt idx="43">
                  <c:v>175</c:v>
                </c:pt>
                <c:pt idx="44">
                  <c:v>185</c:v>
                </c:pt>
                <c:pt idx="45">
                  <c:v>189</c:v>
                </c:pt>
                <c:pt idx="46">
                  <c:v>189</c:v>
                </c:pt>
                <c:pt idx="47">
                  <c:v>195</c:v>
                </c:pt>
                <c:pt idx="48">
                  <c:v>200</c:v>
                </c:pt>
                <c:pt idx="49">
                  <c:v>210</c:v>
                </c:pt>
                <c:pt idx="50">
                  <c:v>215</c:v>
                </c:pt>
                <c:pt idx="51">
                  <c:v>216</c:v>
                </c:pt>
                <c:pt idx="52">
                  <c:v>216</c:v>
                </c:pt>
                <c:pt idx="53">
                  <c:v>225</c:v>
                </c:pt>
                <c:pt idx="54">
                  <c:v>230</c:v>
                </c:pt>
                <c:pt idx="55">
                  <c:v>240</c:v>
                </c:pt>
                <c:pt idx="56">
                  <c:v>273</c:v>
                </c:pt>
                <c:pt idx="57">
                  <c:v>277</c:v>
                </c:pt>
                <c:pt idx="58">
                  <c:v>277</c:v>
                </c:pt>
                <c:pt idx="59">
                  <c:v>297</c:v>
                </c:pt>
                <c:pt idx="60">
                  <c:v>297</c:v>
                </c:pt>
                <c:pt idx="61">
                  <c:v>301</c:v>
                </c:pt>
                <c:pt idx="62">
                  <c:v>301</c:v>
                </c:pt>
                <c:pt idx="63">
                  <c:v>302</c:v>
                </c:pt>
                <c:pt idx="64">
                  <c:v>310</c:v>
                </c:pt>
                <c:pt idx="65">
                  <c:v>310</c:v>
                </c:pt>
                <c:pt idx="66">
                  <c:v>310</c:v>
                </c:pt>
                <c:pt idx="67">
                  <c:v>314</c:v>
                </c:pt>
                <c:pt idx="68">
                  <c:v>334</c:v>
                </c:pt>
                <c:pt idx="69">
                  <c:v>358</c:v>
                </c:pt>
                <c:pt idx="70">
                  <c:v>358</c:v>
                </c:pt>
                <c:pt idx="71">
                  <c:v>358</c:v>
                </c:pt>
                <c:pt idx="72">
                  <c:v>358</c:v>
                </c:pt>
                <c:pt idx="73">
                  <c:v>363</c:v>
                </c:pt>
                <c:pt idx="74">
                  <c:v>363</c:v>
                </c:pt>
                <c:pt idx="75">
                  <c:v>363</c:v>
                </c:pt>
                <c:pt idx="76">
                  <c:v>363</c:v>
                </c:pt>
                <c:pt idx="77">
                  <c:v>368</c:v>
                </c:pt>
                <c:pt idx="78">
                  <c:v>368</c:v>
                </c:pt>
                <c:pt idx="79">
                  <c:v>368</c:v>
                </c:pt>
                <c:pt idx="80">
                  <c:v>388</c:v>
                </c:pt>
                <c:pt idx="81">
                  <c:v>393</c:v>
                </c:pt>
                <c:pt idx="82">
                  <c:v>393</c:v>
                </c:pt>
                <c:pt idx="83">
                  <c:v>393</c:v>
                </c:pt>
                <c:pt idx="84">
                  <c:v>393</c:v>
                </c:pt>
                <c:pt idx="85">
                  <c:v>398</c:v>
                </c:pt>
                <c:pt idx="86">
                  <c:v>398</c:v>
                </c:pt>
                <c:pt idx="87">
                  <c:v>398</c:v>
                </c:pt>
                <c:pt idx="88">
                  <c:v>398</c:v>
                </c:pt>
                <c:pt idx="89">
                  <c:v>401</c:v>
                </c:pt>
                <c:pt idx="90">
                  <c:v>406</c:v>
                </c:pt>
                <c:pt idx="91">
                  <c:v>406</c:v>
                </c:pt>
                <c:pt idx="92">
                  <c:v>406</c:v>
                </c:pt>
                <c:pt idx="93">
                  <c:v>406</c:v>
                </c:pt>
                <c:pt idx="94">
                  <c:v>411</c:v>
                </c:pt>
                <c:pt idx="95">
                  <c:v>412</c:v>
                </c:pt>
                <c:pt idx="96">
                  <c:v>424</c:v>
                </c:pt>
                <c:pt idx="97">
                  <c:v>445</c:v>
                </c:pt>
                <c:pt idx="98">
                  <c:v>482</c:v>
                </c:pt>
                <c:pt idx="99">
                  <c:v>518</c:v>
                </c:pt>
                <c:pt idx="100">
                  <c:v>550</c:v>
                </c:pt>
                <c:pt idx="101">
                  <c:v>563</c:v>
                </c:pt>
                <c:pt idx="102">
                  <c:v>563</c:v>
                </c:pt>
                <c:pt idx="103">
                  <c:v>571</c:v>
                </c:pt>
                <c:pt idx="104">
                  <c:v>571</c:v>
                </c:pt>
                <c:pt idx="105">
                  <c:v>576</c:v>
                </c:pt>
                <c:pt idx="106">
                  <c:v>576</c:v>
                </c:pt>
                <c:pt idx="107">
                  <c:v>576</c:v>
                </c:pt>
                <c:pt idx="108">
                  <c:v>576</c:v>
                </c:pt>
                <c:pt idx="109">
                  <c:v>576</c:v>
                </c:pt>
                <c:pt idx="110">
                  <c:v>581</c:v>
                </c:pt>
                <c:pt idx="111">
                  <c:v>581</c:v>
                </c:pt>
                <c:pt idx="112">
                  <c:v>581</c:v>
                </c:pt>
                <c:pt idx="113">
                  <c:v>579</c:v>
                </c:pt>
                <c:pt idx="114">
                  <c:v>579</c:v>
                </c:pt>
                <c:pt idx="115">
                  <c:v>582</c:v>
                </c:pt>
                <c:pt idx="116">
                  <c:v>587</c:v>
                </c:pt>
                <c:pt idx="117">
                  <c:v>587</c:v>
                </c:pt>
                <c:pt idx="118">
                  <c:v>587</c:v>
                </c:pt>
                <c:pt idx="119">
                  <c:v>605</c:v>
                </c:pt>
                <c:pt idx="120">
                  <c:v>607</c:v>
                </c:pt>
                <c:pt idx="121">
                  <c:v>610</c:v>
                </c:pt>
                <c:pt idx="122">
                  <c:v>630</c:v>
                </c:pt>
                <c:pt idx="123">
                  <c:v>630</c:v>
                </c:pt>
                <c:pt idx="124">
                  <c:v>635</c:v>
                </c:pt>
                <c:pt idx="125">
                  <c:v>634</c:v>
                </c:pt>
                <c:pt idx="126">
                  <c:v>634</c:v>
                </c:pt>
                <c:pt idx="127">
                  <c:v>633</c:v>
                </c:pt>
                <c:pt idx="128">
                  <c:v>650</c:v>
                </c:pt>
                <c:pt idx="129">
                  <c:v>650</c:v>
                </c:pt>
                <c:pt idx="130">
                  <c:v>674</c:v>
                </c:pt>
                <c:pt idx="131">
                  <c:v>673</c:v>
                </c:pt>
                <c:pt idx="132">
                  <c:v>671</c:v>
                </c:pt>
                <c:pt idx="133">
                  <c:v>671</c:v>
                </c:pt>
                <c:pt idx="134">
                  <c:v>674</c:v>
                </c:pt>
                <c:pt idx="135">
                  <c:v>671</c:v>
                </c:pt>
                <c:pt idx="136">
                  <c:v>669</c:v>
                </c:pt>
                <c:pt idx="137">
                  <c:v>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469-45C4-B0D2-EA024AC8D742}"/>
            </c:ext>
          </c:extLst>
        </c:ser>
        <c:ser>
          <c:idx val="11"/>
          <c:order val="11"/>
          <c:tx>
            <c:strRef>
              <c:f>Dominance!$M$3:$M$4</c:f>
              <c:strCache>
                <c:ptCount val="1"/>
                <c:pt idx="0">
                  <c:v>Gondor</c:v>
                </c:pt>
              </c:strCache>
            </c:strRef>
          </c:tx>
          <c:spPr>
            <a:ln w="50800" cap="rnd">
              <a:solidFill>
                <a:srgbClr val="0E2841">
                  <a:lumMod val="10000"/>
                  <a:lumOff val="9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Dominance!$M$5:$M$175</c:f>
              <c:numCache>
                <c:formatCode>General</c:formatCode>
                <c:ptCount val="170"/>
                <c:pt idx="0">
                  <c:v>26</c:v>
                </c:pt>
                <c:pt idx="1">
                  <c:v>26</c:v>
                </c:pt>
                <c:pt idx="2">
                  <c:v>26</c:v>
                </c:pt>
                <c:pt idx="3">
                  <c:v>26</c:v>
                </c:pt>
                <c:pt idx="4">
                  <c:v>31</c:v>
                </c:pt>
                <c:pt idx="5">
                  <c:v>31</c:v>
                </c:pt>
                <c:pt idx="6">
                  <c:v>28</c:v>
                </c:pt>
                <c:pt idx="7">
                  <c:v>33</c:v>
                </c:pt>
                <c:pt idx="8">
                  <c:v>30</c:v>
                </c:pt>
                <c:pt idx="9">
                  <c:v>50</c:v>
                </c:pt>
                <c:pt idx="10">
                  <c:v>55</c:v>
                </c:pt>
                <c:pt idx="11">
                  <c:v>55</c:v>
                </c:pt>
                <c:pt idx="12">
                  <c:v>55</c:v>
                </c:pt>
                <c:pt idx="13">
                  <c:v>60</c:v>
                </c:pt>
                <c:pt idx="14">
                  <c:v>60</c:v>
                </c:pt>
                <c:pt idx="15">
                  <c:v>64</c:v>
                </c:pt>
                <c:pt idx="16">
                  <c:v>73</c:v>
                </c:pt>
                <c:pt idx="17">
                  <c:v>73</c:v>
                </c:pt>
                <c:pt idx="18">
                  <c:v>73</c:v>
                </c:pt>
                <c:pt idx="19">
                  <c:v>76</c:v>
                </c:pt>
                <c:pt idx="20">
                  <c:v>80</c:v>
                </c:pt>
                <c:pt idx="21">
                  <c:v>80</c:v>
                </c:pt>
                <c:pt idx="22">
                  <c:v>95</c:v>
                </c:pt>
                <c:pt idx="23">
                  <c:v>95</c:v>
                </c:pt>
                <c:pt idx="24">
                  <c:v>95</c:v>
                </c:pt>
                <c:pt idx="25">
                  <c:v>100</c:v>
                </c:pt>
                <c:pt idx="26">
                  <c:v>100</c:v>
                </c:pt>
                <c:pt idx="27">
                  <c:v>98</c:v>
                </c:pt>
                <c:pt idx="28">
                  <c:v>107</c:v>
                </c:pt>
                <c:pt idx="29">
                  <c:v>107</c:v>
                </c:pt>
                <c:pt idx="30">
                  <c:v>107</c:v>
                </c:pt>
                <c:pt idx="31">
                  <c:v>107</c:v>
                </c:pt>
                <c:pt idx="32">
                  <c:v>112</c:v>
                </c:pt>
                <c:pt idx="33">
                  <c:v>112</c:v>
                </c:pt>
                <c:pt idx="34">
                  <c:v>122</c:v>
                </c:pt>
                <c:pt idx="35">
                  <c:v>122</c:v>
                </c:pt>
                <c:pt idx="36">
                  <c:v>127</c:v>
                </c:pt>
                <c:pt idx="37">
                  <c:v>127</c:v>
                </c:pt>
                <c:pt idx="38">
                  <c:v>124</c:v>
                </c:pt>
                <c:pt idx="39">
                  <c:v>123</c:v>
                </c:pt>
                <c:pt idx="40">
                  <c:v>128</c:v>
                </c:pt>
                <c:pt idx="41">
                  <c:v>128</c:v>
                </c:pt>
                <c:pt idx="42">
                  <c:v>127</c:v>
                </c:pt>
                <c:pt idx="43">
                  <c:v>126</c:v>
                </c:pt>
                <c:pt idx="44">
                  <c:v>131</c:v>
                </c:pt>
                <c:pt idx="45">
                  <c:v>131</c:v>
                </c:pt>
                <c:pt idx="46">
                  <c:v>131</c:v>
                </c:pt>
                <c:pt idx="47">
                  <c:v>131</c:v>
                </c:pt>
                <c:pt idx="48">
                  <c:v>136</c:v>
                </c:pt>
                <c:pt idx="49">
                  <c:v>136</c:v>
                </c:pt>
                <c:pt idx="50">
                  <c:v>136</c:v>
                </c:pt>
                <c:pt idx="51">
                  <c:v>136</c:v>
                </c:pt>
                <c:pt idx="52">
                  <c:v>141</c:v>
                </c:pt>
                <c:pt idx="53">
                  <c:v>141</c:v>
                </c:pt>
                <c:pt idx="54">
                  <c:v>141</c:v>
                </c:pt>
                <c:pt idx="55">
                  <c:v>141</c:v>
                </c:pt>
                <c:pt idx="56">
                  <c:v>146</c:v>
                </c:pt>
                <c:pt idx="57">
                  <c:v>143</c:v>
                </c:pt>
                <c:pt idx="58">
                  <c:v>141</c:v>
                </c:pt>
                <c:pt idx="59">
                  <c:v>141</c:v>
                </c:pt>
                <c:pt idx="60">
                  <c:v>146</c:v>
                </c:pt>
                <c:pt idx="61">
                  <c:v>146</c:v>
                </c:pt>
                <c:pt idx="62">
                  <c:v>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469-45C4-B0D2-EA024AC8D742}"/>
            </c:ext>
          </c:extLst>
        </c:ser>
        <c:ser>
          <c:idx val="12"/>
          <c:order val="12"/>
          <c:tx>
            <c:strRef>
              <c:f>Dominance!$N$3:$N$4</c:f>
              <c:strCache>
                <c:ptCount val="1"/>
                <c:pt idx="0">
                  <c:v>Gundabad</c:v>
                </c:pt>
              </c:strCache>
            </c:strRef>
          </c:tx>
          <c:spPr>
            <a:ln w="28575" cap="rnd">
              <a:solidFill>
                <a:sysClr val="window" lastClr="FFFFFF">
                  <a:lumMod val="75000"/>
                </a:sysClr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Dominance!$N$5:$N$175</c:f>
              <c:numCache>
                <c:formatCode>General</c:formatCode>
                <c:ptCount val="170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18</c:v>
                </c:pt>
                <c:pt idx="8">
                  <c:v>18</c:v>
                </c:pt>
                <c:pt idx="9">
                  <c:v>19</c:v>
                </c:pt>
                <c:pt idx="10">
                  <c:v>19</c:v>
                </c:pt>
                <c:pt idx="11">
                  <c:v>24</c:v>
                </c:pt>
                <c:pt idx="12">
                  <c:v>24</c:v>
                </c:pt>
                <c:pt idx="13">
                  <c:v>23</c:v>
                </c:pt>
                <c:pt idx="14">
                  <c:v>29</c:v>
                </c:pt>
                <c:pt idx="15">
                  <c:v>44</c:v>
                </c:pt>
                <c:pt idx="16">
                  <c:v>44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55</c:v>
                </c:pt>
                <c:pt idx="22">
                  <c:v>55</c:v>
                </c:pt>
                <c:pt idx="23">
                  <c:v>55</c:v>
                </c:pt>
                <c:pt idx="24">
                  <c:v>62</c:v>
                </c:pt>
                <c:pt idx="25">
                  <c:v>62</c:v>
                </c:pt>
                <c:pt idx="26">
                  <c:v>62</c:v>
                </c:pt>
                <c:pt idx="27">
                  <c:v>66</c:v>
                </c:pt>
                <c:pt idx="28">
                  <c:v>71</c:v>
                </c:pt>
                <c:pt idx="29">
                  <c:v>76</c:v>
                </c:pt>
                <c:pt idx="30">
                  <c:v>83</c:v>
                </c:pt>
                <c:pt idx="31">
                  <c:v>87</c:v>
                </c:pt>
                <c:pt idx="32">
                  <c:v>87</c:v>
                </c:pt>
                <c:pt idx="33">
                  <c:v>87</c:v>
                </c:pt>
                <c:pt idx="34">
                  <c:v>92</c:v>
                </c:pt>
                <c:pt idx="35">
                  <c:v>92</c:v>
                </c:pt>
                <c:pt idx="36">
                  <c:v>92</c:v>
                </c:pt>
                <c:pt idx="37">
                  <c:v>92</c:v>
                </c:pt>
                <c:pt idx="38">
                  <c:v>101</c:v>
                </c:pt>
                <c:pt idx="39">
                  <c:v>102</c:v>
                </c:pt>
                <c:pt idx="40">
                  <c:v>106</c:v>
                </c:pt>
                <c:pt idx="41">
                  <c:v>111</c:v>
                </c:pt>
                <c:pt idx="42">
                  <c:v>111</c:v>
                </c:pt>
                <c:pt idx="43">
                  <c:v>111</c:v>
                </c:pt>
                <c:pt idx="44">
                  <c:v>111</c:v>
                </c:pt>
                <c:pt idx="45">
                  <c:v>120</c:v>
                </c:pt>
                <c:pt idx="46">
                  <c:v>120</c:v>
                </c:pt>
                <c:pt idx="47">
                  <c:v>124</c:v>
                </c:pt>
                <c:pt idx="48">
                  <c:v>129</c:v>
                </c:pt>
                <c:pt idx="49">
                  <c:v>129</c:v>
                </c:pt>
                <c:pt idx="50">
                  <c:v>129</c:v>
                </c:pt>
                <c:pt idx="51">
                  <c:v>134</c:v>
                </c:pt>
                <c:pt idx="52">
                  <c:v>138</c:v>
                </c:pt>
                <c:pt idx="53">
                  <c:v>142</c:v>
                </c:pt>
                <c:pt idx="54">
                  <c:v>147</c:v>
                </c:pt>
                <c:pt idx="55">
                  <c:v>147</c:v>
                </c:pt>
                <c:pt idx="56">
                  <c:v>147</c:v>
                </c:pt>
                <c:pt idx="57">
                  <c:v>152</c:v>
                </c:pt>
                <c:pt idx="58">
                  <c:v>152</c:v>
                </c:pt>
                <c:pt idx="59">
                  <c:v>152</c:v>
                </c:pt>
                <c:pt idx="60">
                  <c:v>152</c:v>
                </c:pt>
                <c:pt idx="61">
                  <c:v>157</c:v>
                </c:pt>
                <c:pt idx="62">
                  <c:v>157</c:v>
                </c:pt>
                <c:pt idx="63">
                  <c:v>157</c:v>
                </c:pt>
                <c:pt idx="64">
                  <c:v>158</c:v>
                </c:pt>
                <c:pt idx="65">
                  <c:v>163</c:v>
                </c:pt>
                <c:pt idx="66">
                  <c:v>163</c:v>
                </c:pt>
                <c:pt idx="67">
                  <c:v>169</c:v>
                </c:pt>
                <c:pt idx="68">
                  <c:v>170</c:v>
                </c:pt>
                <c:pt idx="69">
                  <c:v>175</c:v>
                </c:pt>
                <c:pt idx="70">
                  <c:v>175</c:v>
                </c:pt>
                <c:pt idx="71">
                  <c:v>175</c:v>
                </c:pt>
                <c:pt idx="72">
                  <c:v>175</c:v>
                </c:pt>
                <c:pt idx="73">
                  <c:v>190</c:v>
                </c:pt>
                <c:pt idx="74">
                  <c:v>190</c:v>
                </c:pt>
                <c:pt idx="75">
                  <c:v>190</c:v>
                </c:pt>
                <c:pt idx="76">
                  <c:v>191</c:v>
                </c:pt>
                <c:pt idx="77">
                  <c:v>197</c:v>
                </c:pt>
                <c:pt idx="78">
                  <c:v>197</c:v>
                </c:pt>
                <c:pt idx="79">
                  <c:v>200</c:v>
                </c:pt>
                <c:pt idx="80">
                  <c:v>199</c:v>
                </c:pt>
                <c:pt idx="81">
                  <c:v>228</c:v>
                </c:pt>
                <c:pt idx="82">
                  <c:v>228</c:v>
                </c:pt>
                <c:pt idx="83">
                  <c:v>228</c:v>
                </c:pt>
                <c:pt idx="84">
                  <c:v>234</c:v>
                </c:pt>
                <c:pt idx="85">
                  <c:v>238</c:v>
                </c:pt>
                <c:pt idx="86">
                  <c:v>238</c:v>
                </c:pt>
                <c:pt idx="87">
                  <c:v>239</c:v>
                </c:pt>
                <c:pt idx="88">
                  <c:v>249</c:v>
                </c:pt>
                <c:pt idx="89">
                  <c:v>251</c:v>
                </c:pt>
                <c:pt idx="90">
                  <c:v>247</c:v>
                </c:pt>
                <c:pt idx="91">
                  <c:v>246</c:v>
                </c:pt>
                <c:pt idx="92">
                  <c:v>243</c:v>
                </c:pt>
                <c:pt idx="93">
                  <c:v>248</c:v>
                </c:pt>
                <c:pt idx="94">
                  <c:v>248</c:v>
                </c:pt>
                <c:pt idx="95">
                  <c:v>247</c:v>
                </c:pt>
                <c:pt idx="96">
                  <c:v>247</c:v>
                </c:pt>
                <c:pt idx="97">
                  <c:v>251</c:v>
                </c:pt>
                <c:pt idx="98">
                  <c:v>248</c:v>
                </c:pt>
                <c:pt idx="99">
                  <c:v>245</c:v>
                </c:pt>
                <c:pt idx="100">
                  <c:v>244</c:v>
                </c:pt>
                <c:pt idx="101">
                  <c:v>248</c:v>
                </c:pt>
                <c:pt idx="102">
                  <c:v>248</c:v>
                </c:pt>
                <c:pt idx="103">
                  <c:v>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469-45C4-B0D2-EA024AC8D742}"/>
            </c:ext>
          </c:extLst>
        </c:ser>
        <c:ser>
          <c:idx val="13"/>
          <c:order val="13"/>
          <c:tx>
            <c:strRef>
              <c:f>Dominance!$O$3:$O$4</c:f>
              <c:strCache>
                <c:ptCount val="1"/>
                <c:pt idx="0">
                  <c:v>Haerrim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Dominance!$O$5:$O$175</c:f>
              <c:numCache>
                <c:formatCode>General</c:formatCode>
                <c:ptCount val="170"/>
                <c:pt idx="0">
                  <c:v>7</c:v>
                </c:pt>
                <c:pt idx="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469-45C4-B0D2-EA024AC8D742}"/>
            </c:ext>
          </c:extLst>
        </c:ser>
        <c:ser>
          <c:idx val="14"/>
          <c:order val="14"/>
          <c:tx>
            <c:strRef>
              <c:f>Dominance!$P$3:$P$4</c:f>
              <c:strCache>
                <c:ptCount val="1"/>
                <c:pt idx="0">
                  <c:v>Haradrim</c:v>
                </c:pt>
              </c:strCache>
            </c:strRef>
          </c:tx>
          <c:spPr>
            <a:ln w="508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Dominance!$P$5:$P$175</c:f>
              <c:numCache>
                <c:formatCode>General</c:formatCode>
                <c:ptCount val="17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18</c:v>
                </c:pt>
                <c:pt idx="5">
                  <c:v>18</c:v>
                </c:pt>
                <c:pt idx="6">
                  <c:v>18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28</c:v>
                </c:pt>
                <c:pt idx="12">
                  <c:v>27</c:v>
                </c:pt>
                <c:pt idx="13">
                  <c:v>32</c:v>
                </c:pt>
                <c:pt idx="14">
                  <c:v>32</c:v>
                </c:pt>
                <c:pt idx="15">
                  <c:v>36</c:v>
                </c:pt>
                <c:pt idx="16">
                  <c:v>36</c:v>
                </c:pt>
                <c:pt idx="17">
                  <c:v>41</c:v>
                </c:pt>
                <c:pt idx="18">
                  <c:v>41</c:v>
                </c:pt>
                <c:pt idx="19">
                  <c:v>41</c:v>
                </c:pt>
                <c:pt idx="20">
                  <c:v>41</c:v>
                </c:pt>
                <c:pt idx="21">
                  <c:v>43</c:v>
                </c:pt>
                <c:pt idx="22">
                  <c:v>43</c:v>
                </c:pt>
                <c:pt idx="23">
                  <c:v>43</c:v>
                </c:pt>
                <c:pt idx="24">
                  <c:v>52</c:v>
                </c:pt>
                <c:pt idx="25">
                  <c:v>52</c:v>
                </c:pt>
                <c:pt idx="26">
                  <c:v>52</c:v>
                </c:pt>
                <c:pt idx="27">
                  <c:v>57</c:v>
                </c:pt>
                <c:pt idx="28">
                  <c:v>57</c:v>
                </c:pt>
                <c:pt idx="29">
                  <c:v>57</c:v>
                </c:pt>
                <c:pt idx="30">
                  <c:v>62</c:v>
                </c:pt>
                <c:pt idx="31">
                  <c:v>62</c:v>
                </c:pt>
                <c:pt idx="32">
                  <c:v>62</c:v>
                </c:pt>
                <c:pt idx="33">
                  <c:v>67</c:v>
                </c:pt>
                <c:pt idx="34">
                  <c:v>67</c:v>
                </c:pt>
                <c:pt idx="35">
                  <c:v>67</c:v>
                </c:pt>
                <c:pt idx="36">
                  <c:v>73</c:v>
                </c:pt>
                <c:pt idx="37">
                  <c:v>73</c:v>
                </c:pt>
                <c:pt idx="38">
                  <c:v>73</c:v>
                </c:pt>
                <c:pt idx="39">
                  <c:v>73</c:v>
                </c:pt>
                <c:pt idx="40">
                  <c:v>73</c:v>
                </c:pt>
                <c:pt idx="41">
                  <c:v>82</c:v>
                </c:pt>
                <c:pt idx="42">
                  <c:v>82</c:v>
                </c:pt>
                <c:pt idx="43">
                  <c:v>82</c:v>
                </c:pt>
                <c:pt idx="44">
                  <c:v>87</c:v>
                </c:pt>
                <c:pt idx="45">
                  <c:v>87</c:v>
                </c:pt>
                <c:pt idx="46">
                  <c:v>87</c:v>
                </c:pt>
                <c:pt idx="47">
                  <c:v>90</c:v>
                </c:pt>
                <c:pt idx="48">
                  <c:v>95</c:v>
                </c:pt>
                <c:pt idx="49">
                  <c:v>95</c:v>
                </c:pt>
                <c:pt idx="50">
                  <c:v>101</c:v>
                </c:pt>
                <c:pt idx="51">
                  <c:v>101</c:v>
                </c:pt>
                <c:pt idx="52">
                  <c:v>101</c:v>
                </c:pt>
                <c:pt idx="53">
                  <c:v>110</c:v>
                </c:pt>
                <c:pt idx="54">
                  <c:v>110</c:v>
                </c:pt>
                <c:pt idx="55">
                  <c:v>111</c:v>
                </c:pt>
                <c:pt idx="56">
                  <c:v>109</c:v>
                </c:pt>
                <c:pt idx="57">
                  <c:v>109</c:v>
                </c:pt>
                <c:pt idx="58">
                  <c:v>113</c:v>
                </c:pt>
                <c:pt idx="59">
                  <c:v>113</c:v>
                </c:pt>
                <c:pt idx="60">
                  <c:v>112</c:v>
                </c:pt>
                <c:pt idx="61">
                  <c:v>112</c:v>
                </c:pt>
                <c:pt idx="62">
                  <c:v>112</c:v>
                </c:pt>
                <c:pt idx="63">
                  <c:v>113</c:v>
                </c:pt>
                <c:pt idx="64">
                  <c:v>118</c:v>
                </c:pt>
                <c:pt idx="65">
                  <c:v>118</c:v>
                </c:pt>
                <c:pt idx="66">
                  <c:v>119</c:v>
                </c:pt>
                <c:pt idx="67">
                  <c:v>119</c:v>
                </c:pt>
                <c:pt idx="68">
                  <c:v>124</c:v>
                </c:pt>
                <c:pt idx="69">
                  <c:v>124</c:v>
                </c:pt>
                <c:pt idx="70">
                  <c:v>124</c:v>
                </c:pt>
                <c:pt idx="71">
                  <c:v>126</c:v>
                </c:pt>
                <c:pt idx="72">
                  <c:v>131</c:v>
                </c:pt>
                <c:pt idx="73">
                  <c:v>131</c:v>
                </c:pt>
                <c:pt idx="74">
                  <c:v>131</c:v>
                </c:pt>
                <c:pt idx="75">
                  <c:v>131</c:v>
                </c:pt>
                <c:pt idx="76">
                  <c:v>136</c:v>
                </c:pt>
                <c:pt idx="77">
                  <c:v>136</c:v>
                </c:pt>
                <c:pt idx="78">
                  <c:v>136</c:v>
                </c:pt>
                <c:pt idx="79">
                  <c:v>136</c:v>
                </c:pt>
                <c:pt idx="80">
                  <c:v>141</c:v>
                </c:pt>
                <c:pt idx="81">
                  <c:v>141</c:v>
                </c:pt>
                <c:pt idx="82">
                  <c:v>141</c:v>
                </c:pt>
                <c:pt idx="83">
                  <c:v>141</c:v>
                </c:pt>
                <c:pt idx="84">
                  <c:v>147</c:v>
                </c:pt>
                <c:pt idx="85">
                  <c:v>148</c:v>
                </c:pt>
                <c:pt idx="86">
                  <c:v>148</c:v>
                </c:pt>
                <c:pt idx="87">
                  <c:v>154</c:v>
                </c:pt>
                <c:pt idx="88">
                  <c:v>154</c:v>
                </c:pt>
                <c:pt idx="89">
                  <c:v>154</c:v>
                </c:pt>
                <c:pt idx="90">
                  <c:v>158</c:v>
                </c:pt>
                <c:pt idx="91">
                  <c:v>162</c:v>
                </c:pt>
                <c:pt idx="92">
                  <c:v>163</c:v>
                </c:pt>
                <c:pt idx="93">
                  <c:v>163</c:v>
                </c:pt>
                <c:pt idx="94">
                  <c:v>168</c:v>
                </c:pt>
                <c:pt idx="95">
                  <c:v>168</c:v>
                </c:pt>
                <c:pt idx="96">
                  <c:v>168</c:v>
                </c:pt>
                <c:pt idx="97">
                  <c:v>168</c:v>
                </c:pt>
                <c:pt idx="98">
                  <c:v>174</c:v>
                </c:pt>
                <c:pt idx="99">
                  <c:v>182</c:v>
                </c:pt>
                <c:pt idx="100">
                  <c:v>182</c:v>
                </c:pt>
                <c:pt idx="101">
                  <c:v>188</c:v>
                </c:pt>
                <c:pt idx="102">
                  <c:v>188</c:v>
                </c:pt>
                <c:pt idx="103">
                  <c:v>196</c:v>
                </c:pt>
                <c:pt idx="104">
                  <c:v>204</c:v>
                </c:pt>
                <c:pt idx="105">
                  <c:v>209</c:v>
                </c:pt>
                <c:pt idx="106">
                  <c:v>222</c:v>
                </c:pt>
                <c:pt idx="107">
                  <c:v>229</c:v>
                </c:pt>
                <c:pt idx="108">
                  <c:v>229</c:v>
                </c:pt>
                <c:pt idx="109">
                  <c:v>234</c:v>
                </c:pt>
                <c:pt idx="110">
                  <c:v>250</c:v>
                </c:pt>
                <c:pt idx="111">
                  <c:v>250</c:v>
                </c:pt>
                <c:pt idx="112">
                  <c:v>255</c:v>
                </c:pt>
                <c:pt idx="113">
                  <c:v>255</c:v>
                </c:pt>
                <c:pt idx="114">
                  <c:v>262</c:v>
                </c:pt>
                <c:pt idx="115">
                  <c:v>270</c:v>
                </c:pt>
                <c:pt idx="116">
                  <c:v>278</c:v>
                </c:pt>
                <c:pt idx="117">
                  <c:v>278</c:v>
                </c:pt>
                <c:pt idx="118">
                  <c:v>291</c:v>
                </c:pt>
                <c:pt idx="119">
                  <c:v>304</c:v>
                </c:pt>
                <c:pt idx="120">
                  <c:v>302</c:v>
                </c:pt>
                <c:pt idx="121">
                  <c:v>312</c:v>
                </c:pt>
                <c:pt idx="122">
                  <c:v>320</c:v>
                </c:pt>
                <c:pt idx="123">
                  <c:v>324</c:v>
                </c:pt>
                <c:pt idx="124">
                  <c:v>337</c:v>
                </c:pt>
                <c:pt idx="125">
                  <c:v>345</c:v>
                </c:pt>
                <c:pt idx="126">
                  <c:v>345</c:v>
                </c:pt>
                <c:pt idx="127">
                  <c:v>351</c:v>
                </c:pt>
                <c:pt idx="128">
                  <c:v>351</c:v>
                </c:pt>
                <c:pt idx="129">
                  <c:v>358</c:v>
                </c:pt>
                <c:pt idx="130">
                  <c:v>358</c:v>
                </c:pt>
                <c:pt idx="131">
                  <c:v>358</c:v>
                </c:pt>
                <c:pt idx="132">
                  <c:v>358</c:v>
                </c:pt>
                <c:pt idx="133">
                  <c:v>358</c:v>
                </c:pt>
                <c:pt idx="134">
                  <c:v>363</c:v>
                </c:pt>
                <c:pt idx="135">
                  <c:v>375</c:v>
                </c:pt>
                <c:pt idx="136">
                  <c:v>375</c:v>
                </c:pt>
                <c:pt idx="137">
                  <c:v>383</c:v>
                </c:pt>
                <c:pt idx="138">
                  <c:v>385</c:v>
                </c:pt>
                <c:pt idx="139">
                  <c:v>390</c:v>
                </c:pt>
                <c:pt idx="140">
                  <c:v>392</c:v>
                </c:pt>
                <c:pt idx="141">
                  <c:v>392</c:v>
                </c:pt>
                <c:pt idx="142">
                  <c:v>408</c:v>
                </c:pt>
                <c:pt idx="143">
                  <c:v>408</c:v>
                </c:pt>
                <c:pt idx="144">
                  <c:v>418</c:v>
                </c:pt>
                <c:pt idx="145">
                  <c:v>423</c:v>
                </c:pt>
                <c:pt idx="146">
                  <c:v>435</c:v>
                </c:pt>
                <c:pt idx="147">
                  <c:v>435</c:v>
                </c:pt>
                <c:pt idx="148">
                  <c:v>435</c:v>
                </c:pt>
                <c:pt idx="149">
                  <c:v>439</c:v>
                </c:pt>
                <c:pt idx="150">
                  <c:v>447</c:v>
                </c:pt>
                <c:pt idx="151">
                  <c:v>476</c:v>
                </c:pt>
                <c:pt idx="152">
                  <c:v>476</c:v>
                </c:pt>
                <c:pt idx="153">
                  <c:v>485</c:v>
                </c:pt>
                <c:pt idx="154">
                  <c:v>485</c:v>
                </c:pt>
                <c:pt idx="155">
                  <c:v>485</c:v>
                </c:pt>
                <c:pt idx="156">
                  <c:v>485</c:v>
                </c:pt>
                <c:pt idx="157">
                  <c:v>498</c:v>
                </c:pt>
                <c:pt idx="158">
                  <c:v>504</c:v>
                </c:pt>
                <c:pt idx="159">
                  <c:v>518</c:v>
                </c:pt>
                <c:pt idx="160">
                  <c:v>522</c:v>
                </c:pt>
                <c:pt idx="161">
                  <c:v>550</c:v>
                </c:pt>
                <c:pt idx="162">
                  <c:v>587</c:v>
                </c:pt>
                <c:pt idx="163">
                  <c:v>601</c:v>
                </c:pt>
                <c:pt idx="164">
                  <c:v>633</c:v>
                </c:pt>
                <c:pt idx="165">
                  <c:v>641</c:v>
                </c:pt>
                <c:pt idx="166">
                  <c:v>641</c:v>
                </c:pt>
                <c:pt idx="167">
                  <c:v>641</c:v>
                </c:pt>
                <c:pt idx="168">
                  <c:v>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469-45C4-B0D2-EA024AC8D742}"/>
            </c:ext>
          </c:extLst>
        </c:ser>
        <c:ser>
          <c:idx val="15"/>
          <c:order val="15"/>
          <c:tx>
            <c:strRef>
              <c:f>Dominance!$Q$3:$Q$4</c:f>
              <c:strCache>
                <c:ptCount val="1"/>
                <c:pt idx="0">
                  <c:v>Harondor</c:v>
                </c:pt>
              </c:strCache>
            </c:strRef>
          </c:tx>
          <c:spPr>
            <a:ln w="28575" cap="rnd">
              <a:solidFill>
                <a:srgbClr val="FE937E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Dominance!$Q$5:$Q$175</c:f>
              <c:numCache>
                <c:formatCode>General</c:formatCode>
                <c:ptCount val="17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1</c:v>
                </c:pt>
                <c:pt idx="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C469-45C4-B0D2-EA024AC8D742}"/>
            </c:ext>
          </c:extLst>
        </c:ser>
        <c:ser>
          <c:idx val="16"/>
          <c:order val="16"/>
          <c:tx>
            <c:strRef>
              <c:f>Dominance!$R$3:$R$4</c:f>
              <c:strCache>
                <c:ptCount val="1"/>
                <c:pt idx="0">
                  <c:v>Ironfist-Stiffbeard Union</c:v>
                </c:pt>
              </c:strCache>
            </c:strRef>
          </c:tx>
          <c:spPr>
            <a:ln w="28575" cap="rnd">
              <a:solidFill>
                <a:srgbClr val="A02B93">
                  <a:lumMod val="40000"/>
                  <a:lumOff val="60000"/>
                </a:srgbClr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Dominance!$R$5:$R$175</c:f>
              <c:numCache>
                <c:formatCode>General</c:formatCode>
                <c:ptCount val="170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6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6</c:v>
                </c:pt>
                <c:pt idx="145">
                  <c:v>6</c:v>
                </c:pt>
                <c:pt idx="146">
                  <c:v>6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8</c:v>
                </c:pt>
                <c:pt idx="154">
                  <c:v>9</c:v>
                </c:pt>
                <c:pt idx="155">
                  <c:v>9</c:v>
                </c:pt>
                <c:pt idx="156">
                  <c:v>9</c:v>
                </c:pt>
                <c:pt idx="157">
                  <c:v>9</c:v>
                </c:pt>
                <c:pt idx="158">
                  <c:v>9</c:v>
                </c:pt>
                <c:pt idx="159">
                  <c:v>9</c:v>
                </c:pt>
                <c:pt idx="160">
                  <c:v>10</c:v>
                </c:pt>
                <c:pt idx="161">
                  <c:v>10</c:v>
                </c:pt>
                <c:pt idx="162">
                  <c:v>10</c:v>
                </c:pt>
                <c:pt idx="163">
                  <c:v>10</c:v>
                </c:pt>
                <c:pt idx="164">
                  <c:v>11</c:v>
                </c:pt>
                <c:pt idx="165">
                  <c:v>11</c:v>
                </c:pt>
                <c:pt idx="166">
                  <c:v>11</c:v>
                </c:pt>
                <c:pt idx="167">
                  <c:v>11</c:v>
                </c:pt>
                <c:pt idx="168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C469-45C4-B0D2-EA024AC8D742}"/>
            </c:ext>
          </c:extLst>
        </c:ser>
        <c:ser>
          <c:idx val="17"/>
          <c:order val="17"/>
          <c:tx>
            <c:strRef>
              <c:f>Dominance!$S$3:$S$4</c:f>
              <c:strCache>
                <c:ptCount val="1"/>
                <c:pt idx="0">
                  <c:v>Isengard</c:v>
                </c:pt>
              </c:strCache>
            </c:strRef>
          </c:tx>
          <c:spPr>
            <a:ln w="508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Dominance!$S$5:$S$175</c:f>
              <c:numCache>
                <c:formatCode>General</c:formatCode>
                <c:ptCount val="1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13</c:v>
                </c:pt>
                <c:pt idx="8">
                  <c:v>13</c:v>
                </c:pt>
                <c:pt idx="9">
                  <c:v>13</c:v>
                </c:pt>
                <c:pt idx="10">
                  <c:v>13</c:v>
                </c:pt>
                <c:pt idx="11">
                  <c:v>18</c:v>
                </c:pt>
                <c:pt idx="12">
                  <c:v>18</c:v>
                </c:pt>
                <c:pt idx="13">
                  <c:v>18</c:v>
                </c:pt>
                <c:pt idx="14">
                  <c:v>23</c:v>
                </c:pt>
                <c:pt idx="15">
                  <c:v>23</c:v>
                </c:pt>
                <c:pt idx="16">
                  <c:v>39</c:v>
                </c:pt>
                <c:pt idx="17">
                  <c:v>46</c:v>
                </c:pt>
                <c:pt idx="18">
                  <c:v>46</c:v>
                </c:pt>
                <c:pt idx="19">
                  <c:v>46</c:v>
                </c:pt>
                <c:pt idx="20">
                  <c:v>46</c:v>
                </c:pt>
                <c:pt idx="21">
                  <c:v>61</c:v>
                </c:pt>
                <c:pt idx="22">
                  <c:v>62</c:v>
                </c:pt>
                <c:pt idx="23">
                  <c:v>62</c:v>
                </c:pt>
                <c:pt idx="24">
                  <c:v>62</c:v>
                </c:pt>
                <c:pt idx="25">
                  <c:v>62</c:v>
                </c:pt>
                <c:pt idx="26">
                  <c:v>67</c:v>
                </c:pt>
                <c:pt idx="27">
                  <c:v>67</c:v>
                </c:pt>
                <c:pt idx="28">
                  <c:v>67</c:v>
                </c:pt>
                <c:pt idx="29">
                  <c:v>72</c:v>
                </c:pt>
                <c:pt idx="30">
                  <c:v>72</c:v>
                </c:pt>
                <c:pt idx="31">
                  <c:v>72</c:v>
                </c:pt>
                <c:pt idx="32">
                  <c:v>72</c:v>
                </c:pt>
                <c:pt idx="33">
                  <c:v>77</c:v>
                </c:pt>
                <c:pt idx="34">
                  <c:v>81</c:v>
                </c:pt>
                <c:pt idx="35">
                  <c:v>101</c:v>
                </c:pt>
                <c:pt idx="36">
                  <c:v>107</c:v>
                </c:pt>
                <c:pt idx="37">
                  <c:v>107</c:v>
                </c:pt>
                <c:pt idx="38">
                  <c:v>128</c:v>
                </c:pt>
                <c:pt idx="39">
                  <c:v>133</c:v>
                </c:pt>
                <c:pt idx="40">
                  <c:v>133</c:v>
                </c:pt>
                <c:pt idx="41">
                  <c:v>133</c:v>
                </c:pt>
                <c:pt idx="42">
                  <c:v>137</c:v>
                </c:pt>
                <c:pt idx="43">
                  <c:v>137</c:v>
                </c:pt>
                <c:pt idx="44">
                  <c:v>147</c:v>
                </c:pt>
                <c:pt idx="45">
                  <c:v>152</c:v>
                </c:pt>
                <c:pt idx="46">
                  <c:v>152</c:v>
                </c:pt>
                <c:pt idx="47">
                  <c:v>152</c:v>
                </c:pt>
                <c:pt idx="48">
                  <c:v>152</c:v>
                </c:pt>
                <c:pt idx="49">
                  <c:v>156</c:v>
                </c:pt>
                <c:pt idx="50">
                  <c:v>177</c:v>
                </c:pt>
                <c:pt idx="51">
                  <c:v>177</c:v>
                </c:pt>
                <c:pt idx="52">
                  <c:v>177</c:v>
                </c:pt>
                <c:pt idx="53">
                  <c:v>182</c:v>
                </c:pt>
                <c:pt idx="54">
                  <c:v>182</c:v>
                </c:pt>
                <c:pt idx="55">
                  <c:v>182</c:v>
                </c:pt>
                <c:pt idx="56">
                  <c:v>186</c:v>
                </c:pt>
                <c:pt idx="57">
                  <c:v>211</c:v>
                </c:pt>
                <c:pt idx="58">
                  <c:v>211</c:v>
                </c:pt>
                <c:pt idx="59">
                  <c:v>211</c:v>
                </c:pt>
                <c:pt idx="60">
                  <c:v>211</c:v>
                </c:pt>
                <c:pt idx="61">
                  <c:v>216</c:v>
                </c:pt>
                <c:pt idx="62">
                  <c:v>216</c:v>
                </c:pt>
                <c:pt idx="63">
                  <c:v>218</c:v>
                </c:pt>
                <c:pt idx="64">
                  <c:v>218</c:v>
                </c:pt>
                <c:pt idx="65">
                  <c:v>219</c:v>
                </c:pt>
                <c:pt idx="66">
                  <c:v>228</c:v>
                </c:pt>
                <c:pt idx="67">
                  <c:v>228</c:v>
                </c:pt>
                <c:pt idx="68">
                  <c:v>228</c:v>
                </c:pt>
                <c:pt idx="69">
                  <c:v>228</c:v>
                </c:pt>
                <c:pt idx="70">
                  <c:v>228</c:v>
                </c:pt>
                <c:pt idx="71">
                  <c:v>237</c:v>
                </c:pt>
                <c:pt idx="72">
                  <c:v>237</c:v>
                </c:pt>
                <c:pt idx="73">
                  <c:v>237</c:v>
                </c:pt>
                <c:pt idx="74">
                  <c:v>237</c:v>
                </c:pt>
                <c:pt idx="75">
                  <c:v>237</c:v>
                </c:pt>
                <c:pt idx="76">
                  <c:v>242</c:v>
                </c:pt>
                <c:pt idx="77">
                  <c:v>242</c:v>
                </c:pt>
                <c:pt idx="78">
                  <c:v>242</c:v>
                </c:pt>
                <c:pt idx="79">
                  <c:v>242</c:v>
                </c:pt>
                <c:pt idx="80">
                  <c:v>242</c:v>
                </c:pt>
                <c:pt idx="81">
                  <c:v>247</c:v>
                </c:pt>
                <c:pt idx="82">
                  <c:v>247</c:v>
                </c:pt>
                <c:pt idx="83">
                  <c:v>247</c:v>
                </c:pt>
                <c:pt idx="84">
                  <c:v>247</c:v>
                </c:pt>
                <c:pt idx="85">
                  <c:v>252</c:v>
                </c:pt>
                <c:pt idx="86">
                  <c:v>257</c:v>
                </c:pt>
                <c:pt idx="87">
                  <c:v>257</c:v>
                </c:pt>
                <c:pt idx="88">
                  <c:v>257</c:v>
                </c:pt>
                <c:pt idx="89">
                  <c:v>257</c:v>
                </c:pt>
                <c:pt idx="90">
                  <c:v>262</c:v>
                </c:pt>
                <c:pt idx="91">
                  <c:v>262</c:v>
                </c:pt>
                <c:pt idx="92">
                  <c:v>262</c:v>
                </c:pt>
                <c:pt idx="93">
                  <c:v>262</c:v>
                </c:pt>
                <c:pt idx="94">
                  <c:v>267</c:v>
                </c:pt>
                <c:pt idx="95">
                  <c:v>267</c:v>
                </c:pt>
                <c:pt idx="96">
                  <c:v>267</c:v>
                </c:pt>
                <c:pt idx="97">
                  <c:v>267</c:v>
                </c:pt>
                <c:pt idx="98">
                  <c:v>272</c:v>
                </c:pt>
                <c:pt idx="99">
                  <c:v>272</c:v>
                </c:pt>
                <c:pt idx="100">
                  <c:v>272</c:v>
                </c:pt>
                <c:pt idx="101">
                  <c:v>272</c:v>
                </c:pt>
                <c:pt idx="102">
                  <c:v>277</c:v>
                </c:pt>
                <c:pt idx="103">
                  <c:v>277</c:v>
                </c:pt>
                <c:pt idx="104">
                  <c:v>277</c:v>
                </c:pt>
                <c:pt idx="105">
                  <c:v>277</c:v>
                </c:pt>
                <c:pt idx="106">
                  <c:v>277</c:v>
                </c:pt>
                <c:pt idx="107">
                  <c:v>282</c:v>
                </c:pt>
                <c:pt idx="108">
                  <c:v>282</c:v>
                </c:pt>
                <c:pt idx="109">
                  <c:v>282</c:v>
                </c:pt>
                <c:pt idx="110">
                  <c:v>282</c:v>
                </c:pt>
                <c:pt idx="111">
                  <c:v>287</c:v>
                </c:pt>
                <c:pt idx="112">
                  <c:v>286</c:v>
                </c:pt>
                <c:pt idx="113">
                  <c:v>286</c:v>
                </c:pt>
                <c:pt idx="114">
                  <c:v>284</c:v>
                </c:pt>
                <c:pt idx="115">
                  <c:v>297</c:v>
                </c:pt>
                <c:pt idx="116">
                  <c:v>305</c:v>
                </c:pt>
                <c:pt idx="117">
                  <c:v>305</c:v>
                </c:pt>
                <c:pt idx="118">
                  <c:v>313</c:v>
                </c:pt>
                <c:pt idx="119">
                  <c:v>318</c:v>
                </c:pt>
                <c:pt idx="120">
                  <c:v>318</c:v>
                </c:pt>
                <c:pt idx="121">
                  <c:v>318</c:v>
                </c:pt>
                <c:pt idx="122">
                  <c:v>318</c:v>
                </c:pt>
                <c:pt idx="123">
                  <c:v>323</c:v>
                </c:pt>
                <c:pt idx="124">
                  <c:v>324</c:v>
                </c:pt>
                <c:pt idx="125">
                  <c:v>323</c:v>
                </c:pt>
                <c:pt idx="126">
                  <c:v>323</c:v>
                </c:pt>
                <c:pt idx="127">
                  <c:v>328</c:v>
                </c:pt>
                <c:pt idx="128">
                  <c:v>327</c:v>
                </c:pt>
                <c:pt idx="129">
                  <c:v>327</c:v>
                </c:pt>
                <c:pt idx="130">
                  <c:v>326</c:v>
                </c:pt>
                <c:pt idx="131">
                  <c:v>326</c:v>
                </c:pt>
                <c:pt idx="132">
                  <c:v>331</c:v>
                </c:pt>
                <c:pt idx="133">
                  <c:v>329</c:v>
                </c:pt>
                <c:pt idx="134">
                  <c:v>329</c:v>
                </c:pt>
                <c:pt idx="135">
                  <c:v>329</c:v>
                </c:pt>
                <c:pt idx="136">
                  <c:v>329</c:v>
                </c:pt>
                <c:pt idx="137">
                  <c:v>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469-45C4-B0D2-EA024AC8D742}"/>
            </c:ext>
          </c:extLst>
        </c:ser>
        <c:ser>
          <c:idx val="18"/>
          <c:order val="18"/>
          <c:tx>
            <c:strRef>
              <c:f>Dominance!$T$3:$T$4</c:f>
              <c:strCache>
                <c:ptCount val="1"/>
                <c:pt idx="0">
                  <c:v>Lothlorien</c:v>
                </c:pt>
              </c:strCache>
            </c:strRef>
          </c:tx>
          <c:spPr>
            <a:ln w="28575" cap="rnd">
              <a:solidFill>
                <a:srgbClr val="CCFF99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Dominance!$T$5:$T$175</c:f>
              <c:numCache>
                <c:formatCode>General</c:formatCode>
                <c:ptCount val="1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20</c:v>
                </c:pt>
                <c:pt idx="12">
                  <c:v>19</c:v>
                </c:pt>
                <c:pt idx="13">
                  <c:v>16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30</c:v>
                </c:pt>
                <c:pt idx="18">
                  <c:v>30</c:v>
                </c:pt>
                <c:pt idx="19">
                  <c:v>34</c:v>
                </c:pt>
                <c:pt idx="20">
                  <c:v>39</c:v>
                </c:pt>
                <c:pt idx="21">
                  <c:v>39</c:v>
                </c:pt>
                <c:pt idx="22">
                  <c:v>39</c:v>
                </c:pt>
                <c:pt idx="23">
                  <c:v>44</c:v>
                </c:pt>
                <c:pt idx="24">
                  <c:v>43</c:v>
                </c:pt>
                <c:pt idx="25">
                  <c:v>43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53</c:v>
                </c:pt>
                <c:pt idx="30">
                  <c:v>53</c:v>
                </c:pt>
                <c:pt idx="31">
                  <c:v>53</c:v>
                </c:pt>
                <c:pt idx="32">
                  <c:v>58</c:v>
                </c:pt>
                <c:pt idx="33">
                  <c:v>57</c:v>
                </c:pt>
                <c:pt idx="34">
                  <c:v>55</c:v>
                </c:pt>
                <c:pt idx="35">
                  <c:v>55</c:v>
                </c:pt>
                <c:pt idx="36">
                  <c:v>61</c:v>
                </c:pt>
                <c:pt idx="37">
                  <c:v>61</c:v>
                </c:pt>
                <c:pt idx="38">
                  <c:v>61</c:v>
                </c:pt>
                <c:pt idx="39">
                  <c:v>60</c:v>
                </c:pt>
                <c:pt idx="40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C469-45C4-B0D2-EA024AC8D742}"/>
            </c:ext>
          </c:extLst>
        </c:ser>
        <c:ser>
          <c:idx val="19"/>
          <c:order val="19"/>
          <c:tx>
            <c:strRef>
              <c:f>Dominance!$U$3:$U$4</c:f>
              <c:strCache>
                <c:ptCount val="1"/>
                <c:pt idx="0">
                  <c:v>Mahud</c:v>
                </c:pt>
              </c:strCache>
            </c:strRef>
          </c:tx>
          <c:spPr>
            <a:ln w="28575" cap="rnd">
              <a:solidFill>
                <a:srgbClr val="FE937E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Dominance!$U$5:$U$175</c:f>
              <c:numCache>
                <c:formatCode>General</c:formatCode>
                <c:ptCount val="1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4</c:v>
                </c:pt>
                <c:pt idx="56">
                  <c:v>5</c:v>
                </c:pt>
                <c:pt idx="57">
                  <c:v>5</c:v>
                </c:pt>
                <c:pt idx="58">
                  <c:v>4</c:v>
                </c:pt>
                <c:pt idx="59">
                  <c:v>4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469-45C4-B0D2-EA024AC8D742}"/>
            </c:ext>
          </c:extLst>
        </c:ser>
        <c:ser>
          <c:idx val="20"/>
          <c:order val="20"/>
          <c:tx>
            <c:strRef>
              <c:f>Dominance!$V$3:$V$4</c:f>
              <c:strCache>
                <c:ptCount val="1"/>
                <c:pt idx="0">
                  <c:v>Mordor</c:v>
                </c:pt>
              </c:strCache>
            </c:strRef>
          </c:tx>
          <c:spPr>
            <a:ln w="508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Dominance!$V$5:$V$175</c:f>
              <c:numCache>
                <c:formatCode>General</c:formatCode>
                <c:ptCount val="170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35</c:v>
                </c:pt>
                <c:pt idx="7">
                  <c:v>35</c:v>
                </c:pt>
                <c:pt idx="8">
                  <c:v>43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53</c:v>
                </c:pt>
                <c:pt idx="13">
                  <c:v>53</c:v>
                </c:pt>
                <c:pt idx="14">
                  <c:v>53</c:v>
                </c:pt>
                <c:pt idx="15">
                  <c:v>58</c:v>
                </c:pt>
                <c:pt idx="16">
                  <c:v>68</c:v>
                </c:pt>
                <c:pt idx="17">
                  <c:v>68</c:v>
                </c:pt>
                <c:pt idx="18">
                  <c:v>73</c:v>
                </c:pt>
                <c:pt idx="19">
                  <c:v>77</c:v>
                </c:pt>
                <c:pt idx="20">
                  <c:v>104</c:v>
                </c:pt>
                <c:pt idx="21">
                  <c:v>104</c:v>
                </c:pt>
                <c:pt idx="22">
                  <c:v>104</c:v>
                </c:pt>
                <c:pt idx="23">
                  <c:v>113</c:v>
                </c:pt>
                <c:pt idx="24">
                  <c:v>117</c:v>
                </c:pt>
                <c:pt idx="25">
                  <c:v>117</c:v>
                </c:pt>
                <c:pt idx="26">
                  <c:v>117</c:v>
                </c:pt>
                <c:pt idx="27">
                  <c:v>124</c:v>
                </c:pt>
                <c:pt idx="28">
                  <c:v>124</c:v>
                </c:pt>
                <c:pt idx="29">
                  <c:v>124</c:v>
                </c:pt>
                <c:pt idx="30">
                  <c:v>129</c:v>
                </c:pt>
                <c:pt idx="31">
                  <c:v>129</c:v>
                </c:pt>
                <c:pt idx="32">
                  <c:v>129</c:v>
                </c:pt>
                <c:pt idx="33">
                  <c:v>129</c:v>
                </c:pt>
                <c:pt idx="34">
                  <c:v>129</c:v>
                </c:pt>
                <c:pt idx="35">
                  <c:v>134</c:v>
                </c:pt>
                <c:pt idx="36">
                  <c:v>134</c:v>
                </c:pt>
                <c:pt idx="37">
                  <c:v>134</c:v>
                </c:pt>
                <c:pt idx="38">
                  <c:v>144</c:v>
                </c:pt>
                <c:pt idx="39">
                  <c:v>149</c:v>
                </c:pt>
                <c:pt idx="40">
                  <c:v>149</c:v>
                </c:pt>
                <c:pt idx="41">
                  <c:v>153</c:v>
                </c:pt>
                <c:pt idx="42">
                  <c:v>158</c:v>
                </c:pt>
                <c:pt idx="43">
                  <c:v>164</c:v>
                </c:pt>
                <c:pt idx="44">
                  <c:v>163</c:v>
                </c:pt>
                <c:pt idx="45">
                  <c:v>163</c:v>
                </c:pt>
                <c:pt idx="46">
                  <c:v>163</c:v>
                </c:pt>
                <c:pt idx="47">
                  <c:v>168</c:v>
                </c:pt>
                <c:pt idx="48">
                  <c:v>168</c:v>
                </c:pt>
                <c:pt idx="49">
                  <c:v>168</c:v>
                </c:pt>
                <c:pt idx="50">
                  <c:v>172</c:v>
                </c:pt>
                <c:pt idx="51">
                  <c:v>181</c:v>
                </c:pt>
                <c:pt idx="52">
                  <c:v>181</c:v>
                </c:pt>
                <c:pt idx="53">
                  <c:v>181</c:v>
                </c:pt>
                <c:pt idx="54">
                  <c:v>181</c:v>
                </c:pt>
                <c:pt idx="55">
                  <c:v>181</c:v>
                </c:pt>
                <c:pt idx="56">
                  <c:v>190</c:v>
                </c:pt>
                <c:pt idx="57">
                  <c:v>190</c:v>
                </c:pt>
                <c:pt idx="58">
                  <c:v>193</c:v>
                </c:pt>
                <c:pt idx="59">
                  <c:v>198</c:v>
                </c:pt>
                <c:pt idx="60">
                  <c:v>203</c:v>
                </c:pt>
                <c:pt idx="61">
                  <c:v>204</c:v>
                </c:pt>
                <c:pt idx="62">
                  <c:v>209</c:v>
                </c:pt>
                <c:pt idx="63">
                  <c:v>213</c:v>
                </c:pt>
                <c:pt idx="64">
                  <c:v>233</c:v>
                </c:pt>
                <c:pt idx="65">
                  <c:v>242</c:v>
                </c:pt>
                <c:pt idx="66">
                  <c:v>246</c:v>
                </c:pt>
                <c:pt idx="67">
                  <c:v>254</c:v>
                </c:pt>
                <c:pt idx="68">
                  <c:v>259</c:v>
                </c:pt>
                <c:pt idx="69">
                  <c:v>259</c:v>
                </c:pt>
                <c:pt idx="70">
                  <c:v>259</c:v>
                </c:pt>
                <c:pt idx="71">
                  <c:v>268</c:v>
                </c:pt>
                <c:pt idx="72">
                  <c:v>268</c:v>
                </c:pt>
                <c:pt idx="73">
                  <c:v>268</c:v>
                </c:pt>
                <c:pt idx="74">
                  <c:v>273</c:v>
                </c:pt>
                <c:pt idx="75">
                  <c:v>283</c:v>
                </c:pt>
                <c:pt idx="76">
                  <c:v>283</c:v>
                </c:pt>
                <c:pt idx="77">
                  <c:v>288</c:v>
                </c:pt>
                <c:pt idx="78">
                  <c:v>288</c:v>
                </c:pt>
                <c:pt idx="79">
                  <c:v>288</c:v>
                </c:pt>
                <c:pt idx="80">
                  <c:v>301</c:v>
                </c:pt>
                <c:pt idx="81">
                  <c:v>309</c:v>
                </c:pt>
                <c:pt idx="82">
                  <c:v>309</c:v>
                </c:pt>
                <c:pt idx="83">
                  <c:v>314</c:v>
                </c:pt>
                <c:pt idx="84">
                  <c:v>339</c:v>
                </c:pt>
                <c:pt idx="85">
                  <c:v>344</c:v>
                </c:pt>
                <c:pt idx="86">
                  <c:v>344</c:v>
                </c:pt>
                <c:pt idx="87">
                  <c:v>373</c:v>
                </c:pt>
                <c:pt idx="88">
                  <c:v>388</c:v>
                </c:pt>
                <c:pt idx="89">
                  <c:v>393</c:v>
                </c:pt>
                <c:pt idx="90">
                  <c:v>400</c:v>
                </c:pt>
                <c:pt idx="91">
                  <c:v>414</c:v>
                </c:pt>
                <c:pt idx="92">
                  <c:v>416</c:v>
                </c:pt>
                <c:pt idx="93">
                  <c:v>451</c:v>
                </c:pt>
                <c:pt idx="94">
                  <c:v>461</c:v>
                </c:pt>
                <c:pt idx="95">
                  <c:v>466</c:v>
                </c:pt>
                <c:pt idx="96">
                  <c:v>468</c:v>
                </c:pt>
                <c:pt idx="97">
                  <c:v>473</c:v>
                </c:pt>
                <c:pt idx="98">
                  <c:v>488</c:v>
                </c:pt>
                <c:pt idx="99">
                  <c:v>508</c:v>
                </c:pt>
                <c:pt idx="100">
                  <c:v>508</c:v>
                </c:pt>
                <c:pt idx="101">
                  <c:v>521</c:v>
                </c:pt>
                <c:pt idx="102">
                  <c:v>521</c:v>
                </c:pt>
                <c:pt idx="103">
                  <c:v>526</c:v>
                </c:pt>
                <c:pt idx="104">
                  <c:v>528</c:v>
                </c:pt>
                <c:pt idx="105">
                  <c:v>553</c:v>
                </c:pt>
                <c:pt idx="106">
                  <c:v>558</c:v>
                </c:pt>
                <c:pt idx="107">
                  <c:v>575</c:v>
                </c:pt>
                <c:pt idx="108">
                  <c:v>580</c:v>
                </c:pt>
                <c:pt idx="109">
                  <c:v>580</c:v>
                </c:pt>
                <c:pt idx="110">
                  <c:v>581</c:v>
                </c:pt>
                <c:pt idx="111">
                  <c:v>581</c:v>
                </c:pt>
                <c:pt idx="112">
                  <c:v>582</c:v>
                </c:pt>
                <c:pt idx="113">
                  <c:v>592</c:v>
                </c:pt>
                <c:pt idx="114">
                  <c:v>597</c:v>
                </c:pt>
                <c:pt idx="115">
                  <c:v>600</c:v>
                </c:pt>
                <c:pt idx="116">
                  <c:v>600</c:v>
                </c:pt>
                <c:pt idx="117">
                  <c:v>609</c:v>
                </c:pt>
                <c:pt idx="118">
                  <c:v>609</c:v>
                </c:pt>
                <c:pt idx="119">
                  <c:v>609</c:v>
                </c:pt>
                <c:pt idx="120">
                  <c:v>610</c:v>
                </c:pt>
                <c:pt idx="121">
                  <c:v>611</c:v>
                </c:pt>
                <c:pt idx="122">
                  <c:v>623</c:v>
                </c:pt>
                <c:pt idx="123">
                  <c:v>623</c:v>
                </c:pt>
                <c:pt idx="124">
                  <c:v>642</c:v>
                </c:pt>
                <c:pt idx="125">
                  <c:v>644</c:v>
                </c:pt>
                <c:pt idx="126">
                  <c:v>644</c:v>
                </c:pt>
                <c:pt idx="127">
                  <c:v>645</c:v>
                </c:pt>
                <c:pt idx="128">
                  <c:v>649</c:v>
                </c:pt>
                <c:pt idx="129">
                  <c:v>658</c:v>
                </c:pt>
                <c:pt idx="130">
                  <c:v>664</c:v>
                </c:pt>
                <c:pt idx="131">
                  <c:v>673</c:v>
                </c:pt>
                <c:pt idx="132">
                  <c:v>696</c:v>
                </c:pt>
                <c:pt idx="133">
                  <c:v>698</c:v>
                </c:pt>
                <c:pt idx="134">
                  <c:v>708</c:v>
                </c:pt>
                <c:pt idx="135">
                  <c:v>713</c:v>
                </c:pt>
                <c:pt idx="136">
                  <c:v>723</c:v>
                </c:pt>
                <c:pt idx="137">
                  <c:v>723</c:v>
                </c:pt>
                <c:pt idx="138">
                  <c:v>740</c:v>
                </c:pt>
                <c:pt idx="139">
                  <c:v>740</c:v>
                </c:pt>
                <c:pt idx="140">
                  <c:v>756</c:v>
                </c:pt>
                <c:pt idx="141">
                  <c:v>759</c:v>
                </c:pt>
                <c:pt idx="142">
                  <c:v>765</c:v>
                </c:pt>
                <c:pt idx="143">
                  <c:v>786</c:v>
                </c:pt>
                <c:pt idx="144">
                  <c:v>818</c:v>
                </c:pt>
                <c:pt idx="145">
                  <c:v>823</c:v>
                </c:pt>
                <c:pt idx="146">
                  <c:v>839</c:v>
                </c:pt>
                <c:pt idx="147">
                  <c:v>881</c:v>
                </c:pt>
                <c:pt idx="148">
                  <c:v>939</c:v>
                </c:pt>
                <c:pt idx="149">
                  <c:v>1034</c:v>
                </c:pt>
                <c:pt idx="150">
                  <c:v>1037</c:v>
                </c:pt>
                <c:pt idx="151">
                  <c:v>1101</c:v>
                </c:pt>
                <c:pt idx="152">
                  <c:v>1121</c:v>
                </c:pt>
                <c:pt idx="153">
                  <c:v>1161</c:v>
                </c:pt>
                <c:pt idx="154">
                  <c:v>1181</c:v>
                </c:pt>
                <c:pt idx="155">
                  <c:v>1197</c:v>
                </c:pt>
                <c:pt idx="156">
                  <c:v>1237</c:v>
                </c:pt>
                <c:pt idx="157">
                  <c:v>1305</c:v>
                </c:pt>
                <c:pt idx="158">
                  <c:v>1345</c:v>
                </c:pt>
                <c:pt idx="159">
                  <c:v>1345</c:v>
                </c:pt>
                <c:pt idx="160">
                  <c:v>1367</c:v>
                </c:pt>
                <c:pt idx="161">
                  <c:v>1367</c:v>
                </c:pt>
                <c:pt idx="162">
                  <c:v>1379</c:v>
                </c:pt>
                <c:pt idx="163">
                  <c:v>1379</c:v>
                </c:pt>
                <c:pt idx="164">
                  <c:v>1379</c:v>
                </c:pt>
                <c:pt idx="165">
                  <c:v>1380</c:v>
                </c:pt>
                <c:pt idx="166">
                  <c:v>1390</c:v>
                </c:pt>
                <c:pt idx="167">
                  <c:v>1404</c:v>
                </c:pt>
                <c:pt idx="168">
                  <c:v>1420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C469-45C4-B0D2-EA024AC8D742}"/>
            </c:ext>
          </c:extLst>
        </c:ser>
        <c:ser>
          <c:idx val="21"/>
          <c:order val="21"/>
          <c:tx>
            <c:strRef>
              <c:f>Dominance!$W$3:$W$4</c:f>
              <c:strCache>
                <c:ptCount val="1"/>
                <c:pt idx="0">
                  <c:v>Northern Enedwaith</c:v>
                </c:pt>
              </c:strCache>
            </c:strRef>
          </c:tx>
          <c:spPr>
            <a:ln w="28575" cap="rnd">
              <a:solidFill>
                <a:srgbClr val="FFCCCC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Dominance!$W$5:$W$175</c:f>
              <c:numCache>
                <c:formatCode>General</c:formatCode>
                <c:ptCount val="170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6</c:v>
                </c:pt>
                <c:pt idx="47">
                  <c:v>6</c:v>
                </c:pt>
                <c:pt idx="48">
                  <c:v>6</c:v>
                </c:pt>
                <c:pt idx="49">
                  <c:v>6</c:v>
                </c:pt>
                <c:pt idx="50">
                  <c:v>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6</c:v>
                </c:pt>
                <c:pt idx="55">
                  <c:v>6</c:v>
                </c:pt>
                <c:pt idx="56">
                  <c:v>6</c:v>
                </c:pt>
                <c:pt idx="57">
                  <c:v>6</c:v>
                </c:pt>
                <c:pt idx="58">
                  <c:v>6</c:v>
                </c:pt>
                <c:pt idx="59">
                  <c:v>6</c:v>
                </c:pt>
                <c:pt idx="60">
                  <c:v>6</c:v>
                </c:pt>
                <c:pt idx="61">
                  <c:v>6</c:v>
                </c:pt>
                <c:pt idx="62">
                  <c:v>6</c:v>
                </c:pt>
                <c:pt idx="63">
                  <c:v>6</c:v>
                </c:pt>
                <c:pt idx="64">
                  <c:v>6</c:v>
                </c:pt>
                <c:pt idx="65">
                  <c:v>6</c:v>
                </c:pt>
                <c:pt idx="66">
                  <c:v>6</c:v>
                </c:pt>
                <c:pt idx="67">
                  <c:v>6</c:v>
                </c:pt>
                <c:pt idx="68">
                  <c:v>6</c:v>
                </c:pt>
                <c:pt idx="69">
                  <c:v>6</c:v>
                </c:pt>
                <c:pt idx="70">
                  <c:v>6</c:v>
                </c:pt>
                <c:pt idx="71">
                  <c:v>6</c:v>
                </c:pt>
                <c:pt idx="72">
                  <c:v>6</c:v>
                </c:pt>
                <c:pt idx="73">
                  <c:v>6</c:v>
                </c:pt>
                <c:pt idx="74">
                  <c:v>6</c:v>
                </c:pt>
                <c:pt idx="75">
                  <c:v>6</c:v>
                </c:pt>
                <c:pt idx="76">
                  <c:v>6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6</c:v>
                </c:pt>
                <c:pt idx="81">
                  <c:v>6</c:v>
                </c:pt>
                <c:pt idx="82">
                  <c:v>6</c:v>
                </c:pt>
                <c:pt idx="83">
                  <c:v>6</c:v>
                </c:pt>
                <c:pt idx="84">
                  <c:v>6</c:v>
                </c:pt>
                <c:pt idx="85">
                  <c:v>6</c:v>
                </c:pt>
                <c:pt idx="86">
                  <c:v>6</c:v>
                </c:pt>
                <c:pt idx="87">
                  <c:v>6</c:v>
                </c:pt>
                <c:pt idx="88">
                  <c:v>6</c:v>
                </c:pt>
                <c:pt idx="89">
                  <c:v>6</c:v>
                </c:pt>
                <c:pt idx="90">
                  <c:v>6</c:v>
                </c:pt>
                <c:pt idx="91">
                  <c:v>6</c:v>
                </c:pt>
                <c:pt idx="92">
                  <c:v>6</c:v>
                </c:pt>
                <c:pt idx="93">
                  <c:v>6</c:v>
                </c:pt>
                <c:pt idx="94">
                  <c:v>6</c:v>
                </c:pt>
                <c:pt idx="95">
                  <c:v>6</c:v>
                </c:pt>
                <c:pt idx="96">
                  <c:v>6</c:v>
                </c:pt>
                <c:pt idx="97">
                  <c:v>6</c:v>
                </c:pt>
                <c:pt idx="98">
                  <c:v>6</c:v>
                </c:pt>
                <c:pt idx="99">
                  <c:v>6</c:v>
                </c:pt>
                <c:pt idx="100">
                  <c:v>6</c:v>
                </c:pt>
                <c:pt idx="101">
                  <c:v>6</c:v>
                </c:pt>
                <c:pt idx="102">
                  <c:v>6</c:v>
                </c:pt>
                <c:pt idx="103">
                  <c:v>6</c:v>
                </c:pt>
                <c:pt idx="104">
                  <c:v>6</c:v>
                </c:pt>
                <c:pt idx="105">
                  <c:v>6</c:v>
                </c:pt>
                <c:pt idx="106">
                  <c:v>6</c:v>
                </c:pt>
                <c:pt idx="107">
                  <c:v>6</c:v>
                </c:pt>
                <c:pt idx="108">
                  <c:v>6</c:v>
                </c:pt>
                <c:pt idx="109">
                  <c:v>6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4</c:v>
                </c:pt>
                <c:pt idx="127">
                  <c:v>2</c:v>
                </c:pt>
                <c:pt idx="128">
                  <c:v>2</c:v>
                </c:pt>
                <c:pt idx="129">
                  <c:v>2</c:v>
                </c:pt>
                <c:pt idx="130">
                  <c:v>2</c:v>
                </c:pt>
                <c:pt idx="131">
                  <c:v>2</c:v>
                </c:pt>
                <c:pt idx="132">
                  <c:v>2</c:v>
                </c:pt>
                <c:pt idx="133">
                  <c:v>2</c:v>
                </c:pt>
                <c:pt idx="134">
                  <c:v>2</c:v>
                </c:pt>
                <c:pt idx="135">
                  <c:v>2</c:v>
                </c:pt>
                <c:pt idx="136">
                  <c:v>2</c:v>
                </c:pt>
                <c:pt idx="137">
                  <c:v>2</c:v>
                </c:pt>
                <c:pt idx="13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469-45C4-B0D2-EA024AC8D742}"/>
            </c:ext>
          </c:extLst>
        </c:ser>
        <c:ser>
          <c:idx val="22"/>
          <c:order val="22"/>
          <c:tx>
            <c:strRef>
              <c:f>Dominance!$X$3:$X$4</c:f>
              <c:strCache>
                <c:ptCount val="1"/>
                <c:pt idx="0">
                  <c:v>Rachrohir (Wainriders)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Dominance!$X$5:$X$175</c:f>
              <c:numCache>
                <c:formatCode>General</c:formatCode>
                <c:ptCount val="1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C469-45C4-B0D2-EA024AC8D742}"/>
            </c:ext>
          </c:extLst>
        </c:ser>
        <c:ser>
          <c:idx val="23"/>
          <c:order val="23"/>
          <c:tx>
            <c:strRef>
              <c:f>Dominance!$Y$3:$Y$4</c:f>
              <c:strCache>
                <c:ptCount val="1"/>
                <c:pt idx="0">
                  <c:v>Rhurim/Rhun</c:v>
                </c:pt>
              </c:strCache>
            </c:strRef>
          </c:tx>
          <c:spPr>
            <a:ln w="50800" cap="rnd">
              <a:solidFill>
                <a:srgbClr val="FF9933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Dominance!$Y$5:$Y$175</c:f>
              <c:numCache>
                <c:formatCode>General</c:formatCode>
                <c:ptCount val="170"/>
                <c:pt idx="0">
                  <c:v>9</c:v>
                </c:pt>
                <c:pt idx="1">
                  <c:v>9</c:v>
                </c:pt>
                <c:pt idx="2">
                  <c:v>15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26</c:v>
                </c:pt>
                <c:pt idx="7">
                  <c:v>26</c:v>
                </c:pt>
                <c:pt idx="8">
                  <c:v>31</c:v>
                </c:pt>
                <c:pt idx="9">
                  <c:v>40</c:v>
                </c:pt>
                <c:pt idx="10">
                  <c:v>40</c:v>
                </c:pt>
                <c:pt idx="11">
                  <c:v>41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52</c:v>
                </c:pt>
                <c:pt idx="16">
                  <c:v>52</c:v>
                </c:pt>
                <c:pt idx="17">
                  <c:v>61</c:v>
                </c:pt>
                <c:pt idx="18">
                  <c:v>72</c:v>
                </c:pt>
                <c:pt idx="19">
                  <c:v>72</c:v>
                </c:pt>
                <c:pt idx="20">
                  <c:v>72</c:v>
                </c:pt>
                <c:pt idx="21">
                  <c:v>72</c:v>
                </c:pt>
                <c:pt idx="22">
                  <c:v>78</c:v>
                </c:pt>
                <c:pt idx="23">
                  <c:v>86</c:v>
                </c:pt>
                <c:pt idx="24">
                  <c:v>86</c:v>
                </c:pt>
                <c:pt idx="25">
                  <c:v>86</c:v>
                </c:pt>
                <c:pt idx="26">
                  <c:v>93</c:v>
                </c:pt>
                <c:pt idx="27">
                  <c:v>93</c:v>
                </c:pt>
                <c:pt idx="28">
                  <c:v>92</c:v>
                </c:pt>
                <c:pt idx="29">
                  <c:v>98</c:v>
                </c:pt>
                <c:pt idx="30">
                  <c:v>106</c:v>
                </c:pt>
                <c:pt idx="31">
                  <c:v>109</c:v>
                </c:pt>
                <c:pt idx="32">
                  <c:v>109</c:v>
                </c:pt>
                <c:pt idx="33">
                  <c:v>110</c:v>
                </c:pt>
                <c:pt idx="34">
                  <c:v>115</c:v>
                </c:pt>
                <c:pt idx="35">
                  <c:v>119</c:v>
                </c:pt>
                <c:pt idx="36">
                  <c:v>118</c:v>
                </c:pt>
                <c:pt idx="37">
                  <c:v>124</c:v>
                </c:pt>
                <c:pt idx="38">
                  <c:v>125</c:v>
                </c:pt>
                <c:pt idx="39">
                  <c:v>130</c:v>
                </c:pt>
                <c:pt idx="40">
                  <c:v>135</c:v>
                </c:pt>
                <c:pt idx="41">
                  <c:v>135</c:v>
                </c:pt>
                <c:pt idx="42">
                  <c:v>135</c:v>
                </c:pt>
                <c:pt idx="43">
                  <c:v>144</c:v>
                </c:pt>
                <c:pt idx="44">
                  <c:v>144</c:v>
                </c:pt>
                <c:pt idx="45">
                  <c:v>144</c:v>
                </c:pt>
                <c:pt idx="46">
                  <c:v>153</c:v>
                </c:pt>
                <c:pt idx="47">
                  <c:v>155</c:v>
                </c:pt>
                <c:pt idx="48">
                  <c:v>159</c:v>
                </c:pt>
                <c:pt idx="49">
                  <c:v>168</c:v>
                </c:pt>
                <c:pt idx="50">
                  <c:v>170</c:v>
                </c:pt>
                <c:pt idx="51">
                  <c:v>170</c:v>
                </c:pt>
                <c:pt idx="52">
                  <c:v>175</c:v>
                </c:pt>
                <c:pt idx="53">
                  <c:v>183</c:v>
                </c:pt>
                <c:pt idx="54">
                  <c:v>183</c:v>
                </c:pt>
                <c:pt idx="55">
                  <c:v>182</c:v>
                </c:pt>
                <c:pt idx="56">
                  <c:v>188</c:v>
                </c:pt>
                <c:pt idx="57">
                  <c:v>188</c:v>
                </c:pt>
                <c:pt idx="58">
                  <c:v>190</c:v>
                </c:pt>
                <c:pt idx="59">
                  <c:v>194</c:v>
                </c:pt>
                <c:pt idx="60">
                  <c:v>194</c:v>
                </c:pt>
                <c:pt idx="61">
                  <c:v>206</c:v>
                </c:pt>
                <c:pt idx="62">
                  <c:v>215</c:v>
                </c:pt>
                <c:pt idx="63">
                  <c:v>215</c:v>
                </c:pt>
                <c:pt idx="64">
                  <c:v>216</c:v>
                </c:pt>
                <c:pt idx="65">
                  <c:v>216</c:v>
                </c:pt>
                <c:pt idx="66">
                  <c:v>213</c:v>
                </c:pt>
                <c:pt idx="67">
                  <c:v>218</c:v>
                </c:pt>
                <c:pt idx="68">
                  <c:v>218</c:v>
                </c:pt>
                <c:pt idx="69">
                  <c:v>218</c:v>
                </c:pt>
                <c:pt idx="70">
                  <c:v>217</c:v>
                </c:pt>
                <c:pt idx="71">
                  <c:v>220</c:v>
                </c:pt>
                <c:pt idx="72">
                  <c:v>225</c:v>
                </c:pt>
                <c:pt idx="73">
                  <c:v>225</c:v>
                </c:pt>
                <c:pt idx="74">
                  <c:v>225</c:v>
                </c:pt>
                <c:pt idx="75">
                  <c:v>224</c:v>
                </c:pt>
                <c:pt idx="76">
                  <c:v>227</c:v>
                </c:pt>
                <c:pt idx="77">
                  <c:v>229</c:v>
                </c:pt>
                <c:pt idx="78">
                  <c:v>234</c:v>
                </c:pt>
                <c:pt idx="79">
                  <c:v>242</c:v>
                </c:pt>
                <c:pt idx="80">
                  <c:v>242</c:v>
                </c:pt>
                <c:pt idx="81">
                  <c:v>242</c:v>
                </c:pt>
                <c:pt idx="82">
                  <c:v>247</c:v>
                </c:pt>
                <c:pt idx="83">
                  <c:v>255</c:v>
                </c:pt>
                <c:pt idx="84">
                  <c:v>254</c:v>
                </c:pt>
                <c:pt idx="85">
                  <c:v>259</c:v>
                </c:pt>
                <c:pt idx="86">
                  <c:v>259</c:v>
                </c:pt>
                <c:pt idx="87">
                  <c:v>281</c:v>
                </c:pt>
                <c:pt idx="88">
                  <c:v>325</c:v>
                </c:pt>
                <c:pt idx="89">
                  <c:v>346</c:v>
                </c:pt>
                <c:pt idx="90">
                  <c:v>371</c:v>
                </c:pt>
                <c:pt idx="91">
                  <c:v>395</c:v>
                </c:pt>
                <c:pt idx="92">
                  <c:v>402</c:v>
                </c:pt>
                <c:pt idx="93">
                  <c:v>431</c:v>
                </c:pt>
                <c:pt idx="94">
                  <c:v>431</c:v>
                </c:pt>
                <c:pt idx="95">
                  <c:v>435</c:v>
                </c:pt>
                <c:pt idx="96">
                  <c:v>433</c:v>
                </c:pt>
                <c:pt idx="97">
                  <c:v>434</c:v>
                </c:pt>
                <c:pt idx="98">
                  <c:v>438</c:v>
                </c:pt>
                <c:pt idx="99">
                  <c:v>438</c:v>
                </c:pt>
                <c:pt idx="100">
                  <c:v>437</c:v>
                </c:pt>
                <c:pt idx="101">
                  <c:v>448</c:v>
                </c:pt>
                <c:pt idx="102">
                  <c:v>448</c:v>
                </c:pt>
                <c:pt idx="103">
                  <c:v>460</c:v>
                </c:pt>
                <c:pt idx="104">
                  <c:v>480</c:v>
                </c:pt>
                <c:pt idx="105">
                  <c:v>487</c:v>
                </c:pt>
                <c:pt idx="106">
                  <c:v>495</c:v>
                </c:pt>
                <c:pt idx="107">
                  <c:v>491</c:v>
                </c:pt>
                <c:pt idx="108">
                  <c:v>524</c:v>
                </c:pt>
                <c:pt idx="109">
                  <c:v>531</c:v>
                </c:pt>
                <c:pt idx="110">
                  <c:v>531</c:v>
                </c:pt>
                <c:pt idx="111">
                  <c:v>539</c:v>
                </c:pt>
                <c:pt idx="112">
                  <c:v>547</c:v>
                </c:pt>
                <c:pt idx="113">
                  <c:v>555</c:v>
                </c:pt>
                <c:pt idx="114">
                  <c:v>562</c:v>
                </c:pt>
                <c:pt idx="115">
                  <c:v>562</c:v>
                </c:pt>
                <c:pt idx="116">
                  <c:v>578</c:v>
                </c:pt>
                <c:pt idx="117">
                  <c:v>578</c:v>
                </c:pt>
                <c:pt idx="118">
                  <c:v>583</c:v>
                </c:pt>
                <c:pt idx="119">
                  <c:v>583</c:v>
                </c:pt>
                <c:pt idx="120">
                  <c:v>584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615</c:v>
                </c:pt>
                <c:pt idx="125">
                  <c:v>615</c:v>
                </c:pt>
                <c:pt idx="126">
                  <c:v>623</c:v>
                </c:pt>
                <c:pt idx="127">
                  <c:v>626</c:v>
                </c:pt>
                <c:pt idx="128">
                  <c:v>631</c:v>
                </c:pt>
                <c:pt idx="129">
                  <c:v>628</c:v>
                </c:pt>
                <c:pt idx="130">
                  <c:v>628</c:v>
                </c:pt>
                <c:pt idx="131">
                  <c:v>628</c:v>
                </c:pt>
                <c:pt idx="132">
                  <c:v>628</c:v>
                </c:pt>
                <c:pt idx="133">
                  <c:v>641</c:v>
                </c:pt>
                <c:pt idx="134">
                  <c:v>641</c:v>
                </c:pt>
                <c:pt idx="135">
                  <c:v>640</c:v>
                </c:pt>
                <c:pt idx="136">
                  <c:v>664</c:v>
                </c:pt>
                <c:pt idx="137">
                  <c:v>663</c:v>
                </c:pt>
                <c:pt idx="138">
                  <c:v>666</c:v>
                </c:pt>
                <c:pt idx="139">
                  <c:v>666</c:v>
                </c:pt>
                <c:pt idx="140">
                  <c:v>664</c:v>
                </c:pt>
                <c:pt idx="141">
                  <c:v>672</c:v>
                </c:pt>
                <c:pt idx="142">
                  <c:v>682</c:v>
                </c:pt>
                <c:pt idx="143">
                  <c:v>702</c:v>
                </c:pt>
                <c:pt idx="144">
                  <c:v>698</c:v>
                </c:pt>
                <c:pt idx="145">
                  <c:v>698</c:v>
                </c:pt>
                <c:pt idx="146">
                  <c:v>698</c:v>
                </c:pt>
                <c:pt idx="147">
                  <c:v>705</c:v>
                </c:pt>
                <c:pt idx="148">
                  <c:v>705</c:v>
                </c:pt>
                <c:pt idx="149">
                  <c:v>718</c:v>
                </c:pt>
                <c:pt idx="150">
                  <c:v>726</c:v>
                </c:pt>
                <c:pt idx="151">
                  <c:v>726</c:v>
                </c:pt>
                <c:pt idx="152">
                  <c:v>742</c:v>
                </c:pt>
                <c:pt idx="153">
                  <c:v>740</c:v>
                </c:pt>
                <c:pt idx="154">
                  <c:v>736</c:v>
                </c:pt>
                <c:pt idx="155">
                  <c:v>740</c:v>
                </c:pt>
                <c:pt idx="156">
                  <c:v>745</c:v>
                </c:pt>
                <c:pt idx="157">
                  <c:v>753</c:v>
                </c:pt>
                <c:pt idx="158">
                  <c:v>760</c:v>
                </c:pt>
                <c:pt idx="159">
                  <c:v>756</c:v>
                </c:pt>
                <c:pt idx="160">
                  <c:v>754</c:v>
                </c:pt>
                <c:pt idx="161">
                  <c:v>754</c:v>
                </c:pt>
                <c:pt idx="162">
                  <c:v>753</c:v>
                </c:pt>
                <c:pt idx="163">
                  <c:v>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469-45C4-B0D2-EA024AC8D742}"/>
            </c:ext>
          </c:extLst>
        </c:ser>
        <c:ser>
          <c:idx val="24"/>
          <c:order val="24"/>
          <c:tx>
            <c:strRef>
              <c:f>Dominance!$Z$3:$Z$4</c:f>
              <c:strCache>
                <c:ptCount val="1"/>
                <c:pt idx="0">
                  <c:v>Rohan</c:v>
                </c:pt>
              </c:strCache>
            </c:strRef>
          </c:tx>
          <c:spPr>
            <a:ln w="50800" cap="rnd">
              <a:solidFill>
                <a:srgbClr val="33CC33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Dominance!$Z$5:$Z$175</c:f>
              <c:numCache>
                <c:formatCode>General</c:formatCode>
                <c:ptCount val="170"/>
                <c:pt idx="0">
                  <c:v>19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19</c:v>
                </c:pt>
                <c:pt idx="5">
                  <c:v>28</c:v>
                </c:pt>
                <c:pt idx="6">
                  <c:v>28</c:v>
                </c:pt>
                <c:pt idx="7">
                  <c:v>28</c:v>
                </c:pt>
                <c:pt idx="8">
                  <c:v>28</c:v>
                </c:pt>
                <c:pt idx="9">
                  <c:v>33</c:v>
                </c:pt>
                <c:pt idx="10">
                  <c:v>32</c:v>
                </c:pt>
                <c:pt idx="11">
                  <c:v>32</c:v>
                </c:pt>
                <c:pt idx="12">
                  <c:v>32</c:v>
                </c:pt>
                <c:pt idx="13">
                  <c:v>37</c:v>
                </c:pt>
                <c:pt idx="14">
                  <c:v>37</c:v>
                </c:pt>
                <c:pt idx="15">
                  <c:v>42</c:v>
                </c:pt>
                <c:pt idx="16">
                  <c:v>43</c:v>
                </c:pt>
                <c:pt idx="17">
                  <c:v>46</c:v>
                </c:pt>
                <c:pt idx="18">
                  <c:v>46</c:v>
                </c:pt>
                <c:pt idx="19">
                  <c:v>55</c:v>
                </c:pt>
                <c:pt idx="20">
                  <c:v>60</c:v>
                </c:pt>
                <c:pt idx="21">
                  <c:v>64</c:v>
                </c:pt>
                <c:pt idx="22">
                  <c:v>67</c:v>
                </c:pt>
                <c:pt idx="23">
                  <c:v>76</c:v>
                </c:pt>
                <c:pt idx="24">
                  <c:v>76</c:v>
                </c:pt>
                <c:pt idx="25">
                  <c:v>76</c:v>
                </c:pt>
                <c:pt idx="26">
                  <c:v>82</c:v>
                </c:pt>
                <c:pt idx="27">
                  <c:v>82</c:v>
                </c:pt>
                <c:pt idx="28">
                  <c:v>82</c:v>
                </c:pt>
                <c:pt idx="29">
                  <c:v>87</c:v>
                </c:pt>
                <c:pt idx="30">
                  <c:v>91</c:v>
                </c:pt>
                <c:pt idx="31">
                  <c:v>93</c:v>
                </c:pt>
                <c:pt idx="32">
                  <c:v>98</c:v>
                </c:pt>
                <c:pt idx="33">
                  <c:v>98</c:v>
                </c:pt>
                <c:pt idx="34">
                  <c:v>97</c:v>
                </c:pt>
                <c:pt idx="35">
                  <c:v>102</c:v>
                </c:pt>
                <c:pt idx="36">
                  <c:v>100</c:v>
                </c:pt>
                <c:pt idx="37">
                  <c:v>100</c:v>
                </c:pt>
                <c:pt idx="38">
                  <c:v>104</c:v>
                </c:pt>
                <c:pt idx="39">
                  <c:v>104</c:v>
                </c:pt>
                <c:pt idx="40">
                  <c:v>104</c:v>
                </c:pt>
                <c:pt idx="41">
                  <c:v>109</c:v>
                </c:pt>
                <c:pt idx="42">
                  <c:v>110</c:v>
                </c:pt>
                <c:pt idx="43">
                  <c:v>125</c:v>
                </c:pt>
                <c:pt idx="44">
                  <c:v>134</c:v>
                </c:pt>
                <c:pt idx="45">
                  <c:v>134</c:v>
                </c:pt>
                <c:pt idx="46">
                  <c:v>134</c:v>
                </c:pt>
                <c:pt idx="47">
                  <c:v>138</c:v>
                </c:pt>
                <c:pt idx="48">
                  <c:v>138</c:v>
                </c:pt>
                <c:pt idx="49">
                  <c:v>138</c:v>
                </c:pt>
                <c:pt idx="50">
                  <c:v>142</c:v>
                </c:pt>
                <c:pt idx="51">
                  <c:v>141</c:v>
                </c:pt>
                <c:pt idx="52">
                  <c:v>141</c:v>
                </c:pt>
                <c:pt idx="53">
                  <c:v>146</c:v>
                </c:pt>
                <c:pt idx="54">
                  <c:v>145</c:v>
                </c:pt>
                <c:pt idx="55">
                  <c:v>145</c:v>
                </c:pt>
                <c:pt idx="56">
                  <c:v>145</c:v>
                </c:pt>
                <c:pt idx="57">
                  <c:v>145</c:v>
                </c:pt>
                <c:pt idx="58">
                  <c:v>145</c:v>
                </c:pt>
                <c:pt idx="59">
                  <c:v>145</c:v>
                </c:pt>
                <c:pt idx="60">
                  <c:v>145</c:v>
                </c:pt>
                <c:pt idx="61">
                  <c:v>150</c:v>
                </c:pt>
                <c:pt idx="62">
                  <c:v>155</c:v>
                </c:pt>
                <c:pt idx="64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C469-45C4-B0D2-EA024AC8D742}"/>
            </c:ext>
          </c:extLst>
        </c:ser>
        <c:ser>
          <c:idx val="25"/>
          <c:order val="25"/>
          <c:tx>
            <c:strRef>
              <c:f>Dominance!$AA$3:$AA$4</c:f>
              <c:strCache>
                <c:ptCount val="1"/>
                <c:pt idx="0">
                  <c:v>Southern Enedwaith</c:v>
                </c:pt>
              </c:strCache>
            </c:strRef>
          </c:tx>
          <c:spPr>
            <a:ln w="28575" cap="rnd">
              <a:solidFill>
                <a:srgbClr val="FFCCCC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Dominance!$AA$5:$AA$175</c:f>
              <c:numCache>
                <c:formatCode>General</c:formatCode>
                <c:ptCount val="170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469-45C4-B0D2-EA024AC8D742}"/>
            </c:ext>
          </c:extLst>
        </c:ser>
        <c:ser>
          <c:idx val="26"/>
          <c:order val="26"/>
          <c:tx>
            <c:strRef>
              <c:f>Dominance!$AB$3:$AB$4</c:f>
              <c:strCache>
                <c:ptCount val="1"/>
                <c:pt idx="0">
                  <c:v>Variags (Khand)</c:v>
                </c:pt>
              </c:strCache>
            </c:strRef>
          </c:tx>
          <c:spPr>
            <a:ln w="28575" cap="rnd">
              <a:solidFill>
                <a:srgbClr val="FFCC99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Dominance!$AB$5:$AB$175</c:f>
              <c:numCache>
                <c:formatCode>General</c:formatCode>
                <c:ptCount val="1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8</c:v>
                </c:pt>
                <c:pt idx="22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C469-45C4-B0D2-EA024AC8D742}"/>
            </c:ext>
          </c:extLst>
        </c:ser>
        <c:ser>
          <c:idx val="27"/>
          <c:order val="27"/>
          <c:tx>
            <c:strRef>
              <c:f>Dominance!$AC$3:$AC$4</c:f>
              <c:strCache>
                <c:ptCount val="1"/>
                <c:pt idx="0">
                  <c:v>Woodland Realm</c:v>
                </c:pt>
              </c:strCache>
            </c:strRef>
          </c:tx>
          <c:spPr>
            <a:ln w="50800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Dominance!$AC$5:$AC$175</c:f>
              <c:numCache>
                <c:formatCode>General</c:formatCode>
                <c:ptCount val="17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15</c:v>
                </c:pt>
                <c:pt idx="8">
                  <c:v>14</c:v>
                </c:pt>
                <c:pt idx="9">
                  <c:v>14</c:v>
                </c:pt>
                <c:pt idx="10">
                  <c:v>19</c:v>
                </c:pt>
                <c:pt idx="11">
                  <c:v>19</c:v>
                </c:pt>
                <c:pt idx="12">
                  <c:v>19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29</c:v>
                </c:pt>
                <c:pt idx="17">
                  <c:v>29</c:v>
                </c:pt>
                <c:pt idx="18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469-45C4-B0D2-EA024AC8D742}"/>
            </c:ext>
          </c:extLst>
        </c:ser>
        <c:ser>
          <c:idx val="28"/>
          <c:order val="28"/>
          <c:tx>
            <c:strRef>
              <c:f>Dominance!$AD$3:$AD$4</c:f>
              <c:strCache>
                <c:ptCount val="1"/>
                <c:pt idx="0">
                  <c:v>#N/A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Dominance!$A$5:$A$175</c:f>
              <c:strCache>
                <c:ptCount val="17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86</c:v>
                </c:pt>
                <c:pt idx="85">
                  <c:v>87</c:v>
                </c:pt>
                <c:pt idx="86">
                  <c:v>88</c:v>
                </c:pt>
                <c:pt idx="87">
                  <c:v>89</c:v>
                </c:pt>
                <c:pt idx="88">
                  <c:v>90</c:v>
                </c:pt>
                <c:pt idx="89">
                  <c:v>91</c:v>
                </c:pt>
                <c:pt idx="90">
                  <c:v>92</c:v>
                </c:pt>
                <c:pt idx="91">
                  <c:v>93</c:v>
                </c:pt>
                <c:pt idx="92">
                  <c:v>94</c:v>
                </c:pt>
                <c:pt idx="93">
                  <c:v>95</c:v>
                </c:pt>
                <c:pt idx="94">
                  <c:v>96</c:v>
                </c:pt>
                <c:pt idx="95">
                  <c:v>97</c:v>
                </c:pt>
                <c:pt idx="96">
                  <c:v>98</c:v>
                </c:pt>
                <c:pt idx="97">
                  <c:v>99</c:v>
                </c:pt>
                <c:pt idx="98">
                  <c:v>100</c:v>
                </c:pt>
                <c:pt idx="99">
                  <c:v>101</c:v>
                </c:pt>
                <c:pt idx="100">
                  <c:v>102</c:v>
                </c:pt>
                <c:pt idx="101">
                  <c:v>103</c:v>
                </c:pt>
                <c:pt idx="102">
                  <c:v>104</c:v>
                </c:pt>
                <c:pt idx="103">
                  <c:v>105</c:v>
                </c:pt>
                <c:pt idx="104">
                  <c:v>106</c:v>
                </c:pt>
                <c:pt idx="105">
                  <c:v>107</c:v>
                </c:pt>
                <c:pt idx="106">
                  <c:v>108</c:v>
                </c:pt>
                <c:pt idx="107">
                  <c:v>109</c:v>
                </c:pt>
                <c:pt idx="108">
                  <c:v>110</c:v>
                </c:pt>
                <c:pt idx="109">
                  <c:v>111</c:v>
                </c:pt>
                <c:pt idx="110">
                  <c:v>112</c:v>
                </c:pt>
                <c:pt idx="111">
                  <c:v>113</c:v>
                </c:pt>
                <c:pt idx="112">
                  <c:v>114</c:v>
                </c:pt>
                <c:pt idx="113">
                  <c:v>115</c:v>
                </c:pt>
                <c:pt idx="114">
                  <c:v>116</c:v>
                </c:pt>
                <c:pt idx="115">
                  <c:v>117</c:v>
                </c:pt>
                <c:pt idx="116">
                  <c:v>118</c:v>
                </c:pt>
                <c:pt idx="117">
                  <c:v>119</c:v>
                </c:pt>
                <c:pt idx="118">
                  <c:v>120</c:v>
                </c:pt>
                <c:pt idx="119">
                  <c:v>121</c:v>
                </c:pt>
                <c:pt idx="120">
                  <c:v>122</c:v>
                </c:pt>
                <c:pt idx="121">
                  <c:v>123</c:v>
                </c:pt>
                <c:pt idx="122">
                  <c:v>124</c:v>
                </c:pt>
                <c:pt idx="123">
                  <c:v>125</c:v>
                </c:pt>
                <c:pt idx="124">
                  <c:v>126</c:v>
                </c:pt>
                <c:pt idx="125">
                  <c:v>127</c:v>
                </c:pt>
                <c:pt idx="126">
                  <c:v>128</c:v>
                </c:pt>
                <c:pt idx="127">
                  <c:v>129</c:v>
                </c:pt>
                <c:pt idx="128">
                  <c:v>130</c:v>
                </c:pt>
                <c:pt idx="129">
                  <c:v>131</c:v>
                </c:pt>
                <c:pt idx="130">
                  <c:v>132</c:v>
                </c:pt>
                <c:pt idx="131">
                  <c:v>133</c:v>
                </c:pt>
                <c:pt idx="132">
                  <c:v>134</c:v>
                </c:pt>
                <c:pt idx="133">
                  <c:v>135</c:v>
                </c:pt>
                <c:pt idx="134">
                  <c:v>136</c:v>
                </c:pt>
                <c:pt idx="135">
                  <c:v>137</c:v>
                </c:pt>
                <c:pt idx="136">
                  <c:v>138</c:v>
                </c:pt>
                <c:pt idx="137">
                  <c:v>139</c:v>
                </c:pt>
                <c:pt idx="138">
                  <c:v>140</c:v>
                </c:pt>
                <c:pt idx="139">
                  <c:v>141</c:v>
                </c:pt>
                <c:pt idx="140">
                  <c:v>142</c:v>
                </c:pt>
                <c:pt idx="141">
                  <c:v>143</c:v>
                </c:pt>
                <c:pt idx="142">
                  <c:v>144</c:v>
                </c:pt>
                <c:pt idx="143">
                  <c:v>145</c:v>
                </c:pt>
                <c:pt idx="144">
                  <c:v>146</c:v>
                </c:pt>
                <c:pt idx="145">
                  <c:v>147</c:v>
                </c:pt>
                <c:pt idx="146">
                  <c:v>148</c:v>
                </c:pt>
                <c:pt idx="147">
                  <c:v>149</c:v>
                </c:pt>
                <c:pt idx="148">
                  <c:v>150</c:v>
                </c:pt>
                <c:pt idx="149">
                  <c:v>151</c:v>
                </c:pt>
                <c:pt idx="150">
                  <c:v>152</c:v>
                </c:pt>
                <c:pt idx="151">
                  <c:v>153</c:v>
                </c:pt>
                <c:pt idx="152">
                  <c:v>154</c:v>
                </c:pt>
                <c:pt idx="153">
                  <c:v>155</c:v>
                </c:pt>
                <c:pt idx="154">
                  <c:v>156</c:v>
                </c:pt>
                <c:pt idx="155">
                  <c:v>157</c:v>
                </c:pt>
                <c:pt idx="156">
                  <c:v>158</c:v>
                </c:pt>
                <c:pt idx="157">
                  <c:v>159</c:v>
                </c:pt>
                <c:pt idx="158">
                  <c:v>160</c:v>
                </c:pt>
                <c:pt idx="159">
                  <c:v>161</c:v>
                </c:pt>
                <c:pt idx="160">
                  <c:v>162</c:v>
                </c:pt>
                <c:pt idx="161">
                  <c:v>163</c:v>
                </c:pt>
                <c:pt idx="162">
                  <c:v>164</c:v>
                </c:pt>
                <c:pt idx="163">
                  <c:v>165</c:v>
                </c:pt>
                <c:pt idx="164">
                  <c:v>166</c:v>
                </c:pt>
                <c:pt idx="165">
                  <c:v>167</c:v>
                </c:pt>
                <c:pt idx="166">
                  <c:v>168</c:v>
                </c:pt>
                <c:pt idx="167">
                  <c:v>169</c:v>
                </c:pt>
                <c:pt idx="168">
                  <c:v>170</c:v>
                </c:pt>
                <c:pt idx="169">
                  <c:v>(blank)</c:v>
                </c:pt>
              </c:strCache>
            </c:strRef>
          </c:cat>
          <c:val>
            <c:numRef>
              <c:f>Dominance!$AD$5:$AD$175</c:f>
              <c:numCache>
                <c:formatCode>General</c:formatCode>
                <c:ptCount val="17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F72C-41FD-9754-2342D4F08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9400015"/>
        <c:axId val="1469399535"/>
      </c:lineChart>
      <c:catAx>
        <c:axId val="1469400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399535"/>
        <c:crosses val="autoZero"/>
        <c:auto val="1"/>
        <c:lblAlgn val="ctr"/>
        <c:lblOffset val="100"/>
        <c:noMultiLvlLbl val="0"/>
      </c:catAx>
      <c:valAx>
        <c:axId val="146939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9400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630547642559824"/>
          <c:y val="6.5884296411830301E-2"/>
          <c:w val="0.19535212161952079"/>
          <c:h val="0.84568488843047973"/>
        </c:manualLayout>
      </c:layout>
      <c:overlay val="0"/>
      <c:spPr>
        <a:noFill/>
        <a:ln>
          <a:solidFill>
            <a:schemeClr val="tx2">
              <a:lumMod val="10000"/>
              <a:lumOff val="9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304798</xdr:colOff>
      <xdr:row>0</xdr:row>
      <xdr:rowOff>142875</xdr:rowOff>
    </xdr:from>
    <xdr:to>
      <xdr:col>11</xdr:col>
      <xdr:colOff>390524</xdr:colOff>
      <xdr:row>31</xdr:row>
      <xdr:rowOff>76202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BB8C9C3-8B91-464D-8CE8-1F5203DE99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210792</xdr:colOff>
      <xdr:row>0</xdr:row>
      <xdr:rowOff>126723</xdr:rowOff>
    </xdr:from>
    <xdr:to>
      <xdr:col>11</xdr:col>
      <xdr:colOff>495300</xdr:colOff>
      <xdr:row>31</xdr:row>
      <xdr:rowOff>183873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DF7B05-59AB-41C9-B763-C2DC3E680A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296518</xdr:colOff>
      <xdr:row>0</xdr:row>
      <xdr:rowOff>126723</xdr:rowOff>
    </xdr:from>
    <xdr:to>
      <xdr:col>12</xdr:col>
      <xdr:colOff>47625</xdr:colOff>
      <xdr:row>31</xdr:row>
      <xdr:rowOff>183873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717A5-8C1E-A9D3-1792-1E7B3C781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ph Bronikowski" refreshedDate="45780.567113541663" createdVersion="8" refreshedVersion="8" minRefreshableVersion="3" recordCount="6592" xr:uid="{162C5084-FBA9-4DE3-A679-15349DE43E28}">
  <cacheSource type="worksheet">
    <worksheetSource name="Campaign_Series"/>
  </cacheSource>
  <cacheFields count="10">
    <cacheField name="Turn" numFmtId="0">
      <sharedItems containsString="0" containsBlank="1" containsNumber="1" containsInteger="1" minValue="1" maxValue="190" count="189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m/>
        <n v="85" u="1"/>
        <n v="172" u="1"/>
        <n v="178" u="1"/>
        <n v="182" u="1"/>
        <n v="184" u="1"/>
        <n v="171" u="1"/>
        <n v="173" u="1"/>
        <n v="175" u="1"/>
        <n v="176" u="1"/>
        <n v="177" u="1"/>
        <n v="180" u="1"/>
        <n v="181" u="1"/>
        <n v="183" u="1"/>
        <n v="185" u="1"/>
        <n v="186" u="1"/>
        <n v="187" u="1"/>
        <n v="188" u="1"/>
        <n v="189" u="1"/>
        <n v="190" u="1"/>
      </sharedItems>
    </cacheField>
    <cacheField name="Faction ID" numFmtId="0">
      <sharedItems containsBlank="1"/>
    </cacheField>
    <cacheField name="Prestige" numFmtId="0">
      <sharedItems containsString="0" containsBlank="1" containsNumber="1" containsInteger="1" minValue="0" maxValue="1420"/>
    </cacheField>
    <cacheField name="Regions" numFmtId="0">
      <sharedItems containsString="0" containsBlank="1" containsNumber="1" containsInteger="1" minValue="0" maxValue="75" count="72">
        <n v="11"/>
        <n v="19"/>
        <n v="12"/>
        <n v="3"/>
        <n v="14"/>
        <n v="6"/>
        <n v="9"/>
        <n v="1"/>
        <n v="5"/>
        <n v="4"/>
        <n v="2"/>
        <n v="0"/>
        <n v="8"/>
        <n v="7"/>
        <n v="16"/>
        <n v="15"/>
        <n v="13"/>
        <n v="10"/>
        <n v="18"/>
        <n v="24"/>
        <n v="17"/>
        <n v="25"/>
        <n v="31"/>
        <n v="32"/>
        <n v="30"/>
        <n v="20"/>
        <n v="33"/>
        <n v="21"/>
        <n v="22"/>
        <n v="23"/>
        <n v="26"/>
        <n v="28"/>
        <n v="27"/>
        <n v="29"/>
        <n v="36"/>
        <n v="35"/>
        <n v="37"/>
        <n v="38"/>
        <n v="39"/>
        <n v="41"/>
        <n v="43"/>
        <n v="44"/>
        <n v="45"/>
        <n v="47"/>
        <n v="48"/>
        <n v="50"/>
        <n v="52"/>
        <n v="59"/>
        <n v="62"/>
        <n v="63"/>
        <n v="64"/>
        <n v="65"/>
        <n v="68"/>
        <n v="70"/>
        <n v="71"/>
        <n v="72"/>
        <n v="73"/>
        <n v="75"/>
        <m/>
        <n v="34" u="1"/>
        <n v="40" u="1"/>
        <n v="46" u="1"/>
        <n v="42" u="1"/>
        <n v="51" u="1"/>
        <n v="49" u="1"/>
        <n v="53" u="1"/>
        <n v="54" u="1"/>
        <n v="56" u="1"/>
        <n v="57" u="1"/>
        <n v="60" u="1"/>
        <n v="67" u="1"/>
        <n v="69" u="1"/>
      </sharedItems>
    </cacheField>
    <cacheField name="Strength" numFmtId="0">
      <sharedItems containsString="0" containsBlank="1" containsNumber="1" minValue="0" maxValue="1028.0999999999999"/>
    </cacheField>
    <cacheField name="Treasury" numFmtId="0">
      <sharedItems containsString="0" containsBlank="1" containsNumber="1" containsInteger="1" minValue="40" maxValue="1288224"/>
    </cacheField>
    <cacheField name="Net Income" numFmtId="0">
      <sharedItems containsString="0" containsBlank="1" containsNumber="1" containsInteger="1" minValue="1750" maxValue="225545"/>
    </cacheField>
    <cacheField name="Trade Income" numFmtId="0">
      <sharedItems containsString="0" containsBlank="1" containsNumber="1" containsInteger="1" minValue="0" maxValue="18734"/>
    </cacheField>
    <cacheField name="Faction Strength = Sum of strengths of Field and Garrison armies and navies (slightly adjusted for force rank)" numFmtId="0">
      <sharedItems containsNonDate="0" containsString="0" containsBlank="1"/>
    </cacheField>
    <cacheField name="Faction" numFmtId="0">
      <sharedItems containsMixedTypes="1" containsNumber="1" containsInteger="1" minValue="0" maxValue="0" count="33">
        <s v="Mordor"/>
        <s v="Gondor"/>
        <s v="Dale"/>
        <s v="Erebor"/>
        <s v="Rohan"/>
        <s v="Dol Guldur"/>
        <s v="Anduin Vale"/>
        <s v="Isengard"/>
        <s v="Woodland Realm"/>
        <s v="Lothlorien"/>
        <s v="Variags (Khand)"/>
        <s v="Corsairs of Umbar"/>
        <s v="Mahud"/>
        <s v="Haradrim"/>
        <s v="Dunlendings"/>
        <s v="Haerrim"/>
        <s v="Goblins"/>
        <s v="Balchoth"/>
        <s v="Rhurim/Rhun"/>
        <s v="Feredrim"/>
        <s v="Rachrohir (Wainriders)"/>
        <s v="Blacklock-Stonefoot League"/>
        <s v="Ironfist-Stiffbeard Union"/>
        <s v="Gundabad"/>
        <s v="Scouts of Rohan"/>
        <s v="Northern Enedwaith"/>
        <s v="Southern Enedwaith"/>
        <s v="Druedain"/>
        <s v="Harondor"/>
        <s v="Southron Nomads"/>
        <s v="_"/>
        <e v="#N/A"/>
        <n v="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92">
  <r>
    <x v="0"/>
    <s v="rom_fact_mordor"/>
    <n v="22"/>
    <x v="0"/>
    <n v="95"/>
    <n v="322"/>
    <n v="8644"/>
    <n v="400"/>
    <m/>
    <x v="0"/>
  </r>
  <r>
    <x v="0"/>
    <s v="rom_fact_gondor"/>
    <n v="26"/>
    <x v="1"/>
    <n v="169"/>
    <n v="8000"/>
    <n v="13494"/>
    <n v="0"/>
    <m/>
    <x v="1"/>
  </r>
  <r>
    <x v="0"/>
    <s v="rom_fact_dale"/>
    <n v="17"/>
    <x v="2"/>
    <n v="86"/>
    <n v="6000"/>
    <n v="8329"/>
    <n v="0"/>
    <m/>
    <x v="2"/>
  </r>
  <r>
    <x v="0"/>
    <s v="rom_fact_erebor"/>
    <n v="5"/>
    <x v="3"/>
    <n v="30"/>
    <n v="6000"/>
    <n v="7250"/>
    <n v="0"/>
    <m/>
    <x v="3"/>
  </r>
  <r>
    <x v="0"/>
    <s v="rom_fact_rohan"/>
    <n v="19"/>
    <x v="4"/>
    <n v="99"/>
    <n v="5000"/>
    <n v="6677"/>
    <n v="0"/>
    <m/>
    <x v="4"/>
  </r>
  <r>
    <x v="0"/>
    <s v="rom_fact_dol_guldur"/>
    <n v="9"/>
    <x v="5"/>
    <n v="48"/>
    <n v="4000"/>
    <n v="6938"/>
    <n v="0"/>
    <m/>
    <x v="5"/>
  </r>
  <r>
    <x v="0"/>
    <s v="rom_fact_anduin_vale"/>
    <n v="14"/>
    <x v="6"/>
    <n v="72"/>
    <n v="4000"/>
    <n v="7910"/>
    <n v="0"/>
    <m/>
    <x v="6"/>
  </r>
  <r>
    <x v="0"/>
    <s v="rom_fact_isengard"/>
    <n v="3"/>
    <x v="7"/>
    <n v="18"/>
    <n v="6000"/>
    <n v="3975"/>
    <n v="0"/>
    <m/>
    <x v="7"/>
  </r>
  <r>
    <x v="0"/>
    <s v="rom_fact_woodland_realm"/>
    <n v="5"/>
    <x v="3"/>
    <n v="28"/>
    <n v="5000"/>
    <n v="6233"/>
    <n v="0"/>
    <m/>
    <x v="8"/>
  </r>
  <r>
    <x v="0"/>
    <s v="rom_fact_lothlorien"/>
    <n v="5"/>
    <x v="3"/>
    <n v="24"/>
    <n v="4000"/>
    <n v="5216"/>
    <n v="0"/>
    <m/>
    <x v="9"/>
  </r>
  <r>
    <x v="0"/>
    <s v="rom_fact_khand"/>
    <n v="5"/>
    <x v="3"/>
    <n v="23"/>
    <n v="4000"/>
    <n v="4079"/>
    <n v="133"/>
    <m/>
    <x v="10"/>
  </r>
  <r>
    <x v="0"/>
    <s v="rom_fact_umbar"/>
    <n v="7"/>
    <x v="8"/>
    <n v="34"/>
    <n v="4000"/>
    <n v="5907"/>
    <n v="0"/>
    <m/>
    <x v="11"/>
  </r>
  <r>
    <x v="0"/>
    <s v="rom_fact_mahuds"/>
    <n v="5"/>
    <x v="3"/>
    <n v="24"/>
    <n v="4000"/>
    <n v="3943"/>
    <n v="0"/>
    <m/>
    <x v="12"/>
  </r>
  <r>
    <x v="0"/>
    <s v="rom_fact_harad"/>
    <n v="9"/>
    <x v="5"/>
    <n v="42"/>
    <n v="6000"/>
    <n v="5599"/>
    <n v="0"/>
    <m/>
    <x v="13"/>
  </r>
  <r>
    <x v="0"/>
    <s v="rom_fact_dunland"/>
    <n v="7"/>
    <x v="9"/>
    <n v="39"/>
    <n v="5000"/>
    <n v="7210"/>
    <n v="0"/>
    <m/>
    <x v="14"/>
  </r>
  <r>
    <x v="0"/>
    <s v="rom_fact_haerrim"/>
    <n v="7"/>
    <x v="9"/>
    <n v="35"/>
    <n v="4000"/>
    <n v="5245"/>
    <n v="0"/>
    <m/>
    <x v="15"/>
  </r>
  <r>
    <x v="0"/>
    <s v="rom_fact_goblins"/>
    <n v="9"/>
    <x v="5"/>
    <n v="51"/>
    <n v="4000"/>
    <n v="5831"/>
    <n v="0"/>
    <m/>
    <x v="16"/>
  </r>
  <r>
    <x v="0"/>
    <s v="rom_fact_balchoth"/>
    <n v="7"/>
    <x v="9"/>
    <n v="34"/>
    <n v="4000"/>
    <n v="5373"/>
    <n v="0"/>
    <m/>
    <x v="17"/>
  </r>
  <r>
    <x v="0"/>
    <s v="rom_fact_rhurim"/>
    <n v="9"/>
    <x v="9"/>
    <n v="32"/>
    <n v="5000"/>
    <n v="5754"/>
    <n v="136"/>
    <m/>
    <x v="18"/>
  </r>
  <r>
    <x v="0"/>
    <s v="rom_fact_feredrim"/>
    <n v="5"/>
    <x v="9"/>
    <n v="31"/>
    <n v="4000"/>
    <n v="4131"/>
    <n v="0"/>
    <m/>
    <x v="19"/>
  </r>
  <r>
    <x v="0"/>
    <s v="rom_fact_wainriders"/>
    <n v="5"/>
    <x v="3"/>
    <n v="22"/>
    <n v="4000"/>
    <n v="3846"/>
    <n v="0"/>
    <m/>
    <x v="20"/>
  </r>
  <r>
    <x v="0"/>
    <s v="rom_fact_blacklock"/>
    <n v="5"/>
    <x v="3"/>
    <n v="24"/>
    <n v="4000"/>
    <n v="4604"/>
    <n v="0"/>
    <m/>
    <x v="21"/>
  </r>
  <r>
    <x v="0"/>
    <s v="rom_fact_ironfist"/>
    <n v="4"/>
    <x v="10"/>
    <n v="17"/>
    <n v="4000"/>
    <n v="3398"/>
    <n v="0"/>
    <m/>
    <x v="22"/>
  </r>
  <r>
    <x v="0"/>
    <s v="rom_fact_gundabad"/>
    <n v="8"/>
    <x v="8"/>
    <n v="51"/>
    <n v="5000"/>
    <n v="6997"/>
    <n v="0"/>
    <m/>
    <x v="23"/>
  </r>
  <r>
    <x v="0"/>
    <s v="rom_fact_rohan_scouts"/>
    <n v="0"/>
    <x v="11"/>
    <n v="3"/>
    <n v="4000"/>
    <n v="2379"/>
    <n v="0"/>
    <m/>
    <x v="24"/>
  </r>
  <r>
    <x v="0"/>
    <s v="rom_fact_northern_enedwaith"/>
    <n v="2"/>
    <x v="7"/>
    <n v="11"/>
    <n v="3000"/>
    <n v="3169"/>
    <n v="0"/>
    <m/>
    <x v="25"/>
  </r>
  <r>
    <x v="0"/>
    <s v="rom_fact_southern_enedwaith"/>
    <n v="3"/>
    <x v="10"/>
    <n v="16"/>
    <n v="3000"/>
    <n v="3200"/>
    <n v="0"/>
    <m/>
    <x v="26"/>
  </r>
  <r>
    <x v="0"/>
    <s v="rom_fact_druedain"/>
    <n v="4"/>
    <x v="10"/>
    <n v="21"/>
    <n v="4000"/>
    <n v="3590"/>
    <n v="0"/>
    <m/>
    <x v="27"/>
  </r>
  <r>
    <x v="0"/>
    <s v="rom_fact_harondor"/>
    <n v="4"/>
    <x v="10"/>
    <n v="18"/>
    <n v="4000"/>
    <n v="3562"/>
    <n v="131"/>
    <m/>
    <x v="28"/>
  </r>
  <r>
    <x v="0"/>
    <s v="rom_fact_southron_nomads"/>
    <n v="0"/>
    <x v="11"/>
    <n v="0"/>
    <n v="4000"/>
    <n v="1750"/>
    <n v="0"/>
    <m/>
    <x v="29"/>
  </r>
  <r>
    <x v="0"/>
    <s v="rom_fact_separatist_harad"/>
    <n v="0"/>
    <x v="11"/>
    <n v="0"/>
    <n v="4000"/>
    <n v="1750"/>
    <n v="0"/>
    <m/>
    <x v="30"/>
  </r>
  <r>
    <x v="0"/>
    <s v="rom_fact_separatist_khand"/>
    <n v="0"/>
    <x v="11"/>
    <n v="0"/>
    <n v="4000"/>
    <n v="1750"/>
    <n v="0"/>
    <m/>
    <x v="30"/>
  </r>
  <r>
    <x v="0"/>
    <s v="rom_fact_separatist_balchoth"/>
    <n v="0"/>
    <x v="11"/>
    <n v="0"/>
    <n v="4000"/>
    <n v="1750"/>
    <n v="0"/>
    <m/>
    <x v="30"/>
  </r>
  <r>
    <x v="0"/>
    <s v="rom_fact_separatist_feredrim"/>
    <n v="0"/>
    <x v="11"/>
    <n v="0"/>
    <n v="4000"/>
    <n v="1750"/>
    <n v="0"/>
    <m/>
    <x v="30"/>
  </r>
  <r>
    <x v="0"/>
    <s v="rom_fact_separatist_haerrim"/>
    <n v="0"/>
    <x v="11"/>
    <n v="0"/>
    <n v="4000"/>
    <n v="1750"/>
    <n v="0"/>
    <m/>
    <x v="30"/>
  </r>
  <r>
    <x v="0"/>
    <s v="rom_fact_separatist_wainriders"/>
    <n v="0"/>
    <x v="11"/>
    <n v="0"/>
    <n v="4000"/>
    <n v="1750"/>
    <n v="0"/>
    <m/>
    <x v="30"/>
  </r>
  <r>
    <x v="0"/>
    <s v="rom_fact_separatist_rhurim"/>
    <n v="0"/>
    <x v="11"/>
    <n v="0"/>
    <n v="4000"/>
    <n v="1750"/>
    <n v="0"/>
    <m/>
    <x v="30"/>
  </r>
  <r>
    <x v="0"/>
    <s v="rom_fact_separatist_mahuds"/>
    <n v="0"/>
    <x v="11"/>
    <n v="0"/>
    <n v="4000"/>
    <n v="1750"/>
    <n v="0"/>
    <m/>
    <x v="30"/>
  </r>
  <r>
    <x v="0"/>
    <s v="rom_fact_separatist_umbar"/>
    <n v="0"/>
    <x v="11"/>
    <n v="0"/>
    <n v="4000"/>
    <n v="1750"/>
    <n v="0"/>
    <m/>
    <x v="30"/>
  </r>
  <r>
    <x v="1"/>
    <s v="rom_fact_mordor"/>
    <n v="22"/>
    <x v="0"/>
    <n v="100"/>
    <n v="1096"/>
    <n v="9170"/>
    <n v="409"/>
    <m/>
    <x v="0"/>
  </r>
  <r>
    <x v="1"/>
    <s v="rom_fact_gondor"/>
    <n v="26"/>
    <x v="1"/>
    <n v="171"/>
    <n v="12888"/>
    <n v="14397"/>
    <n v="0"/>
    <m/>
    <x v="1"/>
  </r>
  <r>
    <x v="1"/>
    <s v="rom_fact_dale"/>
    <n v="17"/>
    <x v="2"/>
    <n v="85"/>
    <n v="11868"/>
    <n v="8012"/>
    <n v="0"/>
    <m/>
    <x v="2"/>
  </r>
  <r>
    <x v="1"/>
    <s v="rom_fact_erebor"/>
    <n v="5"/>
    <x v="3"/>
    <n v="33"/>
    <n v="8055"/>
    <n v="7343"/>
    <n v="0"/>
    <m/>
    <x v="3"/>
  </r>
  <r>
    <x v="1"/>
    <s v="rom_fact_rohan"/>
    <n v="19"/>
    <x v="4"/>
    <n v="100"/>
    <n v="9056"/>
    <n v="6456"/>
    <n v="0"/>
    <m/>
    <x v="4"/>
  </r>
  <r>
    <x v="1"/>
    <s v="rom_fact_dol_guldur"/>
    <n v="9"/>
    <x v="5"/>
    <n v="48"/>
    <n v="7026"/>
    <n v="6938"/>
    <n v="0"/>
    <m/>
    <x v="5"/>
  </r>
  <r>
    <x v="1"/>
    <s v="rom_fact_anduin_vale"/>
    <n v="14"/>
    <x v="6"/>
    <n v="73"/>
    <n v="5743"/>
    <n v="8203"/>
    <n v="0"/>
    <m/>
    <x v="6"/>
  </r>
  <r>
    <x v="1"/>
    <s v="rom_fact_isengard"/>
    <n v="3"/>
    <x v="7"/>
    <n v="19"/>
    <n v="6083"/>
    <n v="4077"/>
    <n v="0"/>
    <m/>
    <x v="7"/>
  </r>
  <r>
    <x v="1"/>
    <s v="rom_fact_woodland_realm"/>
    <n v="5"/>
    <x v="3"/>
    <n v="29"/>
    <n v="4928"/>
    <n v="6356"/>
    <n v="0"/>
    <m/>
    <x v="8"/>
  </r>
  <r>
    <x v="1"/>
    <s v="rom_fact_lothlorien"/>
    <n v="5"/>
    <x v="3"/>
    <n v="24"/>
    <n v="4864"/>
    <n v="5489"/>
    <n v="0"/>
    <m/>
    <x v="9"/>
  </r>
  <r>
    <x v="1"/>
    <s v="rom_fact_khand"/>
    <n v="5"/>
    <x v="3"/>
    <n v="23"/>
    <n v="4919"/>
    <n v="4187"/>
    <n v="136"/>
    <m/>
    <x v="10"/>
  </r>
  <r>
    <x v="1"/>
    <s v="rom_fact_umbar"/>
    <n v="7"/>
    <x v="8"/>
    <n v="36"/>
    <n v="6896"/>
    <n v="6520"/>
    <n v="0"/>
    <m/>
    <x v="11"/>
  </r>
  <r>
    <x v="1"/>
    <s v="rom_fact_mahuds"/>
    <n v="5"/>
    <x v="3"/>
    <n v="26"/>
    <n v="3378"/>
    <n v="4177"/>
    <n v="0"/>
    <m/>
    <x v="12"/>
  </r>
  <r>
    <x v="1"/>
    <s v="rom_fact_harad"/>
    <n v="9"/>
    <x v="5"/>
    <n v="40"/>
    <n v="8565"/>
    <n v="5362"/>
    <n v="0"/>
    <m/>
    <x v="13"/>
  </r>
  <r>
    <x v="1"/>
    <s v="rom_fact_dunland"/>
    <n v="7"/>
    <x v="9"/>
    <n v="39"/>
    <n v="6945"/>
    <n v="7124"/>
    <n v="0"/>
    <m/>
    <x v="14"/>
  </r>
  <r>
    <x v="1"/>
    <s v="rom_fact_haerrim"/>
    <n v="7"/>
    <x v="9"/>
    <n v="35"/>
    <n v="6352"/>
    <n v="5054"/>
    <n v="0"/>
    <m/>
    <x v="15"/>
  </r>
  <r>
    <x v="1"/>
    <s v="rom_fact_goblins"/>
    <n v="9"/>
    <x v="5"/>
    <n v="52"/>
    <n v="5038"/>
    <n v="6048"/>
    <n v="0"/>
    <m/>
    <x v="16"/>
  </r>
  <r>
    <x v="1"/>
    <s v="rom_fact_balchoth"/>
    <n v="7"/>
    <x v="9"/>
    <n v="29"/>
    <n v="5988"/>
    <n v="4628"/>
    <n v="0"/>
    <m/>
    <x v="17"/>
  </r>
  <r>
    <x v="1"/>
    <s v="rom_fact_rhurim"/>
    <n v="9"/>
    <x v="9"/>
    <n v="34"/>
    <n v="5833"/>
    <n v="5772"/>
    <n v="139"/>
    <m/>
    <x v="18"/>
  </r>
  <r>
    <x v="1"/>
    <s v="rom_fact_feredrim"/>
    <n v="5"/>
    <x v="9"/>
    <n v="32"/>
    <n v="3596"/>
    <n v="4485"/>
    <n v="0"/>
    <m/>
    <x v="19"/>
  </r>
  <r>
    <x v="1"/>
    <s v="rom_fact_wainriders"/>
    <n v="5"/>
    <x v="3"/>
    <n v="22"/>
    <n v="4750"/>
    <n v="4265"/>
    <n v="0"/>
    <m/>
    <x v="20"/>
  </r>
  <r>
    <x v="1"/>
    <s v="rom_fact_blacklock"/>
    <n v="5"/>
    <x v="3"/>
    <n v="24"/>
    <n v="5836"/>
    <n v="4604"/>
    <n v="0"/>
    <m/>
    <x v="21"/>
  </r>
  <r>
    <x v="1"/>
    <s v="rom_fact_ironfist"/>
    <n v="4"/>
    <x v="10"/>
    <n v="17"/>
    <n v="5315"/>
    <n v="3398"/>
    <n v="0"/>
    <m/>
    <x v="22"/>
  </r>
  <r>
    <x v="1"/>
    <s v="rom_fact_gundabad"/>
    <n v="8"/>
    <x v="8"/>
    <n v="43"/>
    <n v="8312"/>
    <n v="6100"/>
    <n v="0"/>
    <m/>
    <x v="23"/>
  </r>
  <r>
    <x v="1"/>
    <s v="rom_fact_rohan_scouts"/>
    <n v="0"/>
    <x v="11"/>
    <n v="3"/>
    <n v="5121"/>
    <n v="2379"/>
    <n v="0"/>
    <m/>
    <x v="24"/>
  </r>
  <r>
    <x v="1"/>
    <s v="rom_fact_northern_enedwaith"/>
    <n v="2"/>
    <x v="7"/>
    <n v="11"/>
    <n v="4015"/>
    <n v="3261"/>
    <n v="0"/>
    <m/>
    <x v="25"/>
  </r>
  <r>
    <x v="1"/>
    <s v="rom_fact_southern_enedwaith"/>
    <n v="3"/>
    <x v="10"/>
    <n v="16"/>
    <n v="3002"/>
    <n v="3370"/>
    <n v="0"/>
    <m/>
    <x v="26"/>
  </r>
  <r>
    <x v="1"/>
    <s v="rom_fact_druedain"/>
    <n v="4"/>
    <x v="10"/>
    <n v="21"/>
    <n v="4050"/>
    <n v="3925"/>
    <n v="0"/>
    <m/>
    <x v="27"/>
  </r>
  <r>
    <x v="1"/>
    <s v="rom_fact_harondor"/>
    <n v="4"/>
    <x v="10"/>
    <n v="21"/>
    <n v="2976"/>
    <n v="4179"/>
    <n v="134"/>
    <m/>
    <x v="28"/>
  </r>
  <r>
    <x v="1"/>
    <s v="rom_fact_southron_nomads"/>
    <n v="0"/>
    <x v="11"/>
    <n v="0"/>
    <n v="4000"/>
    <n v="1750"/>
    <n v="0"/>
    <m/>
    <x v="29"/>
  </r>
  <r>
    <x v="1"/>
    <s v="rom_fact_separatist_harad"/>
    <n v="0"/>
    <x v="11"/>
    <n v="0"/>
    <n v="4000"/>
    <n v="1750"/>
    <n v="0"/>
    <m/>
    <x v="30"/>
  </r>
  <r>
    <x v="1"/>
    <s v="rom_fact_separatist_khand"/>
    <n v="0"/>
    <x v="11"/>
    <n v="0"/>
    <n v="4000"/>
    <n v="1750"/>
    <n v="0"/>
    <m/>
    <x v="30"/>
  </r>
  <r>
    <x v="1"/>
    <s v="rom_fact_separatist_balchoth"/>
    <n v="0"/>
    <x v="11"/>
    <n v="0"/>
    <n v="4000"/>
    <n v="1750"/>
    <n v="0"/>
    <m/>
    <x v="30"/>
  </r>
  <r>
    <x v="1"/>
    <s v="rom_fact_separatist_feredrim"/>
    <n v="0"/>
    <x v="11"/>
    <n v="0"/>
    <n v="4000"/>
    <n v="1750"/>
    <n v="0"/>
    <m/>
    <x v="30"/>
  </r>
  <r>
    <x v="1"/>
    <s v="rom_fact_separatist_haerrim"/>
    <n v="0"/>
    <x v="11"/>
    <n v="0"/>
    <n v="4000"/>
    <n v="1750"/>
    <n v="0"/>
    <m/>
    <x v="30"/>
  </r>
  <r>
    <x v="1"/>
    <s v="rom_fact_separatist_wainriders"/>
    <n v="0"/>
    <x v="11"/>
    <n v="0"/>
    <n v="4000"/>
    <n v="1750"/>
    <n v="0"/>
    <m/>
    <x v="30"/>
  </r>
  <r>
    <x v="1"/>
    <s v="rom_fact_separatist_rhurim"/>
    <n v="0"/>
    <x v="11"/>
    <n v="0"/>
    <n v="4000"/>
    <n v="1750"/>
    <n v="0"/>
    <m/>
    <x v="30"/>
  </r>
  <r>
    <x v="1"/>
    <s v="rom_fact_separatist_mahuds"/>
    <n v="0"/>
    <x v="11"/>
    <n v="0"/>
    <n v="4000"/>
    <n v="1750"/>
    <n v="0"/>
    <m/>
    <x v="30"/>
  </r>
  <r>
    <x v="1"/>
    <s v="rom_fact_separatist_umbar"/>
    <n v="0"/>
    <x v="11"/>
    <n v="0"/>
    <n v="4000"/>
    <n v="1750"/>
    <n v="0"/>
    <m/>
    <x v="30"/>
  </r>
  <r>
    <x v="2"/>
    <s v="rom_fact_mordor"/>
    <n v="22"/>
    <x v="0"/>
    <n v="106"/>
    <n v="3129"/>
    <n v="9873"/>
    <n v="549"/>
    <m/>
    <x v="0"/>
  </r>
  <r>
    <x v="2"/>
    <s v="rom_fact_gondor"/>
    <n v="26"/>
    <x v="1"/>
    <n v="174"/>
    <n v="18480"/>
    <n v="15109"/>
    <n v="450"/>
    <m/>
    <x v="1"/>
  </r>
  <r>
    <x v="2"/>
    <s v="rom_fact_dale"/>
    <n v="17"/>
    <x v="2"/>
    <n v="91"/>
    <n v="13343"/>
    <n v="8258"/>
    <n v="0"/>
    <m/>
    <x v="2"/>
  </r>
  <r>
    <x v="2"/>
    <s v="rom_fact_erebor"/>
    <n v="5"/>
    <x v="3"/>
    <n v="34"/>
    <n v="9962"/>
    <n v="7347"/>
    <n v="0"/>
    <m/>
    <x v="3"/>
  </r>
  <r>
    <x v="2"/>
    <s v="rom_fact_rohan"/>
    <n v="19"/>
    <x v="4"/>
    <n v="100"/>
    <n v="8042"/>
    <n v="6632"/>
    <n v="168"/>
    <m/>
    <x v="4"/>
  </r>
  <r>
    <x v="2"/>
    <s v="rom_fact_dol_guldur"/>
    <n v="9"/>
    <x v="5"/>
    <n v="48"/>
    <n v="9002"/>
    <n v="7070"/>
    <n v="0"/>
    <m/>
    <x v="5"/>
  </r>
  <r>
    <x v="2"/>
    <s v="rom_fact_anduin_vale"/>
    <n v="16"/>
    <x v="0"/>
    <n v="74"/>
    <n v="9369"/>
    <n v="7904"/>
    <n v="0"/>
    <m/>
    <x v="6"/>
  </r>
  <r>
    <x v="2"/>
    <s v="rom_fact_isengard"/>
    <n v="3"/>
    <x v="7"/>
    <n v="22"/>
    <n v="5942"/>
    <n v="4227"/>
    <n v="0"/>
    <m/>
    <x v="7"/>
  </r>
  <r>
    <x v="2"/>
    <s v="rom_fact_woodland_realm"/>
    <n v="5"/>
    <x v="3"/>
    <n v="31"/>
    <n v="5458"/>
    <n v="6610"/>
    <n v="0"/>
    <m/>
    <x v="8"/>
  </r>
  <r>
    <x v="2"/>
    <s v="rom_fact_lothlorien"/>
    <n v="5"/>
    <x v="3"/>
    <n v="25"/>
    <n v="5592"/>
    <n v="5952"/>
    <n v="0"/>
    <m/>
    <x v="9"/>
  </r>
  <r>
    <x v="2"/>
    <s v="rom_fact_khand"/>
    <n v="5"/>
    <x v="3"/>
    <n v="24"/>
    <n v="4902"/>
    <n v="4168"/>
    <n v="138"/>
    <m/>
    <x v="10"/>
  </r>
  <r>
    <x v="2"/>
    <s v="rom_fact_umbar"/>
    <n v="7"/>
    <x v="8"/>
    <n v="36"/>
    <n v="8655"/>
    <n v="6519"/>
    <n v="0"/>
    <m/>
    <x v="11"/>
  </r>
  <r>
    <x v="2"/>
    <s v="rom_fact_mahuds"/>
    <n v="5"/>
    <x v="3"/>
    <n v="29"/>
    <n v="3364"/>
    <n v="4271"/>
    <n v="0"/>
    <m/>
    <x v="12"/>
  </r>
  <r>
    <x v="2"/>
    <s v="rom_fact_harad"/>
    <n v="9"/>
    <x v="5"/>
    <n v="43"/>
    <n v="6866"/>
    <n v="5688"/>
    <n v="0"/>
    <m/>
    <x v="13"/>
  </r>
  <r>
    <x v="2"/>
    <s v="rom_fact_dunland"/>
    <n v="7"/>
    <x v="9"/>
    <n v="41"/>
    <n v="6540"/>
    <n v="7133"/>
    <n v="0"/>
    <m/>
    <x v="14"/>
  </r>
  <r>
    <x v="2"/>
    <s v="rom_fact_haerrim"/>
    <n v="0"/>
    <x v="11"/>
    <n v="0"/>
    <n v="5352"/>
    <n v="2738"/>
    <n v="0"/>
    <m/>
    <x v="15"/>
  </r>
  <r>
    <x v="2"/>
    <s v="rom_fact_goblins"/>
    <n v="9"/>
    <x v="5"/>
    <n v="52"/>
    <n v="8452"/>
    <n v="6015"/>
    <n v="0"/>
    <m/>
    <x v="16"/>
  </r>
  <r>
    <x v="2"/>
    <s v="rom_fact_balchoth"/>
    <n v="7"/>
    <x v="9"/>
    <n v="32"/>
    <n v="7599"/>
    <n v="5225"/>
    <n v="0"/>
    <m/>
    <x v="17"/>
  </r>
  <r>
    <x v="2"/>
    <s v="rom_fact_rhurim"/>
    <n v="15"/>
    <x v="12"/>
    <n v="48"/>
    <n v="10499"/>
    <n v="8660"/>
    <n v="154"/>
    <m/>
    <x v="18"/>
  </r>
  <r>
    <x v="2"/>
    <s v="rom_fact_feredrim"/>
    <n v="5"/>
    <x v="9"/>
    <n v="34"/>
    <n v="5672"/>
    <n v="4757"/>
    <n v="0"/>
    <m/>
    <x v="19"/>
  </r>
  <r>
    <x v="2"/>
    <s v="rom_fact_wainriders"/>
    <n v="5"/>
    <x v="3"/>
    <n v="22"/>
    <n v="5570"/>
    <n v="4175"/>
    <n v="0"/>
    <m/>
    <x v="20"/>
  </r>
  <r>
    <x v="2"/>
    <s v="rom_fact_blacklock"/>
    <n v="5"/>
    <x v="3"/>
    <n v="25"/>
    <n v="6162"/>
    <n v="4730"/>
    <n v="0"/>
    <m/>
    <x v="21"/>
  </r>
  <r>
    <x v="2"/>
    <s v="rom_fact_ironfist"/>
    <n v="4"/>
    <x v="10"/>
    <n v="18"/>
    <n v="3624"/>
    <n v="3689"/>
    <n v="0"/>
    <m/>
    <x v="22"/>
  </r>
  <r>
    <x v="2"/>
    <s v="rom_fact_gundabad"/>
    <n v="8"/>
    <x v="8"/>
    <n v="44"/>
    <n v="8108"/>
    <n v="5962"/>
    <n v="0"/>
    <m/>
    <x v="23"/>
  </r>
  <r>
    <x v="2"/>
    <s v="rom_fact_rohan_scouts"/>
    <n v="0"/>
    <x v="11"/>
    <n v="3"/>
    <n v="6242"/>
    <n v="2379"/>
    <n v="0"/>
    <m/>
    <x v="24"/>
  </r>
  <r>
    <x v="2"/>
    <s v="rom_fact_northern_enedwaith"/>
    <n v="4"/>
    <x v="10"/>
    <n v="11"/>
    <n v="4119"/>
    <n v="3393"/>
    <n v="0"/>
    <m/>
    <x v="25"/>
  </r>
  <r>
    <x v="2"/>
    <s v="rom_fact_southern_enedwaith"/>
    <n v="3"/>
    <x v="10"/>
    <n v="16"/>
    <n v="4076"/>
    <n v="3468"/>
    <n v="0"/>
    <m/>
    <x v="26"/>
  </r>
  <r>
    <x v="2"/>
    <s v="rom_fact_druedain"/>
    <n v="4"/>
    <x v="10"/>
    <n v="21"/>
    <n v="5327"/>
    <n v="3925"/>
    <n v="0"/>
    <m/>
    <x v="27"/>
  </r>
  <r>
    <x v="2"/>
    <s v="rom_fact_harondor"/>
    <n v="4"/>
    <x v="10"/>
    <n v="22"/>
    <n v="3566"/>
    <n v="4396"/>
    <n v="137"/>
    <m/>
    <x v="28"/>
  </r>
  <r>
    <x v="2"/>
    <s v="rom_fact_southron_nomads"/>
    <n v="0"/>
    <x v="11"/>
    <n v="0"/>
    <n v="4000"/>
    <n v="1750"/>
    <n v="0"/>
    <m/>
    <x v="29"/>
  </r>
  <r>
    <x v="2"/>
    <s v="rom_fact_separatist_harad"/>
    <n v="0"/>
    <x v="11"/>
    <n v="0"/>
    <n v="4000"/>
    <n v="1750"/>
    <n v="0"/>
    <m/>
    <x v="30"/>
  </r>
  <r>
    <x v="2"/>
    <s v="rom_fact_separatist_khand"/>
    <n v="0"/>
    <x v="11"/>
    <n v="0"/>
    <n v="4000"/>
    <n v="1750"/>
    <n v="0"/>
    <m/>
    <x v="30"/>
  </r>
  <r>
    <x v="2"/>
    <s v="rom_fact_separatist_balchoth"/>
    <n v="0"/>
    <x v="11"/>
    <n v="0"/>
    <n v="4000"/>
    <n v="1750"/>
    <n v="0"/>
    <m/>
    <x v="30"/>
  </r>
  <r>
    <x v="2"/>
    <s v="rom_fact_separatist_feredrim"/>
    <n v="0"/>
    <x v="11"/>
    <n v="0"/>
    <n v="4000"/>
    <n v="1750"/>
    <n v="0"/>
    <m/>
    <x v="30"/>
  </r>
  <r>
    <x v="2"/>
    <s v="rom_fact_separatist_haerrim"/>
    <n v="0"/>
    <x v="11"/>
    <n v="0"/>
    <n v="4000"/>
    <n v="1750"/>
    <n v="0"/>
    <m/>
    <x v="30"/>
  </r>
  <r>
    <x v="2"/>
    <s v="rom_fact_separatist_wainriders"/>
    <n v="0"/>
    <x v="11"/>
    <n v="0"/>
    <n v="4000"/>
    <n v="1750"/>
    <n v="0"/>
    <m/>
    <x v="30"/>
  </r>
  <r>
    <x v="2"/>
    <s v="rom_fact_separatist_rhurim"/>
    <n v="0"/>
    <x v="11"/>
    <n v="0"/>
    <n v="4000"/>
    <n v="1750"/>
    <n v="0"/>
    <m/>
    <x v="30"/>
  </r>
  <r>
    <x v="2"/>
    <s v="rom_fact_separatist_mahuds"/>
    <n v="0"/>
    <x v="11"/>
    <n v="0"/>
    <n v="4000"/>
    <n v="1750"/>
    <n v="0"/>
    <m/>
    <x v="30"/>
  </r>
  <r>
    <x v="2"/>
    <s v="rom_fact_separatist_umbar"/>
    <n v="0"/>
    <x v="11"/>
    <n v="0"/>
    <n v="4000"/>
    <n v="1750"/>
    <n v="0"/>
    <m/>
    <x v="30"/>
  </r>
  <r>
    <x v="3"/>
    <s v="rom_fact_mordor"/>
    <n v="27"/>
    <x v="0"/>
    <n v="106"/>
    <n v="301"/>
    <n v="10202"/>
    <n v="563"/>
    <m/>
    <x v="0"/>
  </r>
  <r>
    <x v="3"/>
    <s v="rom_fact_gondor"/>
    <n v="26"/>
    <x v="1"/>
    <n v="178"/>
    <n v="21100"/>
    <n v="15882"/>
    <n v="452"/>
    <m/>
    <x v="1"/>
  </r>
  <r>
    <x v="3"/>
    <s v="rom_fact_dale"/>
    <n v="17"/>
    <x v="2"/>
    <n v="91"/>
    <n v="12364"/>
    <n v="8280"/>
    <n v="0"/>
    <m/>
    <x v="2"/>
  </r>
  <r>
    <x v="3"/>
    <s v="rom_fact_erebor"/>
    <n v="5"/>
    <x v="3"/>
    <n v="37"/>
    <n v="8197"/>
    <n v="7865"/>
    <n v="0"/>
    <m/>
    <x v="3"/>
  </r>
  <r>
    <x v="3"/>
    <s v="rom_fact_rohan"/>
    <n v="19"/>
    <x v="4"/>
    <n v="103"/>
    <n v="6929"/>
    <n v="6594"/>
    <n v="168"/>
    <m/>
    <x v="4"/>
  </r>
  <r>
    <x v="3"/>
    <s v="rom_fact_dol_guldur"/>
    <n v="9"/>
    <x v="5"/>
    <n v="48"/>
    <n v="11436"/>
    <n v="7581"/>
    <n v="0"/>
    <m/>
    <x v="5"/>
  </r>
  <r>
    <x v="3"/>
    <s v="rom_fact_anduin_vale"/>
    <n v="16"/>
    <x v="0"/>
    <n v="74"/>
    <n v="9137"/>
    <n v="8161"/>
    <n v="0"/>
    <m/>
    <x v="6"/>
  </r>
  <r>
    <x v="3"/>
    <s v="rom_fact_isengard"/>
    <n v="3"/>
    <x v="7"/>
    <n v="26"/>
    <n v="6916"/>
    <n v="4806"/>
    <n v="0"/>
    <m/>
    <x v="7"/>
  </r>
  <r>
    <x v="3"/>
    <s v="rom_fact_woodland_realm"/>
    <n v="5"/>
    <x v="3"/>
    <n v="32"/>
    <n v="6736"/>
    <n v="6625"/>
    <n v="0"/>
    <m/>
    <x v="8"/>
  </r>
  <r>
    <x v="3"/>
    <s v="rom_fact_lothlorien"/>
    <n v="5"/>
    <x v="3"/>
    <n v="27"/>
    <n v="5018"/>
    <n v="6270"/>
    <n v="0"/>
    <m/>
    <x v="9"/>
  </r>
  <r>
    <x v="3"/>
    <s v="rom_fact_khand"/>
    <n v="5"/>
    <x v="3"/>
    <n v="25"/>
    <n v="3854"/>
    <n v="4655"/>
    <n v="240"/>
    <m/>
    <x v="10"/>
  </r>
  <r>
    <x v="3"/>
    <s v="rom_fact_umbar"/>
    <n v="7"/>
    <x v="8"/>
    <n v="38"/>
    <n v="10548"/>
    <n v="6476"/>
    <n v="0"/>
    <m/>
    <x v="11"/>
  </r>
  <r>
    <x v="3"/>
    <s v="rom_fact_mahuds"/>
    <n v="5"/>
    <x v="3"/>
    <n v="31"/>
    <n v="3831"/>
    <n v="4459"/>
    <n v="0"/>
    <m/>
    <x v="12"/>
  </r>
  <r>
    <x v="3"/>
    <s v="rom_fact_harad"/>
    <n v="9"/>
    <x v="5"/>
    <n v="46"/>
    <n v="7576"/>
    <n v="6257"/>
    <n v="0"/>
    <m/>
    <x v="13"/>
  </r>
  <r>
    <x v="3"/>
    <s v="rom_fact_dunland"/>
    <n v="7"/>
    <x v="9"/>
    <n v="41"/>
    <n v="6872"/>
    <n v="7476"/>
    <n v="0"/>
    <m/>
    <x v="14"/>
  </r>
  <r>
    <x v="3"/>
    <s v="rom_fact_haerrim"/>
    <n v="0"/>
    <x v="11"/>
    <n v="0"/>
    <n v="5352"/>
    <n v="1750"/>
    <n v="0"/>
    <m/>
    <x v="15"/>
  </r>
  <r>
    <x v="3"/>
    <s v="rom_fact_goblins"/>
    <n v="9"/>
    <x v="5"/>
    <n v="52"/>
    <n v="9965"/>
    <n v="6054"/>
    <n v="0"/>
    <m/>
    <x v="16"/>
  </r>
  <r>
    <x v="3"/>
    <s v="rom_fact_balchoth"/>
    <n v="0"/>
    <x v="11"/>
    <n v="0"/>
    <n v="4872"/>
    <n v="2549"/>
    <n v="0"/>
    <m/>
    <x v="17"/>
  </r>
  <r>
    <x v="3"/>
    <s v="rom_fact_rhurim"/>
    <n v="21"/>
    <x v="2"/>
    <n v="65"/>
    <n v="11726"/>
    <n v="11454"/>
    <n v="305"/>
    <m/>
    <x v="18"/>
  </r>
  <r>
    <x v="3"/>
    <s v="rom_fact_feredrim"/>
    <n v="5"/>
    <x v="9"/>
    <n v="38"/>
    <n v="6600"/>
    <n v="4851"/>
    <n v="0"/>
    <m/>
    <x v="19"/>
  </r>
  <r>
    <x v="3"/>
    <s v="rom_fact_wainriders"/>
    <n v="5"/>
    <x v="3"/>
    <n v="26"/>
    <n v="5331"/>
    <n v="4669"/>
    <n v="140"/>
    <m/>
    <x v="20"/>
  </r>
  <r>
    <x v="3"/>
    <s v="rom_fact_blacklock"/>
    <n v="5"/>
    <x v="3"/>
    <n v="27"/>
    <n v="7164"/>
    <n v="4954"/>
    <n v="0"/>
    <m/>
    <x v="21"/>
  </r>
  <r>
    <x v="3"/>
    <s v="rom_fact_ironfist"/>
    <n v="4"/>
    <x v="10"/>
    <n v="19"/>
    <n v="4004"/>
    <n v="3808"/>
    <n v="0"/>
    <m/>
    <x v="22"/>
  </r>
  <r>
    <x v="3"/>
    <s v="rom_fact_gundabad"/>
    <n v="8"/>
    <x v="8"/>
    <n v="50"/>
    <n v="8732"/>
    <n v="6805"/>
    <n v="0"/>
    <m/>
    <x v="23"/>
  </r>
  <r>
    <x v="3"/>
    <s v="rom_fact_rohan_scouts"/>
    <n v="0"/>
    <x v="11"/>
    <n v="3"/>
    <n v="7363"/>
    <n v="2379"/>
    <n v="0"/>
    <m/>
    <x v="24"/>
  </r>
  <r>
    <x v="3"/>
    <s v="rom_fact_northern_enedwaith"/>
    <n v="5"/>
    <x v="3"/>
    <n v="9"/>
    <n v="3482"/>
    <n v="3099"/>
    <n v="0"/>
    <m/>
    <x v="25"/>
  </r>
  <r>
    <x v="3"/>
    <s v="rom_fact_southern_enedwaith"/>
    <n v="3"/>
    <x v="10"/>
    <n v="16"/>
    <n v="5248"/>
    <n v="3380"/>
    <n v="0"/>
    <m/>
    <x v="26"/>
  </r>
  <r>
    <x v="3"/>
    <s v="rom_fact_druedain"/>
    <n v="5"/>
    <x v="3"/>
    <n v="21"/>
    <n v="4453"/>
    <n v="3808"/>
    <n v="0"/>
    <m/>
    <x v="27"/>
  </r>
  <r>
    <x v="3"/>
    <s v="rom_fact_harondor"/>
    <n v="4"/>
    <x v="10"/>
    <n v="23"/>
    <n v="3914"/>
    <n v="4552"/>
    <n v="137"/>
    <m/>
    <x v="28"/>
  </r>
  <r>
    <x v="3"/>
    <s v="rom_fact_southron_nomads"/>
    <n v="0"/>
    <x v="11"/>
    <n v="0"/>
    <n v="4000"/>
    <n v="1750"/>
    <n v="0"/>
    <m/>
    <x v="29"/>
  </r>
  <r>
    <x v="3"/>
    <s v="rom_fact_separatist_harad"/>
    <n v="0"/>
    <x v="11"/>
    <n v="0"/>
    <n v="4000"/>
    <n v="1750"/>
    <n v="0"/>
    <m/>
    <x v="30"/>
  </r>
  <r>
    <x v="3"/>
    <s v="rom_fact_separatist_khand"/>
    <n v="0"/>
    <x v="11"/>
    <n v="0"/>
    <n v="4000"/>
    <n v="1750"/>
    <n v="0"/>
    <m/>
    <x v="30"/>
  </r>
  <r>
    <x v="3"/>
    <s v="rom_fact_separatist_balchoth"/>
    <n v="0"/>
    <x v="11"/>
    <n v="0"/>
    <n v="4000"/>
    <n v="1750"/>
    <n v="0"/>
    <m/>
    <x v="30"/>
  </r>
  <r>
    <x v="3"/>
    <s v="rom_fact_separatist_feredrim"/>
    <n v="0"/>
    <x v="11"/>
    <n v="0"/>
    <n v="4000"/>
    <n v="1750"/>
    <n v="0"/>
    <m/>
    <x v="30"/>
  </r>
  <r>
    <x v="3"/>
    <s v="rom_fact_separatist_haerrim"/>
    <n v="0"/>
    <x v="11"/>
    <n v="0"/>
    <n v="4000"/>
    <n v="1750"/>
    <n v="0"/>
    <m/>
    <x v="30"/>
  </r>
  <r>
    <x v="3"/>
    <s v="rom_fact_separatist_wainriders"/>
    <n v="0"/>
    <x v="11"/>
    <n v="0"/>
    <n v="4000"/>
    <n v="1750"/>
    <n v="0"/>
    <m/>
    <x v="30"/>
  </r>
  <r>
    <x v="3"/>
    <s v="rom_fact_separatist_rhurim"/>
    <n v="0"/>
    <x v="11"/>
    <n v="0"/>
    <n v="4000"/>
    <n v="1750"/>
    <n v="0"/>
    <m/>
    <x v="30"/>
  </r>
  <r>
    <x v="3"/>
    <s v="rom_fact_separatist_mahuds"/>
    <n v="0"/>
    <x v="11"/>
    <n v="0"/>
    <n v="4000"/>
    <n v="1750"/>
    <n v="0"/>
    <m/>
    <x v="30"/>
  </r>
  <r>
    <x v="3"/>
    <s v="rom_fact_separatist_umbar"/>
    <n v="0"/>
    <x v="11"/>
    <n v="0"/>
    <n v="4000"/>
    <n v="1750"/>
    <n v="0"/>
    <m/>
    <x v="30"/>
  </r>
  <r>
    <x v="4"/>
    <s v="rom_fact_mordor"/>
    <n v="27"/>
    <x v="0"/>
    <n v="110"/>
    <n v="135"/>
    <n v="10377"/>
    <n v="562"/>
    <m/>
    <x v="0"/>
  </r>
  <r>
    <x v="4"/>
    <s v="rom_fact_gondor"/>
    <n v="31"/>
    <x v="1"/>
    <n v="179"/>
    <n v="17899"/>
    <n v="16327"/>
    <n v="453"/>
    <m/>
    <x v="1"/>
  </r>
  <r>
    <x v="4"/>
    <s v="rom_fact_dale"/>
    <n v="26"/>
    <x v="2"/>
    <n v="100"/>
    <n v="11893"/>
    <n v="9158"/>
    <n v="0"/>
    <m/>
    <x v="2"/>
  </r>
  <r>
    <x v="4"/>
    <s v="rom_fact_erebor"/>
    <n v="10"/>
    <x v="3"/>
    <n v="38"/>
    <n v="10216"/>
    <n v="8005"/>
    <n v="0"/>
    <m/>
    <x v="3"/>
  </r>
  <r>
    <x v="4"/>
    <s v="rom_fact_rohan"/>
    <n v="19"/>
    <x v="4"/>
    <n v="107"/>
    <n v="5062"/>
    <n v="6843"/>
    <n v="168"/>
    <m/>
    <x v="4"/>
  </r>
  <r>
    <x v="4"/>
    <s v="rom_fact_dol_guldur"/>
    <n v="14"/>
    <x v="5"/>
    <n v="47"/>
    <n v="13695"/>
    <n v="7507"/>
    <n v="0"/>
    <m/>
    <x v="5"/>
  </r>
  <r>
    <x v="4"/>
    <s v="rom_fact_anduin_vale"/>
    <n v="21"/>
    <x v="0"/>
    <n v="77"/>
    <n v="8071"/>
    <n v="8380"/>
    <n v="0"/>
    <m/>
    <x v="6"/>
  </r>
  <r>
    <x v="4"/>
    <s v="rom_fact_isengard"/>
    <n v="8"/>
    <x v="7"/>
    <n v="30"/>
    <n v="7814"/>
    <n v="5191"/>
    <n v="0"/>
    <m/>
    <x v="7"/>
  </r>
  <r>
    <x v="4"/>
    <s v="rom_fact_woodland_realm"/>
    <n v="10"/>
    <x v="3"/>
    <n v="33"/>
    <n v="4495"/>
    <n v="7045"/>
    <n v="0"/>
    <m/>
    <x v="8"/>
  </r>
  <r>
    <x v="4"/>
    <s v="rom_fact_lothlorien"/>
    <n v="10"/>
    <x v="3"/>
    <n v="29"/>
    <n v="6612"/>
    <n v="6536"/>
    <n v="0"/>
    <m/>
    <x v="9"/>
  </r>
  <r>
    <x v="4"/>
    <s v="rom_fact_khand"/>
    <n v="5"/>
    <x v="3"/>
    <n v="27"/>
    <n v="5066"/>
    <n v="4822"/>
    <n v="239"/>
    <m/>
    <x v="10"/>
  </r>
  <r>
    <x v="4"/>
    <s v="rom_fact_umbar"/>
    <n v="7"/>
    <x v="8"/>
    <n v="40"/>
    <n v="8716"/>
    <n v="6700"/>
    <n v="0"/>
    <m/>
    <x v="11"/>
  </r>
  <r>
    <x v="4"/>
    <s v="rom_fact_mahuds"/>
    <n v="5"/>
    <x v="3"/>
    <n v="31"/>
    <n v="5360"/>
    <n v="4459"/>
    <n v="0"/>
    <m/>
    <x v="12"/>
  </r>
  <r>
    <x v="4"/>
    <s v="rom_fact_harad"/>
    <n v="18"/>
    <x v="5"/>
    <n v="50"/>
    <n v="9630"/>
    <n v="6708"/>
    <n v="0"/>
    <m/>
    <x v="13"/>
  </r>
  <r>
    <x v="4"/>
    <s v="rom_fact_dunland"/>
    <n v="12"/>
    <x v="9"/>
    <n v="41"/>
    <n v="5816"/>
    <n v="7839"/>
    <n v="0"/>
    <m/>
    <x v="14"/>
  </r>
  <r>
    <x v="4"/>
    <s v="rom_fact_haerrim"/>
    <n v="0"/>
    <x v="11"/>
    <n v="0"/>
    <n v="5352"/>
    <n v="1750"/>
    <n v="0"/>
    <m/>
    <x v="15"/>
  </r>
  <r>
    <x v="4"/>
    <s v="rom_fact_goblins"/>
    <n v="15"/>
    <x v="13"/>
    <n v="57"/>
    <n v="8047"/>
    <n v="6607"/>
    <n v="0"/>
    <m/>
    <x v="16"/>
  </r>
  <r>
    <x v="4"/>
    <s v="rom_fact_balchoth"/>
    <n v="0"/>
    <x v="11"/>
    <n v="0"/>
    <n v="4872"/>
    <n v="2549"/>
    <n v="0"/>
    <m/>
    <x v="17"/>
  </r>
  <r>
    <x v="4"/>
    <s v="rom_fact_rhurim"/>
    <n v="21"/>
    <x v="2"/>
    <n v="88"/>
    <n v="13741"/>
    <n v="12210"/>
    <n v="309"/>
    <m/>
    <x v="18"/>
  </r>
  <r>
    <x v="4"/>
    <s v="rom_fact_feredrim"/>
    <n v="5"/>
    <x v="9"/>
    <n v="43"/>
    <n v="4564"/>
    <n v="5061"/>
    <n v="0"/>
    <m/>
    <x v="19"/>
  </r>
  <r>
    <x v="4"/>
    <s v="rom_fact_wainriders"/>
    <n v="5"/>
    <x v="3"/>
    <n v="27"/>
    <n v="6198"/>
    <n v="4801"/>
    <n v="143"/>
    <m/>
    <x v="20"/>
  </r>
  <r>
    <x v="4"/>
    <s v="rom_fact_blacklock"/>
    <n v="5"/>
    <x v="3"/>
    <n v="29"/>
    <n v="4576"/>
    <n v="5383"/>
    <n v="0"/>
    <m/>
    <x v="21"/>
  </r>
  <r>
    <x v="4"/>
    <s v="rom_fact_ironfist"/>
    <n v="4"/>
    <x v="10"/>
    <n v="20"/>
    <n v="5241"/>
    <n v="4072"/>
    <n v="0"/>
    <m/>
    <x v="22"/>
  </r>
  <r>
    <x v="4"/>
    <s v="rom_fact_gundabad"/>
    <n v="13"/>
    <x v="8"/>
    <n v="57"/>
    <n v="6871"/>
    <n v="7925"/>
    <n v="0"/>
    <m/>
    <x v="23"/>
  </r>
  <r>
    <x v="4"/>
    <s v="rom_fact_rohan_scouts"/>
    <n v="0"/>
    <x v="11"/>
    <n v="3"/>
    <n v="8484"/>
    <n v="2379"/>
    <n v="0"/>
    <m/>
    <x v="24"/>
  </r>
  <r>
    <x v="4"/>
    <s v="rom_fact_northern_enedwaith"/>
    <n v="5"/>
    <x v="3"/>
    <n v="9"/>
    <n v="5122"/>
    <n v="3126"/>
    <n v="0"/>
    <m/>
    <x v="25"/>
  </r>
  <r>
    <x v="4"/>
    <s v="rom_fact_southern_enedwaith"/>
    <n v="3"/>
    <x v="10"/>
    <n v="16"/>
    <n v="6430"/>
    <n v="3380"/>
    <n v="0"/>
    <m/>
    <x v="26"/>
  </r>
  <r>
    <x v="4"/>
    <s v="rom_fact_druedain"/>
    <n v="5"/>
    <x v="3"/>
    <n v="21"/>
    <n v="5721"/>
    <n v="3952"/>
    <n v="0"/>
    <m/>
    <x v="27"/>
  </r>
  <r>
    <x v="4"/>
    <s v="rom_fact_harondor"/>
    <n v="4"/>
    <x v="10"/>
    <n v="23"/>
    <n v="5051"/>
    <n v="4551"/>
    <n v="136"/>
    <m/>
    <x v="28"/>
  </r>
  <r>
    <x v="4"/>
    <s v="rom_fact_southron_nomads"/>
    <n v="0"/>
    <x v="11"/>
    <n v="0"/>
    <n v="4000"/>
    <n v="1750"/>
    <n v="0"/>
    <m/>
    <x v="29"/>
  </r>
  <r>
    <x v="4"/>
    <s v="rom_fact_separatist_harad"/>
    <n v="0"/>
    <x v="11"/>
    <n v="0"/>
    <n v="4000"/>
    <n v="1750"/>
    <n v="0"/>
    <m/>
    <x v="30"/>
  </r>
  <r>
    <x v="4"/>
    <s v="rom_fact_separatist_khand"/>
    <n v="0"/>
    <x v="11"/>
    <n v="0"/>
    <n v="4000"/>
    <n v="1750"/>
    <n v="0"/>
    <m/>
    <x v="30"/>
  </r>
  <r>
    <x v="4"/>
    <s v="rom_fact_separatist_balchoth"/>
    <n v="0"/>
    <x v="11"/>
    <n v="0"/>
    <n v="4000"/>
    <n v="1750"/>
    <n v="0"/>
    <m/>
    <x v="30"/>
  </r>
  <r>
    <x v="4"/>
    <s v="rom_fact_separatist_feredrim"/>
    <n v="0"/>
    <x v="11"/>
    <n v="0"/>
    <n v="4000"/>
    <n v="1750"/>
    <n v="0"/>
    <m/>
    <x v="30"/>
  </r>
  <r>
    <x v="4"/>
    <s v="rom_fact_separatist_haerrim"/>
    <n v="0"/>
    <x v="11"/>
    <n v="0"/>
    <n v="4000"/>
    <n v="1750"/>
    <n v="0"/>
    <m/>
    <x v="30"/>
  </r>
  <r>
    <x v="4"/>
    <s v="rom_fact_separatist_wainriders"/>
    <n v="0"/>
    <x v="11"/>
    <n v="0"/>
    <n v="4000"/>
    <n v="1750"/>
    <n v="0"/>
    <m/>
    <x v="30"/>
  </r>
  <r>
    <x v="4"/>
    <s v="rom_fact_separatist_rhurim"/>
    <n v="0"/>
    <x v="11"/>
    <n v="0"/>
    <n v="4000"/>
    <n v="1750"/>
    <n v="0"/>
    <m/>
    <x v="30"/>
  </r>
  <r>
    <x v="4"/>
    <s v="rom_fact_separatist_mahuds"/>
    <n v="0"/>
    <x v="11"/>
    <n v="0"/>
    <n v="4000"/>
    <n v="1750"/>
    <n v="0"/>
    <m/>
    <x v="30"/>
  </r>
  <r>
    <x v="4"/>
    <s v="rom_fact_separatist_umbar"/>
    <n v="0"/>
    <x v="11"/>
    <n v="0"/>
    <n v="4000"/>
    <n v="1750"/>
    <n v="0"/>
    <m/>
    <x v="30"/>
  </r>
  <r>
    <x v="5"/>
    <s v="rom_fact_mordor"/>
    <n v="27"/>
    <x v="0"/>
    <n v="114"/>
    <n v="3202"/>
    <n v="11214"/>
    <n v="562"/>
    <m/>
    <x v="0"/>
  </r>
  <r>
    <x v="5"/>
    <s v="rom_fact_gondor"/>
    <n v="31"/>
    <x v="1"/>
    <n v="180"/>
    <n v="19780"/>
    <n v="16320"/>
    <n v="454"/>
    <m/>
    <x v="1"/>
  </r>
  <r>
    <x v="5"/>
    <s v="rom_fact_dale"/>
    <n v="26"/>
    <x v="2"/>
    <n v="103"/>
    <n v="9454"/>
    <n v="10046"/>
    <n v="0"/>
    <m/>
    <x v="2"/>
  </r>
  <r>
    <x v="5"/>
    <s v="rom_fact_erebor"/>
    <n v="10"/>
    <x v="3"/>
    <n v="40"/>
    <n v="10527"/>
    <n v="8226"/>
    <n v="0"/>
    <m/>
    <x v="3"/>
  </r>
  <r>
    <x v="5"/>
    <s v="rom_fact_rohan"/>
    <n v="28"/>
    <x v="4"/>
    <n v="111"/>
    <n v="8038"/>
    <n v="8508"/>
    <n v="168"/>
    <m/>
    <x v="4"/>
  </r>
  <r>
    <x v="5"/>
    <s v="rom_fact_dol_guldur"/>
    <n v="14"/>
    <x v="5"/>
    <n v="52"/>
    <n v="12986"/>
    <n v="8231"/>
    <n v="0"/>
    <m/>
    <x v="5"/>
  </r>
  <r>
    <x v="5"/>
    <s v="rom_fact_anduin_vale"/>
    <n v="26"/>
    <x v="2"/>
    <n v="84"/>
    <n v="9267"/>
    <n v="8837"/>
    <n v="0"/>
    <m/>
    <x v="6"/>
  </r>
  <r>
    <x v="5"/>
    <s v="rom_fact_isengard"/>
    <n v="8"/>
    <x v="7"/>
    <n v="32"/>
    <n v="7588"/>
    <n v="5824"/>
    <n v="0"/>
    <m/>
    <x v="7"/>
  </r>
  <r>
    <x v="5"/>
    <s v="rom_fact_woodland_realm"/>
    <n v="10"/>
    <x v="3"/>
    <n v="35"/>
    <n v="4657"/>
    <n v="7349"/>
    <n v="0"/>
    <m/>
    <x v="8"/>
  </r>
  <r>
    <x v="5"/>
    <s v="rom_fact_lothlorien"/>
    <n v="10"/>
    <x v="3"/>
    <n v="31"/>
    <n v="5738"/>
    <n v="6945"/>
    <n v="0"/>
    <m/>
    <x v="9"/>
  </r>
  <r>
    <x v="5"/>
    <s v="rom_fact_khand"/>
    <n v="5"/>
    <x v="3"/>
    <n v="29"/>
    <n v="5291"/>
    <n v="5300"/>
    <n v="239"/>
    <m/>
    <x v="10"/>
  </r>
  <r>
    <x v="5"/>
    <s v="rom_fact_umbar"/>
    <n v="7"/>
    <x v="8"/>
    <n v="42"/>
    <n v="7056"/>
    <n v="6556"/>
    <n v="0"/>
    <m/>
    <x v="11"/>
  </r>
  <r>
    <x v="5"/>
    <s v="rom_fact_mahuds"/>
    <n v="5"/>
    <x v="3"/>
    <n v="31"/>
    <n v="5773"/>
    <n v="4800"/>
    <n v="0"/>
    <m/>
    <x v="12"/>
  </r>
  <r>
    <x v="5"/>
    <s v="rom_fact_harad"/>
    <n v="18"/>
    <x v="5"/>
    <n v="56"/>
    <n v="7992"/>
    <n v="7033"/>
    <n v="0"/>
    <m/>
    <x v="13"/>
  </r>
  <r>
    <x v="5"/>
    <s v="rom_fact_dunland"/>
    <n v="12"/>
    <x v="9"/>
    <n v="44"/>
    <n v="6822"/>
    <n v="8053"/>
    <n v="0"/>
    <m/>
    <x v="14"/>
  </r>
  <r>
    <x v="5"/>
    <s v="rom_fact_haerrim"/>
    <n v="0"/>
    <x v="11"/>
    <n v="0"/>
    <n v="5352"/>
    <n v="1750"/>
    <n v="0"/>
    <m/>
    <x v="15"/>
  </r>
  <r>
    <x v="5"/>
    <s v="rom_fact_goblins"/>
    <n v="15"/>
    <x v="13"/>
    <n v="67"/>
    <n v="9949"/>
    <n v="8077"/>
    <n v="0"/>
    <m/>
    <x v="16"/>
  </r>
  <r>
    <x v="5"/>
    <s v="rom_fact_balchoth"/>
    <n v="0"/>
    <x v="11"/>
    <n v="0"/>
    <n v="4872"/>
    <n v="2549"/>
    <n v="0"/>
    <m/>
    <x v="17"/>
  </r>
  <r>
    <x v="5"/>
    <s v="rom_fact_rhurim"/>
    <n v="21"/>
    <x v="2"/>
    <n v="101"/>
    <n v="14488"/>
    <n v="13030"/>
    <n v="311"/>
    <m/>
    <x v="18"/>
  </r>
  <r>
    <x v="5"/>
    <s v="rom_fact_feredrim"/>
    <n v="6"/>
    <x v="8"/>
    <n v="45"/>
    <n v="5812"/>
    <n v="5067"/>
    <n v="0"/>
    <m/>
    <x v="19"/>
  </r>
  <r>
    <x v="5"/>
    <s v="rom_fact_wainriders"/>
    <n v="5"/>
    <x v="3"/>
    <n v="30"/>
    <n v="3399"/>
    <n v="5103"/>
    <n v="144"/>
    <m/>
    <x v="20"/>
  </r>
  <r>
    <x v="5"/>
    <s v="rom_fact_blacklock"/>
    <n v="5"/>
    <x v="3"/>
    <n v="30"/>
    <n v="6022"/>
    <n v="5563"/>
    <n v="0"/>
    <m/>
    <x v="21"/>
  </r>
  <r>
    <x v="5"/>
    <s v="rom_fact_ironfist"/>
    <n v="4"/>
    <x v="10"/>
    <n v="21"/>
    <n v="4068"/>
    <n v="4231"/>
    <n v="0"/>
    <m/>
    <x v="22"/>
  </r>
  <r>
    <x v="5"/>
    <s v="rom_fact_gundabad"/>
    <n v="13"/>
    <x v="8"/>
    <n v="61"/>
    <n v="7751"/>
    <n v="8022"/>
    <n v="0"/>
    <m/>
    <x v="23"/>
  </r>
  <r>
    <x v="5"/>
    <s v="rom_fact_rohan_scouts"/>
    <n v="0"/>
    <x v="11"/>
    <n v="3"/>
    <n v="9605"/>
    <n v="2379"/>
    <n v="0"/>
    <m/>
    <x v="24"/>
  </r>
  <r>
    <x v="5"/>
    <s v="rom_fact_northern_enedwaith"/>
    <n v="5"/>
    <x v="3"/>
    <n v="9"/>
    <n v="4446"/>
    <n v="3192"/>
    <n v="0"/>
    <m/>
    <x v="25"/>
  </r>
  <r>
    <x v="5"/>
    <s v="rom_fact_southern_enedwaith"/>
    <n v="3"/>
    <x v="10"/>
    <n v="16"/>
    <n v="5362"/>
    <n v="3393"/>
    <n v="0"/>
    <m/>
    <x v="26"/>
  </r>
  <r>
    <x v="5"/>
    <s v="rom_fact_druedain"/>
    <n v="5"/>
    <x v="3"/>
    <n v="21"/>
    <n v="7025"/>
    <n v="3956"/>
    <n v="0"/>
    <m/>
    <x v="27"/>
  </r>
  <r>
    <x v="5"/>
    <s v="rom_fact_harondor"/>
    <n v="4"/>
    <x v="10"/>
    <n v="23"/>
    <n v="6185"/>
    <n v="4550"/>
    <n v="135"/>
    <m/>
    <x v="28"/>
  </r>
  <r>
    <x v="5"/>
    <s v="rom_fact_southron_nomads"/>
    <n v="0"/>
    <x v="11"/>
    <n v="0"/>
    <n v="4000"/>
    <n v="1750"/>
    <n v="0"/>
    <m/>
    <x v="29"/>
  </r>
  <r>
    <x v="5"/>
    <s v="rom_fact_separatist_harad"/>
    <n v="0"/>
    <x v="11"/>
    <n v="0"/>
    <n v="4000"/>
    <n v="1750"/>
    <n v="0"/>
    <m/>
    <x v="30"/>
  </r>
  <r>
    <x v="5"/>
    <s v="rom_fact_separatist_khand"/>
    <n v="0"/>
    <x v="11"/>
    <n v="0"/>
    <n v="4000"/>
    <n v="1750"/>
    <n v="0"/>
    <m/>
    <x v="30"/>
  </r>
  <r>
    <x v="5"/>
    <s v="rom_fact_separatist_balchoth"/>
    <n v="0"/>
    <x v="11"/>
    <n v="0"/>
    <n v="4000"/>
    <n v="1750"/>
    <n v="0"/>
    <m/>
    <x v="30"/>
  </r>
  <r>
    <x v="5"/>
    <s v="rom_fact_separatist_feredrim"/>
    <n v="0"/>
    <x v="11"/>
    <n v="0"/>
    <n v="4000"/>
    <n v="1750"/>
    <n v="0"/>
    <m/>
    <x v="30"/>
  </r>
  <r>
    <x v="5"/>
    <s v="rom_fact_separatist_haerrim"/>
    <n v="0"/>
    <x v="11"/>
    <n v="0"/>
    <n v="4000"/>
    <n v="1750"/>
    <n v="0"/>
    <m/>
    <x v="30"/>
  </r>
  <r>
    <x v="5"/>
    <s v="rom_fact_separatist_wainriders"/>
    <n v="0"/>
    <x v="11"/>
    <n v="0"/>
    <n v="4000"/>
    <n v="1750"/>
    <n v="0"/>
    <m/>
    <x v="30"/>
  </r>
  <r>
    <x v="5"/>
    <s v="rom_fact_separatist_rhurim"/>
    <n v="0"/>
    <x v="11"/>
    <n v="0"/>
    <n v="4000"/>
    <n v="1750"/>
    <n v="0"/>
    <m/>
    <x v="30"/>
  </r>
  <r>
    <x v="5"/>
    <s v="rom_fact_separatist_mahuds"/>
    <n v="0"/>
    <x v="11"/>
    <n v="0"/>
    <n v="4000"/>
    <n v="1750"/>
    <n v="0"/>
    <m/>
    <x v="30"/>
  </r>
  <r>
    <x v="5"/>
    <s v="rom_fact_separatist_umbar"/>
    <n v="0"/>
    <x v="11"/>
    <n v="0"/>
    <n v="4000"/>
    <n v="1750"/>
    <n v="0"/>
    <m/>
    <x v="30"/>
  </r>
  <r>
    <x v="6"/>
    <s v="rom_fact_mordor"/>
    <n v="35"/>
    <x v="4"/>
    <n v="114.5"/>
    <n v="40"/>
    <n v="12458"/>
    <n v="570"/>
    <m/>
    <x v="0"/>
  </r>
  <r>
    <x v="6"/>
    <s v="rom_fact_gondor"/>
    <n v="28"/>
    <x v="14"/>
    <n v="160"/>
    <n v="20271"/>
    <n v="16441"/>
    <n v="453"/>
    <m/>
    <x v="1"/>
  </r>
  <r>
    <x v="6"/>
    <s v="rom_fact_dale"/>
    <n v="26"/>
    <x v="2"/>
    <n v="106"/>
    <n v="8557"/>
    <n v="10166"/>
    <n v="0"/>
    <m/>
    <x v="2"/>
  </r>
  <r>
    <x v="6"/>
    <s v="rom_fact_erebor"/>
    <n v="10"/>
    <x v="3"/>
    <n v="42"/>
    <n v="9319"/>
    <n v="9179"/>
    <n v="0"/>
    <m/>
    <x v="3"/>
  </r>
  <r>
    <x v="6"/>
    <s v="rom_fact_rohan"/>
    <n v="28"/>
    <x v="4"/>
    <n v="112"/>
    <n v="8963"/>
    <n v="8567"/>
    <n v="166"/>
    <m/>
    <x v="4"/>
  </r>
  <r>
    <x v="6"/>
    <s v="rom_fact_dol_guldur"/>
    <n v="14"/>
    <x v="5"/>
    <n v="58"/>
    <n v="9237"/>
    <n v="9507"/>
    <n v="0"/>
    <m/>
    <x v="5"/>
  </r>
  <r>
    <x v="6"/>
    <s v="rom_fact_anduin_vale"/>
    <n v="26"/>
    <x v="2"/>
    <n v="89"/>
    <n v="9138"/>
    <n v="8872"/>
    <n v="0"/>
    <m/>
    <x v="6"/>
  </r>
  <r>
    <x v="6"/>
    <s v="rom_fact_isengard"/>
    <n v="8"/>
    <x v="7"/>
    <n v="35"/>
    <n v="6296"/>
    <n v="6047"/>
    <n v="0"/>
    <m/>
    <x v="7"/>
  </r>
  <r>
    <x v="6"/>
    <s v="rom_fact_woodland_realm"/>
    <n v="10"/>
    <x v="3"/>
    <n v="36"/>
    <n v="5536"/>
    <n v="7682"/>
    <n v="0"/>
    <m/>
    <x v="8"/>
  </r>
  <r>
    <x v="6"/>
    <s v="rom_fact_lothlorien"/>
    <n v="10"/>
    <x v="3"/>
    <n v="33"/>
    <n v="5783"/>
    <n v="7268"/>
    <n v="0"/>
    <m/>
    <x v="9"/>
  </r>
  <r>
    <x v="6"/>
    <s v="rom_fact_khand"/>
    <n v="5"/>
    <x v="3"/>
    <n v="31"/>
    <n v="4417"/>
    <n v="5460"/>
    <n v="242"/>
    <m/>
    <x v="10"/>
  </r>
  <r>
    <x v="6"/>
    <s v="rom_fact_umbar"/>
    <n v="7"/>
    <x v="8"/>
    <n v="43"/>
    <n v="6698"/>
    <n v="6664"/>
    <n v="0"/>
    <m/>
    <x v="11"/>
  </r>
  <r>
    <x v="6"/>
    <s v="rom_fact_mahuds"/>
    <n v="5"/>
    <x v="3"/>
    <n v="32"/>
    <n v="6461"/>
    <n v="4790"/>
    <n v="0"/>
    <m/>
    <x v="12"/>
  </r>
  <r>
    <x v="6"/>
    <s v="rom_fact_harad"/>
    <n v="18"/>
    <x v="5"/>
    <n v="60"/>
    <n v="8674"/>
    <n v="7798"/>
    <n v="0"/>
    <m/>
    <x v="13"/>
  </r>
  <r>
    <x v="6"/>
    <s v="rom_fact_dunland"/>
    <n v="12"/>
    <x v="9"/>
    <n v="45"/>
    <n v="5906"/>
    <n v="8426"/>
    <n v="0"/>
    <m/>
    <x v="14"/>
  </r>
  <r>
    <x v="6"/>
    <s v="rom_fact_haerrim"/>
    <n v="0"/>
    <x v="11"/>
    <n v="0"/>
    <n v="5352"/>
    <n v="1750"/>
    <n v="0"/>
    <m/>
    <x v="15"/>
  </r>
  <r>
    <x v="6"/>
    <s v="rom_fact_goblins"/>
    <n v="15"/>
    <x v="13"/>
    <n v="71"/>
    <n v="12818"/>
    <n v="8614"/>
    <n v="0"/>
    <m/>
    <x v="16"/>
  </r>
  <r>
    <x v="6"/>
    <s v="rom_fact_balchoth"/>
    <n v="0"/>
    <x v="11"/>
    <n v="0"/>
    <n v="4872"/>
    <n v="1750"/>
    <n v="0"/>
    <m/>
    <x v="17"/>
  </r>
  <r>
    <x v="6"/>
    <s v="rom_fact_rhurim"/>
    <n v="26"/>
    <x v="2"/>
    <n v="110"/>
    <n v="16719"/>
    <n v="13420"/>
    <n v="313"/>
    <m/>
    <x v="18"/>
  </r>
  <r>
    <x v="6"/>
    <s v="rom_fact_feredrim"/>
    <n v="6"/>
    <x v="8"/>
    <n v="45"/>
    <n v="5671"/>
    <n v="5229"/>
    <n v="0"/>
    <m/>
    <x v="19"/>
  </r>
  <r>
    <x v="6"/>
    <s v="rom_fact_wainriders"/>
    <n v="5"/>
    <x v="3"/>
    <n v="32"/>
    <n v="4097"/>
    <n v="5449"/>
    <n v="144"/>
    <m/>
    <x v="20"/>
  </r>
  <r>
    <x v="6"/>
    <s v="rom_fact_blacklock"/>
    <n v="5"/>
    <x v="3"/>
    <n v="32"/>
    <n v="5955"/>
    <n v="5808"/>
    <n v="0"/>
    <m/>
    <x v="21"/>
  </r>
  <r>
    <x v="6"/>
    <s v="rom_fact_ironfist"/>
    <n v="4"/>
    <x v="10"/>
    <n v="23"/>
    <n v="5298"/>
    <n v="4430"/>
    <n v="0"/>
    <m/>
    <x v="22"/>
  </r>
  <r>
    <x v="6"/>
    <s v="rom_fact_gundabad"/>
    <n v="13"/>
    <x v="8"/>
    <n v="62"/>
    <n v="9945"/>
    <n v="8436"/>
    <n v="0"/>
    <m/>
    <x v="23"/>
  </r>
  <r>
    <x v="6"/>
    <s v="rom_fact_rohan_scouts"/>
    <n v="0"/>
    <x v="11"/>
    <n v="3"/>
    <n v="10726"/>
    <n v="2379"/>
    <n v="0"/>
    <m/>
    <x v="24"/>
  </r>
  <r>
    <x v="6"/>
    <s v="rom_fact_northern_enedwaith"/>
    <n v="5"/>
    <x v="3"/>
    <n v="9"/>
    <n v="6020"/>
    <n v="3156"/>
    <n v="0"/>
    <m/>
    <x v="25"/>
  </r>
  <r>
    <x v="6"/>
    <s v="rom_fact_southern_enedwaith"/>
    <n v="3"/>
    <x v="10"/>
    <n v="16"/>
    <n v="6557"/>
    <n v="3357"/>
    <n v="0"/>
    <m/>
    <x v="26"/>
  </r>
  <r>
    <x v="6"/>
    <s v="rom_fact_druedain"/>
    <n v="5"/>
    <x v="3"/>
    <n v="21"/>
    <n v="8441"/>
    <n v="3841"/>
    <n v="0"/>
    <m/>
    <x v="27"/>
  </r>
  <r>
    <x v="6"/>
    <s v="rom_fact_harondor"/>
    <n v="4"/>
    <x v="10"/>
    <n v="23"/>
    <n v="4621"/>
    <n v="4553"/>
    <n v="138"/>
    <m/>
    <x v="28"/>
  </r>
  <r>
    <x v="6"/>
    <s v="rom_fact_southron_nomads"/>
    <n v="0"/>
    <x v="11"/>
    <n v="0"/>
    <n v="4000"/>
    <n v="1750"/>
    <n v="0"/>
    <m/>
    <x v="29"/>
  </r>
  <r>
    <x v="6"/>
    <s v="rom_fact_separatist_harad"/>
    <n v="0"/>
    <x v="11"/>
    <n v="0"/>
    <n v="4000"/>
    <n v="1750"/>
    <n v="0"/>
    <m/>
    <x v="30"/>
  </r>
  <r>
    <x v="6"/>
    <s v="rom_fact_separatist_khand"/>
    <n v="0"/>
    <x v="11"/>
    <n v="0"/>
    <n v="4000"/>
    <n v="1750"/>
    <n v="0"/>
    <m/>
    <x v="30"/>
  </r>
  <r>
    <x v="6"/>
    <s v="rom_fact_separatist_balchoth"/>
    <n v="0"/>
    <x v="11"/>
    <n v="0"/>
    <n v="4000"/>
    <n v="1750"/>
    <n v="0"/>
    <m/>
    <x v="30"/>
  </r>
  <r>
    <x v="6"/>
    <s v="rom_fact_separatist_feredrim"/>
    <n v="0"/>
    <x v="11"/>
    <n v="0"/>
    <n v="4000"/>
    <n v="1750"/>
    <n v="0"/>
    <m/>
    <x v="30"/>
  </r>
  <r>
    <x v="6"/>
    <s v="rom_fact_separatist_haerrim"/>
    <n v="0"/>
    <x v="11"/>
    <n v="0"/>
    <n v="4000"/>
    <n v="1750"/>
    <n v="0"/>
    <m/>
    <x v="30"/>
  </r>
  <r>
    <x v="6"/>
    <s v="rom_fact_separatist_wainriders"/>
    <n v="0"/>
    <x v="11"/>
    <n v="0"/>
    <n v="4000"/>
    <n v="1750"/>
    <n v="0"/>
    <m/>
    <x v="30"/>
  </r>
  <r>
    <x v="6"/>
    <s v="rom_fact_separatist_rhurim"/>
    <n v="0"/>
    <x v="11"/>
    <n v="0"/>
    <n v="4000"/>
    <n v="1750"/>
    <n v="0"/>
    <m/>
    <x v="30"/>
  </r>
  <r>
    <x v="6"/>
    <s v="rom_fact_separatist_mahuds"/>
    <n v="0"/>
    <x v="11"/>
    <n v="0"/>
    <n v="4000"/>
    <n v="1750"/>
    <n v="0"/>
    <m/>
    <x v="30"/>
  </r>
  <r>
    <x v="6"/>
    <s v="rom_fact_separatist_umbar"/>
    <n v="0"/>
    <x v="11"/>
    <n v="0"/>
    <n v="4000"/>
    <n v="1750"/>
    <n v="0"/>
    <m/>
    <x v="30"/>
  </r>
  <r>
    <x v="7"/>
    <s v="rom_fact_mordor"/>
    <n v="35"/>
    <x v="4"/>
    <n v="117.5"/>
    <n v="3597"/>
    <n v="12717"/>
    <n v="573"/>
    <m/>
    <x v="0"/>
  </r>
  <r>
    <x v="7"/>
    <s v="rom_fact_gondor"/>
    <n v="33"/>
    <x v="14"/>
    <n v="160"/>
    <n v="18194"/>
    <n v="16642"/>
    <n v="456"/>
    <m/>
    <x v="1"/>
  </r>
  <r>
    <x v="7"/>
    <s v="rom_fact_dale"/>
    <n v="31"/>
    <x v="2"/>
    <n v="109"/>
    <n v="8186"/>
    <n v="11453"/>
    <n v="259"/>
    <m/>
    <x v="2"/>
  </r>
  <r>
    <x v="7"/>
    <s v="rom_fact_erebor"/>
    <n v="15"/>
    <x v="3"/>
    <n v="42"/>
    <n v="12246"/>
    <n v="9868"/>
    <n v="663"/>
    <m/>
    <x v="3"/>
  </r>
  <r>
    <x v="7"/>
    <s v="rom_fact_rohan"/>
    <n v="28"/>
    <x v="4"/>
    <n v="115"/>
    <n v="5484"/>
    <n v="8687"/>
    <n v="297"/>
    <m/>
    <x v="4"/>
  </r>
  <r>
    <x v="7"/>
    <s v="rom_fact_dol_guldur"/>
    <n v="19"/>
    <x v="5"/>
    <n v="66"/>
    <n v="10103"/>
    <n v="10121"/>
    <n v="0"/>
    <m/>
    <x v="5"/>
  </r>
  <r>
    <x v="7"/>
    <s v="rom_fact_anduin_vale"/>
    <n v="31"/>
    <x v="2"/>
    <n v="84"/>
    <n v="13019"/>
    <n v="8806"/>
    <n v="0"/>
    <m/>
    <x v="6"/>
  </r>
  <r>
    <x v="7"/>
    <s v="rom_fact_isengard"/>
    <n v="13"/>
    <x v="7"/>
    <n v="38"/>
    <n v="7277"/>
    <n v="6523"/>
    <n v="250"/>
    <m/>
    <x v="7"/>
  </r>
  <r>
    <x v="7"/>
    <s v="rom_fact_woodland_realm"/>
    <n v="15"/>
    <x v="3"/>
    <n v="37"/>
    <n v="4075"/>
    <n v="7984"/>
    <n v="0"/>
    <m/>
    <x v="8"/>
  </r>
  <r>
    <x v="7"/>
    <s v="rom_fact_lothlorien"/>
    <n v="10"/>
    <x v="3"/>
    <n v="35"/>
    <n v="5382"/>
    <n v="8025"/>
    <n v="0"/>
    <m/>
    <x v="9"/>
  </r>
  <r>
    <x v="7"/>
    <s v="rom_fact_khand"/>
    <n v="5"/>
    <x v="3"/>
    <n v="34"/>
    <n v="5405"/>
    <n v="5713"/>
    <n v="243"/>
    <m/>
    <x v="10"/>
  </r>
  <r>
    <x v="7"/>
    <s v="rom_fact_umbar"/>
    <n v="7"/>
    <x v="8"/>
    <n v="44"/>
    <n v="7948"/>
    <n v="6860"/>
    <n v="0"/>
    <m/>
    <x v="11"/>
  </r>
  <r>
    <x v="7"/>
    <s v="rom_fact_mahuds"/>
    <n v="5"/>
    <x v="3"/>
    <n v="34"/>
    <n v="3495"/>
    <n v="4958"/>
    <n v="0"/>
    <m/>
    <x v="12"/>
  </r>
  <r>
    <x v="7"/>
    <s v="rom_fact_harad"/>
    <n v="23"/>
    <x v="5"/>
    <n v="62"/>
    <n v="10316"/>
    <n v="8295"/>
    <n v="0"/>
    <m/>
    <x v="13"/>
  </r>
  <r>
    <x v="7"/>
    <s v="rom_fact_dunland"/>
    <n v="17"/>
    <x v="9"/>
    <n v="48"/>
    <n v="7132"/>
    <n v="8600"/>
    <n v="0"/>
    <m/>
    <x v="14"/>
  </r>
  <r>
    <x v="7"/>
    <s v="rom_fact_haerrim"/>
    <n v="0"/>
    <x v="11"/>
    <n v="0"/>
    <n v="5352"/>
    <n v="1750"/>
    <n v="0"/>
    <m/>
    <x v="15"/>
  </r>
  <r>
    <x v="7"/>
    <s v="rom_fact_goblins"/>
    <n v="20"/>
    <x v="13"/>
    <n v="74"/>
    <n v="13454"/>
    <n v="8940"/>
    <n v="0"/>
    <m/>
    <x v="16"/>
  </r>
  <r>
    <x v="7"/>
    <s v="rom_fact_balchoth"/>
    <n v="0"/>
    <x v="11"/>
    <n v="0"/>
    <n v="4872"/>
    <n v="1750"/>
    <n v="0"/>
    <m/>
    <x v="17"/>
  </r>
  <r>
    <x v="7"/>
    <s v="rom_fact_rhurim"/>
    <n v="26"/>
    <x v="2"/>
    <n v="121"/>
    <n v="16757"/>
    <n v="14041"/>
    <n v="315"/>
    <m/>
    <x v="18"/>
  </r>
  <r>
    <x v="7"/>
    <s v="rom_fact_feredrim"/>
    <n v="8"/>
    <x v="5"/>
    <n v="41"/>
    <n v="8200"/>
    <n v="4673"/>
    <n v="0"/>
    <m/>
    <x v="19"/>
  </r>
  <r>
    <x v="7"/>
    <s v="rom_fact_wainriders"/>
    <n v="5"/>
    <x v="3"/>
    <n v="33"/>
    <n v="5272"/>
    <n v="5654"/>
    <n v="145"/>
    <m/>
    <x v="20"/>
  </r>
  <r>
    <x v="7"/>
    <s v="rom_fact_blacklock"/>
    <n v="5"/>
    <x v="3"/>
    <n v="32"/>
    <n v="5496"/>
    <n v="5840"/>
    <n v="0"/>
    <m/>
    <x v="21"/>
  </r>
  <r>
    <x v="7"/>
    <s v="rom_fact_ironfist"/>
    <n v="4"/>
    <x v="10"/>
    <n v="24"/>
    <n v="6417"/>
    <n v="4372"/>
    <n v="0"/>
    <m/>
    <x v="22"/>
  </r>
  <r>
    <x v="7"/>
    <s v="rom_fact_gundabad"/>
    <n v="18"/>
    <x v="8"/>
    <n v="62"/>
    <n v="12792"/>
    <n v="8758"/>
    <n v="0"/>
    <m/>
    <x v="23"/>
  </r>
  <r>
    <x v="7"/>
    <s v="rom_fact_rohan_scouts"/>
    <n v="0"/>
    <x v="11"/>
    <n v="3"/>
    <n v="11847"/>
    <n v="2379"/>
    <n v="0"/>
    <m/>
    <x v="24"/>
  </r>
  <r>
    <x v="7"/>
    <s v="rom_fact_northern_enedwaith"/>
    <n v="5"/>
    <x v="3"/>
    <n v="9"/>
    <n v="6058"/>
    <n v="3186"/>
    <n v="0"/>
    <m/>
    <x v="25"/>
  </r>
  <r>
    <x v="7"/>
    <s v="rom_fact_southern_enedwaith"/>
    <n v="3"/>
    <x v="10"/>
    <n v="16"/>
    <n v="4266"/>
    <n v="3387"/>
    <n v="0"/>
    <m/>
    <x v="26"/>
  </r>
  <r>
    <x v="7"/>
    <s v="rom_fact_druedain"/>
    <n v="5"/>
    <x v="3"/>
    <n v="21"/>
    <n v="4975"/>
    <n v="3841"/>
    <n v="0"/>
    <m/>
    <x v="27"/>
  </r>
  <r>
    <x v="7"/>
    <s v="rom_fact_harondor"/>
    <n v="4"/>
    <x v="10"/>
    <n v="23"/>
    <n v="5760"/>
    <n v="4588"/>
    <n v="139"/>
    <m/>
    <x v="28"/>
  </r>
  <r>
    <x v="7"/>
    <s v="rom_fact_southron_nomads"/>
    <n v="0"/>
    <x v="11"/>
    <n v="0"/>
    <n v="4000"/>
    <n v="1750"/>
    <n v="0"/>
    <m/>
    <x v="29"/>
  </r>
  <r>
    <x v="7"/>
    <s v="rom_fact_separatist_harad"/>
    <n v="0"/>
    <x v="11"/>
    <n v="0"/>
    <n v="4000"/>
    <n v="1750"/>
    <n v="0"/>
    <m/>
    <x v="30"/>
  </r>
  <r>
    <x v="7"/>
    <s v="rom_fact_separatist_khand"/>
    <n v="0"/>
    <x v="11"/>
    <n v="0"/>
    <n v="4000"/>
    <n v="1750"/>
    <n v="0"/>
    <m/>
    <x v="30"/>
  </r>
  <r>
    <x v="7"/>
    <s v="rom_fact_separatist_balchoth"/>
    <n v="0"/>
    <x v="11"/>
    <n v="0"/>
    <n v="4000"/>
    <n v="1750"/>
    <n v="0"/>
    <m/>
    <x v="30"/>
  </r>
  <r>
    <x v="7"/>
    <s v="rom_fact_separatist_feredrim"/>
    <n v="0"/>
    <x v="11"/>
    <n v="0"/>
    <n v="4000"/>
    <n v="1750"/>
    <n v="0"/>
    <m/>
    <x v="30"/>
  </r>
  <r>
    <x v="7"/>
    <s v="rom_fact_separatist_haerrim"/>
    <n v="0"/>
    <x v="11"/>
    <n v="0"/>
    <n v="4000"/>
    <n v="1750"/>
    <n v="0"/>
    <m/>
    <x v="30"/>
  </r>
  <r>
    <x v="7"/>
    <s v="rom_fact_separatist_wainriders"/>
    <n v="0"/>
    <x v="11"/>
    <n v="0"/>
    <n v="4000"/>
    <n v="1750"/>
    <n v="0"/>
    <m/>
    <x v="30"/>
  </r>
  <r>
    <x v="7"/>
    <s v="rom_fact_separatist_rhurim"/>
    <n v="0"/>
    <x v="11"/>
    <n v="0"/>
    <n v="4000"/>
    <n v="1750"/>
    <n v="0"/>
    <m/>
    <x v="30"/>
  </r>
  <r>
    <x v="7"/>
    <s v="rom_fact_separatist_mahuds"/>
    <n v="0"/>
    <x v="11"/>
    <n v="0"/>
    <n v="4000"/>
    <n v="1750"/>
    <n v="0"/>
    <m/>
    <x v="30"/>
  </r>
  <r>
    <x v="7"/>
    <s v="rom_fact_separatist_umbar"/>
    <n v="0"/>
    <x v="11"/>
    <n v="0"/>
    <n v="4000"/>
    <n v="1750"/>
    <n v="0"/>
    <m/>
    <x v="30"/>
  </r>
  <r>
    <x v="8"/>
    <s v="rom_fact_mordor"/>
    <n v="43"/>
    <x v="15"/>
    <n v="120.5"/>
    <n v="558"/>
    <n v="12855"/>
    <n v="578"/>
    <m/>
    <x v="0"/>
  </r>
  <r>
    <x v="8"/>
    <s v="rom_fact_gondor"/>
    <n v="30"/>
    <x v="15"/>
    <n v="148"/>
    <n v="20673"/>
    <n v="17365"/>
    <n v="538"/>
    <m/>
    <x v="1"/>
  </r>
  <r>
    <x v="8"/>
    <s v="rom_fact_dale"/>
    <n v="30"/>
    <x v="0"/>
    <n v="111"/>
    <n v="8850"/>
    <n v="11476"/>
    <n v="263"/>
    <m/>
    <x v="2"/>
  </r>
  <r>
    <x v="8"/>
    <s v="rom_fact_erebor"/>
    <n v="19"/>
    <x v="3"/>
    <n v="43"/>
    <n v="7669"/>
    <n v="10727"/>
    <n v="788"/>
    <m/>
    <x v="3"/>
  </r>
  <r>
    <x v="8"/>
    <s v="rom_fact_rohan"/>
    <n v="28"/>
    <x v="4"/>
    <n v="118"/>
    <n v="4873"/>
    <n v="9315"/>
    <n v="302"/>
    <m/>
    <x v="4"/>
  </r>
  <r>
    <x v="8"/>
    <s v="rom_fact_dol_guldur"/>
    <n v="20"/>
    <x v="13"/>
    <n v="67"/>
    <n v="11074"/>
    <n v="11211"/>
    <n v="0"/>
    <m/>
    <x v="5"/>
  </r>
  <r>
    <x v="8"/>
    <s v="rom_fact_anduin_vale"/>
    <n v="31"/>
    <x v="2"/>
    <n v="87"/>
    <n v="10647"/>
    <n v="8063"/>
    <n v="0"/>
    <m/>
    <x v="6"/>
  </r>
  <r>
    <x v="8"/>
    <s v="rom_fact_isengard"/>
    <n v="13"/>
    <x v="7"/>
    <n v="41"/>
    <n v="8021"/>
    <n v="7018"/>
    <n v="255"/>
    <m/>
    <x v="7"/>
  </r>
  <r>
    <x v="8"/>
    <s v="rom_fact_woodland_realm"/>
    <n v="14"/>
    <x v="10"/>
    <n v="24"/>
    <n v="5169"/>
    <n v="5708"/>
    <n v="0"/>
    <m/>
    <x v="8"/>
  </r>
  <r>
    <x v="8"/>
    <s v="rom_fact_lothlorien"/>
    <n v="15"/>
    <x v="3"/>
    <n v="36"/>
    <n v="6404"/>
    <n v="8162"/>
    <n v="0"/>
    <m/>
    <x v="9"/>
  </r>
  <r>
    <x v="8"/>
    <s v="rom_fact_khand"/>
    <n v="5"/>
    <x v="3"/>
    <n v="36"/>
    <n v="6284"/>
    <n v="5798"/>
    <n v="243"/>
    <m/>
    <x v="10"/>
  </r>
  <r>
    <x v="8"/>
    <s v="rom_fact_umbar"/>
    <n v="7"/>
    <x v="8"/>
    <n v="44"/>
    <n v="7500"/>
    <n v="7000"/>
    <n v="0"/>
    <m/>
    <x v="11"/>
  </r>
  <r>
    <x v="8"/>
    <s v="rom_fact_mahuds"/>
    <n v="5"/>
    <x v="3"/>
    <n v="35"/>
    <n v="4383"/>
    <n v="5097"/>
    <n v="0"/>
    <m/>
    <x v="12"/>
  </r>
  <r>
    <x v="8"/>
    <s v="rom_fact_harad"/>
    <n v="23"/>
    <x v="5"/>
    <n v="62"/>
    <n v="9173"/>
    <n v="8341"/>
    <n v="0"/>
    <m/>
    <x v="13"/>
  </r>
  <r>
    <x v="8"/>
    <s v="rom_fact_dunland"/>
    <n v="17"/>
    <x v="9"/>
    <n v="51"/>
    <n v="7852"/>
    <n v="9401"/>
    <n v="0"/>
    <m/>
    <x v="14"/>
  </r>
  <r>
    <x v="8"/>
    <s v="rom_fact_haerrim"/>
    <n v="0"/>
    <x v="11"/>
    <n v="0"/>
    <n v="5352"/>
    <n v="1750"/>
    <n v="0"/>
    <m/>
    <x v="15"/>
  </r>
  <r>
    <x v="8"/>
    <s v="rom_fact_goblins"/>
    <n v="20"/>
    <x v="13"/>
    <n v="79"/>
    <n v="16301"/>
    <n v="9012"/>
    <n v="0"/>
    <m/>
    <x v="16"/>
  </r>
  <r>
    <x v="8"/>
    <s v="rom_fact_balchoth"/>
    <n v="0"/>
    <x v="11"/>
    <n v="0"/>
    <n v="4872"/>
    <n v="1750"/>
    <n v="0"/>
    <m/>
    <x v="17"/>
  </r>
  <r>
    <x v="8"/>
    <s v="rom_fact_rhurim"/>
    <n v="31"/>
    <x v="2"/>
    <n v="131.5"/>
    <n v="18989"/>
    <n v="15115"/>
    <n v="320"/>
    <m/>
    <x v="18"/>
  </r>
  <r>
    <x v="8"/>
    <s v="rom_fact_feredrim"/>
    <n v="8"/>
    <x v="5"/>
    <n v="41"/>
    <n v="5906"/>
    <n v="5092"/>
    <n v="0"/>
    <m/>
    <x v="19"/>
  </r>
  <r>
    <x v="8"/>
    <s v="rom_fact_wainriders"/>
    <n v="6"/>
    <x v="9"/>
    <n v="35"/>
    <n v="4044"/>
    <n v="5799"/>
    <n v="147"/>
    <m/>
    <x v="20"/>
  </r>
  <r>
    <x v="8"/>
    <s v="rom_fact_blacklock"/>
    <n v="5"/>
    <x v="3"/>
    <n v="33"/>
    <n v="7503"/>
    <n v="6037"/>
    <n v="0"/>
    <m/>
    <x v="21"/>
  </r>
  <r>
    <x v="8"/>
    <s v="rom_fact_ironfist"/>
    <n v="4"/>
    <x v="10"/>
    <n v="25"/>
    <n v="4671"/>
    <n v="4399"/>
    <n v="0"/>
    <m/>
    <x v="22"/>
  </r>
  <r>
    <x v="8"/>
    <s v="rom_fact_gundabad"/>
    <n v="18"/>
    <x v="8"/>
    <n v="70"/>
    <n v="8560"/>
    <n v="9871"/>
    <n v="0"/>
    <m/>
    <x v="23"/>
  </r>
  <r>
    <x v="8"/>
    <s v="rom_fact_rohan_scouts"/>
    <n v="0"/>
    <x v="11"/>
    <n v="3"/>
    <n v="12968"/>
    <n v="2379"/>
    <n v="0"/>
    <m/>
    <x v="24"/>
  </r>
  <r>
    <x v="8"/>
    <s v="rom_fact_northern_enedwaith"/>
    <n v="5"/>
    <x v="3"/>
    <n v="14"/>
    <n v="5307"/>
    <n v="3286"/>
    <n v="0"/>
    <m/>
    <x v="25"/>
  </r>
  <r>
    <x v="8"/>
    <s v="rom_fact_southern_enedwaith"/>
    <n v="3"/>
    <x v="10"/>
    <n v="16"/>
    <n v="5323"/>
    <n v="3459"/>
    <n v="0"/>
    <m/>
    <x v="26"/>
  </r>
  <r>
    <x v="8"/>
    <s v="rom_fact_druedain"/>
    <n v="5"/>
    <x v="3"/>
    <n v="26"/>
    <n v="6384"/>
    <n v="3982"/>
    <n v="0"/>
    <m/>
    <x v="27"/>
  </r>
  <r>
    <x v="8"/>
    <s v="rom_fact_harondor"/>
    <n v="4"/>
    <x v="10"/>
    <n v="24"/>
    <n v="6307"/>
    <n v="4684"/>
    <n v="141"/>
    <m/>
    <x v="28"/>
  </r>
  <r>
    <x v="8"/>
    <s v="rom_fact_southron_nomads"/>
    <n v="0"/>
    <x v="11"/>
    <n v="0"/>
    <n v="4000"/>
    <n v="1750"/>
    <n v="0"/>
    <m/>
    <x v="29"/>
  </r>
  <r>
    <x v="8"/>
    <s v="rom_fact_separatist_harad"/>
    <n v="0"/>
    <x v="11"/>
    <n v="0"/>
    <n v="4000"/>
    <n v="1750"/>
    <n v="0"/>
    <m/>
    <x v="30"/>
  </r>
  <r>
    <x v="8"/>
    <s v="rom_fact_separatist_khand"/>
    <n v="0"/>
    <x v="11"/>
    <n v="0"/>
    <n v="4000"/>
    <n v="1750"/>
    <n v="0"/>
    <m/>
    <x v="30"/>
  </r>
  <r>
    <x v="8"/>
    <s v="rom_fact_separatist_balchoth"/>
    <n v="0"/>
    <x v="11"/>
    <n v="0"/>
    <n v="4000"/>
    <n v="1750"/>
    <n v="0"/>
    <m/>
    <x v="30"/>
  </r>
  <r>
    <x v="8"/>
    <s v="rom_fact_separatist_feredrim"/>
    <n v="0"/>
    <x v="11"/>
    <n v="0"/>
    <n v="4000"/>
    <n v="1750"/>
    <n v="0"/>
    <m/>
    <x v="30"/>
  </r>
  <r>
    <x v="8"/>
    <s v="rom_fact_separatist_haerrim"/>
    <n v="0"/>
    <x v="11"/>
    <n v="0"/>
    <n v="4000"/>
    <n v="1750"/>
    <n v="0"/>
    <m/>
    <x v="30"/>
  </r>
  <r>
    <x v="8"/>
    <s v="rom_fact_separatist_wainriders"/>
    <n v="0"/>
    <x v="11"/>
    <n v="0"/>
    <n v="4000"/>
    <n v="1750"/>
    <n v="0"/>
    <m/>
    <x v="30"/>
  </r>
  <r>
    <x v="8"/>
    <s v="rom_fact_separatist_rhurim"/>
    <n v="0"/>
    <x v="11"/>
    <n v="0"/>
    <n v="4000"/>
    <n v="1750"/>
    <n v="0"/>
    <m/>
    <x v="30"/>
  </r>
  <r>
    <x v="8"/>
    <s v="rom_fact_separatist_mahuds"/>
    <n v="0"/>
    <x v="11"/>
    <n v="0"/>
    <n v="4000"/>
    <n v="1750"/>
    <n v="0"/>
    <m/>
    <x v="30"/>
  </r>
  <r>
    <x v="8"/>
    <s v="rom_fact_separatist_umbar"/>
    <n v="0"/>
    <x v="11"/>
    <n v="0"/>
    <n v="4000"/>
    <n v="1750"/>
    <n v="0"/>
    <m/>
    <x v="30"/>
  </r>
  <r>
    <x v="9"/>
    <s v="rom_fact_mordor"/>
    <n v="48"/>
    <x v="15"/>
    <n v="124.5"/>
    <n v="1356"/>
    <n v="13291"/>
    <n v="580"/>
    <m/>
    <x v="0"/>
  </r>
  <r>
    <x v="9"/>
    <s v="rom_fact_gondor"/>
    <n v="50"/>
    <x v="15"/>
    <n v="152"/>
    <n v="21245"/>
    <n v="17550"/>
    <n v="541"/>
    <m/>
    <x v="1"/>
  </r>
  <r>
    <x v="9"/>
    <s v="rom_fact_dale"/>
    <n v="30"/>
    <x v="0"/>
    <n v="116"/>
    <n v="10105"/>
    <n v="12433"/>
    <n v="264"/>
    <m/>
    <x v="2"/>
  </r>
  <r>
    <x v="9"/>
    <s v="rom_fact_erebor"/>
    <n v="19"/>
    <x v="3"/>
    <n v="46"/>
    <n v="10531"/>
    <n v="11092"/>
    <n v="792"/>
    <m/>
    <x v="3"/>
  </r>
  <r>
    <x v="9"/>
    <s v="rom_fact_rohan"/>
    <n v="33"/>
    <x v="4"/>
    <n v="121"/>
    <n v="5877"/>
    <n v="9401"/>
    <n v="304"/>
    <m/>
    <x v="4"/>
  </r>
  <r>
    <x v="9"/>
    <s v="rom_fact_dol_guldur"/>
    <n v="24"/>
    <x v="13"/>
    <n v="78"/>
    <n v="13598"/>
    <n v="12284"/>
    <n v="0"/>
    <m/>
    <x v="5"/>
  </r>
  <r>
    <x v="9"/>
    <s v="rom_fact_anduin_vale"/>
    <n v="30"/>
    <x v="0"/>
    <n v="84"/>
    <n v="7267"/>
    <n v="8680"/>
    <n v="0"/>
    <m/>
    <x v="6"/>
  </r>
  <r>
    <x v="9"/>
    <s v="rom_fact_isengard"/>
    <n v="13"/>
    <x v="7"/>
    <n v="44"/>
    <n v="7917"/>
    <n v="7464"/>
    <n v="257"/>
    <m/>
    <x v="7"/>
  </r>
  <r>
    <x v="9"/>
    <s v="rom_fact_woodland_realm"/>
    <n v="14"/>
    <x v="10"/>
    <n v="27"/>
    <n v="4303"/>
    <n v="6087"/>
    <n v="0"/>
    <m/>
    <x v="8"/>
  </r>
  <r>
    <x v="9"/>
    <s v="rom_fact_lothlorien"/>
    <n v="15"/>
    <x v="3"/>
    <n v="37"/>
    <n v="8259"/>
    <n v="8547"/>
    <n v="0"/>
    <m/>
    <x v="9"/>
  </r>
  <r>
    <x v="9"/>
    <s v="rom_fact_khand"/>
    <n v="5"/>
    <x v="3"/>
    <n v="39"/>
    <n v="3471"/>
    <n v="6298"/>
    <n v="244"/>
    <m/>
    <x v="10"/>
  </r>
  <r>
    <x v="9"/>
    <s v="rom_fact_umbar"/>
    <n v="7"/>
    <x v="8"/>
    <n v="45"/>
    <n v="8415"/>
    <n v="7169"/>
    <n v="0"/>
    <m/>
    <x v="11"/>
  </r>
  <r>
    <x v="9"/>
    <s v="rom_fact_mahuds"/>
    <n v="5"/>
    <x v="3"/>
    <n v="37"/>
    <n v="5193"/>
    <n v="5433"/>
    <n v="0"/>
    <m/>
    <x v="12"/>
  </r>
  <r>
    <x v="9"/>
    <s v="rom_fact_harad"/>
    <n v="23"/>
    <x v="5"/>
    <n v="63"/>
    <n v="8257"/>
    <n v="8869"/>
    <n v="0"/>
    <m/>
    <x v="13"/>
  </r>
  <r>
    <x v="9"/>
    <s v="rom_fact_dunland"/>
    <n v="17"/>
    <x v="9"/>
    <n v="52"/>
    <n v="6765"/>
    <n v="9759"/>
    <n v="0"/>
    <m/>
    <x v="14"/>
  </r>
  <r>
    <x v="9"/>
    <s v="rom_fact_haerrim"/>
    <n v="0"/>
    <x v="11"/>
    <n v="0"/>
    <n v="5352"/>
    <n v="1750"/>
    <n v="0"/>
    <m/>
    <x v="15"/>
  </r>
  <r>
    <x v="9"/>
    <s v="rom_fact_goblins"/>
    <n v="20"/>
    <x v="13"/>
    <n v="79"/>
    <n v="15106"/>
    <n v="9012"/>
    <n v="0"/>
    <m/>
    <x v="16"/>
  </r>
  <r>
    <x v="9"/>
    <s v="rom_fact_balchoth"/>
    <n v="0"/>
    <x v="11"/>
    <n v="0"/>
    <n v="4872"/>
    <n v="1750"/>
    <n v="0"/>
    <m/>
    <x v="17"/>
  </r>
  <r>
    <x v="9"/>
    <s v="rom_fact_rhurim"/>
    <n v="40"/>
    <x v="2"/>
    <n v="130.30000000000001"/>
    <n v="17135"/>
    <n v="15285"/>
    <n v="322"/>
    <m/>
    <x v="18"/>
  </r>
  <r>
    <x v="9"/>
    <s v="rom_fact_feredrim"/>
    <n v="8"/>
    <x v="5"/>
    <n v="45"/>
    <n v="7428"/>
    <n v="5418"/>
    <n v="0"/>
    <m/>
    <x v="19"/>
  </r>
  <r>
    <x v="9"/>
    <s v="rom_fact_wainriders"/>
    <n v="6"/>
    <x v="9"/>
    <n v="35"/>
    <n v="3784"/>
    <n v="6062"/>
    <n v="148"/>
    <m/>
    <x v="20"/>
  </r>
  <r>
    <x v="9"/>
    <s v="rom_fact_blacklock"/>
    <n v="5"/>
    <x v="3"/>
    <n v="33"/>
    <n v="9588"/>
    <n v="5817"/>
    <n v="0"/>
    <m/>
    <x v="21"/>
  </r>
  <r>
    <x v="9"/>
    <s v="rom_fact_ironfist"/>
    <n v="4"/>
    <x v="10"/>
    <n v="25"/>
    <n v="6000"/>
    <n v="4399"/>
    <n v="0"/>
    <m/>
    <x v="22"/>
  </r>
  <r>
    <x v="9"/>
    <s v="rom_fact_gundabad"/>
    <n v="19"/>
    <x v="5"/>
    <n v="81"/>
    <n v="9211"/>
    <n v="10864"/>
    <n v="0"/>
    <m/>
    <x v="23"/>
  </r>
  <r>
    <x v="9"/>
    <s v="rom_fact_rohan_scouts"/>
    <n v="0"/>
    <x v="11"/>
    <n v="3"/>
    <n v="14089"/>
    <n v="2379"/>
    <n v="0"/>
    <m/>
    <x v="24"/>
  </r>
  <r>
    <x v="9"/>
    <s v="rom_fact_northern_enedwaith"/>
    <n v="5"/>
    <x v="3"/>
    <n v="14"/>
    <n v="6936"/>
    <n v="3286"/>
    <n v="0"/>
    <m/>
    <x v="25"/>
  </r>
  <r>
    <x v="9"/>
    <s v="rom_fact_southern_enedwaith"/>
    <n v="3"/>
    <x v="10"/>
    <n v="16"/>
    <n v="6611"/>
    <n v="3337"/>
    <n v="0"/>
    <m/>
    <x v="26"/>
  </r>
  <r>
    <x v="9"/>
    <s v="rom_fact_druedain"/>
    <n v="5"/>
    <x v="3"/>
    <n v="27"/>
    <n v="7934"/>
    <n v="4158"/>
    <n v="0"/>
    <m/>
    <x v="27"/>
  </r>
  <r>
    <x v="9"/>
    <s v="rom_fact_harondor"/>
    <n v="4"/>
    <x v="10"/>
    <n v="24"/>
    <n v="7388"/>
    <n v="4684"/>
    <n v="141"/>
    <m/>
    <x v="28"/>
  </r>
  <r>
    <x v="9"/>
    <s v="rom_fact_southron_nomads"/>
    <n v="0"/>
    <x v="11"/>
    <n v="0"/>
    <n v="4000"/>
    <n v="1750"/>
    <n v="0"/>
    <m/>
    <x v="29"/>
  </r>
  <r>
    <x v="9"/>
    <s v="rom_fact_separatist_harad"/>
    <n v="0"/>
    <x v="11"/>
    <n v="0"/>
    <n v="4000"/>
    <n v="1750"/>
    <n v="0"/>
    <m/>
    <x v="30"/>
  </r>
  <r>
    <x v="9"/>
    <s v="rom_fact_separatist_khand"/>
    <n v="0"/>
    <x v="11"/>
    <n v="0"/>
    <n v="4000"/>
    <n v="1750"/>
    <n v="0"/>
    <m/>
    <x v="30"/>
  </r>
  <r>
    <x v="9"/>
    <s v="rom_fact_separatist_balchoth"/>
    <n v="0"/>
    <x v="11"/>
    <n v="0"/>
    <n v="4000"/>
    <n v="1750"/>
    <n v="0"/>
    <m/>
    <x v="30"/>
  </r>
  <r>
    <x v="9"/>
    <s v="rom_fact_separatist_feredrim"/>
    <n v="0"/>
    <x v="11"/>
    <n v="0"/>
    <n v="4000"/>
    <n v="1750"/>
    <n v="0"/>
    <m/>
    <x v="30"/>
  </r>
  <r>
    <x v="9"/>
    <s v="rom_fact_separatist_haerrim"/>
    <n v="0"/>
    <x v="11"/>
    <n v="0"/>
    <n v="4000"/>
    <n v="1750"/>
    <n v="0"/>
    <m/>
    <x v="30"/>
  </r>
  <r>
    <x v="9"/>
    <s v="rom_fact_separatist_wainriders"/>
    <n v="0"/>
    <x v="11"/>
    <n v="0"/>
    <n v="4000"/>
    <n v="1750"/>
    <n v="0"/>
    <m/>
    <x v="30"/>
  </r>
  <r>
    <x v="9"/>
    <s v="rom_fact_separatist_rhurim"/>
    <n v="0"/>
    <x v="11"/>
    <n v="0"/>
    <n v="4000"/>
    <n v="1750"/>
    <n v="0"/>
    <m/>
    <x v="30"/>
  </r>
  <r>
    <x v="9"/>
    <s v="rom_fact_separatist_mahuds"/>
    <n v="0"/>
    <x v="11"/>
    <n v="0"/>
    <n v="4000"/>
    <n v="1750"/>
    <n v="0"/>
    <m/>
    <x v="30"/>
  </r>
  <r>
    <x v="9"/>
    <s v="rom_fact_separatist_umbar"/>
    <n v="0"/>
    <x v="11"/>
    <n v="0"/>
    <n v="4000"/>
    <n v="1750"/>
    <n v="0"/>
    <m/>
    <x v="30"/>
  </r>
  <r>
    <x v="10"/>
    <s v="rom_fact_mordor"/>
    <n v="48"/>
    <x v="15"/>
    <n v="128.6"/>
    <n v="3452"/>
    <n v="14017"/>
    <n v="580"/>
    <m/>
    <x v="0"/>
  </r>
  <r>
    <x v="10"/>
    <s v="rom_fact_gondor"/>
    <n v="55"/>
    <x v="15"/>
    <n v="155"/>
    <n v="19889"/>
    <n v="18119"/>
    <n v="544"/>
    <m/>
    <x v="1"/>
  </r>
  <r>
    <x v="10"/>
    <s v="rom_fact_dale"/>
    <n v="30"/>
    <x v="0"/>
    <n v="112"/>
    <n v="10684"/>
    <n v="12410"/>
    <n v="263"/>
    <m/>
    <x v="2"/>
  </r>
  <r>
    <x v="10"/>
    <s v="rom_fact_erebor"/>
    <n v="24"/>
    <x v="3"/>
    <n v="49"/>
    <n v="14548"/>
    <n v="11481"/>
    <n v="792"/>
    <m/>
    <x v="3"/>
  </r>
  <r>
    <x v="10"/>
    <s v="rom_fact_rohan"/>
    <n v="32"/>
    <x v="16"/>
    <n v="118"/>
    <n v="4115"/>
    <n v="9925"/>
    <n v="305"/>
    <m/>
    <x v="4"/>
  </r>
  <r>
    <x v="10"/>
    <s v="rom_fact_dol_guldur"/>
    <n v="29"/>
    <x v="13"/>
    <n v="84"/>
    <n v="11983"/>
    <n v="12855"/>
    <n v="0"/>
    <m/>
    <x v="5"/>
  </r>
  <r>
    <x v="10"/>
    <s v="rom_fact_anduin_vale"/>
    <n v="35"/>
    <x v="0"/>
    <n v="77"/>
    <n v="10407"/>
    <n v="8540"/>
    <n v="0"/>
    <m/>
    <x v="6"/>
  </r>
  <r>
    <x v="10"/>
    <s v="rom_fact_isengard"/>
    <n v="13"/>
    <x v="7"/>
    <n v="48"/>
    <n v="8888"/>
    <n v="8171"/>
    <n v="257"/>
    <m/>
    <x v="7"/>
  </r>
  <r>
    <x v="10"/>
    <s v="rom_fact_woodland_realm"/>
    <n v="19"/>
    <x v="10"/>
    <n v="30"/>
    <n v="4865"/>
    <n v="6338"/>
    <n v="0"/>
    <m/>
    <x v="8"/>
  </r>
  <r>
    <x v="10"/>
    <s v="rom_fact_lothlorien"/>
    <n v="15"/>
    <x v="3"/>
    <n v="39"/>
    <n v="9326"/>
    <n v="9400"/>
    <n v="0"/>
    <m/>
    <x v="9"/>
  </r>
  <r>
    <x v="10"/>
    <s v="rom_fact_khand"/>
    <n v="5"/>
    <x v="3"/>
    <n v="39"/>
    <n v="4511"/>
    <n v="6300"/>
    <n v="244"/>
    <m/>
    <x v="10"/>
  </r>
  <r>
    <x v="10"/>
    <s v="rom_fact_umbar"/>
    <n v="7"/>
    <x v="8"/>
    <n v="50"/>
    <n v="6856"/>
    <n v="7521"/>
    <n v="0"/>
    <m/>
    <x v="11"/>
  </r>
  <r>
    <x v="10"/>
    <s v="rom_fact_mahuds"/>
    <n v="5"/>
    <x v="3"/>
    <n v="40"/>
    <n v="3726"/>
    <n v="5730"/>
    <n v="0"/>
    <m/>
    <x v="12"/>
  </r>
  <r>
    <x v="10"/>
    <s v="rom_fact_harad"/>
    <n v="28"/>
    <x v="5"/>
    <n v="66"/>
    <n v="10471"/>
    <n v="8638"/>
    <n v="0"/>
    <m/>
    <x v="13"/>
  </r>
  <r>
    <x v="10"/>
    <s v="rom_fact_dunland"/>
    <n v="23"/>
    <x v="8"/>
    <n v="56"/>
    <n v="7516"/>
    <n v="10032"/>
    <n v="0"/>
    <m/>
    <x v="14"/>
  </r>
  <r>
    <x v="10"/>
    <s v="rom_fact_haerrim"/>
    <n v="0"/>
    <x v="11"/>
    <n v="0"/>
    <n v="5352"/>
    <n v="1750"/>
    <n v="0"/>
    <m/>
    <x v="15"/>
  </r>
  <r>
    <x v="10"/>
    <s v="rom_fact_goblins"/>
    <n v="20"/>
    <x v="13"/>
    <n v="84"/>
    <n v="13209"/>
    <n v="9717"/>
    <n v="0"/>
    <m/>
    <x v="16"/>
  </r>
  <r>
    <x v="10"/>
    <s v="rom_fact_balchoth"/>
    <n v="0"/>
    <x v="11"/>
    <n v="0"/>
    <n v="4872"/>
    <n v="1750"/>
    <n v="0"/>
    <m/>
    <x v="17"/>
  </r>
  <r>
    <x v="10"/>
    <s v="rom_fact_rhurim"/>
    <n v="40"/>
    <x v="2"/>
    <n v="135.30000000000001"/>
    <n v="15826"/>
    <n v="15626"/>
    <n v="323"/>
    <m/>
    <x v="18"/>
  </r>
  <r>
    <x v="10"/>
    <s v="rom_fact_feredrim"/>
    <n v="8"/>
    <x v="5"/>
    <n v="48"/>
    <n v="6444"/>
    <n v="5714"/>
    <n v="0"/>
    <m/>
    <x v="19"/>
  </r>
  <r>
    <x v="10"/>
    <s v="rom_fact_wainriders"/>
    <n v="6"/>
    <x v="9"/>
    <n v="36"/>
    <n v="5015"/>
    <n v="6232"/>
    <n v="149"/>
    <m/>
    <x v="20"/>
  </r>
  <r>
    <x v="10"/>
    <s v="rom_fact_blacklock"/>
    <n v="5"/>
    <x v="3"/>
    <n v="33"/>
    <n v="11453"/>
    <n v="5817"/>
    <n v="0"/>
    <m/>
    <x v="21"/>
  </r>
  <r>
    <x v="10"/>
    <s v="rom_fact_ironfist"/>
    <n v="4"/>
    <x v="10"/>
    <n v="26"/>
    <n v="7329"/>
    <n v="4528"/>
    <n v="0"/>
    <m/>
    <x v="22"/>
  </r>
  <r>
    <x v="10"/>
    <s v="rom_fact_gundabad"/>
    <n v="19"/>
    <x v="5"/>
    <n v="85"/>
    <n v="12236"/>
    <n v="11687"/>
    <n v="0"/>
    <m/>
    <x v="23"/>
  </r>
  <r>
    <x v="10"/>
    <s v="rom_fact_rohan_scouts"/>
    <n v="0"/>
    <x v="11"/>
    <n v="3"/>
    <n v="15210"/>
    <n v="2379"/>
    <n v="0"/>
    <m/>
    <x v="24"/>
  </r>
  <r>
    <x v="10"/>
    <s v="rom_fact_northern_enedwaith"/>
    <n v="5"/>
    <x v="3"/>
    <n v="15"/>
    <n v="7582"/>
    <n v="3313"/>
    <n v="0"/>
    <m/>
    <x v="25"/>
  </r>
  <r>
    <x v="10"/>
    <s v="rom_fact_southern_enedwaith"/>
    <n v="3"/>
    <x v="10"/>
    <n v="16"/>
    <n v="7761"/>
    <n v="3544"/>
    <n v="0"/>
    <m/>
    <x v="26"/>
  </r>
  <r>
    <x v="10"/>
    <s v="rom_fact_druedain"/>
    <n v="5"/>
    <x v="3"/>
    <n v="27"/>
    <n v="9016"/>
    <n v="4037"/>
    <n v="0"/>
    <m/>
    <x v="27"/>
  </r>
  <r>
    <x v="10"/>
    <s v="rom_fact_harondor"/>
    <n v="4"/>
    <x v="10"/>
    <n v="24"/>
    <n v="8525"/>
    <n v="4627"/>
    <n v="141"/>
    <m/>
    <x v="28"/>
  </r>
  <r>
    <x v="10"/>
    <s v="rom_fact_southron_nomads"/>
    <n v="0"/>
    <x v="11"/>
    <n v="0"/>
    <n v="4000"/>
    <n v="1750"/>
    <n v="0"/>
    <m/>
    <x v="29"/>
  </r>
  <r>
    <x v="10"/>
    <s v="rom_fact_separatist_harad"/>
    <n v="0"/>
    <x v="11"/>
    <n v="0"/>
    <n v="4000"/>
    <n v="1750"/>
    <n v="0"/>
    <m/>
    <x v="30"/>
  </r>
  <r>
    <x v="10"/>
    <s v="rom_fact_separatist_khand"/>
    <n v="0"/>
    <x v="11"/>
    <n v="0"/>
    <n v="4000"/>
    <n v="1750"/>
    <n v="0"/>
    <m/>
    <x v="30"/>
  </r>
  <r>
    <x v="10"/>
    <s v="rom_fact_separatist_balchoth"/>
    <n v="0"/>
    <x v="11"/>
    <n v="0"/>
    <n v="4000"/>
    <n v="1750"/>
    <n v="0"/>
    <m/>
    <x v="30"/>
  </r>
  <r>
    <x v="10"/>
    <s v="rom_fact_separatist_feredrim"/>
    <n v="0"/>
    <x v="11"/>
    <n v="0"/>
    <n v="4000"/>
    <n v="1750"/>
    <n v="0"/>
    <m/>
    <x v="30"/>
  </r>
  <r>
    <x v="10"/>
    <s v="rom_fact_separatist_haerrim"/>
    <n v="0"/>
    <x v="11"/>
    <n v="0"/>
    <n v="4000"/>
    <n v="1750"/>
    <n v="0"/>
    <m/>
    <x v="30"/>
  </r>
  <r>
    <x v="10"/>
    <s v="rom_fact_separatist_wainriders"/>
    <n v="0"/>
    <x v="11"/>
    <n v="0"/>
    <n v="4000"/>
    <n v="1750"/>
    <n v="0"/>
    <m/>
    <x v="30"/>
  </r>
  <r>
    <x v="10"/>
    <s v="rom_fact_separatist_rhurim"/>
    <n v="0"/>
    <x v="11"/>
    <n v="0"/>
    <n v="4000"/>
    <n v="1750"/>
    <n v="0"/>
    <m/>
    <x v="30"/>
  </r>
  <r>
    <x v="10"/>
    <s v="rom_fact_separatist_mahuds"/>
    <n v="0"/>
    <x v="11"/>
    <n v="0"/>
    <n v="4000"/>
    <n v="1750"/>
    <n v="0"/>
    <m/>
    <x v="30"/>
  </r>
  <r>
    <x v="10"/>
    <s v="rom_fact_separatist_umbar"/>
    <n v="0"/>
    <x v="11"/>
    <n v="0"/>
    <n v="4000"/>
    <n v="1750"/>
    <n v="0"/>
    <m/>
    <x v="30"/>
  </r>
  <r>
    <x v="11"/>
    <s v="rom_fact_mordor"/>
    <n v="48"/>
    <x v="15"/>
    <n v="129.6"/>
    <n v="1115"/>
    <n v="13643"/>
    <n v="576"/>
    <m/>
    <x v="0"/>
  </r>
  <r>
    <x v="11"/>
    <s v="rom_fact_gondor"/>
    <n v="55"/>
    <x v="15"/>
    <n v="158"/>
    <n v="20907"/>
    <n v="18286"/>
    <n v="548"/>
    <m/>
    <x v="1"/>
  </r>
  <r>
    <x v="11"/>
    <s v="rom_fact_dale"/>
    <n v="34"/>
    <x v="17"/>
    <n v="116"/>
    <n v="11769"/>
    <n v="12447"/>
    <n v="221"/>
    <m/>
    <x v="2"/>
  </r>
  <r>
    <x v="11"/>
    <s v="rom_fact_erebor"/>
    <n v="24"/>
    <x v="3"/>
    <n v="50"/>
    <n v="17976"/>
    <n v="11831"/>
    <n v="673"/>
    <m/>
    <x v="3"/>
  </r>
  <r>
    <x v="11"/>
    <s v="rom_fact_rohan"/>
    <n v="32"/>
    <x v="16"/>
    <n v="121"/>
    <n v="4367"/>
    <n v="10194"/>
    <n v="308"/>
    <m/>
    <x v="4"/>
  </r>
  <r>
    <x v="11"/>
    <s v="rom_fact_dol_guldur"/>
    <n v="29"/>
    <x v="13"/>
    <n v="92"/>
    <n v="16169"/>
    <n v="11842"/>
    <n v="0"/>
    <m/>
    <x v="5"/>
  </r>
  <r>
    <x v="11"/>
    <s v="rom_fact_anduin_vale"/>
    <n v="34"/>
    <x v="17"/>
    <n v="73"/>
    <n v="6859"/>
    <n v="8460"/>
    <n v="0"/>
    <m/>
    <x v="6"/>
  </r>
  <r>
    <x v="11"/>
    <s v="rom_fact_isengard"/>
    <n v="18"/>
    <x v="7"/>
    <n v="50"/>
    <n v="10251"/>
    <n v="8483"/>
    <n v="382"/>
    <m/>
    <x v="7"/>
  </r>
  <r>
    <x v="11"/>
    <s v="rom_fact_woodland_realm"/>
    <n v="19"/>
    <x v="10"/>
    <n v="31"/>
    <n v="4738"/>
    <n v="6685"/>
    <n v="0"/>
    <m/>
    <x v="8"/>
  </r>
  <r>
    <x v="11"/>
    <s v="rom_fact_lothlorien"/>
    <n v="20"/>
    <x v="3"/>
    <n v="39"/>
    <n v="11423"/>
    <n v="9367"/>
    <n v="0"/>
    <m/>
    <x v="9"/>
  </r>
  <r>
    <x v="11"/>
    <s v="rom_fact_khand"/>
    <n v="5"/>
    <x v="3"/>
    <n v="40"/>
    <n v="5550"/>
    <n v="6476"/>
    <n v="243"/>
    <m/>
    <x v="10"/>
  </r>
  <r>
    <x v="11"/>
    <s v="rom_fact_umbar"/>
    <n v="7"/>
    <x v="8"/>
    <n v="51"/>
    <n v="7905"/>
    <n v="7590"/>
    <n v="0"/>
    <m/>
    <x v="11"/>
  </r>
  <r>
    <x v="11"/>
    <s v="rom_fact_mahuds"/>
    <n v="5"/>
    <x v="3"/>
    <n v="41"/>
    <n v="4798"/>
    <n v="6058"/>
    <n v="0"/>
    <m/>
    <x v="12"/>
  </r>
  <r>
    <x v="11"/>
    <s v="rom_fact_harad"/>
    <n v="28"/>
    <x v="5"/>
    <n v="67"/>
    <n v="9087"/>
    <n v="8946"/>
    <n v="0"/>
    <m/>
    <x v="13"/>
  </r>
  <r>
    <x v="11"/>
    <s v="rom_fact_dunland"/>
    <n v="27"/>
    <x v="8"/>
    <n v="56"/>
    <n v="8461"/>
    <n v="10491"/>
    <n v="210"/>
    <m/>
    <x v="14"/>
  </r>
  <r>
    <x v="11"/>
    <s v="rom_fact_haerrim"/>
    <n v="0"/>
    <x v="11"/>
    <n v="0"/>
    <n v="5352"/>
    <n v="1750"/>
    <n v="0"/>
    <m/>
    <x v="15"/>
  </r>
  <r>
    <x v="11"/>
    <s v="rom_fact_goblins"/>
    <n v="26"/>
    <x v="12"/>
    <n v="94"/>
    <n v="13199"/>
    <n v="10281"/>
    <n v="0"/>
    <m/>
    <x v="16"/>
  </r>
  <r>
    <x v="11"/>
    <s v="rom_fact_balchoth"/>
    <n v="0"/>
    <x v="11"/>
    <n v="0"/>
    <n v="4872"/>
    <n v="1750"/>
    <n v="0"/>
    <m/>
    <x v="17"/>
  </r>
  <r>
    <x v="11"/>
    <s v="rom_fact_rhurim"/>
    <n v="41"/>
    <x v="2"/>
    <n v="142.5"/>
    <n v="17158"/>
    <n v="15913"/>
    <n v="321"/>
    <m/>
    <x v="18"/>
  </r>
  <r>
    <x v="11"/>
    <s v="rom_fact_feredrim"/>
    <n v="8"/>
    <x v="5"/>
    <n v="54"/>
    <n v="5300"/>
    <n v="5934"/>
    <n v="0"/>
    <m/>
    <x v="19"/>
  </r>
  <r>
    <x v="11"/>
    <s v="rom_fact_wainriders"/>
    <n v="7"/>
    <x v="8"/>
    <n v="36"/>
    <n v="5576"/>
    <n v="6426"/>
    <n v="149"/>
    <m/>
    <x v="20"/>
  </r>
  <r>
    <x v="11"/>
    <s v="rom_fact_blacklock"/>
    <n v="5"/>
    <x v="3"/>
    <n v="33"/>
    <n v="10280"/>
    <n v="5957"/>
    <n v="0"/>
    <m/>
    <x v="21"/>
  </r>
  <r>
    <x v="11"/>
    <s v="rom_fact_ironfist"/>
    <n v="4"/>
    <x v="10"/>
    <n v="26"/>
    <n v="8787"/>
    <n v="4611"/>
    <n v="0"/>
    <m/>
    <x v="22"/>
  </r>
  <r>
    <x v="11"/>
    <s v="rom_fact_gundabad"/>
    <n v="24"/>
    <x v="5"/>
    <n v="90"/>
    <n v="7376"/>
    <n v="11714"/>
    <n v="0"/>
    <m/>
    <x v="23"/>
  </r>
  <r>
    <x v="11"/>
    <s v="rom_fact_rohan_scouts"/>
    <n v="0"/>
    <x v="11"/>
    <n v="3"/>
    <n v="16331"/>
    <n v="2379"/>
    <n v="0"/>
    <m/>
    <x v="24"/>
  </r>
  <r>
    <x v="11"/>
    <s v="rom_fact_northern_enedwaith"/>
    <n v="5"/>
    <x v="3"/>
    <n v="15"/>
    <n v="7805"/>
    <n v="3390"/>
    <n v="0"/>
    <m/>
    <x v="25"/>
  </r>
  <r>
    <x v="11"/>
    <s v="rom_fact_southern_enedwaith"/>
    <n v="3"/>
    <x v="10"/>
    <n v="16"/>
    <n v="8911"/>
    <n v="3544"/>
    <n v="0"/>
    <m/>
    <x v="26"/>
  </r>
  <r>
    <x v="11"/>
    <s v="rom_fact_druedain"/>
    <n v="5"/>
    <x v="3"/>
    <n v="28"/>
    <n v="10376"/>
    <n v="4326"/>
    <n v="0"/>
    <m/>
    <x v="27"/>
  </r>
  <r>
    <x v="11"/>
    <s v="rom_fact_harondor"/>
    <n v="4"/>
    <x v="10"/>
    <n v="24"/>
    <n v="9761"/>
    <n v="4626"/>
    <n v="140"/>
    <m/>
    <x v="28"/>
  </r>
  <r>
    <x v="11"/>
    <s v="rom_fact_southron_nomads"/>
    <n v="0"/>
    <x v="11"/>
    <n v="0"/>
    <n v="4000"/>
    <n v="1750"/>
    <n v="0"/>
    <m/>
    <x v="29"/>
  </r>
  <r>
    <x v="11"/>
    <s v="rom_fact_separatist_harad"/>
    <n v="0"/>
    <x v="11"/>
    <n v="0"/>
    <n v="4000"/>
    <n v="1750"/>
    <n v="0"/>
    <m/>
    <x v="30"/>
  </r>
  <r>
    <x v="11"/>
    <s v="rom_fact_separatist_khand"/>
    <n v="0"/>
    <x v="11"/>
    <n v="0"/>
    <n v="4000"/>
    <n v="1750"/>
    <n v="0"/>
    <m/>
    <x v="30"/>
  </r>
  <r>
    <x v="11"/>
    <s v="rom_fact_separatist_balchoth"/>
    <n v="0"/>
    <x v="11"/>
    <n v="0"/>
    <n v="4000"/>
    <n v="1750"/>
    <n v="0"/>
    <m/>
    <x v="30"/>
  </r>
  <r>
    <x v="11"/>
    <s v="rom_fact_separatist_feredrim"/>
    <n v="0"/>
    <x v="11"/>
    <n v="0"/>
    <n v="4000"/>
    <n v="1750"/>
    <n v="0"/>
    <m/>
    <x v="30"/>
  </r>
  <r>
    <x v="11"/>
    <s v="rom_fact_separatist_haerrim"/>
    <n v="0"/>
    <x v="11"/>
    <n v="0"/>
    <n v="4000"/>
    <n v="1750"/>
    <n v="0"/>
    <m/>
    <x v="30"/>
  </r>
  <r>
    <x v="11"/>
    <s v="rom_fact_separatist_wainriders"/>
    <n v="0"/>
    <x v="11"/>
    <n v="0"/>
    <n v="4000"/>
    <n v="1750"/>
    <n v="0"/>
    <m/>
    <x v="30"/>
  </r>
  <r>
    <x v="11"/>
    <s v="rom_fact_separatist_rhurim"/>
    <n v="0"/>
    <x v="11"/>
    <n v="0"/>
    <n v="4000"/>
    <n v="1750"/>
    <n v="0"/>
    <m/>
    <x v="30"/>
  </r>
  <r>
    <x v="11"/>
    <s v="rom_fact_separatist_mahuds"/>
    <n v="0"/>
    <x v="11"/>
    <n v="0"/>
    <n v="4000"/>
    <n v="1750"/>
    <n v="0"/>
    <m/>
    <x v="30"/>
  </r>
  <r>
    <x v="11"/>
    <s v="rom_fact_separatist_umbar"/>
    <n v="0"/>
    <x v="11"/>
    <n v="0"/>
    <n v="4000"/>
    <n v="1750"/>
    <n v="0"/>
    <m/>
    <x v="30"/>
  </r>
  <r>
    <x v="12"/>
    <s v="rom_fact_mordor"/>
    <n v="53"/>
    <x v="15"/>
    <n v="129.6"/>
    <n v="2324"/>
    <n v="14012"/>
    <n v="581"/>
    <m/>
    <x v="0"/>
  </r>
  <r>
    <x v="12"/>
    <s v="rom_fact_gondor"/>
    <n v="55"/>
    <x v="15"/>
    <n v="161"/>
    <n v="22369"/>
    <n v="18627"/>
    <n v="631"/>
    <m/>
    <x v="1"/>
  </r>
  <r>
    <x v="12"/>
    <s v="rom_fact_dale"/>
    <n v="33"/>
    <x v="6"/>
    <n v="114"/>
    <n v="9913"/>
    <n v="12375"/>
    <n v="218"/>
    <m/>
    <x v="2"/>
  </r>
  <r>
    <x v="12"/>
    <s v="rom_fact_erebor"/>
    <n v="39"/>
    <x v="3"/>
    <n v="51"/>
    <n v="12044"/>
    <n v="11995"/>
    <n v="672"/>
    <m/>
    <x v="3"/>
  </r>
  <r>
    <x v="12"/>
    <s v="rom_fact_rohan"/>
    <n v="32"/>
    <x v="16"/>
    <n v="124"/>
    <n v="6648"/>
    <n v="10787"/>
    <n v="310"/>
    <m/>
    <x v="4"/>
  </r>
  <r>
    <x v="12"/>
    <s v="rom_fact_dol_guldur"/>
    <n v="33"/>
    <x v="13"/>
    <n v="96"/>
    <n v="11252"/>
    <n v="13066"/>
    <n v="0"/>
    <m/>
    <x v="5"/>
  </r>
  <r>
    <x v="12"/>
    <s v="rom_fact_anduin_vale"/>
    <n v="34"/>
    <x v="17"/>
    <n v="81"/>
    <n v="6865"/>
    <n v="9248"/>
    <n v="0"/>
    <m/>
    <x v="6"/>
  </r>
  <r>
    <x v="12"/>
    <s v="rom_fact_isengard"/>
    <n v="18"/>
    <x v="7"/>
    <n v="50"/>
    <n v="3817"/>
    <n v="8484"/>
    <n v="383"/>
    <m/>
    <x v="7"/>
  </r>
  <r>
    <x v="12"/>
    <s v="rom_fact_woodland_realm"/>
    <n v="19"/>
    <x v="10"/>
    <n v="33"/>
    <n v="5722"/>
    <n v="7097"/>
    <n v="0"/>
    <m/>
    <x v="8"/>
  </r>
  <r>
    <x v="12"/>
    <s v="rom_fact_lothlorien"/>
    <n v="19"/>
    <x v="10"/>
    <n v="34"/>
    <n v="4428"/>
    <n v="7481"/>
    <n v="0"/>
    <m/>
    <x v="9"/>
  </r>
  <r>
    <x v="12"/>
    <s v="rom_fact_khand"/>
    <n v="6"/>
    <x v="9"/>
    <n v="41"/>
    <n v="4295"/>
    <n v="6602"/>
    <n v="245"/>
    <m/>
    <x v="10"/>
  </r>
  <r>
    <x v="12"/>
    <s v="rom_fact_umbar"/>
    <n v="7"/>
    <x v="8"/>
    <n v="53"/>
    <n v="9682"/>
    <n v="7945"/>
    <n v="0"/>
    <m/>
    <x v="11"/>
  </r>
  <r>
    <x v="12"/>
    <s v="rom_fact_mahuds"/>
    <n v="5"/>
    <x v="3"/>
    <n v="41"/>
    <n v="6114"/>
    <n v="5936"/>
    <n v="0"/>
    <m/>
    <x v="12"/>
  </r>
  <r>
    <x v="12"/>
    <s v="rom_fact_harad"/>
    <n v="27"/>
    <x v="8"/>
    <n v="59"/>
    <n v="11431"/>
    <n v="8433"/>
    <n v="0"/>
    <m/>
    <x v="13"/>
  </r>
  <r>
    <x v="12"/>
    <s v="rom_fact_dunland"/>
    <n v="27"/>
    <x v="8"/>
    <n v="61"/>
    <n v="9552"/>
    <n v="10620"/>
    <n v="210"/>
    <m/>
    <x v="14"/>
  </r>
  <r>
    <x v="12"/>
    <s v="rom_fact_haerrim"/>
    <n v="0"/>
    <x v="11"/>
    <n v="0"/>
    <n v="5352"/>
    <n v="1750"/>
    <n v="0"/>
    <m/>
    <x v="15"/>
  </r>
  <r>
    <x v="12"/>
    <s v="rom_fact_goblins"/>
    <n v="42"/>
    <x v="6"/>
    <n v="97"/>
    <n v="13280"/>
    <n v="11776"/>
    <n v="0"/>
    <m/>
    <x v="16"/>
  </r>
  <r>
    <x v="12"/>
    <s v="rom_fact_balchoth"/>
    <n v="0"/>
    <x v="11"/>
    <n v="0"/>
    <n v="4872"/>
    <n v="1750"/>
    <n v="0"/>
    <m/>
    <x v="17"/>
  </r>
  <r>
    <x v="12"/>
    <s v="rom_fact_rhurim"/>
    <n v="51"/>
    <x v="16"/>
    <n v="155.5"/>
    <n v="13922"/>
    <n v="17299"/>
    <n v="328"/>
    <m/>
    <x v="18"/>
  </r>
  <r>
    <x v="12"/>
    <s v="rom_fact_feredrim"/>
    <n v="8"/>
    <x v="5"/>
    <n v="53"/>
    <n v="7406"/>
    <n v="5978"/>
    <n v="0"/>
    <m/>
    <x v="19"/>
  </r>
  <r>
    <x v="12"/>
    <s v="rom_fact_wainriders"/>
    <n v="7"/>
    <x v="8"/>
    <n v="36"/>
    <n v="6395"/>
    <n v="6487"/>
    <n v="153"/>
    <m/>
    <x v="20"/>
  </r>
  <r>
    <x v="12"/>
    <s v="rom_fact_blacklock"/>
    <n v="5"/>
    <x v="3"/>
    <n v="33"/>
    <n v="12285"/>
    <n v="5957"/>
    <n v="0"/>
    <m/>
    <x v="21"/>
  </r>
  <r>
    <x v="12"/>
    <s v="rom_fact_ironfist"/>
    <n v="4"/>
    <x v="10"/>
    <n v="26"/>
    <n v="10328"/>
    <n v="4611"/>
    <n v="0"/>
    <m/>
    <x v="22"/>
  </r>
  <r>
    <x v="12"/>
    <s v="rom_fact_gundabad"/>
    <n v="24"/>
    <x v="5"/>
    <n v="93"/>
    <n v="8296"/>
    <n v="11636"/>
    <n v="0"/>
    <m/>
    <x v="23"/>
  </r>
  <r>
    <x v="12"/>
    <s v="rom_fact_rohan_scouts"/>
    <n v="0"/>
    <x v="11"/>
    <n v="3"/>
    <n v="17452"/>
    <n v="2379"/>
    <n v="0"/>
    <m/>
    <x v="24"/>
  </r>
  <r>
    <x v="12"/>
    <s v="rom_fact_northern_enedwaith"/>
    <n v="5"/>
    <x v="3"/>
    <n v="24"/>
    <n v="6393"/>
    <n v="3645"/>
    <n v="0"/>
    <m/>
    <x v="25"/>
  </r>
  <r>
    <x v="12"/>
    <s v="rom_fact_southern_enedwaith"/>
    <n v="3"/>
    <x v="10"/>
    <n v="16"/>
    <n v="10061"/>
    <n v="3544"/>
    <n v="0"/>
    <m/>
    <x v="26"/>
  </r>
  <r>
    <x v="12"/>
    <s v="rom_fact_druedain"/>
    <n v="5"/>
    <x v="3"/>
    <n v="28"/>
    <n v="11780"/>
    <n v="4337"/>
    <n v="0"/>
    <m/>
    <x v="27"/>
  </r>
  <r>
    <x v="12"/>
    <s v="rom_fact_harondor"/>
    <n v="4"/>
    <x v="10"/>
    <n v="24"/>
    <n v="10896"/>
    <n v="4626"/>
    <n v="140"/>
    <m/>
    <x v="28"/>
  </r>
  <r>
    <x v="12"/>
    <s v="rom_fact_southron_nomads"/>
    <n v="0"/>
    <x v="11"/>
    <n v="0"/>
    <n v="4000"/>
    <n v="1750"/>
    <n v="0"/>
    <m/>
    <x v="29"/>
  </r>
  <r>
    <x v="12"/>
    <s v="rom_fact_separatist_harad"/>
    <n v="0"/>
    <x v="11"/>
    <n v="0"/>
    <n v="4000"/>
    <n v="1750"/>
    <n v="0"/>
    <m/>
    <x v="30"/>
  </r>
  <r>
    <x v="12"/>
    <s v="rom_fact_separatist_khand"/>
    <n v="0"/>
    <x v="11"/>
    <n v="0"/>
    <n v="4000"/>
    <n v="1750"/>
    <n v="0"/>
    <m/>
    <x v="30"/>
  </r>
  <r>
    <x v="12"/>
    <s v="rom_fact_separatist_balchoth"/>
    <n v="0"/>
    <x v="11"/>
    <n v="0"/>
    <n v="4000"/>
    <n v="1750"/>
    <n v="0"/>
    <m/>
    <x v="30"/>
  </r>
  <r>
    <x v="12"/>
    <s v="rom_fact_separatist_feredrim"/>
    <n v="0"/>
    <x v="11"/>
    <n v="0"/>
    <n v="4000"/>
    <n v="1750"/>
    <n v="0"/>
    <m/>
    <x v="30"/>
  </r>
  <r>
    <x v="12"/>
    <s v="rom_fact_separatist_haerrim"/>
    <n v="0"/>
    <x v="11"/>
    <n v="0"/>
    <n v="4000"/>
    <n v="1750"/>
    <n v="0"/>
    <m/>
    <x v="30"/>
  </r>
  <r>
    <x v="12"/>
    <s v="rom_fact_separatist_wainriders"/>
    <n v="0"/>
    <x v="11"/>
    <n v="0"/>
    <n v="4000"/>
    <n v="1750"/>
    <n v="0"/>
    <m/>
    <x v="30"/>
  </r>
  <r>
    <x v="12"/>
    <s v="rom_fact_separatist_rhurim"/>
    <n v="0"/>
    <x v="11"/>
    <n v="0"/>
    <n v="4000"/>
    <n v="1750"/>
    <n v="0"/>
    <m/>
    <x v="30"/>
  </r>
  <r>
    <x v="12"/>
    <s v="rom_fact_separatist_mahuds"/>
    <n v="0"/>
    <x v="11"/>
    <n v="0"/>
    <n v="4000"/>
    <n v="1750"/>
    <n v="0"/>
    <m/>
    <x v="30"/>
  </r>
  <r>
    <x v="12"/>
    <s v="rom_fact_separatist_umbar"/>
    <n v="0"/>
    <x v="11"/>
    <n v="0"/>
    <n v="4000"/>
    <n v="1750"/>
    <n v="0"/>
    <m/>
    <x v="30"/>
  </r>
  <r>
    <x v="13"/>
    <s v="rom_fact_mordor"/>
    <n v="53"/>
    <x v="15"/>
    <n v="129.6"/>
    <n v="1474"/>
    <n v="14092"/>
    <n v="596"/>
    <m/>
    <x v="0"/>
  </r>
  <r>
    <x v="13"/>
    <s v="rom_fact_gondor"/>
    <n v="60"/>
    <x v="15"/>
    <n v="161"/>
    <n v="23249"/>
    <n v="18673"/>
    <n v="635"/>
    <m/>
    <x v="1"/>
  </r>
  <r>
    <x v="13"/>
    <s v="rom_fact_dale"/>
    <n v="33"/>
    <x v="6"/>
    <n v="118"/>
    <n v="9056"/>
    <n v="12976"/>
    <n v="222"/>
    <m/>
    <x v="2"/>
  </r>
  <r>
    <x v="13"/>
    <s v="rom_fact_erebor"/>
    <n v="45"/>
    <x v="9"/>
    <n v="56"/>
    <n v="12925"/>
    <n v="13003"/>
    <n v="675"/>
    <m/>
    <x v="3"/>
  </r>
  <r>
    <x v="13"/>
    <s v="rom_fact_rohan"/>
    <n v="37"/>
    <x v="16"/>
    <n v="124"/>
    <n v="5291"/>
    <n v="12347"/>
    <n v="313"/>
    <m/>
    <x v="4"/>
  </r>
  <r>
    <x v="13"/>
    <s v="rom_fact_dol_guldur"/>
    <n v="38"/>
    <x v="13"/>
    <n v="99"/>
    <n v="9175"/>
    <n v="13367"/>
    <n v="0"/>
    <m/>
    <x v="5"/>
  </r>
  <r>
    <x v="13"/>
    <s v="rom_fact_anduin_vale"/>
    <n v="39"/>
    <x v="17"/>
    <n v="83"/>
    <n v="4682"/>
    <n v="9399"/>
    <n v="0"/>
    <m/>
    <x v="6"/>
  </r>
  <r>
    <x v="13"/>
    <s v="rom_fact_isengard"/>
    <n v="18"/>
    <x v="7"/>
    <n v="54"/>
    <n v="3666"/>
    <n v="8929"/>
    <n v="384"/>
    <m/>
    <x v="7"/>
  </r>
  <r>
    <x v="13"/>
    <s v="rom_fact_woodland_realm"/>
    <n v="24"/>
    <x v="10"/>
    <n v="34"/>
    <n v="4961"/>
    <n v="7380"/>
    <n v="0"/>
    <m/>
    <x v="8"/>
  </r>
  <r>
    <x v="13"/>
    <s v="rom_fact_lothlorien"/>
    <n v="16"/>
    <x v="7"/>
    <n v="20"/>
    <n v="3002"/>
    <n v="6465"/>
    <n v="0"/>
    <m/>
    <x v="9"/>
  </r>
  <r>
    <x v="13"/>
    <s v="rom_fact_khand"/>
    <n v="6"/>
    <x v="9"/>
    <n v="41"/>
    <n v="5970"/>
    <n v="7093"/>
    <n v="245"/>
    <m/>
    <x v="10"/>
  </r>
  <r>
    <x v="13"/>
    <s v="rom_fact_umbar"/>
    <n v="7"/>
    <x v="8"/>
    <n v="53"/>
    <n v="9008"/>
    <n v="8163"/>
    <n v="0"/>
    <m/>
    <x v="11"/>
  </r>
  <r>
    <x v="13"/>
    <s v="rom_fact_mahuds"/>
    <n v="5"/>
    <x v="3"/>
    <n v="42"/>
    <n v="7253"/>
    <n v="6141"/>
    <n v="0"/>
    <m/>
    <x v="12"/>
  </r>
  <r>
    <x v="13"/>
    <s v="rom_fact_harad"/>
    <n v="32"/>
    <x v="8"/>
    <n v="60"/>
    <n v="8761"/>
    <n v="8589"/>
    <n v="0"/>
    <m/>
    <x v="13"/>
  </r>
  <r>
    <x v="13"/>
    <s v="rom_fact_dunland"/>
    <n v="32"/>
    <x v="8"/>
    <n v="61"/>
    <n v="10423"/>
    <n v="10600"/>
    <n v="210"/>
    <m/>
    <x v="14"/>
  </r>
  <r>
    <x v="13"/>
    <s v="rom_fact_haerrim"/>
    <n v="0"/>
    <x v="11"/>
    <n v="0"/>
    <n v="5352"/>
    <n v="1750"/>
    <n v="0"/>
    <m/>
    <x v="15"/>
  </r>
  <r>
    <x v="13"/>
    <s v="rom_fact_goblins"/>
    <n v="44"/>
    <x v="17"/>
    <n v="101.9"/>
    <n v="14851"/>
    <n v="12134"/>
    <n v="0"/>
    <m/>
    <x v="16"/>
  </r>
  <r>
    <x v="13"/>
    <s v="rom_fact_balchoth"/>
    <n v="0"/>
    <x v="11"/>
    <n v="0"/>
    <n v="4872"/>
    <n v="1750"/>
    <n v="0"/>
    <m/>
    <x v="17"/>
  </r>
  <r>
    <x v="13"/>
    <s v="rom_fact_rhurim"/>
    <n v="52"/>
    <x v="18"/>
    <n v="168.5"/>
    <n v="18275"/>
    <n v="19580"/>
    <n v="188"/>
    <m/>
    <x v="18"/>
  </r>
  <r>
    <x v="13"/>
    <s v="rom_fact_feredrim"/>
    <n v="8"/>
    <x v="5"/>
    <n v="52"/>
    <n v="7399"/>
    <n v="6043"/>
    <n v="0"/>
    <m/>
    <x v="19"/>
  </r>
  <r>
    <x v="13"/>
    <s v="rom_fact_wainriders"/>
    <n v="0"/>
    <x v="11"/>
    <n v="0"/>
    <n v="6395"/>
    <n v="3781"/>
    <n v="0"/>
    <m/>
    <x v="20"/>
  </r>
  <r>
    <x v="13"/>
    <s v="rom_fact_blacklock"/>
    <n v="5"/>
    <x v="3"/>
    <n v="34"/>
    <n v="14359"/>
    <n v="6181"/>
    <n v="0"/>
    <m/>
    <x v="21"/>
  </r>
  <r>
    <x v="13"/>
    <s v="rom_fact_ironfist"/>
    <n v="4"/>
    <x v="10"/>
    <n v="26"/>
    <n v="12016"/>
    <n v="4758"/>
    <n v="0"/>
    <m/>
    <x v="22"/>
  </r>
  <r>
    <x v="13"/>
    <s v="rom_fact_gundabad"/>
    <n v="23"/>
    <x v="8"/>
    <n v="90"/>
    <n v="11871"/>
    <n v="10423"/>
    <n v="0"/>
    <m/>
    <x v="23"/>
  </r>
  <r>
    <x v="13"/>
    <s v="rom_fact_rohan_scouts"/>
    <n v="0"/>
    <x v="11"/>
    <n v="3"/>
    <n v="18573"/>
    <n v="2379"/>
    <n v="0"/>
    <m/>
    <x v="24"/>
  </r>
  <r>
    <x v="13"/>
    <s v="rom_fact_northern_enedwaith"/>
    <n v="5"/>
    <x v="3"/>
    <n v="25"/>
    <n v="5344"/>
    <n v="4090"/>
    <n v="0"/>
    <m/>
    <x v="25"/>
  </r>
  <r>
    <x v="13"/>
    <s v="rom_fact_southern_enedwaith"/>
    <n v="3"/>
    <x v="10"/>
    <n v="16"/>
    <n v="10365"/>
    <n v="3666"/>
    <n v="0"/>
    <m/>
    <x v="26"/>
  </r>
  <r>
    <x v="13"/>
    <s v="rom_fact_druedain"/>
    <n v="5"/>
    <x v="3"/>
    <n v="29"/>
    <n v="13266"/>
    <n v="4436"/>
    <n v="0"/>
    <m/>
    <x v="27"/>
  </r>
  <r>
    <x v="13"/>
    <s v="rom_fact_harondor"/>
    <n v="4"/>
    <x v="10"/>
    <n v="22"/>
    <n v="7113"/>
    <n v="4939"/>
    <n v="142"/>
    <m/>
    <x v="28"/>
  </r>
  <r>
    <x v="13"/>
    <s v="rom_fact_southron_nomads"/>
    <n v="0"/>
    <x v="11"/>
    <n v="0"/>
    <n v="4000"/>
    <n v="1750"/>
    <n v="0"/>
    <m/>
    <x v="29"/>
  </r>
  <r>
    <x v="13"/>
    <s v="rom_fact_separatist_harad"/>
    <n v="0"/>
    <x v="11"/>
    <n v="0"/>
    <n v="4000"/>
    <n v="1750"/>
    <n v="0"/>
    <m/>
    <x v="30"/>
  </r>
  <r>
    <x v="13"/>
    <s v="rom_fact_separatist_khand"/>
    <n v="0"/>
    <x v="11"/>
    <n v="0"/>
    <n v="4000"/>
    <n v="1750"/>
    <n v="0"/>
    <m/>
    <x v="30"/>
  </r>
  <r>
    <x v="13"/>
    <s v="rom_fact_separatist_balchoth"/>
    <n v="0"/>
    <x v="11"/>
    <n v="0"/>
    <n v="4000"/>
    <n v="1750"/>
    <n v="0"/>
    <m/>
    <x v="30"/>
  </r>
  <r>
    <x v="13"/>
    <s v="rom_fact_separatist_feredrim"/>
    <n v="0"/>
    <x v="11"/>
    <n v="0"/>
    <n v="4000"/>
    <n v="1750"/>
    <n v="0"/>
    <m/>
    <x v="30"/>
  </r>
  <r>
    <x v="13"/>
    <s v="rom_fact_separatist_haerrim"/>
    <n v="0"/>
    <x v="11"/>
    <n v="0"/>
    <n v="4000"/>
    <n v="1750"/>
    <n v="0"/>
    <m/>
    <x v="30"/>
  </r>
  <r>
    <x v="13"/>
    <s v="rom_fact_separatist_wainriders"/>
    <n v="0"/>
    <x v="11"/>
    <n v="0"/>
    <n v="4000"/>
    <n v="1750"/>
    <n v="0"/>
    <m/>
    <x v="30"/>
  </r>
  <r>
    <x v="13"/>
    <s v="rom_fact_separatist_rhurim"/>
    <n v="0"/>
    <x v="11"/>
    <n v="0"/>
    <n v="4000"/>
    <n v="1750"/>
    <n v="0"/>
    <m/>
    <x v="30"/>
  </r>
  <r>
    <x v="13"/>
    <s v="rom_fact_separatist_mahuds"/>
    <n v="0"/>
    <x v="11"/>
    <n v="0"/>
    <n v="4000"/>
    <n v="1750"/>
    <n v="0"/>
    <m/>
    <x v="30"/>
  </r>
  <r>
    <x v="13"/>
    <s v="rom_fact_separatist_umbar"/>
    <n v="0"/>
    <x v="11"/>
    <n v="0"/>
    <n v="4000"/>
    <n v="1750"/>
    <n v="0"/>
    <m/>
    <x v="30"/>
  </r>
  <r>
    <x v="14"/>
    <s v="rom_fact_mordor"/>
    <n v="53"/>
    <x v="15"/>
    <n v="129.6"/>
    <n v="3864"/>
    <n v="14033"/>
    <n v="598"/>
    <m/>
    <x v="0"/>
  </r>
  <r>
    <x v="14"/>
    <s v="rom_fact_gondor"/>
    <n v="60"/>
    <x v="15"/>
    <n v="166"/>
    <n v="24230"/>
    <n v="19448"/>
    <n v="636"/>
    <m/>
    <x v="1"/>
  </r>
  <r>
    <x v="14"/>
    <s v="rom_fact_dale"/>
    <n v="37"/>
    <x v="12"/>
    <n v="113"/>
    <n v="11280"/>
    <n v="12773"/>
    <n v="222"/>
    <m/>
    <x v="2"/>
  </r>
  <r>
    <x v="14"/>
    <s v="rom_fact_erebor"/>
    <n v="45"/>
    <x v="9"/>
    <n v="55"/>
    <n v="13091"/>
    <n v="13065"/>
    <n v="677"/>
    <m/>
    <x v="3"/>
  </r>
  <r>
    <x v="14"/>
    <s v="rom_fact_rohan"/>
    <n v="37"/>
    <x v="16"/>
    <n v="118"/>
    <n v="6987"/>
    <n v="12323"/>
    <n v="176"/>
    <m/>
    <x v="4"/>
  </r>
  <r>
    <x v="14"/>
    <s v="rom_fact_dol_guldur"/>
    <n v="38"/>
    <x v="13"/>
    <n v="103"/>
    <n v="7935"/>
    <n v="14004"/>
    <n v="0"/>
    <m/>
    <x v="5"/>
  </r>
  <r>
    <x v="14"/>
    <s v="rom_fact_anduin_vale"/>
    <n v="38"/>
    <x v="6"/>
    <n v="80"/>
    <n v="5997"/>
    <n v="9553"/>
    <n v="0"/>
    <m/>
    <x v="6"/>
  </r>
  <r>
    <x v="14"/>
    <s v="rom_fact_isengard"/>
    <n v="23"/>
    <x v="7"/>
    <n v="55"/>
    <n v="6877"/>
    <n v="9018"/>
    <n v="184"/>
    <m/>
    <x v="7"/>
  </r>
  <r>
    <x v="14"/>
    <s v="rom_fact_woodland_realm"/>
    <n v="24"/>
    <x v="10"/>
    <n v="36"/>
    <n v="6442"/>
    <n v="8072"/>
    <n v="0"/>
    <m/>
    <x v="8"/>
  </r>
  <r>
    <x v="14"/>
    <s v="rom_fact_lothlorien"/>
    <n v="21"/>
    <x v="7"/>
    <n v="2"/>
    <n v="5122"/>
    <n v="3110"/>
    <n v="0"/>
    <m/>
    <x v="9"/>
  </r>
  <r>
    <x v="14"/>
    <s v="rom_fact_khand"/>
    <n v="6"/>
    <x v="9"/>
    <n v="42"/>
    <n v="5219"/>
    <n v="7389"/>
    <n v="246"/>
    <m/>
    <x v="10"/>
  </r>
  <r>
    <x v="14"/>
    <s v="rom_fact_umbar"/>
    <n v="7"/>
    <x v="8"/>
    <n v="53"/>
    <n v="6486"/>
    <n v="8088"/>
    <n v="0"/>
    <m/>
    <x v="11"/>
  </r>
  <r>
    <x v="14"/>
    <s v="rom_fact_mahuds"/>
    <n v="5"/>
    <x v="3"/>
    <n v="42"/>
    <n v="8529"/>
    <n v="6372"/>
    <n v="0"/>
    <m/>
    <x v="12"/>
  </r>
  <r>
    <x v="14"/>
    <s v="rom_fact_harad"/>
    <n v="32"/>
    <x v="8"/>
    <n v="62"/>
    <n v="10992"/>
    <n v="9035"/>
    <n v="0"/>
    <m/>
    <x v="13"/>
  </r>
  <r>
    <x v="14"/>
    <s v="rom_fact_dunland"/>
    <n v="32"/>
    <x v="8"/>
    <n v="62"/>
    <n v="10725"/>
    <n v="10610"/>
    <n v="210"/>
    <m/>
    <x v="14"/>
  </r>
  <r>
    <x v="14"/>
    <s v="rom_fact_haerrim"/>
    <n v="0"/>
    <x v="11"/>
    <n v="0"/>
    <n v="5352"/>
    <n v="1750"/>
    <n v="0"/>
    <m/>
    <x v="15"/>
  </r>
  <r>
    <x v="14"/>
    <s v="rom_fact_goblins"/>
    <n v="49"/>
    <x v="17"/>
    <n v="107.9"/>
    <n v="10667"/>
    <n v="13124"/>
    <n v="0"/>
    <m/>
    <x v="16"/>
  </r>
  <r>
    <x v="14"/>
    <s v="rom_fact_balchoth"/>
    <n v="0"/>
    <x v="11"/>
    <n v="0"/>
    <n v="4872"/>
    <n v="1750"/>
    <n v="0"/>
    <m/>
    <x v="17"/>
  </r>
  <r>
    <x v="14"/>
    <s v="rom_fact_rhurim"/>
    <n v="53"/>
    <x v="1"/>
    <n v="170.5"/>
    <n v="16803"/>
    <n v="19674"/>
    <n v="269"/>
    <m/>
    <x v="18"/>
  </r>
  <r>
    <x v="14"/>
    <s v="rom_fact_feredrim"/>
    <n v="8"/>
    <x v="5"/>
    <n v="53"/>
    <n v="5121"/>
    <n v="6003"/>
    <n v="0"/>
    <m/>
    <x v="19"/>
  </r>
  <r>
    <x v="14"/>
    <s v="rom_fact_wainriders"/>
    <n v="0"/>
    <x v="11"/>
    <n v="0"/>
    <n v="6395"/>
    <n v="3781"/>
    <n v="0"/>
    <m/>
    <x v="20"/>
  </r>
  <r>
    <x v="14"/>
    <s v="rom_fact_blacklock"/>
    <n v="5"/>
    <x v="3"/>
    <n v="34"/>
    <n v="16132"/>
    <n v="6181"/>
    <n v="0"/>
    <m/>
    <x v="21"/>
  </r>
  <r>
    <x v="14"/>
    <s v="rom_fact_ironfist"/>
    <n v="4"/>
    <x v="10"/>
    <n v="26"/>
    <n v="13704"/>
    <n v="4758"/>
    <n v="0"/>
    <m/>
    <x v="22"/>
  </r>
  <r>
    <x v="14"/>
    <s v="rom_fact_gundabad"/>
    <n v="29"/>
    <x v="5"/>
    <n v="91"/>
    <n v="9571"/>
    <n v="11572"/>
    <n v="0"/>
    <m/>
    <x v="23"/>
  </r>
  <r>
    <x v="14"/>
    <s v="rom_fact_rohan_scouts"/>
    <n v="0"/>
    <x v="11"/>
    <n v="3"/>
    <n v="19694"/>
    <n v="2379"/>
    <n v="0"/>
    <m/>
    <x v="24"/>
  </r>
  <r>
    <x v="14"/>
    <s v="rom_fact_northern_enedwaith"/>
    <n v="5"/>
    <x v="3"/>
    <n v="28"/>
    <n v="6975"/>
    <n v="4576"/>
    <n v="0"/>
    <m/>
    <x v="25"/>
  </r>
  <r>
    <x v="14"/>
    <s v="rom_fact_southern_enedwaith"/>
    <n v="3"/>
    <x v="10"/>
    <n v="16"/>
    <n v="9530"/>
    <n v="3764"/>
    <n v="0"/>
    <m/>
    <x v="26"/>
  </r>
  <r>
    <x v="14"/>
    <s v="rom_fact_druedain"/>
    <n v="5"/>
    <x v="3"/>
    <n v="29"/>
    <n v="14995"/>
    <n v="4513"/>
    <n v="0"/>
    <m/>
    <x v="27"/>
  </r>
  <r>
    <x v="14"/>
    <s v="rom_fact_harondor"/>
    <n v="4"/>
    <x v="10"/>
    <n v="16"/>
    <n v="5815"/>
    <n v="4201"/>
    <n v="142"/>
    <m/>
    <x v="28"/>
  </r>
  <r>
    <x v="14"/>
    <s v="rom_fact_southron_nomads"/>
    <n v="0"/>
    <x v="11"/>
    <n v="0"/>
    <n v="4000"/>
    <n v="1750"/>
    <n v="0"/>
    <m/>
    <x v="29"/>
  </r>
  <r>
    <x v="14"/>
    <s v="rom_fact_separatist_harad"/>
    <n v="0"/>
    <x v="11"/>
    <n v="0"/>
    <n v="4000"/>
    <n v="1750"/>
    <n v="0"/>
    <m/>
    <x v="30"/>
  </r>
  <r>
    <x v="14"/>
    <s v="rom_fact_separatist_khand"/>
    <n v="0"/>
    <x v="11"/>
    <n v="0"/>
    <n v="4000"/>
    <n v="1750"/>
    <n v="0"/>
    <m/>
    <x v="30"/>
  </r>
  <r>
    <x v="14"/>
    <s v="rom_fact_separatist_balchoth"/>
    <n v="0"/>
    <x v="11"/>
    <n v="0"/>
    <n v="4000"/>
    <n v="1750"/>
    <n v="0"/>
    <m/>
    <x v="30"/>
  </r>
  <r>
    <x v="14"/>
    <s v="rom_fact_separatist_feredrim"/>
    <n v="0"/>
    <x v="11"/>
    <n v="0"/>
    <n v="4000"/>
    <n v="1750"/>
    <n v="0"/>
    <m/>
    <x v="30"/>
  </r>
  <r>
    <x v="14"/>
    <s v="rom_fact_separatist_haerrim"/>
    <n v="0"/>
    <x v="11"/>
    <n v="0"/>
    <n v="4000"/>
    <n v="1750"/>
    <n v="0"/>
    <m/>
    <x v="30"/>
  </r>
  <r>
    <x v="14"/>
    <s v="rom_fact_separatist_wainriders"/>
    <n v="0"/>
    <x v="11"/>
    <n v="0"/>
    <n v="4000"/>
    <n v="1750"/>
    <n v="0"/>
    <m/>
    <x v="30"/>
  </r>
  <r>
    <x v="14"/>
    <s v="rom_fact_separatist_rhurim"/>
    <n v="0"/>
    <x v="11"/>
    <n v="0"/>
    <n v="4000"/>
    <n v="1750"/>
    <n v="0"/>
    <m/>
    <x v="30"/>
  </r>
  <r>
    <x v="14"/>
    <s v="rom_fact_separatist_mahuds"/>
    <n v="0"/>
    <x v="11"/>
    <n v="0"/>
    <n v="4000"/>
    <n v="1750"/>
    <n v="0"/>
    <m/>
    <x v="30"/>
  </r>
  <r>
    <x v="14"/>
    <s v="rom_fact_separatist_umbar"/>
    <n v="0"/>
    <x v="11"/>
    <n v="0"/>
    <n v="4000"/>
    <n v="1750"/>
    <n v="0"/>
    <m/>
    <x v="30"/>
  </r>
  <r>
    <x v="15"/>
    <s v="rom_fact_mordor"/>
    <n v="58"/>
    <x v="15"/>
    <n v="129.6"/>
    <n v="441"/>
    <n v="14327"/>
    <n v="600"/>
    <m/>
    <x v="0"/>
  </r>
  <r>
    <x v="15"/>
    <s v="rom_fact_gondor"/>
    <n v="64"/>
    <x v="15"/>
    <n v="169"/>
    <n v="26342"/>
    <n v="19172"/>
    <n v="636"/>
    <m/>
    <x v="1"/>
  </r>
  <r>
    <x v="15"/>
    <s v="rom_fact_dale"/>
    <n v="38"/>
    <x v="6"/>
    <n v="120"/>
    <n v="14300"/>
    <n v="13020"/>
    <n v="223"/>
    <m/>
    <x v="2"/>
  </r>
  <r>
    <x v="15"/>
    <s v="rom_fact_erebor"/>
    <n v="45"/>
    <x v="9"/>
    <n v="64"/>
    <n v="13487"/>
    <n v="13200"/>
    <n v="678"/>
    <m/>
    <x v="3"/>
  </r>
  <r>
    <x v="15"/>
    <s v="rom_fact_rohan"/>
    <n v="42"/>
    <x v="16"/>
    <n v="103"/>
    <n v="10089"/>
    <n v="10926"/>
    <n v="175"/>
    <m/>
    <x v="4"/>
  </r>
  <r>
    <x v="15"/>
    <s v="rom_fact_dol_guldur"/>
    <n v="38"/>
    <x v="13"/>
    <n v="111"/>
    <n v="8313"/>
    <n v="14656"/>
    <n v="0"/>
    <m/>
    <x v="5"/>
  </r>
  <r>
    <x v="15"/>
    <s v="rom_fact_anduin_vale"/>
    <n v="38"/>
    <x v="6"/>
    <n v="80"/>
    <n v="5150"/>
    <n v="9693"/>
    <n v="0"/>
    <m/>
    <x v="6"/>
  </r>
  <r>
    <x v="15"/>
    <s v="rom_fact_isengard"/>
    <n v="23"/>
    <x v="7"/>
    <n v="38"/>
    <n v="9397"/>
    <n v="7549"/>
    <n v="183"/>
    <m/>
    <x v="7"/>
  </r>
  <r>
    <x v="15"/>
    <s v="rom_fact_woodland_realm"/>
    <n v="24"/>
    <x v="10"/>
    <n v="36"/>
    <n v="7559"/>
    <n v="7930"/>
    <n v="0"/>
    <m/>
    <x v="8"/>
  </r>
  <r>
    <x v="15"/>
    <s v="rom_fact_lothlorien"/>
    <n v="21"/>
    <x v="7"/>
    <n v="3"/>
    <n v="7267"/>
    <n v="3114"/>
    <n v="0"/>
    <m/>
    <x v="9"/>
  </r>
  <r>
    <x v="15"/>
    <s v="rom_fact_khand"/>
    <n v="6"/>
    <x v="9"/>
    <n v="45"/>
    <n v="3982"/>
    <n v="7707"/>
    <n v="248"/>
    <m/>
    <x v="10"/>
  </r>
  <r>
    <x v="15"/>
    <s v="rom_fact_umbar"/>
    <n v="7"/>
    <x v="8"/>
    <n v="52"/>
    <n v="8565"/>
    <n v="8339"/>
    <n v="0"/>
    <m/>
    <x v="11"/>
  </r>
  <r>
    <x v="15"/>
    <s v="rom_fact_mahuds"/>
    <n v="5"/>
    <x v="3"/>
    <n v="41"/>
    <n v="10104"/>
    <n v="6178"/>
    <n v="0"/>
    <m/>
    <x v="12"/>
  </r>
  <r>
    <x v="15"/>
    <s v="rom_fact_harad"/>
    <n v="36"/>
    <x v="8"/>
    <n v="64"/>
    <n v="12536"/>
    <n v="9090"/>
    <n v="0"/>
    <m/>
    <x v="13"/>
  </r>
  <r>
    <x v="15"/>
    <s v="rom_fact_dunland"/>
    <n v="32"/>
    <x v="8"/>
    <n v="62"/>
    <n v="10957"/>
    <n v="10860"/>
    <n v="608"/>
    <m/>
    <x v="14"/>
  </r>
  <r>
    <x v="15"/>
    <s v="rom_fact_haerrim"/>
    <n v="0"/>
    <x v="11"/>
    <n v="0"/>
    <n v="5352"/>
    <n v="1750"/>
    <n v="0"/>
    <m/>
    <x v="15"/>
  </r>
  <r>
    <x v="15"/>
    <s v="rom_fact_goblins"/>
    <n v="49"/>
    <x v="17"/>
    <n v="116.9"/>
    <n v="8384"/>
    <n v="14940"/>
    <n v="934"/>
    <m/>
    <x v="16"/>
  </r>
  <r>
    <x v="15"/>
    <s v="rom_fact_balchoth"/>
    <n v="0"/>
    <x v="11"/>
    <n v="0"/>
    <n v="4872"/>
    <n v="1750"/>
    <n v="0"/>
    <m/>
    <x v="17"/>
  </r>
  <r>
    <x v="15"/>
    <s v="rom_fact_rhurim"/>
    <n v="52"/>
    <x v="18"/>
    <n v="183.2"/>
    <n v="17174"/>
    <n v="19735"/>
    <n v="268"/>
    <m/>
    <x v="18"/>
  </r>
  <r>
    <x v="15"/>
    <s v="rom_fact_feredrim"/>
    <n v="8"/>
    <x v="5"/>
    <n v="63"/>
    <n v="5193"/>
    <n v="6841"/>
    <n v="0"/>
    <m/>
    <x v="19"/>
  </r>
  <r>
    <x v="15"/>
    <s v="rom_fact_wainriders"/>
    <n v="0"/>
    <x v="11"/>
    <n v="0"/>
    <n v="6395"/>
    <n v="3781"/>
    <n v="0"/>
    <m/>
    <x v="20"/>
  </r>
  <r>
    <x v="15"/>
    <s v="rom_fact_blacklock"/>
    <n v="5"/>
    <x v="3"/>
    <n v="35"/>
    <n v="15327"/>
    <n v="6290"/>
    <n v="0"/>
    <m/>
    <x v="21"/>
  </r>
  <r>
    <x v="15"/>
    <s v="rom_fact_ironfist"/>
    <n v="4"/>
    <x v="10"/>
    <n v="26"/>
    <n v="15392"/>
    <n v="4758"/>
    <n v="0"/>
    <m/>
    <x v="22"/>
  </r>
  <r>
    <x v="15"/>
    <s v="rom_fact_gundabad"/>
    <n v="44"/>
    <x v="5"/>
    <n v="96"/>
    <n v="13796"/>
    <n v="12248"/>
    <n v="0"/>
    <m/>
    <x v="23"/>
  </r>
  <r>
    <x v="15"/>
    <s v="rom_fact_rohan_scouts"/>
    <n v="0"/>
    <x v="11"/>
    <n v="3"/>
    <n v="20815"/>
    <n v="2379"/>
    <n v="0"/>
    <m/>
    <x v="24"/>
  </r>
  <r>
    <x v="15"/>
    <s v="rom_fact_northern_enedwaith"/>
    <n v="5"/>
    <x v="3"/>
    <n v="28"/>
    <n v="8685"/>
    <n v="4576"/>
    <n v="0"/>
    <m/>
    <x v="25"/>
  </r>
  <r>
    <x v="15"/>
    <s v="rom_fact_southern_enedwaith"/>
    <n v="3"/>
    <x v="10"/>
    <n v="16"/>
    <n v="10900"/>
    <n v="3764"/>
    <n v="0"/>
    <m/>
    <x v="26"/>
  </r>
  <r>
    <x v="15"/>
    <s v="rom_fact_druedain"/>
    <n v="5"/>
    <x v="3"/>
    <n v="29"/>
    <n v="16201"/>
    <n v="4513"/>
    <n v="0"/>
    <m/>
    <x v="27"/>
  </r>
  <r>
    <x v="15"/>
    <s v="rom_fact_harondor"/>
    <n v="4"/>
    <x v="10"/>
    <n v="17"/>
    <n v="4590"/>
    <n v="4357"/>
    <n v="143"/>
    <m/>
    <x v="28"/>
  </r>
  <r>
    <x v="15"/>
    <s v="rom_fact_southron_nomads"/>
    <n v="0"/>
    <x v="11"/>
    <n v="0"/>
    <n v="4000"/>
    <n v="1750"/>
    <n v="0"/>
    <m/>
    <x v="29"/>
  </r>
  <r>
    <x v="15"/>
    <s v="rom_fact_separatist_harad"/>
    <n v="0"/>
    <x v="11"/>
    <n v="0"/>
    <n v="4000"/>
    <n v="1750"/>
    <n v="0"/>
    <m/>
    <x v="30"/>
  </r>
  <r>
    <x v="15"/>
    <s v="rom_fact_separatist_khand"/>
    <n v="0"/>
    <x v="11"/>
    <n v="0"/>
    <n v="4000"/>
    <n v="1750"/>
    <n v="0"/>
    <m/>
    <x v="30"/>
  </r>
  <r>
    <x v="15"/>
    <s v="rom_fact_separatist_balchoth"/>
    <n v="0"/>
    <x v="11"/>
    <n v="0"/>
    <n v="4000"/>
    <n v="1750"/>
    <n v="0"/>
    <m/>
    <x v="30"/>
  </r>
  <r>
    <x v="15"/>
    <s v="rom_fact_separatist_feredrim"/>
    <n v="0"/>
    <x v="11"/>
    <n v="0"/>
    <n v="4000"/>
    <n v="1750"/>
    <n v="0"/>
    <m/>
    <x v="30"/>
  </r>
  <r>
    <x v="15"/>
    <s v="rom_fact_separatist_haerrim"/>
    <n v="0"/>
    <x v="11"/>
    <n v="0"/>
    <n v="4000"/>
    <n v="1750"/>
    <n v="0"/>
    <m/>
    <x v="30"/>
  </r>
  <r>
    <x v="15"/>
    <s v="rom_fact_separatist_wainriders"/>
    <n v="0"/>
    <x v="11"/>
    <n v="0"/>
    <n v="4000"/>
    <n v="1750"/>
    <n v="0"/>
    <m/>
    <x v="30"/>
  </r>
  <r>
    <x v="15"/>
    <s v="rom_fact_separatist_rhurim"/>
    <n v="0"/>
    <x v="11"/>
    <n v="0"/>
    <n v="4000"/>
    <n v="1750"/>
    <n v="0"/>
    <m/>
    <x v="30"/>
  </r>
  <r>
    <x v="15"/>
    <s v="rom_fact_separatist_mahuds"/>
    <n v="0"/>
    <x v="11"/>
    <n v="0"/>
    <n v="4000"/>
    <n v="1750"/>
    <n v="0"/>
    <m/>
    <x v="30"/>
  </r>
  <r>
    <x v="15"/>
    <s v="rom_fact_separatist_umbar"/>
    <n v="0"/>
    <x v="11"/>
    <n v="0"/>
    <n v="4000"/>
    <n v="1750"/>
    <n v="0"/>
    <m/>
    <x v="30"/>
  </r>
  <r>
    <x v="16"/>
    <s v="rom_fact_mordor"/>
    <n v="68"/>
    <x v="15"/>
    <n v="137.6"/>
    <n v="721"/>
    <n v="14445"/>
    <n v="601"/>
    <m/>
    <x v="0"/>
  </r>
  <r>
    <x v="16"/>
    <s v="rom_fact_gondor"/>
    <n v="73"/>
    <x v="15"/>
    <n v="170"/>
    <n v="26603"/>
    <n v="19750"/>
    <n v="641"/>
    <m/>
    <x v="1"/>
  </r>
  <r>
    <x v="16"/>
    <s v="rom_fact_dale"/>
    <n v="38"/>
    <x v="6"/>
    <n v="117"/>
    <n v="9959"/>
    <n v="13640"/>
    <n v="225"/>
    <m/>
    <x v="2"/>
  </r>
  <r>
    <x v="16"/>
    <s v="rom_fact_erebor"/>
    <n v="45"/>
    <x v="9"/>
    <n v="65"/>
    <n v="14907"/>
    <n v="13327"/>
    <n v="681"/>
    <m/>
    <x v="3"/>
  </r>
  <r>
    <x v="16"/>
    <s v="rom_fact_rohan"/>
    <n v="43"/>
    <x v="16"/>
    <n v="96"/>
    <n v="12167"/>
    <n v="11400"/>
    <n v="631"/>
    <m/>
    <x v="4"/>
  </r>
  <r>
    <x v="16"/>
    <s v="rom_fact_dol_guldur"/>
    <n v="58"/>
    <x v="13"/>
    <n v="118"/>
    <n v="9652"/>
    <n v="15486"/>
    <n v="0"/>
    <m/>
    <x v="5"/>
  </r>
  <r>
    <x v="16"/>
    <s v="rom_fact_anduin_vale"/>
    <n v="43"/>
    <x v="6"/>
    <n v="87"/>
    <n v="5745"/>
    <n v="9866"/>
    <n v="0"/>
    <m/>
    <x v="6"/>
  </r>
  <r>
    <x v="16"/>
    <s v="rom_fact_isengard"/>
    <n v="39"/>
    <x v="10"/>
    <n v="40"/>
    <n v="11909"/>
    <n v="8040"/>
    <n v="183"/>
    <m/>
    <x v="7"/>
  </r>
  <r>
    <x v="16"/>
    <s v="rom_fact_woodland_realm"/>
    <n v="29"/>
    <x v="10"/>
    <n v="36"/>
    <n v="5092"/>
    <n v="7691"/>
    <n v="0"/>
    <m/>
    <x v="8"/>
  </r>
  <r>
    <x v="16"/>
    <s v="rom_fact_lothlorien"/>
    <n v="22"/>
    <x v="10"/>
    <n v="8"/>
    <n v="9008"/>
    <n v="4814"/>
    <n v="0"/>
    <m/>
    <x v="9"/>
  </r>
  <r>
    <x v="16"/>
    <s v="rom_fact_khand"/>
    <n v="6"/>
    <x v="9"/>
    <n v="50"/>
    <n v="4689"/>
    <n v="7567"/>
    <n v="248"/>
    <m/>
    <x v="10"/>
  </r>
  <r>
    <x v="16"/>
    <s v="rom_fact_umbar"/>
    <n v="7"/>
    <x v="8"/>
    <n v="53"/>
    <n v="7735"/>
    <n v="8438"/>
    <n v="0"/>
    <m/>
    <x v="11"/>
  </r>
  <r>
    <x v="16"/>
    <s v="rom_fact_mahuds"/>
    <n v="5"/>
    <x v="3"/>
    <n v="41"/>
    <n v="11542"/>
    <n v="5936"/>
    <n v="0"/>
    <m/>
    <x v="12"/>
  </r>
  <r>
    <x v="16"/>
    <s v="rom_fact_harad"/>
    <n v="36"/>
    <x v="8"/>
    <n v="65"/>
    <n v="14415"/>
    <n v="9168"/>
    <n v="0"/>
    <m/>
    <x v="13"/>
  </r>
  <r>
    <x v="16"/>
    <s v="rom_fact_dunland"/>
    <n v="39"/>
    <x v="9"/>
    <n v="58"/>
    <n v="10208"/>
    <n v="10153"/>
    <n v="516"/>
    <m/>
    <x v="14"/>
  </r>
  <r>
    <x v="16"/>
    <s v="rom_fact_haerrim"/>
    <n v="0"/>
    <x v="11"/>
    <n v="0"/>
    <n v="5352"/>
    <n v="1750"/>
    <n v="0"/>
    <m/>
    <x v="15"/>
  </r>
  <r>
    <x v="16"/>
    <s v="rom_fact_goblins"/>
    <n v="52"/>
    <x v="6"/>
    <n v="123.9"/>
    <n v="9514"/>
    <n v="15349"/>
    <n v="930"/>
    <m/>
    <x v="16"/>
  </r>
  <r>
    <x v="16"/>
    <s v="rom_fact_balchoth"/>
    <n v="0"/>
    <x v="11"/>
    <n v="0"/>
    <n v="4872"/>
    <n v="1750"/>
    <n v="0"/>
    <m/>
    <x v="17"/>
  </r>
  <r>
    <x v="16"/>
    <s v="rom_fact_rhurim"/>
    <n v="52"/>
    <x v="18"/>
    <n v="195.2"/>
    <n v="16990"/>
    <n v="20108"/>
    <n v="269"/>
    <m/>
    <x v="18"/>
  </r>
  <r>
    <x v="16"/>
    <s v="rom_fact_feredrim"/>
    <n v="8"/>
    <x v="5"/>
    <n v="63"/>
    <n v="5380"/>
    <n v="6692"/>
    <n v="0"/>
    <m/>
    <x v="19"/>
  </r>
  <r>
    <x v="16"/>
    <s v="rom_fact_wainriders"/>
    <n v="0"/>
    <x v="11"/>
    <n v="0"/>
    <n v="6395"/>
    <n v="3781"/>
    <n v="0"/>
    <m/>
    <x v="20"/>
  </r>
  <r>
    <x v="16"/>
    <s v="rom_fact_blacklock"/>
    <n v="5"/>
    <x v="3"/>
    <n v="35"/>
    <n v="15422"/>
    <n v="6486"/>
    <n v="0"/>
    <m/>
    <x v="21"/>
  </r>
  <r>
    <x v="16"/>
    <s v="rom_fact_ironfist"/>
    <n v="4"/>
    <x v="10"/>
    <n v="26"/>
    <n v="17080"/>
    <n v="4758"/>
    <n v="0"/>
    <m/>
    <x v="22"/>
  </r>
  <r>
    <x v="16"/>
    <s v="rom_fact_gundabad"/>
    <n v="44"/>
    <x v="5"/>
    <n v="100"/>
    <n v="8527"/>
    <n v="12565"/>
    <n v="0"/>
    <m/>
    <x v="23"/>
  </r>
  <r>
    <x v="16"/>
    <s v="rom_fact_rohan_scouts"/>
    <n v="0"/>
    <x v="11"/>
    <n v="3"/>
    <n v="21936"/>
    <n v="2379"/>
    <n v="0"/>
    <m/>
    <x v="24"/>
  </r>
  <r>
    <x v="16"/>
    <s v="rom_fact_northern_enedwaith"/>
    <n v="5"/>
    <x v="3"/>
    <n v="28"/>
    <n v="7272"/>
    <n v="4398"/>
    <n v="0"/>
    <m/>
    <x v="25"/>
  </r>
  <r>
    <x v="16"/>
    <s v="rom_fact_southern_enedwaith"/>
    <n v="3"/>
    <x v="10"/>
    <n v="17"/>
    <n v="12189"/>
    <n v="3820"/>
    <n v="0"/>
    <m/>
    <x v="26"/>
  </r>
  <r>
    <x v="16"/>
    <s v="rom_fact_druedain"/>
    <n v="5"/>
    <x v="3"/>
    <n v="29"/>
    <n v="17854"/>
    <n v="4616"/>
    <n v="0"/>
    <m/>
    <x v="27"/>
  </r>
  <r>
    <x v="16"/>
    <s v="rom_fact_harondor"/>
    <n v="4"/>
    <x v="10"/>
    <n v="18"/>
    <n v="6242"/>
    <n v="4285"/>
    <n v="143"/>
    <m/>
    <x v="28"/>
  </r>
  <r>
    <x v="16"/>
    <s v="rom_fact_southron_nomads"/>
    <n v="0"/>
    <x v="11"/>
    <n v="0"/>
    <n v="4000"/>
    <n v="1750"/>
    <n v="0"/>
    <m/>
    <x v="29"/>
  </r>
  <r>
    <x v="16"/>
    <s v="rom_fact_separatist_harad"/>
    <n v="0"/>
    <x v="11"/>
    <n v="0"/>
    <n v="4000"/>
    <n v="1750"/>
    <n v="0"/>
    <m/>
    <x v="30"/>
  </r>
  <r>
    <x v="16"/>
    <s v="rom_fact_separatist_khand"/>
    <n v="0"/>
    <x v="11"/>
    <n v="0"/>
    <n v="4000"/>
    <n v="1750"/>
    <n v="0"/>
    <m/>
    <x v="30"/>
  </r>
  <r>
    <x v="16"/>
    <s v="rom_fact_separatist_balchoth"/>
    <n v="0"/>
    <x v="11"/>
    <n v="0"/>
    <n v="4000"/>
    <n v="1750"/>
    <n v="0"/>
    <m/>
    <x v="30"/>
  </r>
  <r>
    <x v="16"/>
    <s v="rom_fact_separatist_feredrim"/>
    <n v="0"/>
    <x v="11"/>
    <n v="0"/>
    <n v="4000"/>
    <n v="1750"/>
    <n v="0"/>
    <m/>
    <x v="30"/>
  </r>
  <r>
    <x v="16"/>
    <s v="rom_fact_separatist_haerrim"/>
    <n v="0"/>
    <x v="11"/>
    <n v="0"/>
    <n v="4000"/>
    <n v="1750"/>
    <n v="0"/>
    <m/>
    <x v="30"/>
  </r>
  <r>
    <x v="16"/>
    <s v="rom_fact_separatist_wainriders"/>
    <n v="0"/>
    <x v="11"/>
    <n v="0"/>
    <n v="4000"/>
    <n v="1750"/>
    <n v="0"/>
    <m/>
    <x v="30"/>
  </r>
  <r>
    <x v="16"/>
    <s v="rom_fact_separatist_rhurim"/>
    <n v="0"/>
    <x v="11"/>
    <n v="0"/>
    <n v="4000"/>
    <n v="1750"/>
    <n v="0"/>
    <m/>
    <x v="30"/>
  </r>
  <r>
    <x v="16"/>
    <s v="rom_fact_separatist_mahuds"/>
    <n v="0"/>
    <x v="11"/>
    <n v="0"/>
    <n v="4000"/>
    <n v="1750"/>
    <n v="0"/>
    <m/>
    <x v="30"/>
  </r>
  <r>
    <x v="16"/>
    <s v="rom_fact_separatist_umbar"/>
    <n v="0"/>
    <x v="11"/>
    <n v="0"/>
    <n v="4000"/>
    <n v="1750"/>
    <n v="0"/>
    <m/>
    <x v="30"/>
  </r>
  <r>
    <x v="17"/>
    <s v="rom_fact_mordor"/>
    <n v="68"/>
    <x v="15"/>
    <n v="137.6"/>
    <n v="945"/>
    <n v="14446"/>
    <n v="602"/>
    <m/>
    <x v="0"/>
  </r>
  <r>
    <x v="17"/>
    <s v="rom_fact_gondor"/>
    <n v="73"/>
    <x v="15"/>
    <n v="164"/>
    <n v="27861"/>
    <n v="19021"/>
    <n v="639"/>
    <m/>
    <x v="1"/>
  </r>
  <r>
    <x v="17"/>
    <s v="rom_fact_dale"/>
    <n v="43"/>
    <x v="6"/>
    <n v="105"/>
    <n v="11951"/>
    <n v="13303"/>
    <n v="224"/>
    <m/>
    <x v="2"/>
  </r>
  <r>
    <x v="17"/>
    <s v="rom_fact_erebor"/>
    <n v="50"/>
    <x v="9"/>
    <n v="65"/>
    <n v="15439"/>
    <n v="13505"/>
    <n v="681"/>
    <m/>
    <x v="3"/>
  </r>
  <r>
    <x v="17"/>
    <s v="rom_fact_rohan"/>
    <n v="46"/>
    <x v="2"/>
    <n v="87"/>
    <n v="13902"/>
    <n v="10935"/>
    <n v="229"/>
    <m/>
    <x v="4"/>
  </r>
  <r>
    <x v="17"/>
    <s v="rom_fact_dol_guldur"/>
    <n v="58"/>
    <x v="13"/>
    <n v="118"/>
    <n v="14022"/>
    <n v="15178"/>
    <n v="0"/>
    <m/>
    <x v="5"/>
  </r>
  <r>
    <x v="17"/>
    <s v="rom_fact_anduin_vale"/>
    <n v="42"/>
    <x v="12"/>
    <n v="87"/>
    <n v="6646"/>
    <n v="9139"/>
    <n v="0"/>
    <m/>
    <x v="6"/>
  </r>
  <r>
    <x v="17"/>
    <s v="rom_fact_isengard"/>
    <n v="46"/>
    <x v="3"/>
    <n v="40.799999999999997"/>
    <n v="14377"/>
    <n v="8782"/>
    <n v="388"/>
    <m/>
    <x v="7"/>
  </r>
  <r>
    <x v="17"/>
    <s v="rom_fact_woodland_realm"/>
    <n v="29"/>
    <x v="10"/>
    <n v="35"/>
    <n v="5233"/>
    <n v="7155"/>
    <n v="0"/>
    <m/>
    <x v="8"/>
  </r>
  <r>
    <x v="17"/>
    <s v="rom_fact_lothlorien"/>
    <n v="30"/>
    <x v="3"/>
    <n v="15"/>
    <n v="10158"/>
    <n v="5345"/>
    <n v="0"/>
    <m/>
    <x v="9"/>
  </r>
  <r>
    <x v="17"/>
    <s v="rom_fact_khand"/>
    <n v="6"/>
    <x v="9"/>
    <n v="50"/>
    <n v="6175"/>
    <n v="7460"/>
    <n v="248"/>
    <m/>
    <x v="10"/>
  </r>
  <r>
    <x v="17"/>
    <s v="rom_fact_umbar"/>
    <n v="7"/>
    <x v="8"/>
    <n v="52"/>
    <n v="8729"/>
    <n v="8629"/>
    <n v="0"/>
    <m/>
    <x v="11"/>
  </r>
  <r>
    <x v="17"/>
    <s v="rom_fact_mahuds"/>
    <n v="5"/>
    <x v="3"/>
    <n v="41"/>
    <n v="11056"/>
    <n v="5936"/>
    <n v="0"/>
    <m/>
    <x v="12"/>
  </r>
  <r>
    <x v="17"/>
    <s v="rom_fact_harad"/>
    <n v="41"/>
    <x v="8"/>
    <n v="68"/>
    <n v="12925"/>
    <n v="9322"/>
    <n v="0"/>
    <m/>
    <x v="13"/>
  </r>
  <r>
    <x v="17"/>
    <s v="rom_fact_dunland"/>
    <n v="39"/>
    <x v="9"/>
    <n v="58"/>
    <n v="10313"/>
    <n v="10048"/>
    <n v="518"/>
    <m/>
    <x v="14"/>
  </r>
  <r>
    <x v="17"/>
    <s v="rom_fact_haerrim"/>
    <n v="0"/>
    <x v="11"/>
    <n v="0"/>
    <n v="5352"/>
    <n v="1750"/>
    <n v="0"/>
    <m/>
    <x v="15"/>
  </r>
  <r>
    <x v="17"/>
    <s v="rom_fact_goblins"/>
    <n v="70"/>
    <x v="12"/>
    <n v="124.9"/>
    <n v="9903"/>
    <n v="14805"/>
    <n v="811"/>
    <m/>
    <x v="16"/>
  </r>
  <r>
    <x v="17"/>
    <s v="rom_fact_balchoth"/>
    <n v="0"/>
    <x v="11"/>
    <n v="0"/>
    <n v="4872"/>
    <n v="1750"/>
    <n v="0"/>
    <m/>
    <x v="17"/>
  </r>
  <r>
    <x v="17"/>
    <s v="rom_fact_rhurim"/>
    <n v="61"/>
    <x v="18"/>
    <n v="188.5"/>
    <n v="19182"/>
    <n v="19088"/>
    <n v="269"/>
    <m/>
    <x v="18"/>
  </r>
  <r>
    <x v="17"/>
    <s v="rom_fact_feredrim"/>
    <n v="8"/>
    <x v="5"/>
    <n v="58"/>
    <n v="7360"/>
    <n v="6575"/>
    <n v="0"/>
    <m/>
    <x v="19"/>
  </r>
  <r>
    <x v="17"/>
    <s v="rom_fact_wainriders"/>
    <n v="0"/>
    <x v="11"/>
    <n v="0"/>
    <n v="6395"/>
    <n v="1750"/>
    <n v="0"/>
    <m/>
    <x v="20"/>
  </r>
  <r>
    <x v="17"/>
    <s v="rom_fact_blacklock"/>
    <n v="5"/>
    <x v="3"/>
    <n v="35"/>
    <n v="17738"/>
    <n v="6486"/>
    <n v="0"/>
    <m/>
    <x v="21"/>
  </r>
  <r>
    <x v="17"/>
    <s v="rom_fact_ironfist"/>
    <n v="4"/>
    <x v="10"/>
    <n v="26"/>
    <n v="18768"/>
    <n v="4758"/>
    <n v="0"/>
    <m/>
    <x v="22"/>
  </r>
  <r>
    <x v="17"/>
    <s v="rom_fact_gundabad"/>
    <n v="50"/>
    <x v="13"/>
    <n v="103"/>
    <n v="5979"/>
    <n v="13010"/>
    <n v="0"/>
    <m/>
    <x v="23"/>
  </r>
  <r>
    <x v="17"/>
    <s v="rom_fact_rohan_scouts"/>
    <n v="0"/>
    <x v="11"/>
    <n v="3"/>
    <n v="23057"/>
    <n v="2379"/>
    <n v="0"/>
    <m/>
    <x v="24"/>
  </r>
  <r>
    <x v="17"/>
    <s v="rom_fact_northern_enedwaith"/>
    <n v="5"/>
    <x v="3"/>
    <n v="28"/>
    <n v="8235"/>
    <n v="4398"/>
    <n v="0"/>
    <m/>
    <x v="25"/>
  </r>
  <r>
    <x v="17"/>
    <s v="rom_fact_southern_enedwaith"/>
    <n v="3"/>
    <x v="10"/>
    <n v="17"/>
    <n v="13569"/>
    <n v="3909"/>
    <n v="0"/>
    <m/>
    <x v="26"/>
  </r>
  <r>
    <x v="17"/>
    <s v="rom_fact_druedain"/>
    <n v="5"/>
    <x v="3"/>
    <n v="29"/>
    <n v="19335"/>
    <n v="4465"/>
    <n v="0"/>
    <m/>
    <x v="27"/>
  </r>
  <r>
    <x v="17"/>
    <s v="rom_fact_harondor"/>
    <n v="4"/>
    <x v="10"/>
    <n v="20"/>
    <n v="7385"/>
    <n v="4606"/>
    <n v="144"/>
    <m/>
    <x v="28"/>
  </r>
  <r>
    <x v="17"/>
    <s v="rom_fact_southron_nomads"/>
    <n v="0"/>
    <x v="11"/>
    <n v="0"/>
    <n v="4000"/>
    <n v="1750"/>
    <n v="0"/>
    <m/>
    <x v="29"/>
  </r>
  <r>
    <x v="17"/>
    <s v="rom_fact_separatist_harad"/>
    <n v="0"/>
    <x v="11"/>
    <n v="0"/>
    <n v="4000"/>
    <n v="1750"/>
    <n v="0"/>
    <m/>
    <x v="30"/>
  </r>
  <r>
    <x v="17"/>
    <s v="rom_fact_separatist_khand"/>
    <n v="0"/>
    <x v="11"/>
    <n v="0"/>
    <n v="4000"/>
    <n v="1750"/>
    <n v="0"/>
    <m/>
    <x v="30"/>
  </r>
  <r>
    <x v="17"/>
    <s v="rom_fact_separatist_balchoth"/>
    <n v="0"/>
    <x v="11"/>
    <n v="0"/>
    <n v="4000"/>
    <n v="1750"/>
    <n v="0"/>
    <m/>
    <x v="30"/>
  </r>
  <r>
    <x v="17"/>
    <s v="rom_fact_separatist_feredrim"/>
    <n v="0"/>
    <x v="11"/>
    <n v="0"/>
    <n v="4000"/>
    <n v="1750"/>
    <n v="0"/>
    <m/>
    <x v="30"/>
  </r>
  <r>
    <x v="17"/>
    <s v="rom_fact_separatist_haerrim"/>
    <n v="0"/>
    <x v="11"/>
    <n v="0"/>
    <n v="4000"/>
    <n v="1750"/>
    <n v="0"/>
    <m/>
    <x v="30"/>
  </r>
  <r>
    <x v="17"/>
    <s v="rom_fact_separatist_wainriders"/>
    <n v="0"/>
    <x v="11"/>
    <n v="0"/>
    <n v="4000"/>
    <n v="1750"/>
    <n v="0"/>
    <m/>
    <x v="30"/>
  </r>
  <r>
    <x v="17"/>
    <s v="rom_fact_separatist_rhurim"/>
    <n v="0"/>
    <x v="11"/>
    <n v="0"/>
    <n v="4000"/>
    <n v="1750"/>
    <n v="0"/>
    <m/>
    <x v="30"/>
  </r>
  <r>
    <x v="17"/>
    <s v="rom_fact_separatist_mahuds"/>
    <n v="0"/>
    <x v="11"/>
    <n v="0"/>
    <n v="4000"/>
    <n v="1750"/>
    <n v="0"/>
    <m/>
    <x v="30"/>
  </r>
  <r>
    <x v="17"/>
    <s v="rom_fact_separatist_umbar"/>
    <n v="0"/>
    <x v="11"/>
    <n v="0"/>
    <n v="4000"/>
    <n v="1750"/>
    <n v="0"/>
    <m/>
    <x v="30"/>
  </r>
  <r>
    <x v="18"/>
    <s v="rom_fact_mordor"/>
    <n v="73"/>
    <x v="15"/>
    <n v="142"/>
    <n v="4452"/>
    <n v="15295"/>
    <n v="607"/>
    <m/>
    <x v="0"/>
  </r>
  <r>
    <x v="18"/>
    <s v="rom_fact_gondor"/>
    <n v="73"/>
    <x v="15"/>
    <n v="175"/>
    <n v="24747"/>
    <n v="19588"/>
    <n v="641"/>
    <m/>
    <x v="1"/>
  </r>
  <r>
    <x v="18"/>
    <s v="rom_fact_dale"/>
    <n v="43"/>
    <x v="6"/>
    <n v="110"/>
    <n v="11550"/>
    <n v="13497"/>
    <n v="227"/>
    <m/>
    <x v="2"/>
  </r>
  <r>
    <x v="18"/>
    <s v="rom_fact_erebor"/>
    <n v="50"/>
    <x v="9"/>
    <n v="66"/>
    <n v="18604"/>
    <n v="13946"/>
    <n v="685"/>
    <m/>
    <x v="3"/>
  </r>
  <r>
    <x v="18"/>
    <s v="rom_fact_rohan"/>
    <n v="46"/>
    <x v="2"/>
    <n v="88"/>
    <n v="12636"/>
    <n v="11236"/>
    <n v="281"/>
    <m/>
    <x v="4"/>
  </r>
  <r>
    <x v="18"/>
    <s v="rom_fact_dol_guldur"/>
    <n v="60"/>
    <x v="6"/>
    <n v="119"/>
    <n v="14810"/>
    <n v="15122"/>
    <n v="0"/>
    <m/>
    <x v="5"/>
  </r>
  <r>
    <x v="18"/>
    <s v="rom_fact_anduin_vale"/>
    <n v="42"/>
    <x v="12"/>
    <n v="85"/>
    <n v="7654"/>
    <n v="9132"/>
    <n v="0"/>
    <m/>
    <x v="6"/>
  </r>
  <r>
    <x v="18"/>
    <s v="rom_fact_isengard"/>
    <n v="46"/>
    <x v="3"/>
    <n v="41.8"/>
    <n v="13999"/>
    <n v="8926"/>
    <n v="387"/>
    <m/>
    <x v="7"/>
  </r>
  <r>
    <x v="18"/>
    <s v="rom_fact_woodland_realm"/>
    <n v="28"/>
    <x v="7"/>
    <n v="12"/>
    <n v="8163"/>
    <n v="3810"/>
    <n v="0"/>
    <m/>
    <x v="8"/>
  </r>
  <r>
    <x v="18"/>
    <s v="rom_fact_lothlorien"/>
    <n v="30"/>
    <x v="3"/>
    <n v="16"/>
    <n v="11156"/>
    <n v="5953"/>
    <n v="0"/>
    <m/>
    <x v="9"/>
  </r>
  <r>
    <x v="18"/>
    <s v="rom_fact_khand"/>
    <n v="6"/>
    <x v="9"/>
    <n v="50"/>
    <n v="7608"/>
    <n v="7653"/>
    <n v="248"/>
    <m/>
    <x v="10"/>
  </r>
  <r>
    <x v="18"/>
    <s v="rom_fact_umbar"/>
    <n v="8"/>
    <x v="5"/>
    <n v="58.1"/>
    <n v="8306"/>
    <n v="9636"/>
    <n v="0"/>
    <m/>
    <x v="11"/>
  </r>
  <r>
    <x v="18"/>
    <s v="rom_fact_mahuds"/>
    <n v="5"/>
    <x v="3"/>
    <n v="41"/>
    <n v="12877"/>
    <n v="5939"/>
    <n v="0"/>
    <m/>
    <x v="12"/>
  </r>
  <r>
    <x v="18"/>
    <s v="rom_fact_harad"/>
    <n v="41"/>
    <x v="8"/>
    <n v="69"/>
    <n v="14085"/>
    <n v="8980"/>
    <n v="0"/>
    <m/>
    <x v="13"/>
  </r>
  <r>
    <x v="18"/>
    <s v="rom_fact_dunland"/>
    <n v="39"/>
    <x v="9"/>
    <n v="61"/>
    <n v="12490"/>
    <n v="10319"/>
    <n v="519"/>
    <m/>
    <x v="14"/>
  </r>
  <r>
    <x v="18"/>
    <s v="rom_fact_haerrim"/>
    <n v="0"/>
    <x v="11"/>
    <n v="0"/>
    <n v="5352"/>
    <n v="1750"/>
    <n v="0"/>
    <m/>
    <x v="15"/>
  </r>
  <r>
    <x v="18"/>
    <s v="rom_fact_goblins"/>
    <n v="70"/>
    <x v="12"/>
    <n v="124.9"/>
    <n v="10947"/>
    <n v="15130"/>
    <n v="813"/>
    <m/>
    <x v="16"/>
  </r>
  <r>
    <x v="18"/>
    <s v="rom_fact_balchoth"/>
    <n v="0"/>
    <x v="11"/>
    <n v="0"/>
    <n v="4872"/>
    <n v="1750"/>
    <n v="0"/>
    <m/>
    <x v="17"/>
  </r>
  <r>
    <x v="18"/>
    <s v="rom_fact_rhurim"/>
    <n v="72"/>
    <x v="19"/>
    <n v="216.5"/>
    <n v="21855"/>
    <n v="20526"/>
    <n v="357"/>
    <m/>
    <x v="18"/>
  </r>
  <r>
    <x v="18"/>
    <s v="rom_fact_feredrim"/>
    <n v="0"/>
    <x v="11"/>
    <n v="0"/>
    <n v="7360"/>
    <n v="4081"/>
    <n v="0"/>
    <m/>
    <x v="19"/>
  </r>
  <r>
    <x v="18"/>
    <s v="rom_fact_wainriders"/>
    <n v="0"/>
    <x v="11"/>
    <n v="0"/>
    <n v="6395"/>
    <n v="1750"/>
    <n v="0"/>
    <m/>
    <x v="20"/>
  </r>
  <r>
    <x v="18"/>
    <s v="rom_fact_blacklock"/>
    <n v="5"/>
    <x v="3"/>
    <n v="35"/>
    <n v="20054"/>
    <n v="6486"/>
    <n v="0"/>
    <m/>
    <x v="21"/>
  </r>
  <r>
    <x v="18"/>
    <s v="rom_fact_ironfist"/>
    <n v="4"/>
    <x v="10"/>
    <n v="26"/>
    <n v="20456"/>
    <n v="4758"/>
    <n v="0"/>
    <m/>
    <x v="22"/>
  </r>
  <r>
    <x v="18"/>
    <s v="rom_fact_gundabad"/>
    <n v="50"/>
    <x v="13"/>
    <n v="109"/>
    <n v="6440"/>
    <n v="13251"/>
    <n v="0"/>
    <m/>
    <x v="23"/>
  </r>
  <r>
    <x v="18"/>
    <s v="rom_fact_rohan_scouts"/>
    <n v="0"/>
    <x v="11"/>
    <n v="3"/>
    <n v="24178"/>
    <n v="2379"/>
    <n v="0"/>
    <m/>
    <x v="24"/>
  </r>
  <r>
    <x v="18"/>
    <s v="rom_fact_northern_enedwaith"/>
    <n v="5"/>
    <x v="3"/>
    <n v="29"/>
    <n v="7695"/>
    <n v="4759"/>
    <n v="0"/>
    <m/>
    <x v="25"/>
  </r>
  <r>
    <x v="18"/>
    <s v="rom_fact_southern_enedwaith"/>
    <n v="3"/>
    <x v="10"/>
    <n v="16"/>
    <n v="15054"/>
    <n v="3914"/>
    <n v="0"/>
    <m/>
    <x v="26"/>
  </r>
  <r>
    <x v="18"/>
    <s v="rom_fact_druedain"/>
    <n v="5"/>
    <x v="3"/>
    <n v="29"/>
    <n v="20864"/>
    <n v="4465"/>
    <n v="0"/>
    <m/>
    <x v="27"/>
  </r>
  <r>
    <x v="18"/>
    <s v="rom_fact_harondor"/>
    <n v="3"/>
    <x v="7"/>
    <n v="16"/>
    <n v="5320"/>
    <n v="3724"/>
    <n v="141"/>
    <m/>
    <x v="28"/>
  </r>
  <r>
    <x v="18"/>
    <s v="rom_fact_southron_nomads"/>
    <n v="0"/>
    <x v="11"/>
    <n v="0"/>
    <n v="4000"/>
    <n v="1750"/>
    <n v="0"/>
    <m/>
    <x v="29"/>
  </r>
  <r>
    <x v="18"/>
    <s v="rom_fact_separatist_harad"/>
    <n v="0"/>
    <x v="11"/>
    <n v="0"/>
    <n v="4000"/>
    <n v="1750"/>
    <n v="0"/>
    <m/>
    <x v="30"/>
  </r>
  <r>
    <x v="18"/>
    <s v="rom_fact_separatist_khand"/>
    <n v="0"/>
    <x v="11"/>
    <n v="0"/>
    <n v="4000"/>
    <n v="1750"/>
    <n v="0"/>
    <m/>
    <x v="30"/>
  </r>
  <r>
    <x v="18"/>
    <s v="rom_fact_separatist_balchoth"/>
    <n v="0"/>
    <x v="11"/>
    <n v="0"/>
    <n v="4000"/>
    <n v="1750"/>
    <n v="0"/>
    <m/>
    <x v="30"/>
  </r>
  <r>
    <x v="18"/>
    <s v="rom_fact_separatist_feredrim"/>
    <n v="0"/>
    <x v="11"/>
    <n v="0"/>
    <n v="4000"/>
    <n v="1750"/>
    <n v="0"/>
    <m/>
    <x v="30"/>
  </r>
  <r>
    <x v="18"/>
    <s v="rom_fact_separatist_haerrim"/>
    <n v="0"/>
    <x v="11"/>
    <n v="0"/>
    <n v="4000"/>
    <n v="1750"/>
    <n v="0"/>
    <m/>
    <x v="30"/>
  </r>
  <r>
    <x v="18"/>
    <s v="rom_fact_separatist_wainriders"/>
    <n v="0"/>
    <x v="11"/>
    <n v="0"/>
    <n v="4000"/>
    <n v="1750"/>
    <n v="0"/>
    <m/>
    <x v="30"/>
  </r>
  <r>
    <x v="18"/>
    <s v="rom_fact_separatist_rhurim"/>
    <n v="0"/>
    <x v="11"/>
    <n v="0"/>
    <n v="4000"/>
    <n v="1750"/>
    <n v="0"/>
    <m/>
    <x v="30"/>
  </r>
  <r>
    <x v="18"/>
    <s v="rom_fact_separatist_mahuds"/>
    <n v="0"/>
    <x v="11"/>
    <n v="0"/>
    <n v="4000"/>
    <n v="1750"/>
    <n v="0"/>
    <m/>
    <x v="30"/>
  </r>
  <r>
    <x v="18"/>
    <s v="rom_fact_separatist_umbar"/>
    <n v="0"/>
    <x v="11"/>
    <n v="0"/>
    <n v="4000"/>
    <n v="1750"/>
    <n v="0"/>
    <m/>
    <x v="30"/>
  </r>
  <r>
    <x v="19"/>
    <s v="rom_fact_mordor"/>
    <n v="77"/>
    <x v="20"/>
    <n v="142.69999999999999"/>
    <n v="1985"/>
    <n v="15356"/>
    <n v="700"/>
    <m/>
    <x v="0"/>
  </r>
  <r>
    <x v="19"/>
    <s v="rom_fact_gondor"/>
    <n v="76"/>
    <x v="16"/>
    <n v="157"/>
    <n v="25586"/>
    <n v="16558"/>
    <n v="637"/>
    <m/>
    <x v="1"/>
  </r>
  <r>
    <x v="19"/>
    <s v="rom_fact_dale"/>
    <n v="43"/>
    <x v="6"/>
    <n v="104"/>
    <n v="11990"/>
    <n v="12784"/>
    <n v="223"/>
    <m/>
    <x v="2"/>
  </r>
  <r>
    <x v="19"/>
    <s v="rom_fact_erebor"/>
    <n v="54"/>
    <x v="9"/>
    <n v="67"/>
    <n v="19068"/>
    <n v="13625"/>
    <n v="681"/>
    <m/>
    <x v="3"/>
  </r>
  <r>
    <x v="19"/>
    <s v="rom_fact_rohan"/>
    <n v="55"/>
    <x v="2"/>
    <n v="97"/>
    <n v="14093"/>
    <n v="12563"/>
    <n v="275"/>
    <m/>
    <x v="4"/>
  </r>
  <r>
    <x v="19"/>
    <s v="rom_fact_dol_guldur"/>
    <n v="62"/>
    <x v="17"/>
    <n v="114.1"/>
    <n v="17621"/>
    <n v="15529"/>
    <n v="571"/>
    <m/>
    <x v="5"/>
  </r>
  <r>
    <x v="19"/>
    <s v="rom_fact_anduin_vale"/>
    <n v="42"/>
    <x v="12"/>
    <n v="85"/>
    <n v="7255"/>
    <n v="8782"/>
    <n v="0"/>
    <m/>
    <x v="6"/>
  </r>
  <r>
    <x v="19"/>
    <s v="rom_fact_isengard"/>
    <n v="46"/>
    <x v="3"/>
    <n v="46.8"/>
    <n v="13293"/>
    <n v="9109"/>
    <n v="386"/>
    <m/>
    <x v="7"/>
  </r>
  <r>
    <x v="19"/>
    <s v="rom_fact_woodland_realm"/>
    <n v="30"/>
    <x v="11"/>
    <n v="4"/>
    <n v="8475"/>
    <n v="3198"/>
    <n v="0"/>
    <m/>
    <x v="8"/>
  </r>
  <r>
    <x v="19"/>
    <s v="rom_fact_lothlorien"/>
    <n v="34"/>
    <x v="3"/>
    <n v="20"/>
    <n v="10927"/>
    <n v="6285"/>
    <n v="0"/>
    <m/>
    <x v="9"/>
  </r>
  <r>
    <x v="19"/>
    <s v="rom_fact_khand"/>
    <n v="6"/>
    <x v="9"/>
    <n v="50"/>
    <n v="9250"/>
    <n v="7524"/>
    <n v="254"/>
    <m/>
    <x v="10"/>
  </r>
  <r>
    <x v="19"/>
    <s v="rom_fact_umbar"/>
    <n v="8"/>
    <x v="5"/>
    <n v="57.2"/>
    <n v="11618"/>
    <n v="9899"/>
    <n v="0"/>
    <m/>
    <x v="11"/>
  </r>
  <r>
    <x v="19"/>
    <s v="rom_fact_mahuds"/>
    <n v="5"/>
    <x v="3"/>
    <n v="42"/>
    <n v="12916"/>
    <n v="6046"/>
    <n v="0"/>
    <m/>
    <x v="12"/>
  </r>
  <r>
    <x v="19"/>
    <s v="rom_fact_harad"/>
    <n v="41"/>
    <x v="8"/>
    <n v="70"/>
    <n v="14530"/>
    <n v="9742"/>
    <n v="0"/>
    <m/>
    <x v="13"/>
  </r>
  <r>
    <x v="19"/>
    <s v="rom_fact_dunland"/>
    <n v="44"/>
    <x v="9"/>
    <n v="64"/>
    <n v="12588"/>
    <n v="10494"/>
    <n v="513"/>
    <m/>
    <x v="14"/>
  </r>
  <r>
    <x v="19"/>
    <s v="rom_fact_haerrim"/>
    <n v="0"/>
    <x v="11"/>
    <n v="0"/>
    <n v="5352"/>
    <n v="1750"/>
    <n v="0"/>
    <m/>
    <x v="15"/>
  </r>
  <r>
    <x v="19"/>
    <s v="rom_fact_goblins"/>
    <n v="70"/>
    <x v="12"/>
    <n v="124.9"/>
    <n v="9265"/>
    <n v="14291"/>
    <n v="811"/>
    <m/>
    <x v="16"/>
  </r>
  <r>
    <x v="19"/>
    <s v="rom_fact_balchoth"/>
    <n v="0"/>
    <x v="11"/>
    <n v="0"/>
    <n v="4872"/>
    <n v="1750"/>
    <n v="0"/>
    <m/>
    <x v="17"/>
  </r>
  <r>
    <x v="19"/>
    <s v="rom_fact_rhurim"/>
    <n v="72"/>
    <x v="19"/>
    <n v="222.6"/>
    <n v="19984"/>
    <n v="20473"/>
    <n v="671"/>
    <m/>
    <x v="18"/>
  </r>
  <r>
    <x v="19"/>
    <s v="rom_fact_feredrim"/>
    <n v="0"/>
    <x v="11"/>
    <n v="0"/>
    <n v="7360"/>
    <n v="1750"/>
    <n v="0"/>
    <m/>
    <x v="19"/>
  </r>
  <r>
    <x v="19"/>
    <s v="rom_fact_wainriders"/>
    <n v="0"/>
    <x v="11"/>
    <n v="0"/>
    <n v="6395"/>
    <n v="1750"/>
    <n v="0"/>
    <m/>
    <x v="20"/>
  </r>
  <r>
    <x v="19"/>
    <s v="rom_fact_blacklock"/>
    <n v="5"/>
    <x v="3"/>
    <n v="35"/>
    <n v="22135"/>
    <n v="6251"/>
    <n v="0"/>
    <m/>
    <x v="21"/>
  </r>
  <r>
    <x v="19"/>
    <s v="rom_fact_ironfist"/>
    <n v="4"/>
    <x v="10"/>
    <n v="26"/>
    <n v="21097"/>
    <n v="4782"/>
    <n v="0"/>
    <m/>
    <x v="22"/>
  </r>
  <r>
    <x v="19"/>
    <s v="rom_fact_gundabad"/>
    <n v="50"/>
    <x v="13"/>
    <n v="109"/>
    <n v="5296"/>
    <n v="13053"/>
    <n v="0"/>
    <m/>
    <x v="23"/>
  </r>
  <r>
    <x v="19"/>
    <s v="rom_fact_rohan_scouts"/>
    <n v="0"/>
    <x v="11"/>
    <n v="3"/>
    <n v="25299"/>
    <n v="2379"/>
    <n v="0"/>
    <m/>
    <x v="24"/>
  </r>
  <r>
    <x v="19"/>
    <s v="rom_fact_northern_enedwaith"/>
    <n v="5"/>
    <x v="3"/>
    <n v="29"/>
    <n v="9588"/>
    <n v="4759"/>
    <n v="0"/>
    <m/>
    <x v="25"/>
  </r>
  <r>
    <x v="19"/>
    <s v="rom_fact_southern_enedwaith"/>
    <n v="3"/>
    <x v="10"/>
    <n v="16"/>
    <n v="16479"/>
    <n v="3819"/>
    <n v="0"/>
    <m/>
    <x v="26"/>
  </r>
  <r>
    <x v="19"/>
    <s v="rom_fact_druedain"/>
    <n v="5"/>
    <x v="3"/>
    <n v="29"/>
    <n v="22272"/>
    <n v="4344"/>
    <n v="0"/>
    <m/>
    <x v="27"/>
  </r>
  <r>
    <x v="19"/>
    <s v="rom_fact_harondor"/>
    <n v="3"/>
    <x v="7"/>
    <n v="18"/>
    <n v="5572"/>
    <n v="3944"/>
    <n v="147"/>
    <m/>
    <x v="28"/>
  </r>
  <r>
    <x v="19"/>
    <s v="rom_fact_southron_nomads"/>
    <n v="0"/>
    <x v="11"/>
    <n v="0"/>
    <n v="4000"/>
    <n v="1750"/>
    <n v="0"/>
    <m/>
    <x v="29"/>
  </r>
  <r>
    <x v="19"/>
    <s v="rom_fact_separatist_harad"/>
    <n v="0"/>
    <x v="11"/>
    <n v="0"/>
    <n v="4000"/>
    <n v="1750"/>
    <n v="0"/>
    <m/>
    <x v="30"/>
  </r>
  <r>
    <x v="19"/>
    <s v="rom_fact_separatist_khand"/>
    <n v="0"/>
    <x v="11"/>
    <n v="0"/>
    <n v="4000"/>
    <n v="1750"/>
    <n v="0"/>
    <m/>
    <x v="30"/>
  </r>
  <r>
    <x v="19"/>
    <s v="rom_fact_separatist_balchoth"/>
    <n v="0"/>
    <x v="11"/>
    <n v="0"/>
    <n v="4000"/>
    <n v="1750"/>
    <n v="0"/>
    <m/>
    <x v="30"/>
  </r>
  <r>
    <x v="19"/>
    <s v="rom_fact_separatist_feredrim"/>
    <n v="0"/>
    <x v="11"/>
    <n v="0"/>
    <n v="4000"/>
    <n v="1750"/>
    <n v="0"/>
    <m/>
    <x v="30"/>
  </r>
  <r>
    <x v="19"/>
    <s v="rom_fact_separatist_haerrim"/>
    <n v="0"/>
    <x v="11"/>
    <n v="0"/>
    <n v="4000"/>
    <n v="1750"/>
    <n v="0"/>
    <m/>
    <x v="30"/>
  </r>
  <r>
    <x v="19"/>
    <s v="rom_fact_separatist_wainriders"/>
    <n v="0"/>
    <x v="11"/>
    <n v="0"/>
    <n v="4000"/>
    <n v="1750"/>
    <n v="0"/>
    <m/>
    <x v="30"/>
  </r>
  <r>
    <x v="19"/>
    <s v="rom_fact_separatist_rhurim"/>
    <n v="0"/>
    <x v="11"/>
    <n v="0"/>
    <n v="4000"/>
    <n v="1750"/>
    <n v="0"/>
    <m/>
    <x v="30"/>
  </r>
  <r>
    <x v="19"/>
    <s v="rom_fact_separatist_mahuds"/>
    <n v="0"/>
    <x v="11"/>
    <n v="0"/>
    <n v="4000"/>
    <n v="1750"/>
    <n v="0"/>
    <m/>
    <x v="30"/>
  </r>
  <r>
    <x v="19"/>
    <s v="rom_fact_separatist_umbar"/>
    <n v="0"/>
    <x v="11"/>
    <n v="0"/>
    <n v="4000"/>
    <n v="1750"/>
    <n v="0"/>
    <m/>
    <x v="30"/>
  </r>
  <r>
    <x v="20"/>
    <s v="rom_fact_mordor"/>
    <n v="104"/>
    <x v="20"/>
    <n v="152.69999999999999"/>
    <n v="730"/>
    <n v="16015"/>
    <n v="872"/>
    <m/>
    <x v="0"/>
  </r>
  <r>
    <x v="20"/>
    <s v="rom_fact_gondor"/>
    <n v="80"/>
    <x v="16"/>
    <n v="159"/>
    <n v="27147"/>
    <n v="18195"/>
    <n v="646"/>
    <m/>
    <x v="1"/>
  </r>
  <r>
    <x v="20"/>
    <s v="rom_fact_dale"/>
    <n v="63"/>
    <x v="6"/>
    <n v="106.4"/>
    <n v="10243"/>
    <n v="12871"/>
    <n v="234"/>
    <m/>
    <x v="2"/>
  </r>
  <r>
    <x v="20"/>
    <s v="rom_fact_erebor"/>
    <n v="69"/>
    <x v="9"/>
    <n v="68"/>
    <n v="22931"/>
    <n v="13957"/>
    <n v="685"/>
    <m/>
    <x v="3"/>
  </r>
  <r>
    <x v="20"/>
    <s v="rom_fact_rohan"/>
    <n v="60"/>
    <x v="16"/>
    <n v="108"/>
    <n v="12538"/>
    <n v="13073"/>
    <n v="323"/>
    <m/>
    <x v="4"/>
  </r>
  <r>
    <x v="20"/>
    <s v="rom_fact_dol_guldur"/>
    <n v="69"/>
    <x v="0"/>
    <n v="105"/>
    <n v="17615"/>
    <n v="14692"/>
    <n v="574"/>
    <m/>
    <x v="5"/>
  </r>
  <r>
    <x v="20"/>
    <s v="rom_fact_anduin_vale"/>
    <n v="47"/>
    <x v="12"/>
    <n v="66"/>
    <n v="5861"/>
    <n v="7753"/>
    <n v="0"/>
    <m/>
    <x v="6"/>
  </r>
  <r>
    <x v="20"/>
    <s v="rom_fact_isengard"/>
    <n v="46"/>
    <x v="3"/>
    <n v="49.8"/>
    <n v="12638"/>
    <n v="9811"/>
    <n v="381"/>
    <m/>
    <x v="7"/>
  </r>
  <r>
    <x v="20"/>
    <s v="rom_fact_woodland_realm"/>
    <n v="30"/>
    <x v="11"/>
    <n v="0"/>
    <n v="8475"/>
    <n v="2500"/>
    <n v="0"/>
    <m/>
    <x v="8"/>
  </r>
  <r>
    <x v="20"/>
    <s v="rom_fact_lothlorien"/>
    <n v="39"/>
    <x v="3"/>
    <n v="24"/>
    <n v="12783"/>
    <n v="6787"/>
    <n v="0"/>
    <m/>
    <x v="9"/>
  </r>
  <r>
    <x v="20"/>
    <s v="rom_fact_khand"/>
    <n v="6"/>
    <x v="9"/>
    <n v="50"/>
    <n v="7420"/>
    <n v="7626"/>
    <n v="257"/>
    <m/>
    <x v="10"/>
  </r>
  <r>
    <x v="20"/>
    <s v="rom_fact_umbar"/>
    <n v="8"/>
    <x v="5"/>
    <n v="57.3"/>
    <n v="9004"/>
    <n v="10593"/>
    <n v="889"/>
    <m/>
    <x v="11"/>
  </r>
  <r>
    <x v="20"/>
    <s v="rom_fact_mahuds"/>
    <n v="5"/>
    <x v="3"/>
    <n v="41"/>
    <n v="14155"/>
    <n v="6326"/>
    <n v="0"/>
    <m/>
    <x v="12"/>
  </r>
  <r>
    <x v="20"/>
    <s v="rom_fact_harad"/>
    <n v="41"/>
    <x v="8"/>
    <n v="70"/>
    <n v="13744"/>
    <n v="9742"/>
    <n v="0"/>
    <m/>
    <x v="13"/>
  </r>
  <r>
    <x v="20"/>
    <s v="rom_fact_dunland"/>
    <n v="43"/>
    <x v="3"/>
    <n v="56"/>
    <n v="13815"/>
    <n v="9779"/>
    <n v="428"/>
    <m/>
    <x v="14"/>
  </r>
  <r>
    <x v="20"/>
    <s v="rom_fact_haerrim"/>
    <n v="0"/>
    <x v="11"/>
    <n v="0"/>
    <n v="5352"/>
    <n v="1750"/>
    <n v="0"/>
    <m/>
    <x v="15"/>
  </r>
  <r>
    <x v="20"/>
    <s v="rom_fact_goblins"/>
    <n v="75"/>
    <x v="12"/>
    <n v="124.9"/>
    <n v="8833"/>
    <n v="15383"/>
    <n v="813"/>
    <m/>
    <x v="16"/>
  </r>
  <r>
    <x v="20"/>
    <s v="rom_fact_balchoth"/>
    <n v="0"/>
    <x v="11"/>
    <n v="0"/>
    <n v="4872"/>
    <n v="1750"/>
    <n v="0"/>
    <m/>
    <x v="17"/>
  </r>
  <r>
    <x v="20"/>
    <s v="rom_fact_rhurim"/>
    <n v="72"/>
    <x v="19"/>
    <n v="237.7"/>
    <n v="20000"/>
    <n v="21407"/>
    <n v="798"/>
    <m/>
    <x v="18"/>
  </r>
  <r>
    <x v="20"/>
    <s v="rom_fact_feredrim"/>
    <n v="0"/>
    <x v="11"/>
    <n v="0"/>
    <n v="7360"/>
    <n v="1750"/>
    <n v="0"/>
    <m/>
    <x v="19"/>
  </r>
  <r>
    <x v="20"/>
    <s v="rom_fact_wainriders"/>
    <n v="0"/>
    <x v="11"/>
    <n v="0"/>
    <n v="6395"/>
    <n v="1750"/>
    <n v="0"/>
    <m/>
    <x v="20"/>
  </r>
  <r>
    <x v="20"/>
    <s v="rom_fact_blacklock"/>
    <n v="5"/>
    <x v="3"/>
    <n v="35"/>
    <n v="24216"/>
    <n v="6251"/>
    <n v="0"/>
    <m/>
    <x v="21"/>
  </r>
  <r>
    <x v="20"/>
    <s v="rom_fact_ironfist"/>
    <n v="4"/>
    <x v="10"/>
    <n v="26"/>
    <n v="22809"/>
    <n v="4782"/>
    <n v="0"/>
    <m/>
    <x v="22"/>
  </r>
  <r>
    <x v="20"/>
    <s v="rom_fact_gundabad"/>
    <n v="50"/>
    <x v="13"/>
    <n v="109"/>
    <n v="11631"/>
    <n v="11307"/>
    <n v="0"/>
    <m/>
    <x v="23"/>
  </r>
  <r>
    <x v="20"/>
    <s v="rom_fact_rohan_scouts"/>
    <n v="0"/>
    <x v="11"/>
    <n v="3"/>
    <n v="26420"/>
    <n v="2379"/>
    <n v="0"/>
    <m/>
    <x v="24"/>
  </r>
  <r>
    <x v="20"/>
    <s v="rom_fact_northern_enedwaith"/>
    <n v="5"/>
    <x v="3"/>
    <n v="29"/>
    <n v="11736"/>
    <n v="4615"/>
    <n v="0"/>
    <m/>
    <x v="25"/>
  </r>
  <r>
    <x v="20"/>
    <s v="rom_fact_southern_enedwaith"/>
    <n v="3"/>
    <x v="10"/>
    <n v="17"/>
    <n v="17797"/>
    <n v="3820"/>
    <n v="0"/>
    <m/>
    <x v="26"/>
  </r>
  <r>
    <x v="20"/>
    <s v="rom_fact_druedain"/>
    <n v="5"/>
    <x v="3"/>
    <n v="29"/>
    <n v="23680"/>
    <n v="4344"/>
    <n v="0"/>
    <m/>
    <x v="27"/>
  </r>
  <r>
    <x v="20"/>
    <s v="rom_fact_harondor"/>
    <n v="3"/>
    <x v="7"/>
    <n v="22"/>
    <n v="6488"/>
    <n v="4422"/>
    <n v="149"/>
    <m/>
    <x v="28"/>
  </r>
  <r>
    <x v="20"/>
    <s v="rom_fact_southron_nomads"/>
    <n v="0"/>
    <x v="11"/>
    <n v="0"/>
    <n v="4000"/>
    <n v="1750"/>
    <n v="0"/>
    <m/>
    <x v="29"/>
  </r>
  <r>
    <x v="20"/>
    <s v="rom_fact_separatist_harad"/>
    <n v="0"/>
    <x v="11"/>
    <n v="0"/>
    <n v="4000"/>
    <n v="1750"/>
    <n v="0"/>
    <m/>
    <x v="30"/>
  </r>
  <r>
    <x v="20"/>
    <s v="rom_fact_separatist_khand"/>
    <n v="0"/>
    <x v="11"/>
    <n v="0"/>
    <n v="4000"/>
    <n v="1750"/>
    <n v="0"/>
    <m/>
    <x v="30"/>
  </r>
  <r>
    <x v="20"/>
    <s v="rom_fact_separatist_balchoth"/>
    <n v="0"/>
    <x v="11"/>
    <n v="0"/>
    <n v="4000"/>
    <n v="1750"/>
    <n v="0"/>
    <m/>
    <x v="30"/>
  </r>
  <r>
    <x v="20"/>
    <s v="rom_fact_separatist_feredrim"/>
    <n v="0"/>
    <x v="11"/>
    <n v="0"/>
    <n v="4000"/>
    <n v="1750"/>
    <n v="0"/>
    <m/>
    <x v="30"/>
  </r>
  <r>
    <x v="20"/>
    <s v="rom_fact_separatist_haerrim"/>
    <n v="0"/>
    <x v="11"/>
    <n v="0"/>
    <n v="4000"/>
    <n v="1750"/>
    <n v="0"/>
    <m/>
    <x v="30"/>
  </r>
  <r>
    <x v="20"/>
    <s v="rom_fact_separatist_wainriders"/>
    <n v="0"/>
    <x v="11"/>
    <n v="0"/>
    <n v="4000"/>
    <n v="1750"/>
    <n v="0"/>
    <m/>
    <x v="30"/>
  </r>
  <r>
    <x v="20"/>
    <s v="rom_fact_separatist_rhurim"/>
    <n v="0"/>
    <x v="11"/>
    <n v="0"/>
    <n v="4000"/>
    <n v="1750"/>
    <n v="0"/>
    <m/>
    <x v="30"/>
  </r>
  <r>
    <x v="20"/>
    <s v="rom_fact_separatist_mahuds"/>
    <n v="0"/>
    <x v="11"/>
    <n v="0"/>
    <n v="4000"/>
    <n v="1750"/>
    <n v="0"/>
    <m/>
    <x v="30"/>
  </r>
  <r>
    <x v="20"/>
    <s v="rom_fact_separatist_umbar"/>
    <n v="0"/>
    <x v="11"/>
    <n v="0"/>
    <n v="4000"/>
    <n v="1750"/>
    <n v="0"/>
    <m/>
    <x v="30"/>
  </r>
  <r>
    <x v="21"/>
    <s v="rom_fact_mordor"/>
    <n v="104"/>
    <x v="20"/>
    <n v="157.69999999999999"/>
    <n v="888"/>
    <n v="16016"/>
    <n v="873"/>
    <m/>
    <x v="0"/>
  </r>
  <r>
    <x v="21"/>
    <s v="rom_fact_gondor"/>
    <n v="80"/>
    <x v="16"/>
    <n v="159"/>
    <n v="24971"/>
    <n v="18157"/>
    <n v="0"/>
    <m/>
    <x v="1"/>
  </r>
  <r>
    <x v="21"/>
    <s v="rom_fact_dale"/>
    <n v="63"/>
    <x v="6"/>
    <n v="100.4"/>
    <n v="9507"/>
    <n v="13275"/>
    <n v="231"/>
    <m/>
    <x v="2"/>
  </r>
  <r>
    <x v="21"/>
    <s v="rom_fact_erebor"/>
    <n v="69"/>
    <x v="9"/>
    <n v="68"/>
    <n v="25106"/>
    <n v="13081"/>
    <n v="683"/>
    <m/>
    <x v="3"/>
  </r>
  <r>
    <x v="21"/>
    <s v="rom_fact_rohan"/>
    <n v="64"/>
    <x v="2"/>
    <n v="100"/>
    <n v="14621"/>
    <n v="13246"/>
    <n v="0"/>
    <m/>
    <x v="4"/>
  </r>
  <r>
    <x v="21"/>
    <s v="rom_fact_dol_guldur"/>
    <n v="69"/>
    <x v="0"/>
    <n v="106"/>
    <n v="18135"/>
    <n v="15101"/>
    <n v="577"/>
    <m/>
    <x v="5"/>
  </r>
  <r>
    <x v="21"/>
    <s v="rom_fact_anduin_vale"/>
    <n v="47"/>
    <x v="12"/>
    <n v="75"/>
    <n v="5606"/>
    <n v="7198"/>
    <n v="0"/>
    <m/>
    <x v="6"/>
  </r>
  <r>
    <x v="21"/>
    <s v="rom_fact_isengard"/>
    <n v="61"/>
    <x v="3"/>
    <n v="62.9"/>
    <n v="12872"/>
    <n v="10498"/>
    <n v="381"/>
    <m/>
    <x v="7"/>
  </r>
  <r>
    <x v="21"/>
    <s v="rom_fact_woodland_realm"/>
    <n v="30"/>
    <x v="11"/>
    <n v="0"/>
    <n v="8475"/>
    <n v="2500"/>
    <n v="0"/>
    <m/>
    <x v="8"/>
  </r>
  <r>
    <x v="21"/>
    <s v="rom_fact_lothlorien"/>
    <n v="39"/>
    <x v="3"/>
    <n v="21"/>
    <n v="13367"/>
    <n v="6767"/>
    <n v="0"/>
    <m/>
    <x v="9"/>
  </r>
  <r>
    <x v="21"/>
    <s v="rom_fact_khand"/>
    <n v="8"/>
    <x v="8"/>
    <n v="54"/>
    <n v="7197"/>
    <n v="7582"/>
    <n v="259"/>
    <m/>
    <x v="10"/>
  </r>
  <r>
    <x v="21"/>
    <s v="rom_fact_umbar"/>
    <n v="8"/>
    <x v="5"/>
    <n v="65.3"/>
    <n v="12041"/>
    <n v="10814"/>
    <n v="892"/>
    <m/>
    <x v="11"/>
  </r>
  <r>
    <x v="21"/>
    <s v="rom_fact_mahuds"/>
    <n v="5"/>
    <x v="3"/>
    <n v="41"/>
    <n v="15264"/>
    <n v="6095"/>
    <n v="0"/>
    <m/>
    <x v="12"/>
  </r>
  <r>
    <x v="21"/>
    <s v="rom_fact_harad"/>
    <n v="43"/>
    <x v="9"/>
    <n v="59"/>
    <n v="15513"/>
    <n v="9765"/>
    <n v="0"/>
    <m/>
    <x v="13"/>
  </r>
  <r>
    <x v="21"/>
    <s v="rom_fact_dunland"/>
    <n v="44"/>
    <x v="9"/>
    <n v="57.9"/>
    <n v="15579"/>
    <n v="9769"/>
    <n v="430"/>
    <m/>
    <x v="14"/>
  </r>
  <r>
    <x v="21"/>
    <s v="rom_fact_haerrim"/>
    <n v="0"/>
    <x v="11"/>
    <n v="0"/>
    <n v="5352"/>
    <n v="1750"/>
    <n v="0"/>
    <m/>
    <x v="15"/>
  </r>
  <r>
    <x v="21"/>
    <s v="rom_fact_goblins"/>
    <n v="75"/>
    <x v="12"/>
    <n v="124.9"/>
    <n v="12018"/>
    <n v="15474"/>
    <n v="817"/>
    <m/>
    <x v="16"/>
  </r>
  <r>
    <x v="21"/>
    <s v="rom_fact_balchoth"/>
    <n v="0"/>
    <x v="11"/>
    <n v="0"/>
    <n v="4872"/>
    <n v="1750"/>
    <n v="0"/>
    <m/>
    <x v="17"/>
  </r>
  <r>
    <x v="21"/>
    <s v="rom_fact_rhurim"/>
    <n v="72"/>
    <x v="19"/>
    <n v="248.8"/>
    <n v="22166"/>
    <n v="22083"/>
    <n v="801"/>
    <m/>
    <x v="18"/>
  </r>
  <r>
    <x v="21"/>
    <s v="rom_fact_feredrim"/>
    <n v="0"/>
    <x v="11"/>
    <n v="0"/>
    <n v="7360"/>
    <n v="1750"/>
    <n v="0"/>
    <m/>
    <x v="19"/>
  </r>
  <r>
    <x v="21"/>
    <s v="rom_fact_wainriders"/>
    <n v="0"/>
    <x v="11"/>
    <n v="0"/>
    <n v="6395"/>
    <n v="1750"/>
    <n v="0"/>
    <m/>
    <x v="20"/>
  </r>
  <r>
    <x v="21"/>
    <s v="rom_fact_blacklock"/>
    <n v="5"/>
    <x v="3"/>
    <n v="35"/>
    <n v="26297"/>
    <n v="6251"/>
    <n v="0"/>
    <m/>
    <x v="21"/>
  </r>
  <r>
    <x v="21"/>
    <s v="rom_fact_ironfist"/>
    <n v="4"/>
    <x v="10"/>
    <n v="26"/>
    <n v="21596"/>
    <n v="4924"/>
    <n v="0"/>
    <m/>
    <x v="22"/>
  </r>
  <r>
    <x v="21"/>
    <s v="rom_fact_gundabad"/>
    <n v="55"/>
    <x v="13"/>
    <n v="110.2"/>
    <n v="8706"/>
    <n v="13592"/>
    <n v="0"/>
    <m/>
    <x v="23"/>
  </r>
  <r>
    <x v="21"/>
    <s v="rom_fact_rohan_scouts"/>
    <n v="0"/>
    <x v="11"/>
    <n v="3"/>
    <n v="27541"/>
    <n v="2379"/>
    <n v="0"/>
    <m/>
    <x v="24"/>
  </r>
  <r>
    <x v="21"/>
    <s v="rom_fact_northern_enedwaith"/>
    <n v="5"/>
    <x v="3"/>
    <n v="29"/>
    <n v="13663"/>
    <n v="4793"/>
    <n v="0"/>
    <m/>
    <x v="25"/>
  </r>
  <r>
    <x v="21"/>
    <s v="rom_fact_southern_enedwaith"/>
    <n v="3"/>
    <x v="10"/>
    <n v="16"/>
    <n v="19282"/>
    <n v="3914"/>
    <n v="0"/>
    <m/>
    <x v="26"/>
  </r>
  <r>
    <x v="21"/>
    <s v="rom_fact_druedain"/>
    <n v="5"/>
    <x v="3"/>
    <n v="29"/>
    <n v="25088"/>
    <n v="4344"/>
    <n v="0"/>
    <m/>
    <x v="27"/>
  </r>
  <r>
    <x v="21"/>
    <s v="rom_fact_harondor"/>
    <n v="3"/>
    <x v="7"/>
    <n v="21"/>
    <n v="7523"/>
    <n v="4493"/>
    <n v="149"/>
    <m/>
    <x v="28"/>
  </r>
  <r>
    <x v="21"/>
    <s v="rom_fact_southron_nomads"/>
    <n v="0"/>
    <x v="11"/>
    <n v="0"/>
    <n v="4000"/>
    <n v="1750"/>
    <n v="0"/>
    <m/>
    <x v="29"/>
  </r>
  <r>
    <x v="21"/>
    <s v="rom_fact_separatist_harad"/>
    <n v="0"/>
    <x v="11"/>
    <n v="0"/>
    <n v="4000"/>
    <n v="1750"/>
    <n v="0"/>
    <m/>
    <x v="30"/>
  </r>
  <r>
    <x v="21"/>
    <s v="rom_fact_separatist_khand"/>
    <n v="0"/>
    <x v="11"/>
    <n v="0"/>
    <n v="4000"/>
    <n v="1750"/>
    <n v="0"/>
    <m/>
    <x v="30"/>
  </r>
  <r>
    <x v="21"/>
    <s v="rom_fact_separatist_balchoth"/>
    <n v="0"/>
    <x v="11"/>
    <n v="0"/>
    <n v="4000"/>
    <n v="1750"/>
    <n v="0"/>
    <m/>
    <x v="30"/>
  </r>
  <r>
    <x v="21"/>
    <s v="rom_fact_separatist_feredrim"/>
    <n v="0"/>
    <x v="11"/>
    <n v="0"/>
    <n v="4000"/>
    <n v="1750"/>
    <n v="0"/>
    <m/>
    <x v="30"/>
  </r>
  <r>
    <x v="21"/>
    <s v="rom_fact_separatist_haerrim"/>
    <n v="0"/>
    <x v="11"/>
    <n v="0"/>
    <n v="4000"/>
    <n v="1750"/>
    <n v="0"/>
    <m/>
    <x v="30"/>
  </r>
  <r>
    <x v="21"/>
    <s v="rom_fact_separatist_wainriders"/>
    <n v="0"/>
    <x v="11"/>
    <n v="0"/>
    <n v="4000"/>
    <n v="1750"/>
    <n v="0"/>
    <m/>
    <x v="30"/>
  </r>
  <r>
    <x v="21"/>
    <s v="rom_fact_separatist_rhurim"/>
    <n v="0"/>
    <x v="11"/>
    <n v="0"/>
    <n v="4000"/>
    <n v="1750"/>
    <n v="0"/>
    <m/>
    <x v="30"/>
  </r>
  <r>
    <x v="21"/>
    <s v="rom_fact_separatist_mahuds"/>
    <n v="0"/>
    <x v="11"/>
    <n v="0"/>
    <n v="4000"/>
    <n v="1750"/>
    <n v="0"/>
    <m/>
    <x v="30"/>
  </r>
  <r>
    <x v="21"/>
    <s v="rom_fact_separatist_umbar"/>
    <n v="0"/>
    <x v="11"/>
    <n v="0"/>
    <n v="4000"/>
    <n v="1750"/>
    <n v="0"/>
    <m/>
    <x v="30"/>
  </r>
  <r>
    <x v="22"/>
    <s v="rom_fact_mordor"/>
    <n v="104"/>
    <x v="20"/>
    <n v="157.69999999999999"/>
    <n v="4903"/>
    <n v="15854"/>
    <n v="711"/>
    <m/>
    <x v="0"/>
  </r>
  <r>
    <x v="22"/>
    <s v="rom_fact_gondor"/>
    <n v="95"/>
    <x v="16"/>
    <n v="160"/>
    <n v="26047"/>
    <n v="19644"/>
    <n v="653"/>
    <m/>
    <x v="1"/>
  </r>
  <r>
    <x v="22"/>
    <s v="rom_fact_dale"/>
    <n v="62"/>
    <x v="12"/>
    <n v="99.4"/>
    <n v="12428"/>
    <n v="13904"/>
    <n v="239"/>
    <m/>
    <x v="2"/>
  </r>
  <r>
    <x v="22"/>
    <s v="rom_fact_erebor"/>
    <n v="69"/>
    <x v="9"/>
    <n v="71"/>
    <n v="27702"/>
    <n v="14158"/>
    <n v="689"/>
    <m/>
    <x v="3"/>
  </r>
  <r>
    <x v="22"/>
    <s v="rom_fact_rohan"/>
    <n v="67"/>
    <x v="0"/>
    <n v="89"/>
    <n v="18168"/>
    <n v="13421"/>
    <n v="508"/>
    <m/>
    <x v="4"/>
  </r>
  <r>
    <x v="22"/>
    <s v="rom_fact_dol_guldur"/>
    <n v="69"/>
    <x v="0"/>
    <n v="109"/>
    <n v="16428"/>
    <n v="15411"/>
    <n v="582"/>
    <m/>
    <x v="5"/>
  </r>
  <r>
    <x v="22"/>
    <s v="rom_fact_anduin_vale"/>
    <n v="51"/>
    <x v="12"/>
    <n v="75"/>
    <n v="6996"/>
    <n v="7816"/>
    <n v="0"/>
    <m/>
    <x v="6"/>
  </r>
  <r>
    <x v="22"/>
    <s v="rom_fact_isengard"/>
    <n v="62"/>
    <x v="9"/>
    <n v="67"/>
    <n v="15493"/>
    <n v="10567"/>
    <n v="383"/>
    <m/>
    <x v="7"/>
  </r>
  <r>
    <x v="22"/>
    <s v="rom_fact_woodland_realm"/>
    <n v="30"/>
    <x v="11"/>
    <n v="0"/>
    <n v="8475"/>
    <n v="2500"/>
    <n v="0"/>
    <m/>
    <x v="8"/>
  </r>
  <r>
    <x v="22"/>
    <s v="rom_fact_lothlorien"/>
    <n v="39"/>
    <x v="3"/>
    <n v="30"/>
    <n v="9823"/>
    <n v="7134"/>
    <n v="388"/>
    <m/>
    <x v="9"/>
  </r>
  <r>
    <x v="22"/>
    <s v="rom_fact_khand"/>
    <n v="8"/>
    <x v="8"/>
    <n v="56"/>
    <n v="6286"/>
    <n v="8010"/>
    <n v="0"/>
    <m/>
    <x v="10"/>
  </r>
  <r>
    <x v="22"/>
    <s v="rom_fact_umbar"/>
    <n v="8"/>
    <x v="5"/>
    <n v="64.3"/>
    <n v="14007"/>
    <n v="10710"/>
    <n v="895"/>
    <m/>
    <x v="11"/>
  </r>
  <r>
    <x v="22"/>
    <s v="rom_fact_mahuds"/>
    <n v="5"/>
    <x v="3"/>
    <n v="41"/>
    <n v="16373"/>
    <n v="6095"/>
    <n v="0"/>
    <m/>
    <x v="12"/>
  </r>
  <r>
    <x v="22"/>
    <s v="rom_fact_harad"/>
    <n v="43"/>
    <x v="9"/>
    <n v="61"/>
    <n v="12801"/>
    <n v="9766"/>
    <n v="0"/>
    <m/>
    <x v="13"/>
  </r>
  <r>
    <x v="22"/>
    <s v="rom_fact_dunland"/>
    <n v="49"/>
    <x v="9"/>
    <n v="57.9"/>
    <n v="17072"/>
    <n v="10219"/>
    <n v="435"/>
    <m/>
    <x v="14"/>
  </r>
  <r>
    <x v="22"/>
    <s v="rom_fact_haerrim"/>
    <n v="0"/>
    <x v="11"/>
    <n v="0"/>
    <n v="5352"/>
    <n v="1750"/>
    <n v="0"/>
    <m/>
    <x v="15"/>
  </r>
  <r>
    <x v="22"/>
    <s v="rom_fact_goblins"/>
    <n v="75"/>
    <x v="12"/>
    <n v="123.9"/>
    <n v="14605"/>
    <n v="15913"/>
    <n v="821"/>
    <m/>
    <x v="16"/>
  </r>
  <r>
    <x v="22"/>
    <s v="rom_fact_balchoth"/>
    <n v="0"/>
    <x v="11"/>
    <n v="0"/>
    <n v="4872"/>
    <n v="1750"/>
    <n v="0"/>
    <m/>
    <x v="17"/>
  </r>
  <r>
    <x v="22"/>
    <s v="rom_fact_rhurim"/>
    <n v="78"/>
    <x v="21"/>
    <n v="256.3"/>
    <n v="22635"/>
    <n v="22379"/>
    <n v="810"/>
    <m/>
    <x v="18"/>
  </r>
  <r>
    <x v="22"/>
    <s v="rom_fact_feredrim"/>
    <n v="0"/>
    <x v="11"/>
    <n v="0"/>
    <n v="7360"/>
    <n v="1750"/>
    <n v="0"/>
    <m/>
    <x v="19"/>
  </r>
  <r>
    <x v="22"/>
    <s v="rom_fact_wainriders"/>
    <n v="0"/>
    <x v="11"/>
    <n v="0"/>
    <n v="6395"/>
    <n v="1750"/>
    <n v="0"/>
    <m/>
    <x v="20"/>
  </r>
  <r>
    <x v="22"/>
    <s v="rom_fact_blacklock"/>
    <n v="5"/>
    <x v="3"/>
    <n v="35"/>
    <n v="27478"/>
    <n v="6470"/>
    <n v="0"/>
    <m/>
    <x v="21"/>
  </r>
  <r>
    <x v="22"/>
    <s v="rom_fact_ironfist"/>
    <n v="4"/>
    <x v="10"/>
    <n v="26"/>
    <n v="22753"/>
    <n v="5105"/>
    <n v="0"/>
    <m/>
    <x v="22"/>
  </r>
  <r>
    <x v="22"/>
    <s v="rom_fact_gundabad"/>
    <n v="55"/>
    <x v="13"/>
    <n v="111.8"/>
    <n v="9920"/>
    <n v="13590"/>
    <n v="0"/>
    <m/>
    <x v="23"/>
  </r>
  <r>
    <x v="22"/>
    <s v="rom_fact_rohan_scouts"/>
    <n v="0"/>
    <x v="11"/>
    <n v="3"/>
    <n v="28662"/>
    <n v="2379"/>
    <n v="0"/>
    <m/>
    <x v="24"/>
  </r>
  <r>
    <x v="22"/>
    <s v="rom_fact_northern_enedwaith"/>
    <n v="5"/>
    <x v="3"/>
    <n v="29"/>
    <n v="14845"/>
    <n v="4615"/>
    <n v="0"/>
    <m/>
    <x v="25"/>
  </r>
  <r>
    <x v="22"/>
    <s v="rom_fact_southern_enedwaith"/>
    <n v="3"/>
    <x v="10"/>
    <n v="17"/>
    <n v="20600"/>
    <n v="3820"/>
    <n v="0"/>
    <m/>
    <x v="26"/>
  </r>
  <r>
    <x v="22"/>
    <s v="rom_fact_druedain"/>
    <n v="5"/>
    <x v="3"/>
    <n v="29"/>
    <n v="26541"/>
    <n v="4389"/>
    <n v="0"/>
    <m/>
    <x v="27"/>
  </r>
  <r>
    <x v="22"/>
    <s v="rom_fact_harondor"/>
    <n v="3"/>
    <x v="7"/>
    <n v="22"/>
    <n v="8440"/>
    <n v="4422"/>
    <n v="149"/>
    <m/>
    <x v="28"/>
  </r>
  <r>
    <x v="22"/>
    <s v="rom_fact_southron_nomads"/>
    <n v="0"/>
    <x v="11"/>
    <n v="0"/>
    <n v="4000"/>
    <n v="1750"/>
    <n v="0"/>
    <m/>
    <x v="29"/>
  </r>
  <r>
    <x v="22"/>
    <s v="rom_fact_separatist_harad"/>
    <n v="0"/>
    <x v="11"/>
    <n v="0"/>
    <n v="4000"/>
    <n v="1750"/>
    <n v="0"/>
    <m/>
    <x v="30"/>
  </r>
  <r>
    <x v="22"/>
    <s v="rom_fact_separatist_khand"/>
    <n v="0"/>
    <x v="11"/>
    <n v="0"/>
    <n v="4000"/>
    <n v="1750"/>
    <n v="0"/>
    <m/>
    <x v="30"/>
  </r>
  <r>
    <x v="22"/>
    <s v="rom_fact_separatist_balchoth"/>
    <n v="0"/>
    <x v="11"/>
    <n v="0"/>
    <n v="4000"/>
    <n v="1750"/>
    <n v="0"/>
    <m/>
    <x v="30"/>
  </r>
  <r>
    <x v="22"/>
    <s v="rom_fact_separatist_feredrim"/>
    <n v="0"/>
    <x v="11"/>
    <n v="0"/>
    <n v="4000"/>
    <n v="1750"/>
    <n v="0"/>
    <m/>
    <x v="30"/>
  </r>
  <r>
    <x v="22"/>
    <s v="rom_fact_separatist_haerrim"/>
    <n v="0"/>
    <x v="11"/>
    <n v="0"/>
    <n v="4000"/>
    <n v="1750"/>
    <n v="0"/>
    <m/>
    <x v="30"/>
  </r>
  <r>
    <x v="22"/>
    <s v="rom_fact_separatist_wainriders"/>
    <n v="0"/>
    <x v="11"/>
    <n v="0"/>
    <n v="4000"/>
    <n v="1750"/>
    <n v="0"/>
    <m/>
    <x v="30"/>
  </r>
  <r>
    <x v="22"/>
    <s v="rom_fact_separatist_rhurim"/>
    <n v="0"/>
    <x v="11"/>
    <n v="0"/>
    <n v="4000"/>
    <n v="1750"/>
    <n v="0"/>
    <m/>
    <x v="30"/>
  </r>
  <r>
    <x v="22"/>
    <s v="rom_fact_separatist_mahuds"/>
    <n v="0"/>
    <x v="11"/>
    <n v="0"/>
    <n v="4000"/>
    <n v="1750"/>
    <n v="0"/>
    <m/>
    <x v="30"/>
  </r>
  <r>
    <x v="22"/>
    <s v="rom_fact_separatist_umbar"/>
    <n v="0"/>
    <x v="11"/>
    <n v="0"/>
    <n v="4000"/>
    <n v="1750"/>
    <n v="0"/>
    <m/>
    <x v="30"/>
  </r>
  <r>
    <x v="23"/>
    <s v="rom_fact_mordor"/>
    <n v="113"/>
    <x v="20"/>
    <n v="163.69999999999999"/>
    <n v="1029"/>
    <n v="14815"/>
    <n v="910"/>
    <m/>
    <x v="0"/>
  </r>
  <r>
    <x v="23"/>
    <s v="rom_fact_gondor"/>
    <n v="95"/>
    <x v="16"/>
    <n v="163"/>
    <n v="30782"/>
    <n v="19556"/>
    <n v="657"/>
    <m/>
    <x v="1"/>
  </r>
  <r>
    <x v="23"/>
    <s v="rom_fact_dale"/>
    <n v="61"/>
    <x v="13"/>
    <n v="102.4"/>
    <n v="12447"/>
    <n v="13486"/>
    <n v="232"/>
    <m/>
    <x v="2"/>
  </r>
  <r>
    <x v="23"/>
    <s v="rom_fact_erebor"/>
    <n v="74"/>
    <x v="9"/>
    <n v="75"/>
    <n v="30961"/>
    <n v="13694"/>
    <n v="683"/>
    <m/>
    <x v="3"/>
  </r>
  <r>
    <x v="23"/>
    <s v="rom_fact_rohan"/>
    <n v="76"/>
    <x v="0"/>
    <n v="103"/>
    <n v="17693"/>
    <n v="13463"/>
    <n v="178"/>
    <m/>
    <x v="4"/>
  </r>
  <r>
    <x v="23"/>
    <s v="rom_fact_dol_guldur"/>
    <n v="69"/>
    <x v="0"/>
    <n v="108"/>
    <n v="19986"/>
    <n v="15247"/>
    <n v="920"/>
    <m/>
    <x v="5"/>
  </r>
  <r>
    <x v="23"/>
    <s v="rom_fact_anduin_vale"/>
    <n v="51"/>
    <x v="12"/>
    <n v="75"/>
    <n v="9196"/>
    <n v="7786"/>
    <n v="0"/>
    <m/>
    <x v="6"/>
  </r>
  <r>
    <x v="23"/>
    <s v="rom_fact_isengard"/>
    <n v="62"/>
    <x v="9"/>
    <n v="68.2"/>
    <n v="13759"/>
    <n v="10992"/>
    <n v="383"/>
    <m/>
    <x v="7"/>
  </r>
  <r>
    <x v="23"/>
    <s v="rom_fact_woodland_realm"/>
    <n v="30"/>
    <x v="11"/>
    <n v="0"/>
    <n v="8475"/>
    <n v="2500"/>
    <n v="0"/>
    <m/>
    <x v="8"/>
  </r>
  <r>
    <x v="23"/>
    <s v="rom_fact_lothlorien"/>
    <n v="44"/>
    <x v="3"/>
    <n v="29"/>
    <n v="6915"/>
    <n v="8483"/>
    <n v="391"/>
    <m/>
    <x v="9"/>
  </r>
  <r>
    <x v="23"/>
    <s v="rom_fact_khand"/>
    <n v="0"/>
    <x v="11"/>
    <n v="0"/>
    <n v="4919"/>
    <n v="4226"/>
    <n v="0"/>
    <m/>
    <x v="10"/>
  </r>
  <r>
    <x v="23"/>
    <s v="rom_fact_umbar"/>
    <n v="8"/>
    <x v="5"/>
    <n v="66.400000000000006"/>
    <n v="11230"/>
    <n v="10414"/>
    <n v="898"/>
    <m/>
    <x v="11"/>
  </r>
  <r>
    <x v="23"/>
    <s v="rom_fact_mahuds"/>
    <n v="5"/>
    <x v="3"/>
    <n v="41"/>
    <n v="17507"/>
    <n v="6070"/>
    <n v="0"/>
    <m/>
    <x v="12"/>
  </r>
  <r>
    <x v="23"/>
    <s v="rom_fact_harad"/>
    <n v="43"/>
    <x v="9"/>
    <n v="62"/>
    <n v="13201"/>
    <n v="9534"/>
    <n v="0"/>
    <m/>
    <x v="13"/>
  </r>
  <r>
    <x v="23"/>
    <s v="rom_fact_dunland"/>
    <n v="49"/>
    <x v="9"/>
    <n v="56.9"/>
    <n v="18905"/>
    <n v="10200"/>
    <n v="435"/>
    <m/>
    <x v="14"/>
  </r>
  <r>
    <x v="23"/>
    <s v="rom_fact_haerrim"/>
    <n v="0"/>
    <x v="11"/>
    <n v="0"/>
    <n v="5352"/>
    <n v="1750"/>
    <n v="0"/>
    <m/>
    <x v="15"/>
  </r>
  <r>
    <x v="23"/>
    <s v="rom_fact_goblins"/>
    <n v="75"/>
    <x v="12"/>
    <n v="126.9"/>
    <n v="18277"/>
    <n v="14445"/>
    <n v="822"/>
    <m/>
    <x v="16"/>
  </r>
  <r>
    <x v="23"/>
    <s v="rom_fact_balchoth"/>
    <n v="0"/>
    <x v="11"/>
    <n v="0"/>
    <n v="4872"/>
    <n v="1750"/>
    <n v="0"/>
    <m/>
    <x v="17"/>
  </r>
  <r>
    <x v="23"/>
    <s v="rom_fact_rhurim"/>
    <n v="86"/>
    <x v="22"/>
    <n v="278"/>
    <n v="29300"/>
    <n v="24175"/>
    <n v="936"/>
    <m/>
    <x v="18"/>
  </r>
  <r>
    <x v="23"/>
    <s v="rom_fact_feredrim"/>
    <n v="0"/>
    <x v="11"/>
    <n v="0"/>
    <n v="7360"/>
    <n v="1750"/>
    <n v="0"/>
    <m/>
    <x v="19"/>
  </r>
  <r>
    <x v="23"/>
    <s v="rom_fact_wainriders"/>
    <n v="0"/>
    <x v="11"/>
    <n v="0"/>
    <n v="6395"/>
    <n v="1750"/>
    <n v="0"/>
    <m/>
    <x v="20"/>
  </r>
  <r>
    <x v="23"/>
    <s v="rom_fact_blacklock"/>
    <n v="5"/>
    <x v="3"/>
    <n v="35"/>
    <n v="26913"/>
    <n v="6324"/>
    <n v="0"/>
    <m/>
    <x v="21"/>
  </r>
  <r>
    <x v="23"/>
    <s v="rom_fact_ironfist"/>
    <n v="4"/>
    <x v="10"/>
    <n v="28"/>
    <n v="24566"/>
    <n v="5390"/>
    <n v="0"/>
    <m/>
    <x v="22"/>
  </r>
  <r>
    <x v="23"/>
    <s v="rom_fact_gundabad"/>
    <n v="55"/>
    <x v="13"/>
    <n v="111.8"/>
    <n v="9753"/>
    <n v="13204"/>
    <n v="271"/>
    <m/>
    <x v="23"/>
  </r>
  <r>
    <x v="23"/>
    <s v="rom_fact_rohan_scouts"/>
    <n v="0"/>
    <x v="11"/>
    <n v="3"/>
    <n v="29783"/>
    <n v="2379"/>
    <n v="0"/>
    <m/>
    <x v="24"/>
  </r>
  <r>
    <x v="23"/>
    <s v="rom_fact_northern_enedwaith"/>
    <n v="5"/>
    <x v="3"/>
    <n v="29"/>
    <n v="16772"/>
    <n v="4793"/>
    <n v="0"/>
    <m/>
    <x v="25"/>
  </r>
  <r>
    <x v="23"/>
    <s v="rom_fact_southern_enedwaith"/>
    <n v="3"/>
    <x v="10"/>
    <n v="16"/>
    <n v="22085"/>
    <n v="3914"/>
    <n v="0"/>
    <m/>
    <x v="26"/>
  </r>
  <r>
    <x v="23"/>
    <s v="rom_fact_druedain"/>
    <n v="5"/>
    <x v="3"/>
    <n v="29"/>
    <n v="27994"/>
    <n v="4389"/>
    <n v="0"/>
    <m/>
    <x v="27"/>
  </r>
  <r>
    <x v="23"/>
    <s v="rom_fact_harondor"/>
    <n v="3"/>
    <x v="7"/>
    <n v="21"/>
    <n v="8277"/>
    <n v="4737"/>
    <n v="151"/>
    <m/>
    <x v="28"/>
  </r>
  <r>
    <x v="23"/>
    <s v="rom_fact_southron_nomads"/>
    <n v="0"/>
    <x v="11"/>
    <n v="0"/>
    <n v="4000"/>
    <n v="1750"/>
    <n v="0"/>
    <m/>
    <x v="29"/>
  </r>
  <r>
    <x v="23"/>
    <s v="rom_fact_separatist_harad"/>
    <n v="0"/>
    <x v="11"/>
    <n v="0"/>
    <n v="4000"/>
    <n v="1750"/>
    <n v="0"/>
    <m/>
    <x v="30"/>
  </r>
  <r>
    <x v="23"/>
    <s v="rom_fact_separatist_khand"/>
    <n v="0"/>
    <x v="11"/>
    <n v="0"/>
    <n v="4000"/>
    <n v="1750"/>
    <n v="0"/>
    <m/>
    <x v="30"/>
  </r>
  <r>
    <x v="23"/>
    <s v="rom_fact_separatist_balchoth"/>
    <n v="0"/>
    <x v="11"/>
    <n v="0"/>
    <n v="4000"/>
    <n v="1750"/>
    <n v="0"/>
    <m/>
    <x v="30"/>
  </r>
  <r>
    <x v="23"/>
    <s v="rom_fact_separatist_feredrim"/>
    <n v="0"/>
    <x v="11"/>
    <n v="0"/>
    <n v="4000"/>
    <n v="1750"/>
    <n v="0"/>
    <m/>
    <x v="30"/>
  </r>
  <r>
    <x v="23"/>
    <s v="rom_fact_separatist_haerrim"/>
    <n v="0"/>
    <x v="11"/>
    <n v="0"/>
    <n v="4000"/>
    <n v="1750"/>
    <n v="0"/>
    <m/>
    <x v="30"/>
  </r>
  <r>
    <x v="23"/>
    <s v="rom_fact_separatist_wainriders"/>
    <n v="0"/>
    <x v="11"/>
    <n v="0"/>
    <n v="4000"/>
    <n v="1750"/>
    <n v="0"/>
    <m/>
    <x v="30"/>
  </r>
  <r>
    <x v="23"/>
    <s v="rom_fact_separatist_rhurim"/>
    <n v="0"/>
    <x v="11"/>
    <n v="0"/>
    <n v="4000"/>
    <n v="1750"/>
    <n v="0"/>
    <m/>
    <x v="30"/>
  </r>
  <r>
    <x v="23"/>
    <s v="rom_fact_separatist_mahuds"/>
    <n v="0"/>
    <x v="11"/>
    <n v="0"/>
    <n v="4000"/>
    <n v="1750"/>
    <n v="0"/>
    <m/>
    <x v="30"/>
  </r>
  <r>
    <x v="23"/>
    <s v="rom_fact_separatist_umbar"/>
    <n v="0"/>
    <x v="11"/>
    <n v="0"/>
    <n v="4000"/>
    <n v="1750"/>
    <n v="0"/>
    <m/>
    <x v="30"/>
  </r>
  <r>
    <x v="24"/>
    <s v="rom_fact_mordor"/>
    <n v="117"/>
    <x v="20"/>
    <n v="167.5"/>
    <n v="3662"/>
    <n v="16864"/>
    <n v="915"/>
    <m/>
    <x v="0"/>
  </r>
  <r>
    <x v="24"/>
    <s v="rom_fact_gondor"/>
    <n v="95"/>
    <x v="16"/>
    <n v="170"/>
    <n v="31871"/>
    <n v="21020"/>
    <n v="658"/>
    <m/>
    <x v="1"/>
  </r>
  <r>
    <x v="24"/>
    <s v="rom_fact_dale"/>
    <n v="66"/>
    <x v="13"/>
    <n v="102.4"/>
    <n v="14035"/>
    <n v="13771"/>
    <n v="238"/>
    <m/>
    <x v="2"/>
  </r>
  <r>
    <x v="24"/>
    <s v="rom_fact_erebor"/>
    <n v="74"/>
    <x v="9"/>
    <n v="77"/>
    <n v="34337"/>
    <n v="15190"/>
    <n v="688"/>
    <m/>
    <x v="3"/>
  </r>
  <r>
    <x v="24"/>
    <s v="rom_fact_rohan"/>
    <n v="76"/>
    <x v="0"/>
    <n v="105"/>
    <n v="14288"/>
    <n v="13328"/>
    <n v="507"/>
    <m/>
    <x v="4"/>
  </r>
  <r>
    <x v="24"/>
    <s v="rom_fact_dol_guldur"/>
    <n v="84"/>
    <x v="0"/>
    <n v="118"/>
    <n v="14506"/>
    <n v="15411"/>
    <n v="927"/>
    <m/>
    <x v="5"/>
  </r>
  <r>
    <x v="24"/>
    <s v="rom_fact_anduin_vale"/>
    <n v="52"/>
    <x v="5"/>
    <n v="60"/>
    <n v="5188"/>
    <n v="7647"/>
    <n v="0"/>
    <m/>
    <x v="6"/>
  </r>
  <r>
    <x v="24"/>
    <s v="rom_fact_isengard"/>
    <n v="62"/>
    <x v="9"/>
    <n v="68.2"/>
    <n v="11597"/>
    <n v="10703"/>
    <n v="384"/>
    <m/>
    <x v="7"/>
  </r>
  <r>
    <x v="24"/>
    <s v="rom_fact_woodland_realm"/>
    <n v="30"/>
    <x v="11"/>
    <n v="0"/>
    <n v="8475"/>
    <n v="2500"/>
    <n v="0"/>
    <m/>
    <x v="8"/>
  </r>
  <r>
    <x v="24"/>
    <s v="rom_fact_lothlorien"/>
    <n v="43"/>
    <x v="10"/>
    <n v="32"/>
    <n v="4522"/>
    <n v="9154"/>
    <n v="388"/>
    <m/>
    <x v="9"/>
  </r>
  <r>
    <x v="24"/>
    <s v="rom_fact_khand"/>
    <n v="0"/>
    <x v="11"/>
    <n v="0"/>
    <n v="4919"/>
    <n v="1750"/>
    <n v="0"/>
    <m/>
    <x v="10"/>
  </r>
  <r>
    <x v="24"/>
    <s v="rom_fact_umbar"/>
    <n v="8"/>
    <x v="5"/>
    <n v="71.8"/>
    <n v="9345"/>
    <n v="11257"/>
    <n v="904"/>
    <m/>
    <x v="11"/>
  </r>
  <r>
    <x v="24"/>
    <s v="rom_fact_mahuds"/>
    <n v="5"/>
    <x v="3"/>
    <n v="41"/>
    <n v="18631"/>
    <n v="6110"/>
    <n v="0"/>
    <m/>
    <x v="12"/>
  </r>
  <r>
    <x v="24"/>
    <s v="rom_fact_harad"/>
    <n v="52"/>
    <x v="9"/>
    <n v="63"/>
    <n v="15177"/>
    <n v="9706"/>
    <n v="0"/>
    <m/>
    <x v="13"/>
  </r>
  <r>
    <x v="24"/>
    <s v="rom_fact_dunland"/>
    <n v="49"/>
    <x v="9"/>
    <n v="57.9"/>
    <n v="16179"/>
    <n v="10481"/>
    <n v="439"/>
    <m/>
    <x v="14"/>
  </r>
  <r>
    <x v="24"/>
    <s v="rom_fact_haerrim"/>
    <n v="0"/>
    <x v="11"/>
    <n v="0"/>
    <n v="5352"/>
    <n v="1750"/>
    <n v="0"/>
    <m/>
    <x v="15"/>
  </r>
  <r>
    <x v="24"/>
    <s v="rom_fact_goblins"/>
    <n v="83"/>
    <x v="17"/>
    <n v="128.80000000000001"/>
    <n v="10833"/>
    <n v="14598"/>
    <n v="826"/>
    <m/>
    <x v="16"/>
  </r>
  <r>
    <x v="24"/>
    <s v="rom_fact_balchoth"/>
    <n v="0"/>
    <x v="11"/>
    <n v="0"/>
    <n v="4872"/>
    <n v="1750"/>
    <n v="0"/>
    <m/>
    <x v="17"/>
  </r>
  <r>
    <x v="24"/>
    <s v="rom_fact_rhurim"/>
    <n v="86"/>
    <x v="22"/>
    <n v="288.89999999999998"/>
    <n v="25333"/>
    <n v="25344"/>
    <n v="940"/>
    <m/>
    <x v="18"/>
  </r>
  <r>
    <x v="24"/>
    <s v="rom_fact_feredrim"/>
    <n v="0"/>
    <x v="11"/>
    <n v="0"/>
    <n v="7360"/>
    <n v="1750"/>
    <n v="0"/>
    <m/>
    <x v="19"/>
  </r>
  <r>
    <x v="24"/>
    <s v="rom_fact_wainriders"/>
    <n v="0"/>
    <x v="11"/>
    <n v="0"/>
    <n v="6395"/>
    <n v="1750"/>
    <n v="0"/>
    <m/>
    <x v="20"/>
  </r>
  <r>
    <x v="24"/>
    <s v="rom_fact_blacklock"/>
    <n v="5"/>
    <x v="3"/>
    <n v="37"/>
    <n v="29137"/>
    <n v="6546"/>
    <n v="0"/>
    <m/>
    <x v="21"/>
  </r>
  <r>
    <x v="24"/>
    <s v="rom_fact_ironfist"/>
    <n v="4"/>
    <x v="10"/>
    <n v="28"/>
    <n v="23330"/>
    <n v="5203"/>
    <n v="0"/>
    <m/>
    <x v="22"/>
  </r>
  <r>
    <x v="24"/>
    <s v="rom_fact_gundabad"/>
    <n v="62"/>
    <x v="12"/>
    <n v="111.8"/>
    <n v="10436"/>
    <n v="13802"/>
    <n v="325"/>
    <m/>
    <x v="23"/>
  </r>
  <r>
    <x v="24"/>
    <s v="rom_fact_rohan_scouts"/>
    <n v="0"/>
    <x v="11"/>
    <n v="3"/>
    <n v="30904"/>
    <n v="2379"/>
    <n v="0"/>
    <m/>
    <x v="24"/>
  </r>
  <r>
    <x v="24"/>
    <s v="rom_fact_northern_enedwaith"/>
    <n v="5"/>
    <x v="3"/>
    <n v="29"/>
    <n v="18954"/>
    <n v="4615"/>
    <n v="0"/>
    <m/>
    <x v="25"/>
  </r>
  <r>
    <x v="24"/>
    <s v="rom_fact_southern_enedwaith"/>
    <n v="3"/>
    <x v="10"/>
    <n v="17"/>
    <n v="20065"/>
    <n v="3821"/>
    <n v="0"/>
    <m/>
    <x v="26"/>
  </r>
  <r>
    <x v="24"/>
    <s v="rom_fact_druedain"/>
    <n v="5"/>
    <x v="3"/>
    <n v="29"/>
    <n v="29447"/>
    <n v="4389"/>
    <n v="0"/>
    <m/>
    <x v="27"/>
  </r>
  <r>
    <x v="24"/>
    <s v="rom_fact_harondor"/>
    <n v="3"/>
    <x v="7"/>
    <n v="22"/>
    <n v="6711"/>
    <n v="4647"/>
    <n v="152"/>
    <m/>
    <x v="28"/>
  </r>
  <r>
    <x v="24"/>
    <s v="rom_fact_southron_nomads"/>
    <n v="0"/>
    <x v="11"/>
    <n v="0"/>
    <n v="4000"/>
    <n v="1750"/>
    <n v="0"/>
    <m/>
    <x v="29"/>
  </r>
  <r>
    <x v="24"/>
    <s v="rom_fact_separatist_harad"/>
    <n v="0"/>
    <x v="11"/>
    <n v="0"/>
    <n v="4000"/>
    <n v="1750"/>
    <n v="0"/>
    <m/>
    <x v="30"/>
  </r>
  <r>
    <x v="24"/>
    <s v="rom_fact_separatist_khand"/>
    <n v="0"/>
    <x v="11"/>
    <n v="0"/>
    <n v="4000"/>
    <n v="1750"/>
    <n v="0"/>
    <m/>
    <x v="30"/>
  </r>
  <r>
    <x v="24"/>
    <s v="rom_fact_separatist_balchoth"/>
    <n v="0"/>
    <x v="11"/>
    <n v="0"/>
    <n v="4000"/>
    <n v="1750"/>
    <n v="0"/>
    <m/>
    <x v="30"/>
  </r>
  <r>
    <x v="24"/>
    <s v="rom_fact_separatist_feredrim"/>
    <n v="0"/>
    <x v="11"/>
    <n v="0"/>
    <n v="4000"/>
    <n v="1750"/>
    <n v="0"/>
    <m/>
    <x v="30"/>
  </r>
  <r>
    <x v="24"/>
    <s v="rom_fact_separatist_haerrim"/>
    <n v="0"/>
    <x v="11"/>
    <n v="0"/>
    <n v="4000"/>
    <n v="1750"/>
    <n v="0"/>
    <m/>
    <x v="30"/>
  </r>
  <r>
    <x v="24"/>
    <s v="rom_fact_separatist_wainriders"/>
    <n v="0"/>
    <x v="11"/>
    <n v="0"/>
    <n v="4000"/>
    <n v="1750"/>
    <n v="0"/>
    <m/>
    <x v="30"/>
  </r>
  <r>
    <x v="24"/>
    <s v="rom_fact_separatist_rhurim"/>
    <n v="0"/>
    <x v="11"/>
    <n v="0"/>
    <n v="4000"/>
    <n v="1750"/>
    <n v="0"/>
    <m/>
    <x v="30"/>
  </r>
  <r>
    <x v="24"/>
    <s v="rom_fact_separatist_mahuds"/>
    <n v="0"/>
    <x v="11"/>
    <n v="0"/>
    <n v="4000"/>
    <n v="1750"/>
    <n v="0"/>
    <m/>
    <x v="30"/>
  </r>
  <r>
    <x v="24"/>
    <s v="rom_fact_separatist_umbar"/>
    <n v="0"/>
    <x v="11"/>
    <n v="0"/>
    <n v="4000"/>
    <n v="1750"/>
    <n v="0"/>
    <m/>
    <x v="30"/>
  </r>
  <r>
    <x v="25"/>
    <s v="rom_fact_mordor"/>
    <n v="117"/>
    <x v="20"/>
    <n v="168.7"/>
    <n v="5133"/>
    <n v="17122"/>
    <n v="917"/>
    <m/>
    <x v="0"/>
  </r>
  <r>
    <x v="25"/>
    <s v="rom_fact_gondor"/>
    <n v="100"/>
    <x v="16"/>
    <n v="175"/>
    <n v="23565"/>
    <n v="21608"/>
    <n v="662"/>
    <m/>
    <x v="1"/>
  </r>
  <r>
    <x v="25"/>
    <s v="rom_fact_dale"/>
    <n v="66"/>
    <x v="13"/>
    <n v="101.4"/>
    <n v="15098"/>
    <n v="12955"/>
    <n v="235"/>
    <m/>
    <x v="2"/>
  </r>
  <r>
    <x v="25"/>
    <s v="rom_fact_erebor"/>
    <n v="74"/>
    <x v="9"/>
    <n v="76"/>
    <n v="38065"/>
    <n v="14786"/>
    <n v="686"/>
    <m/>
    <x v="3"/>
  </r>
  <r>
    <x v="25"/>
    <s v="rom_fact_rohan"/>
    <n v="76"/>
    <x v="0"/>
    <n v="103"/>
    <n v="11503"/>
    <n v="14613"/>
    <n v="473"/>
    <m/>
    <x v="4"/>
  </r>
  <r>
    <x v="25"/>
    <s v="rom_fact_dol_guldur"/>
    <n v="84"/>
    <x v="0"/>
    <n v="120"/>
    <n v="17216"/>
    <n v="15825"/>
    <n v="931"/>
    <m/>
    <x v="5"/>
  </r>
  <r>
    <x v="25"/>
    <s v="rom_fact_anduin_vale"/>
    <n v="52"/>
    <x v="5"/>
    <n v="60"/>
    <n v="5918"/>
    <n v="8267"/>
    <n v="0"/>
    <m/>
    <x v="6"/>
  </r>
  <r>
    <x v="25"/>
    <s v="rom_fact_isengard"/>
    <n v="62"/>
    <x v="9"/>
    <n v="64.900000000000006"/>
    <n v="16574"/>
    <n v="10637"/>
    <n v="385"/>
    <m/>
    <x v="7"/>
  </r>
  <r>
    <x v="25"/>
    <s v="rom_fact_woodland_realm"/>
    <n v="30"/>
    <x v="11"/>
    <n v="0"/>
    <n v="8475"/>
    <n v="2500"/>
    <n v="0"/>
    <m/>
    <x v="8"/>
  </r>
  <r>
    <x v="25"/>
    <s v="rom_fact_lothlorien"/>
    <n v="43"/>
    <x v="10"/>
    <n v="31"/>
    <n v="6267"/>
    <n v="8859"/>
    <n v="392"/>
    <m/>
    <x v="9"/>
  </r>
  <r>
    <x v="25"/>
    <s v="rom_fact_khand"/>
    <n v="0"/>
    <x v="11"/>
    <n v="0"/>
    <n v="4919"/>
    <n v="1750"/>
    <n v="0"/>
    <m/>
    <x v="10"/>
  </r>
  <r>
    <x v="25"/>
    <s v="rom_fact_umbar"/>
    <n v="8"/>
    <x v="5"/>
    <n v="77.099999999999994"/>
    <n v="8698"/>
    <n v="12119"/>
    <n v="908"/>
    <m/>
    <x v="11"/>
  </r>
  <r>
    <x v="25"/>
    <s v="rom_fact_mahuds"/>
    <n v="5"/>
    <x v="3"/>
    <n v="41"/>
    <n v="19755"/>
    <n v="6110"/>
    <n v="0"/>
    <m/>
    <x v="12"/>
  </r>
  <r>
    <x v="25"/>
    <s v="rom_fact_harad"/>
    <n v="52"/>
    <x v="9"/>
    <n v="62"/>
    <n v="17518"/>
    <n v="10082"/>
    <n v="0"/>
    <m/>
    <x v="13"/>
  </r>
  <r>
    <x v="25"/>
    <s v="rom_fact_dunland"/>
    <n v="54"/>
    <x v="9"/>
    <n v="57.9"/>
    <n v="15485"/>
    <n v="10562"/>
    <n v="441"/>
    <m/>
    <x v="14"/>
  </r>
  <r>
    <x v="25"/>
    <s v="rom_fact_haerrim"/>
    <n v="0"/>
    <x v="11"/>
    <n v="0"/>
    <n v="5352"/>
    <n v="1750"/>
    <n v="0"/>
    <m/>
    <x v="15"/>
  </r>
  <r>
    <x v="25"/>
    <s v="rom_fact_goblins"/>
    <n v="87"/>
    <x v="17"/>
    <n v="134.69999999999999"/>
    <n v="11369"/>
    <n v="16401"/>
    <n v="828"/>
    <m/>
    <x v="16"/>
  </r>
  <r>
    <x v="25"/>
    <s v="rom_fact_balchoth"/>
    <n v="0"/>
    <x v="11"/>
    <n v="0"/>
    <n v="4872"/>
    <n v="1750"/>
    <n v="0"/>
    <m/>
    <x v="17"/>
  </r>
  <r>
    <x v="25"/>
    <s v="rom_fact_rhurim"/>
    <n v="86"/>
    <x v="22"/>
    <n v="305.8"/>
    <n v="26134"/>
    <n v="24945"/>
    <n v="943"/>
    <m/>
    <x v="18"/>
  </r>
  <r>
    <x v="25"/>
    <s v="rom_fact_feredrim"/>
    <n v="0"/>
    <x v="11"/>
    <n v="0"/>
    <n v="7360"/>
    <n v="1750"/>
    <n v="0"/>
    <m/>
    <x v="19"/>
  </r>
  <r>
    <x v="25"/>
    <s v="rom_fact_wainriders"/>
    <n v="0"/>
    <x v="11"/>
    <n v="0"/>
    <n v="6395"/>
    <n v="1750"/>
    <n v="0"/>
    <m/>
    <x v="20"/>
  </r>
  <r>
    <x v="25"/>
    <s v="rom_fact_blacklock"/>
    <n v="5"/>
    <x v="3"/>
    <n v="37"/>
    <n v="31361"/>
    <n v="6670"/>
    <n v="0"/>
    <m/>
    <x v="21"/>
  </r>
  <r>
    <x v="25"/>
    <s v="rom_fact_ironfist"/>
    <n v="4"/>
    <x v="10"/>
    <n v="28"/>
    <n v="25019"/>
    <n v="5231"/>
    <n v="0"/>
    <m/>
    <x v="22"/>
  </r>
  <r>
    <x v="25"/>
    <s v="rom_fact_gundabad"/>
    <n v="62"/>
    <x v="12"/>
    <n v="111.8"/>
    <n v="10333"/>
    <n v="13787"/>
    <n v="327"/>
    <m/>
    <x v="23"/>
  </r>
  <r>
    <x v="25"/>
    <s v="rom_fact_rohan_scouts"/>
    <n v="0"/>
    <x v="11"/>
    <n v="3"/>
    <n v="32025"/>
    <n v="2379"/>
    <n v="0"/>
    <m/>
    <x v="24"/>
  </r>
  <r>
    <x v="25"/>
    <s v="rom_fact_northern_enedwaith"/>
    <n v="5"/>
    <x v="3"/>
    <n v="29"/>
    <n v="17506"/>
    <n v="4829"/>
    <n v="0"/>
    <m/>
    <x v="25"/>
  </r>
  <r>
    <x v="25"/>
    <s v="rom_fact_southern_enedwaith"/>
    <n v="3"/>
    <x v="10"/>
    <n v="17"/>
    <n v="15296"/>
    <n v="4176"/>
    <n v="0"/>
    <m/>
    <x v="26"/>
  </r>
  <r>
    <x v="25"/>
    <s v="rom_fact_druedain"/>
    <n v="5"/>
    <x v="3"/>
    <n v="30"/>
    <n v="15858"/>
    <n v="4718"/>
    <n v="0"/>
    <m/>
    <x v="27"/>
  </r>
  <r>
    <x v="25"/>
    <s v="rom_fact_harondor"/>
    <n v="3"/>
    <x v="7"/>
    <n v="22"/>
    <n v="7372"/>
    <n v="4832"/>
    <n v="152"/>
    <m/>
    <x v="28"/>
  </r>
  <r>
    <x v="25"/>
    <s v="rom_fact_southron_nomads"/>
    <n v="0"/>
    <x v="11"/>
    <n v="0"/>
    <n v="4000"/>
    <n v="1750"/>
    <n v="0"/>
    <m/>
    <x v="29"/>
  </r>
  <r>
    <x v="25"/>
    <s v="rom_fact_separatist_harad"/>
    <n v="0"/>
    <x v="11"/>
    <n v="0"/>
    <n v="4000"/>
    <n v="1750"/>
    <n v="0"/>
    <m/>
    <x v="30"/>
  </r>
  <r>
    <x v="25"/>
    <s v="rom_fact_separatist_khand"/>
    <n v="0"/>
    <x v="11"/>
    <n v="0"/>
    <n v="4000"/>
    <n v="1750"/>
    <n v="0"/>
    <m/>
    <x v="30"/>
  </r>
  <r>
    <x v="25"/>
    <s v="rom_fact_separatist_balchoth"/>
    <n v="0"/>
    <x v="11"/>
    <n v="0"/>
    <n v="4000"/>
    <n v="1750"/>
    <n v="0"/>
    <m/>
    <x v="30"/>
  </r>
  <r>
    <x v="25"/>
    <s v="rom_fact_separatist_feredrim"/>
    <n v="0"/>
    <x v="11"/>
    <n v="0"/>
    <n v="4000"/>
    <n v="1750"/>
    <n v="0"/>
    <m/>
    <x v="30"/>
  </r>
  <r>
    <x v="25"/>
    <s v="rom_fact_separatist_haerrim"/>
    <n v="0"/>
    <x v="11"/>
    <n v="0"/>
    <n v="4000"/>
    <n v="1750"/>
    <n v="0"/>
    <m/>
    <x v="30"/>
  </r>
  <r>
    <x v="25"/>
    <s v="rom_fact_separatist_wainriders"/>
    <n v="0"/>
    <x v="11"/>
    <n v="0"/>
    <n v="4000"/>
    <n v="1750"/>
    <n v="0"/>
    <m/>
    <x v="30"/>
  </r>
  <r>
    <x v="25"/>
    <s v="rom_fact_separatist_rhurim"/>
    <n v="0"/>
    <x v="11"/>
    <n v="0"/>
    <n v="4000"/>
    <n v="1750"/>
    <n v="0"/>
    <m/>
    <x v="30"/>
  </r>
  <r>
    <x v="25"/>
    <s v="rom_fact_separatist_mahuds"/>
    <n v="0"/>
    <x v="11"/>
    <n v="0"/>
    <n v="4000"/>
    <n v="1750"/>
    <n v="0"/>
    <m/>
    <x v="30"/>
  </r>
  <r>
    <x v="25"/>
    <s v="rom_fact_separatist_umbar"/>
    <n v="0"/>
    <x v="11"/>
    <n v="0"/>
    <n v="4000"/>
    <n v="1750"/>
    <n v="0"/>
    <m/>
    <x v="30"/>
  </r>
  <r>
    <x v="26"/>
    <s v="rom_fact_mordor"/>
    <n v="117"/>
    <x v="20"/>
    <n v="179.7"/>
    <n v="264"/>
    <n v="18806"/>
    <n v="878"/>
    <m/>
    <x v="0"/>
  </r>
  <r>
    <x v="26"/>
    <s v="rom_fact_gondor"/>
    <n v="100"/>
    <x v="16"/>
    <n v="178"/>
    <n v="22554"/>
    <n v="22066"/>
    <n v="0"/>
    <m/>
    <x v="1"/>
  </r>
  <r>
    <x v="26"/>
    <s v="rom_fact_dale"/>
    <n v="64"/>
    <x v="5"/>
    <n v="84.4"/>
    <n v="10497"/>
    <n v="12403"/>
    <n v="226"/>
    <m/>
    <x v="2"/>
  </r>
  <r>
    <x v="26"/>
    <s v="rom_fact_erebor"/>
    <n v="74"/>
    <x v="9"/>
    <n v="77"/>
    <n v="40343"/>
    <n v="14275"/>
    <n v="679"/>
    <m/>
    <x v="3"/>
  </r>
  <r>
    <x v="26"/>
    <s v="rom_fact_rohan"/>
    <n v="82"/>
    <x v="2"/>
    <n v="120"/>
    <n v="13912"/>
    <n v="13917"/>
    <n v="157"/>
    <m/>
    <x v="4"/>
  </r>
  <r>
    <x v="26"/>
    <s v="rom_fact_dol_guldur"/>
    <n v="84"/>
    <x v="0"/>
    <n v="123"/>
    <n v="18759"/>
    <n v="15973"/>
    <n v="935"/>
    <m/>
    <x v="5"/>
  </r>
  <r>
    <x v="26"/>
    <s v="rom_fact_anduin_vale"/>
    <n v="53"/>
    <x v="13"/>
    <n v="59"/>
    <n v="6607"/>
    <n v="7863"/>
    <n v="0"/>
    <m/>
    <x v="6"/>
  </r>
  <r>
    <x v="26"/>
    <s v="rom_fact_isengard"/>
    <n v="67"/>
    <x v="9"/>
    <n v="68.2"/>
    <n v="18025"/>
    <n v="11190"/>
    <n v="385"/>
    <m/>
    <x v="7"/>
  </r>
  <r>
    <x v="26"/>
    <s v="rom_fact_woodland_realm"/>
    <n v="30"/>
    <x v="11"/>
    <n v="0"/>
    <n v="8475"/>
    <n v="2500"/>
    <n v="0"/>
    <m/>
    <x v="8"/>
  </r>
  <r>
    <x v="26"/>
    <s v="rom_fact_lothlorien"/>
    <n v="48"/>
    <x v="10"/>
    <n v="19"/>
    <n v="7878"/>
    <n v="7612"/>
    <n v="271"/>
    <m/>
    <x v="9"/>
  </r>
  <r>
    <x v="26"/>
    <s v="rom_fact_khand"/>
    <n v="0"/>
    <x v="11"/>
    <n v="0"/>
    <n v="4919"/>
    <n v="1750"/>
    <n v="0"/>
    <m/>
    <x v="10"/>
  </r>
  <r>
    <x v="26"/>
    <s v="rom_fact_umbar"/>
    <n v="8"/>
    <x v="5"/>
    <n v="81.5"/>
    <n v="10560"/>
    <n v="12516"/>
    <n v="910"/>
    <m/>
    <x v="11"/>
  </r>
  <r>
    <x v="26"/>
    <s v="rom_fact_mahuds"/>
    <n v="5"/>
    <x v="3"/>
    <n v="41"/>
    <n v="20879"/>
    <n v="6110"/>
    <n v="0"/>
    <m/>
    <x v="12"/>
  </r>
  <r>
    <x v="26"/>
    <s v="rom_fact_harad"/>
    <n v="52"/>
    <x v="9"/>
    <n v="63"/>
    <n v="16918"/>
    <n v="10081"/>
    <n v="0"/>
    <m/>
    <x v="13"/>
  </r>
  <r>
    <x v="26"/>
    <s v="rom_fact_dunland"/>
    <n v="53"/>
    <x v="3"/>
    <n v="57.9"/>
    <n v="16619"/>
    <n v="10140"/>
    <n v="436"/>
    <m/>
    <x v="14"/>
  </r>
  <r>
    <x v="26"/>
    <s v="rom_fact_haerrim"/>
    <n v="0"/>
    <x v="11"/>
    <n v="0"/>
    <n v="5352"/>
    <n v="1750"/>
    <n v="0"/>
    <m/>
    <x v="15"/>
  </r>
  <r>
    <x v="26"/>
    <s v="rom_fact_goblins"/>
    <n v="86"/>
    <x v="6"/>
    <n v="134.69999999999999"/>
    <n v="15663"/>
    <n v="16401"/>
    <n v="824"/>
    <m/>
    <x v="16"/>
  </r>
  <r>
    <x v="26"/>
    <s v="rom_fact_balchoth"/>
    <n v="0"/>
    <x v="11"/>
    <n v="0"/>
    <n v="4872"/>
    <n v="1750"/>
    <n v="0"/>
    <m/>
    <x v="17"/>
  </r>
  <r>
    <x v="26"/>
    <s v="rom_fact_rhurim"/>
    <n v="93"/>
    <x v="23"/>
    <n v="318"/>
    <n v="30439"/>
    <n v="26847"/>
    <n v="949"/>
    <m/>
    <x v="18"/>
  </r>
  <r>
    <x v="26"/>
    <s v="rom_fact_feredrim"/>
    <n v="0"/>
    <x v="11"/>
    <n v="0"/>
    <n v="7360"/>
    <n v="1750"/>
    <n v="0"/>
    <m/>
    <x v="19"/>
  </r>
  <r>
    <x v="26"/>
    <s v="rom_fact_wainriders"/>
    <n v="0"/>
    <x v="11"/>
    <n v="0"/>
    <n v="6395"/>
    <n v="1750"/>
    <n v="0"/>
    <m/>
    <x v="20"/>
  </r>
  <r>
    <x v="26"/>
    <s v="rom_fact_blacklock"/>
    <n v="5"/>
    <x v="3"/>
    <n v="37"/>
    <n v="33542"/>
    <n v="6941"/>
    <n v="0"/>
    <m/>
    <x v="21"/>
  </r>
  <r>
    <x v="26"/>
    <s v="rom_fact_ironfist"/>
    <n v="4"/>
    <x v="10"/>
    <n v="28"/>
    <n v="26791"/>
    <n v="5286"/>
    <n v="0"/>
    <m/>
    <x v="22"/>
  </r>
  <r>
    <x v="26"/>
    <s v="rom_fact_gundabad"/>
    <n v="62"/>
    <x v="12"/>
    <n v="116.8"/>
    <n v="10896"/>
    <n v="14709"/>
    <n v="378"/>
    <m/>
    <x v="23"/>
  </r>
  <r>
    <x v="26"/>
    <s v="rom_fact_rohan_scouts"/>
    <n v="0"/>
    <x v="11"/>
    <n v="3"/>
    <n v="33146"/>
    <n v="2379"/>
    <n v="0"/>
    <m/>
    <x v="24"/>
  </r>
  <r>
    <x v="26"/>
    <s v="rom_fact_northern_enedwaith"/>
    <n v="5"/>
    <x v="3"/>
    <n v="30"/>
    <n v="19472"/>
    <n v="4832"/>
    <n v="0"/>
    <m/>
    <x v="25"/>
  </r>
  <r>
    <x v="26"/>
    <s v="rom_fact_southern_enedwaith"/>
    <n v="3"/>
    <x v="10"/>
    <n v="12"/>
    <n v="18133"/>
    <n v="3106"/>
    <n v="0"/>
    <m/>
    <x v="26"/>
  </r>
  <r>
    <x v="26"/>
    <s v="rom_fact_druedain"/>
    <n v="5"/>
    <x v="3"/>
    <n v="31"/>
    <n v="17130"/>
    <n v="5025"/>
    <n v="0"/>
    <m/>
    <x v="27"/>
  </r>
  <r>
    <x v="26"/>
    <s v="rom_fact_harondor"/>
    <n v="3"/>
    <x v="7"/>
    <n v="23"/>
    <n v="8482"/>
    <n v="4708"/>
    <n v="152"/>
    <m/>
    <x v="28"/>
  </r>
  <r>
    <x v="26"/>
    <s v="rom_fact_southron_nomads"/>
    <n v="0"/>
    <x v="11"/>
    <n v="0"/>
    <n v="4000"/>
    <n v="1750"/>
    <n v="0"/>
    <m/>
    <x v="29"/>
  </r>
  <r>
    <x v="26"/>
    <s v="rom_fact_separatist_harad"/>
    <n v="0"/>
    <x v="11"/>
    <n v="0"/>
    <n v="4000"/>
    <n v="1750"/>
    <n v="0"/>
    <m/>
    <x v="30"/>
  </r>
  <r>
    <x v="26"/>
    <s v="rom_fact_separatist_khand"/>
    <n v="0"/>
    <x v="11"/>
    <n v="0"/>
    <n v="4000"/>
    <n v="1750"/>
    <n v="0"/>
    <m/>
    <x v="30"/>
  </r>
  <r>
    <x v="26"/>
    <s v="rom_fact_separatist_balchoth"/>
    <n v="0"/>
    <x v="11"/>
    <n v="0"/>
    <n v="4000"/>
    <n v="1750"/>
    <n v="0"/>
    <m/>
    <x v="30"/>
  </r>
  <r>
    <x v="26"/>
    <s v="rom_fact_separatist_feredrim"/>
    <n v="0"/>
    <x v="11"/>
    <n v="0"/>
    <n v="4000"/>
    <n v="1750"/>
    <n v="0"/>
    <m/>
    <x v="30"/>
  </r>
  <r>
    <x v="26"/>
    <s v="rom_fact_separatist_haerrim"/>
    <n v="0"/>
    <x v="11"/>
    <n v="0"/>
    <n v="4000"/>
    <n v="1750"/>
    <n v="0"/>
    <m/>
    <x v="30"/>
  </r>
  <r>
    <x v="26"/>
    <s v="rom_fact_separatist_wainriders"/>
    <n v="0"/>
    <x v="11"/>
    <n v="0"/>
    <n v="4000"/>
    <n v="1750"/>
    <n v="0"/>
    <m/>
    <x v="30"/>
  </r>
  <r>
    <x v="26"/>
    <s v="rom_fact_separatist_rhurim"/>
    <n v="0"/>
    <x v="11"/>
    <n v="0"/>
    <n v="4000"/>
    <n v="1750"/>
    <n v="0"/>
    <m/>
    <x v="30"/>
  </r>
  <r>
    <x v="26"/>
    <s v="rom_fact_separatist_mahuds"/>
    <n v="0"/>
    <x v="11"/>
    <n v="0"/>
    <n v="4000"/>
    <n v="1750"/>
    <n v="0"/>
    <m/>
    <x v="30"/>
  </r>
  <r>
    <x v="26"/>
    <s v="rom_fact_separatist_umbar"/>
    <n v="0"/>
    <x v="11"/>
    <n v="0"/>
    <n v="4000"/>
    <n v="1750"/>
    <n v="0"/>
    <m/>
    <x v="30"/>
  </r>
  <r>
    <x v="27"/>
    <s v="rom_fact_mordor"/>
    <n v="124"/>
    <x v="18"/>
    <n v="177.2"/>
    <n v="589"/>
    <n v="19010"/>
    <n v="861"/>
    <m/>
    <x v="0"/>
  </r>
  <r>
    <x v="27"/>
    <s v="rom_fact_gondor"/>
    <n v="98"/>
    <x v="2"/>
    <n v="154"/>
    <n v="26142"/>
    <n v="20459"/>
    <n v="662"/>
    <m/>
    <x v="1"/>
  </r>
  <r>
    <x v="27"/>
    <s v="rom_fact_dale"/>
    <n v="69"/>
    <x v="5"/>
    <n v="86.4"/>
    <n v="11350"/>
    <n v="12828"/>
    <n v="235"/>
    <m/>
    <x v="2"/>
  </r>
  <r>
    <x v="27"/>
    <s v="rom_fact_erebor"/>
    <n v="80"/>
    <x v="8"/>
    <n v="77"/>
    <n v="45977"/>
    <n v="15255"/>
    <n v="686"/>
    <m/>
    <x v="3"/>
  </r>
  <r>
    <x v="27"/>
    <s v="rom_fact_rohan"/>
    <n v="82"/>
    <x v="2"/>
    <n v="97"/>
    <n v="16755"/>
    <n v="12281"/>
    <n v="503"/>
    <m/>
    <x v="4"/>
  </r>
  <r>
    <x v="27"/>
    <s v="rom_fact_dol_guldur"/>
    <n v="84"/>
    <x v="0"/>
    <n v="130"/>
    <n v="17577"/>
    <n v="16084"/>
    <n v="939"/>
    <m/>
    <x v="5"/>
  </r>
  <r>
    <x v="27"/>
    <s v="rom_fact_anduin_vale"/>
    <n v="53"/>
    <x v="13"/>
    <n v="57"/>
    <n v="3197"/>
    <n v="7749"/>
    <n v="0"/>
    <m/>
    <x v="6"/>
  </r>
  <r>
    <x v="27"/>
    <s v="rom_fact_isengard"/>
    <n v="67"/>
    <x v="9"/>
    <n v="70.599999999999994"/>
    <n v="17535"/>
    <n v="11758"/>
    <n v="385"/>
    <m/>
    <x v="7"/>
  </r>
  <r>
    <x v="27"/>
    <s v="rom_fact_woodland_realm"/>
    <n v="30"/>
    <x v="11"/>
    <n v="0"/>
    <n v="8475"/>
    <n v="2500"/>
    <n v="0"/>
    <m/>
    <x v="8"/>
  </r>
  <r>
    <x v="27"/>
    <s v="rom_fact_lothlorien"/>
    <n v="48"/>
    <x v="10"/>
    <n v="28"/>
    <n v="5685"/>
    <n v="7856"/>
    <n v="397"/>
    <m/>
    <x v="9"/>
  </r>
  <r>
    <x v="27"/>
    <s v="rom_fact_khand"/>
    <n v="0"/>
    <x v="11"/>
    <n v="0"/>
    <n v="4919"/>
    <n v="1750"/>
    <n v="0"/>
    <m/>
    <x v="10"/>
  </r>
  <r>
    <x v="27"/>
    <s v="rom_fact_umbar"/>
    <n v="8"/>
    <x v="5"/>
    <n v="84.7"/>
    <n v="13537"/>
    <n v="12747"/>
    <n v="920"/>
    <m/>
    <x v="11"/>
  </r>
  <r>
    <x v="27"/>
    <s v="rom_fact_mahuds"/>
    <n v="5"/>
    <x v="3"/>
    <n v="41"/>
    <n v="22247"/>
    <n v="5866"/>
    <n v="0"/>
    <m/>
    <x v="12"/>
  </r>
  <r>
    <x v="27"/>
    <s v="rom_fact_harad"/>
    <n v="57"/>
    <x v="9"/>
    <n v="62"/>
    <n v="10554"/>
    <n v="10440"/>
    <n v="0"/>
    <m/>
    <x v="13"/>
  </r>
  <r>
    <x v="27"/>
    <s v="rom_fact_dunland"/>
    <n v="53"/>
    <x v="3"/>
    <n v="57.9"/>
    <n v="17755"/>
    <n v="10141"/>
    <n v="437"/>
    <m/>
    <x v="14"/>
  </r>
  <r>
    <x v="27"/>
    <s v="rom_fact_haerrim"/>
    <n v="0"/>
    <x v="11"/>
    <n v="0"/>
    <n v="5352"/>
    <n v="1750"/>
    <n v="0"/>
    <m/>
    <x v="15"/>
  </r>
  <r>
    <x v="27"/>
    <s v="rom_fact_goblins"/>
    <n v="86"/>
    <x v="6"/>
    <n v="132.80000000000001"/>
    <n v="18271"/>
    <n v="16368"/>
    <n v="826"/>
    <m/>
    <x v="16"/>
  </r>
  <r>
    <x v="27"/>
    <s v="rom_fact_balchoth"/>
    <n v="0"/>
    <x v="11"/>
    <n v="0"/>
    <n v="4872"/>
    <n v="1750"/>
    <n v="0"/>
    <m/>
    <x v="17"/>
  </r>
  <r>
    <x v="27"/>
    <s v="rom_fact_rhurim"/>
    <n v="93"/>
    <x v="23"/>
    <n v="322.7"/>
    <n v="28016"/>
    <n v="26955"/>
    <n v="957"/>
    <m/>
    <x v="18"/>
  </r>
  <r>
    <x v="27"/>
    <s v="rom_fact_feredrim"/>
    <n v="0"/>
    <x v="11"/>
    <n v="0"/>
    <n v="7360"/>
    <n v="1750"/>
    <n v="0"/>
    <m/>
    <x v="19"/>
  </r>
  <r>
    <x v="27"/>
    <s v="rom_fact_wainriders"/>
    <n v="0"/>
    <x v="11"/>
    <n v="0"/>
    <n v="6395"/>
    <n v="1750"/>
    <n v="0"/>
    <m/>
    <x v="20"/>
  </r>
  <r>
    <x v="27"/>
    <s v="rom_fact_blacklock"/>
    <n v="5"/>
    <x v="3"/>
    <n v="38"/>
    <n v="35607"/>
    <n v="7039"/>
    <n v="0"/>
    <m/>
    <x v="21"/>
  </r>
  <r>
    <x v="27"/>
    <s v="rom_fact_ironfist"/>
    <n v="4"/>
    <x v="10"/>
    <n v="28"/>
    <n v="28563"/>
    <n v="5286"/>
    <n v="0"/>
    <m/>
    <x v="22"/>
  </r>
  <r>
    <x v="27"/>
    <s v="rom_fact_gundabad"/>
    <n v="66"/>
    <x v="13"/>
    <n v="117.9"/>
    <n v="9054"/>
    <n v="14510"/>
    <n v="377"/>
    <m/>
    <x v="23"/>
  </r>
  <r>
    <x v="27"/>
    <s v="rom_fact_rohan_scouts"/>
    <n v="0"/>
    <x v="11"/>
    <n v="3"/>
    <n v="34267"/>
    <n v="2379"/>
    <n v="0"/>
    <m/>
    <x v="24"/>
  </r>
  <r>
    <x v="27"/>
    <s v="rom_fact_northern_enedwaith"/>
    <n v="5"/>
    <x v="3"/>
    <n v="30"/>
    <n v="21579"/>
    <n v="5149"/>
    <n v="0"/>
    <m/>
    <x v="25"/>
  </r>
  <r>
    <x v="27"/>
    <s v="rom_fact_southern_enedwaith"/>
    <n v="3"/>
    <x v="10"/>
    <n v="14"/>
    <n v="17452"/>
    <n v="3554"/>
    <n v="0"/>
    <m/>
    <x v="26"/>
  </r>
  <r>
    <x v="27"/>
    <s v="rom_fact_druedain"/>
    <n v="5"/>
    <x v="3"/>
    <n v="34"/>
    <n v="18140"/>
    <n v="5463"/>
    <n v="0"/>
    <m/>
    <x v="27"/>
  </r>
  <r>
    <x v="27"/>
    <s v="rom_fact_harondor"/>
    <n v="3"/>
    <x v="7"/>
    <n v="22"/>
    <n v="9794"/>
    <n v="4809"/>
    <n v="158"/>
    <m/>
    <x v="28"/>
  </r>
  <r>
    <x v="27"/>
    <s v="rom_fact_southron_nomads"/>
    <n v="0"/>
    <x v="11"/>
    <n v="0"/>
    <n v="4000"/>
    <n v="1750"/>
    <n v="0"/>
    <m/>
    <x v="29"/>
  </r>
  <r>
    <x v="27"/>
    <s v="rom_fact_separatist_harad"/>
    <n v="0"/>
    <x v="11"/>
    <n v="0"/>
    <n v="4000"/>
    <n v="1750"/>
    <n v="0"/>
    <m/>
    <x v="30"/>
  </r>
  <r>
    <x v="27"/>
    <s v="rom_fact_separatist_khand"/>
    <n v="0"/>
    <x v="11"/>
    <n v="0"/>
    <n v="4000"/>
    <n v="1750"/>
    <n v="0"/>
    <m/>
    <x v="30"/>
  </r>
  <r>
    <x v="27"/>
    <s v="rom_fact_separatist_balchoth"/>
    <n v="0"/>
    <x v="11"/>
    <n v="0"/>
    <n v="4000"/>
    <n v="1750"/>
    <n v="0"/>
    <m/>
    <x v="30"/>
  </r>
  <r>
    <x v="27"/>
    <s v="rom_fact_separatist_feredrim"/>
    <n v="0"/>
    <x v="11"/>
    <n v="0"/>
    <n v="4000"/>
    <n v="1750"/>
    <n v="0"/>
    <m/>
    <x v="30"/>
  </r>
  <r>
    <x v="27"/>
    <s v="rom_fact_separatist_haerrim"/>
    <n v="0"/>
    <x v="11"/>
    <n v="0"/>
    <n v="4000"/>
    <n v="1750"/>
    <n v="0"/>
    <m/>
    <x v="30"/>
  </r>
  <r>
    <x v="27"/>
    <s v="rom_fact_separatist_wainriders"/>
    <n v="0"/>
    <x v="11"/>
    <n v="0"/>
    <n v="4000"/>
    <n v="1750"/>
    <n v="0"/>
    <m/>
    <x v="30"/>
  </r>
  <r>
    <x v="27"/>
    <s v="rom_fact_separatist_rhurim"/>
    <n v="0"/>
    <x v="11"/>
    <n v="0"/>
    <n v="4000"/>
    <n v="1750"/>
    <n v="0"/>
    <m/>
    <x v="30"/>
  </r>
  <r>
    <x v="27"/>
    <s v="rom_fact_separatist_mahuds"/>
    <n v="0"/>
    <x v="11"/>
    <n v="0"/>
    <n v="4000"/>
    <n v="1750"/>
    <n v="0"/>
    <m/>
    <x v="30"/>
  </r>
  <r>
    <x v="27"/>
    <s v="rom_fact_separatist_umbar"/>
    <n v="0"/>
    <x v="11"/>
    <n v="0"/>
    <n v="4000"/>
    <n v="1750"/>
    <n v="0"/>
    <m/>
    <x v="30"/>
  </r>
  <r>
    <x v="28"/>
    <s v="rom_fact_mordor"/>
    <n v="124"/>
    <x v="18"/>
    <n v="179.4"/>
    <n v="870"/>
    <n v="18546"/>
    <n v="863"/>
    <m/>
    <x v="0"/>
  </r>
  <r>
    <x v="28"/>
    <s v="rom_fact_gondor"/>
    <n v="107"/>
    <x v="2"/>
    <n v="156"/>
    <n v="33596"/>
    <n v="20881"/>
    <n v="665"/>
    <m/>
    <x v="1"/>
  </r>
  <r>
    <x v="28"/>
    <s v="rom_fact_dale"/>
    <n v="70"/>
    <x v="13"/>
    <n v="76"/>
    <n v="14698"/>
    <n v="11784"/>
    <n v="227"/>
    <m/>
    <x v="2"/>
  </r>
  <r>
    <x v="28"/>
    <s v="rom_fact_erebor"/>
    <n v="79"/>
    <x v="9"/>
    <n v="54"/>
    <n v="48942"/>
    <n v="11470"/>
    <n v="679"/>
    <m/>
    <x v="3"/>
  </r>
  <r>
    <x v="28"/>
    <s v="rom_fact_rohan"/>
    <n v="82"/>
    <x v="2"/>
    <n v="95"/>
    <n v="18553"/>
    <n v="12899"/>
    <n v="667"/>
    <m/>
    <x v="4"/>
  </r>
  <r>
    <x v="28"/>
    <s v="rom_fact_dol_guldur"/>
    <n v="89"/>
    <x v="0"/>
    <n v="130"/>
    <n v="20608"/>
    <n v="16272"/>
    <n v="1003"/>
    <m/>
    <x v="5"/>
  </r>
  <r>
    <x v="28"/>
    <s v="rom_fact_anduin_vale"/>
    <n v="58"/>
    <x v="13"/>
    <n v="70"/>
    <n v="3124"/>
    <n v="7971"/>
    <n v="0"/>
    <m/>
    <x v="6"/>
  </r>
  <r>
    <x v="28"/>
    <s v="rom_fact_isengard"/>
    <n v="67"/>
    <x v="9"/>
    <n v="70.599999999999994"/>
    <n v="9305"/>
    <n v="11726"/>
    <n v="385"/>
    <m/>
    <x v="7"/>
  </r>
  <r>
    <x v="28"/>
    <s v="rom_fact_woodland_realm"/>
    <n v="30"/>
    <x v="11"/>
    <n v="0"/>
    <n v="8475"/>
    <n v="2500"/>
    <n v="0"/>
    <m/>
    <x v="8"/>
  </r>
  <r>
    <x v="28"/>
    <s v="rom_fact_lothlorien"/>
    <n v="48"/>
    <x v="10"/>
    <n v="29"/>
    <n v="7294"/>
    <n v="8507"/>
    <n v="397"/>
    <m/>
    <x v="9"/>
  </r>
  <r>
    <x v="28"/>
    <s v="rom_fact_khand"/>
    <n v="0"/>
    <x v="11"/>
    <n v="0"/>
    <n v="4919"/>
    <n v="1750"/>
    <n v="0"/>
    <m/>
    <x v="10"/>
  </r>
  <r>
    <x v="28"/>
    <s v="rom_fact_umbar"/>
    <n v="8"/>
    <x v="5"/>
    <n v="85.7"/>
    <n v="12855"/>
    <n v="12879"/>
    <n v="924"/>
    <m/>
    <x v="11"/>
  </r>
  <r>
    <x v="28"/>
    <s v="rom_fact_mahuds"/>
    <n v="5"/>
    <x v="3"/>
    <n v="41"/>
    <n v="23615"/>
    <n v="5866"/>
    <n v="0"/>
    <m/>
    <x v="12"/>
  </r>
  <r>
    <x v="28"/>
    <s v="rom_fact_harad"/>
    <n v="57"/>
    <x v="9"/>
    <n v="64"/>
    <n v="6984"/>
    <n v="10753"/>
    <n v="0"/>
    <m/>
    <x v="13"/>
  </r>
  <r>
    <x v="28"/>
    <s v="rom_fact_dunland"/>
    <n v="58"/>
    <x v="3"/>
    <n v="57.9"/>
    <n v="18637"/>
    <n v="10146"/>
    <n v="442"/>
    <m/>
    <x v="14"/>
  </r>
  <r>
    <x v="28"/>
    <s v="rom_fact_haerrim"/>
    <n v="0"/>
    <x v="11"/>
    <n v="0"/>
    <n v="5352"/>
    <n v="1750"/>
    <n v="0"/>
    <m/>
    <x v="15"/>
  </r>
  <r>
    <x v="28"/>
    <s v="rom_fact_goblins"/>
    <n v="91"/>
    <x v="6"/>
    <n v="138.80000000000001"/>
    <n v="15994"/>
    <n v="16836"/>
    <n v="831"/>
    <m/>
    <x v="16"/>
  </r>
  <r>
    <x v="28"/>
    <s v="rom_fact_balchoth"/>
    <n v="0"/>
    <x v="11"/>
    <n v="0"/>
    <n v="4872"/>
    <n v="1750"/>
    <n v="0"/>
    <m/>
    <x v="17"/>
  </r>
  <r>
    <x v="28"/>
    <s v="rom_fact_rhurim"/>
    <n v="92"/>
    <x v="22"/>
    <n v="329.4"/>
    <n v="29017"/>
    <n v="27856"/>
    <n v="962"/>
    <m/>
    <x v="18"/>
  </r>
  <r>
    <x v="28"/>
    <s v="rom_fact_feredrim"/>
    <n v="0"/>
    <x v="11"/>
    <n v="0"/>
    <n v="7360"/>
    <n v="1750"/>
    <n v="0"/>
    <m/>
    <x v="19"/>
  </r>
  <r>
    <x v="28"/>
    <s v="rom_fact_wainriders"/>
    <n v="0"/>
    <x v="11"/>
    <n v="0"/>
    <n v="6395"/>
    <n v="1750"/>
    <n v="0"/>
    <m/>
    <x v="20"/>
  </r>
  <r>
    <x v="28"/>
    <s v="rom_fact_blacklock"/>
    <n v="5"/>
    <x v="3"/>
    <n v="39"/>
    <n v="38027"/>
    <n v="7140"/>
    <n v="0"/>
    <m/>
    <x v="21"/>
  </r>
  <r>
    <x v="28"/>
    <s v="rom_fact_ironfist"/>
    <n v="4"/>
    <x v="10"/>
    <n v="28"/>
    <n v="30335"/>
    <n v="5286"/>
    <n v="0"/>
    <m/>
    <x v="22"/>
  </r>
  <r>
    <x v="28"/>
    <s v="rom_fact_gundabad"/>
    <n v="71"/>
    <x v="12"/>
    <n v="132.5"/>
    <n v="9114"/>
    <n v="15240"/>
    <n v="379"/>
    <m/>
    <x v="23"/>
  </r>
  <r>
    <x v="28"/>
    <s v="rom_fact_rohan_scouts"/>
    <n v="0"/>
    <x v="11"/>
    <n v="3"/>
    <n v="35388"/>
    <n v="2379"/>
    <n v="0"/>
    <m/>
    <x v="24"/>
  </r>
  <r>
    <x v="28"/>
    <s v="rom_fact_northern_enedwaith"/>
    <n v="5"/>
    <x v="3"/>
    <n v="31"/>
    <n v="23697"/>
    <n v="4984"/>
    <n v="0"/>
    <m/>
    <x v="25"/>
  </r>
  <r>
    <x v="28"/>
    <s v="rom_fact_southern_enedwaith"/>
    <n v="3"/>
    <x v="10"/>
    <n v="14"/>
    <n v="20010"/>
    <n v="3218"/>
    <n v="0"/>
    <m/>
    <x v="26"/>
  </r>
  <r>
    <x v="28"/>
    <s v="rom_fact_druedain"/>
    <n v="5"/>
    <x v="3"/>
    <n v="34"/>
    <n v="16041"/>
    <n v="5480"/>
    <n v="0"/>
    <m/>
    <x v="27"/>
  </r>
  <r>
    <x v="28"/>
    <s v="rom_fact_harondor"/>
    <n v="3"/>
    <x v="7"/>
    <n v="23"/>
    <n v="10946"/>
    <n v="4729"/>
    <n v="158"/>
    <m/>
    <x v="28"/>
  </r>
  <r>
    <x v="28"/>
    <s v="rom_fact_southron_nomads"/>
    <n v="0"/>
    <x v="11"/>
    <n v="0"/>
    <n v="4000"/>
    <n v="1750"/>
    <n v="0"/>
    <m/>
    <x v="29"/>
  </r>
  <r>
    <x v="28"/>
    <s v="rom_fact_separatist_harad"/>
    <n v="0"/>
    <x v="11"/>
    <n v="0"/>
    <n v="4000"/>
    <n v="1750"/>
    <n v="0"/>
    <m/>
    <x v="30"/>
  </r>
  <r>
    <x v="28"/>
    <s v="rom_fact_separatist_khand"/>
    <n v="0"/>
    <x v="11"/>
    <n v="0"/>
    <n v="4000"/>
    <n v="1750"/>
    <n v="0"/>
    <m/>
    <x v="30"/>
  </r>
  <r>
    <x v="28"/>
    <s v="rom_fact_separatist_balchoth"/>
    <n v="0"/>
    <x v="11"/>
    <n v="0"/>
    <n v="4000"/>
    <n v="1750"/>
    <n v="0"/>
    <m/>
    <x v="30"/>
  </r>
  <r>
    <x v="28"/>
    <s v="rom_fact_separatist_feredrim"/>
    <n v="0"/>
    <x v="11"/>
    <n v="0"/>
    <n v="4000"/>
    <n v="1750"/>
    <n v="0"/>
    <m/>
    <x v="30"/>
  </r>
  <r>
    <x v="28"/>
    <s v="rom_fact_separatist_haerrim"/>
    <n v="0"/>
    <x v="11"/>
    <n v="0"/>
    <n v="4000"/>
    <n v="1750"/>
    <n v="0"/>
    <m/>
    <x v="30"/>
  </r>
  <r>
    <x v="28"/>
    <s v="rom_fact_separatist_wainriders"/>
    <n v="0"/>
    <x v="11"/>
    <n v="0"/>
    <n v="4000"/>
    <n v="1750"/>
    <n v="0"/>
    <m/>
    <x v="30"/>
  </r>
  <r>
    <x v="28"/>
    <s v="rom_fact_separatist_rhurim"/>
    <n v="0"/>
    <x v="11"/>
    <n v="0"/>
    <n v="4000"/>
    <n v="1750"/>
    <n v="0"/>
    <m/>
    <x v="30"/>
  </r>
  <r>
    <x v="28"/>
    <s v="rom_fact_separatist_mahuds"/>
    <n v="0"/>
    <x v="11"/>
    <n v="0"/>
    <n v="4000"/>
    <n v="1750"/>
    <n v="0"/>
    <m/>
    <x v="30"/>
  </r>
  <r>
    <x v="28"/>
    <s v="rom_fact_separatist_umbar"/>
    <n v="0"/>
    <x v="11"/>
    <n v="0"/>
    <n v="4000"/>
    <n v="1750"/>
    <n v="0"/>
    <m/>
    <x v="30"/>
  </r>
  <r>
    <x v="29"/>
    <s v="rom_fact_mordor"/>
    <n v="124"/>
    <x v="18"/>
    <n v="179.4"/>
    <n v="1112"/>
    <n v="19079"/>
    <n v="869"/>
    <m/>
    <x v="0"/>
  </r>
  <r>
    <x v="29"/>
    <s v="rom_fact_gondor"/>
    <n v="107"/>
    <x v="2"/>
    <n v="157"/>
    <n v="41378"/>
    <n v="20557"/>
    <n v="668"/>
    <m/>
    <x v="1"/>
  </r>
  <r>
    <x v="29"/>
    <s v="rom_fact_dale"/>
    <n v="67"/>
    <x v="8"/>
    <n v="78"/>
    <n v="12663"/>
    <n v="11687"/>
    <n v="221"/>
    <m/>
    <x v="2"/>
  </r>
  <r>
    <x v="29"/>
    <s v="rom_fact_erebor"/>
    <n v="79"/>
    <x v="9"/>
    <n v="56.1"/>
    <n v="46178"/>
    <n v="11511"/>
    <n v="414"/>
    <m/>
    <x v="3"/>
  </r>
  <r>
    <x v="29"/>
    <s v="rom_fact_rohan"/>
    <n v="87"/>
    <x v="2"/>
    <n v="112.1"/>
    <n v="20945"/>
    <n v="13606"/>
    <n v="669"/>
    <m/>
    <x v="4"/>
  </r>
  <r>
    <x v="29"/>
    <s v="rom_fact_dol_guldur"/>
    <n v="90"/>
    <x v="2"/>
    <n v="130"/>
    <n v="10838"/>
    <n v="15956"/>
    <n v="1009"/>
    <m/>
    <x v="5"/>
  </r>
  <r>
    <x v="29"/>
    <s v="rom_fact_anduin_vale"/>
    <n v="57"/>
    <x v="5"/>
    <n v="67"/>
    <n v="4340"/>
    <n v="7144"/>
    <n v="0"/>
    <m/>
    <x v="6"/>
  </r>
  <r>
    <x v="29"/>
    <s v="rom_fact_isengard"/>
    <n v="72"/>
    <x v="9"/>
    <n v="70.599999999999994"/>
    <n v="8958"/>
    <n v="11739"/>
    <n v="386"/>
    <m/>
    <x v="7"/>
  </r>
  <r>
    <x v="29"/>
    <s v="rom_fact_woodland_realm"/>
    <n v="30"/>
    <x v="11"/>
    <n v="0"/>
    <n v="8475"/>
    <n v="2500"/>
    <n v="0"/>
    <m/>
    <x v="8"/>
  </r>
  <r>
    <x v="29"/>
    <s v="rom_fact_lothlorien"/>
    <n v="53"/>
    <x v="10"/>
    <n v="29"/>
    <n v="8294"/>
    <n v="8548"/>
    <n v="313"/>
    <m/>
    <x v="9"/>
  </r>
  <r>
    <x v="29"/>
    <s v="rom_fact_khand"/>
    <n v="0"/>
    <x v="11"/>
    <n v="0"/>
    <n v="4919"/>
    <n v="1750"/>
    <n v="0"/>
    <m/>
    <x v="10"/>
  </r>
  <r>
    <x v="29"/>
    <s v="rom_fact_umbar"/>
    <n v="8"/>
    <x v="5"/>
    <n v="87.8"/>
    <n v="15310"/>
    <n v="13751"/>
    <n v="929"/>
    <m/>
    <x v="11"/>
  </r>
  <r>
    <x v="29"/>
    <s v="rom_fact_mahuds"/>
    <n v="5"/>
    <x v="3"/>
    <n v="41"/>
    <n v="24983"/>
    <n v="5866"/>
    <n v="0"/>
    <m/>
    <x v="12"/>
  </r>
  <r>
    <x v="29"/>
    <s v="rom_fact_harad"/>
    <n v="57"/>
    <x v="9"/>
    <n v="68"/>
    <n v="5825"/>
    <n v="11033"/>
    <n v="0"/>
    <m/>
    <x v="13"/>
  </r>
  <r>
    <x v="29"/>
    <s v="rom_fact_dunland"/>
    <n v="58"/>
    <x v="3"/>
    <n v="57.9"/>
    <n v="19779"/>
    <n v="10146"/>
    <n v="442"/>
    <m/>
    <x v="14"/>
  </r>
  <r>
    <x v="29"/>
    <s v="rom_fact_haerrim"/>
    <n v="0"/>
    <x v="11"/>
    <n v="0"/>
    <n v="5352"/>
    <n v="1750"/>
    <n v="0"/>
    <m/>
    <x v="15"/>
  </r>
  <r>
    <x v="29"/>
    <s v="rom_fact_goblins"/>
    <n v="91"/>
    <x v="6"/>
    <n v="131.4"/>
    <n v="13956"/>
    <n v="15962"/>
    <n v="830"/>
    <m/>
    <x v="16"/>
  </r>
  <r>
    <x v="29"/>
    <s v="rom_fact_balchoth"/>
    <n v="0"/>
    <x v="11"/>
    <n v="0"/>
    <n v="4872"/>
    <n v="1750"/>
    <n v="0"/>
    <m/>
    <x v="17"/>
  </r>
  <r>
    <x v="29"/>
    <s v="rom_fact_rhurim"/>
    <n v="98"/>
    <x v="23"/>
    <n v="342.4"/>
    <n v="31428"/>
    <n v="28756"/>
    <n v="970"/>
    <m/>
    <x v="18"/>
  </r>
  <r>
    <x v="29"/>
    <s v="rom_fact_feredrim"/>
    <n v="0"/>
    <x v="11"/>
    <n v="0"/>
    <n v="7360"/>
    <n v="1750"/>
    <n v="0"/>
    <m/>
    <x v="19"/>
  </r>
  <r>
    <x v="29"/>
    <s v="rom_fact_wainriders"/>
    <n v="0"/>
    <x v="11"/>
    <n v="0"/>
    <n v="6395"/>
    <n v="1750"/>
    <n v="0"/>
    <m/>
    <x v="20"/>
  </r>
  <r>
    <x v="29"/>
    <s v="rom_fact_blacklock"/>
    <n v="5"/>
    <x v="3"/>
    <n v="39"/>
    <n v="36847"/>
    <n v="7140"/>
    <n v="0"/>
    <m/>
    <x v="21"/>
  </r>
  <r>
    <x v="29"/>
    <s v="rom_fact_ironfist"/>
    <n v="4"/>
    <x v="10"/>
    <n v="28"/>
    <n v="32133"/>
    <n v="5312"/>
    <n v="0"/>
    <m/>
    <x v="22"/>
  </r>
  <r>
    <x v="29"/>
    <s v="rom_fact_gundabad"/>
    <n v="76"/>
    <x v="6"/>
    <n v="137.5"/>
    <n v="6859"/>
    <n v="16293"/>
    <n v="384"/>
    <m/>
    <x v="23"/>
  </r>
  <r>
    <x v="29"/>
    <s v="rom_fact_rohan_scouts"/>
    <n v="0"/>
    <x v="11"/>
    <n v="3"/>
    <n v="36509"/>
    <n v="2379"/>
    <n v="0"/>
    <m/>
    <x v="24"/>
  </r>
  <r>
    <x v="29"/>
    <s v="rom_fact_northern_enedwaith"/>
    <n v="5"/>
    <x v="3"/>
    <n v="30"/>
    <n v="19451"/>
    <n v="5131"/>
    <n v="0"/>
    <m/>
    <x v="25"/>
  </r>
  <r>
    <x v="29"/>
    <s v="rom_fact_southern_enedwaith"/>
    <n v="3"/>
    <x v="10"/>
    <n v="14"/>
    <n v="22568"/>
    <n v="3218"/>
    <n v="0"/>
    <m/>
    <x v="26"/>
  </r>
  <r>
    <x v="29"/>
    <s v="rom_fact_druedain"/>
    <n v="5"/>
    <x v="3"/>
    <n v="34"/>
    <n v="15123"/>
    <n v="5480"/>
    <n v="0"/>
    <m/>
    <x v="27"/>
  </r>
  <r>
    <x v="29"/>
    <s v="rom_fact_harondor"/>
    <n v="3"/>
    <x v="7"/>
    <n v="22"/>
    <n v="12277"/>
    <n v="4810"/>
    <n v="159"/>
    <m/>
    <x v="28"/>
  </r>
  <r>
    <x v="29"/>
    <s v="rom_fact_southron_nomads"/>
    <n v="0"/>
    <x v="11"/>
    <n v="0"/>
    <n v="4000"/>
    <n v="1750"/>
    <n v="0"/>
    <m/>
    <x v="29"/>
  </r>
  <r>
    <x v="29"/>
    <s v="rom_fact_separatist_harad"/>
    <n v="0"/>
    <x v="11"/>
    <n v="0"/>
    <n v="4000"/>
    <n v="1750"/>
    <n v="0"/>
    <m/>
    <x v="30"/>
  </r>
  <r>
    <x v="29"/>
    <s v="rom_fact_separatist_khand"/>
    <n v="0"/>
    <x v="11"/>
    <n v="0"/>
    <n v="4000"/>
    <n v="1750"/>
    <n v="0"/>
    <m/>
    <x v="30"/>
  </r>
  <r>
    <x v="29"/>
    <s v="rom_fact_separatist_balchoth"/>
    <n v="0"/>
    <x v="11"/>
    <n v="0"/>
    <n v="4000"/>
    <n v="1750"/>
    <n v="0"/>
    <m/>
    <x v="30"/>
  </r>
  <r>
    <x v="29"/>
    <s v="rom_fact_separatist_feredrim"/>
    <n v="0"/>
    <x v="11"/>
    <n v="0"/>
    <n v="4000"/>
    <n v="1750"/>
    <n v="0"/>
    <m/>
    <x v="30"/>
  </r>
  <r>
    <x v="29"/>
    <s v="rom_fact_separatist_haerrim"/>
    <n v="0"/>
    <x v="11"/>
    <n v="0"/>
    <n v="4000"/>
    <n v="1750"/>
    <n v="0"/>
    <m/>
    <x v="30"/>
  </r>
  <r>
    <x v="29"/>
    <s v="rom_fact_separatist_wainriders"/>
    <n v="0"/>
    <x v="11"/>
    <n v="0"/>
    <n v="4000"/>
    <n v="1750"/>
    <n v="0"/>
    <m/>
    <x v="30"/>
  </r>
  <r>
    <x v="29"/>
    <s v="rom_fact_separatist_rhurim"/>
    <n v="0"/>
    <x v="11"/>
    <n v="0"/>
    <n v="4000"/>
    <n v="1750"/>
    <n v="0"/>
    <m/>
    <x v="30"/>
  </r>
  <r>
    <x v="29"/>
    <s v="rom_fact_separatist_mahuds"/>
    <n v="0"/>
    <x v="11"/>
    <n v="0"/>
    <n v="4000"/>
    <n v="1750"/>
    <n v="0"/>
    <m/>
    <x v="30"/>
  </r>
  <r>
    <x v="29"/>
    <s v="rom_fact_separatist_umbar"/>
    <n v="0"/>
    <x v="11"/>
    <n v="0"/>
    <n v="4000"/>
    <n v="1750"/>
    <n v="0"/>
    <m/>
    <x v="30"/>
  </r>
  <r>
    <x v="30"/>
    <s v="rom_fact_mordor"/>
    <n v="129"/>
    <x v="18"/>
    <n v="176.4"/>
    <n v="862"/>
    <n v="19096"/>
    <n v="870"/>
    <m/>
    <x v="0"/>
  </r>
  <r>
    <x v="30"/>
    <s v="rom_fact_gondor"/>
    <n v="107"/>
    <x v="2"/>
    <n v="158"/>
    <n v="49129"/>
    <n v="20972"/>
    <n v="669"/>
    <m/>
    <x v="1"/>
  </r>
  <r>
    <x v="30"/>
    <s v="rom_fact_dale"/>
    <n v="83"/>
    <x v="5"/>
    <n v="75"/>
    <n v="10832"/>
    <n v="11517"/>
    <n v="235"/>
    <m/>
    <x v="2"/>
  </r>
  <r>
    <x v="30"/>
    <s v="rom_fact_erebor"/>
    <n v="79"/>
    <x v="9"/>
    <n v="59.4"/>
    <n v="50989"/>
    <n v="13392"/>
    <n v="685"/>
    <m/>
    <x v="3"/>
  </r>
  <r>
    <x v="30"/>
    <s v="rom_fact_rohan"/>
    <n v="91"/>
    <x v="2"/>
    <n v="87"/>
    <n v="26913"/>
    <n v="10660"/>
    <n v="667"/>
    <m/>
    <x v="4"/>
  </r>
  <r>
    <x v="30"/>
    <s v="rom_fact_dol_guldur"/>
    <n v="90"/>
    <x v="2"/>
    <n v="147"/>
    <n v="13625"/>
    <n v="16782"/>
    <n v="1012"/>
    <m/>
    <x v="5"/>
  </r>
  <r>
    <x v="30"/>
    <s v="rom_fact_anduin_vale"/>
    <n v="55"/>
    <x v="9"/>
    <n v="40"/>
    <n v="6723"/>
    <n v="5553"/>
    <n v="0"/>
    <m/>
    <x v="6"/>
  </r>
  <r>
    <x v="30"/>
    <s v="rom_fact_isengard"/>
    <n v="72"/>
    <x v="9"/>
    <n v="75.400000000000006"/>
    <n v="14237"/>
    <n v="11799"/>
    <n v="386"/>
    <m/>
    <x v="7"/>
  </r>
  <r>
    <x v="30"/>
    <s v="rom_fact_woodland_realm"/>
    <n v="30"/>
    <x v="11"/>
    <n v="0"/>
    <n v="8475"/>
    <n v="2500"/>
    <n v="0"/>
    <m/>
    <x v="8"/>
  </r>
  <r>
    <x v="30"/>
    <s v="rom_fact_lothlorien"/>
    <n v="53"/>
    <x v="10"/>
    <n v="29"/>
    <n v="9674"/>
    <n v="8324"/>
    <n v="347"/>
    <m/>
    <x v="9"/>
  </r>
  <r>
    <x v="30"/>
    <s v="rom_fact_khand"/>
    <n v="0"/>
    <x v="11"/>
    <n v="0"/>
    <n v="4919"/>
    <n v="1750"/>
    <n v="0"/>
    <m/>
    <x v="10"/>
  </r>
  <r>
    <x v="30"/>
    <s v="rom_fact_umbar"/>
    <n v="8"/>
    <x v="5"/>
    <n v="87.8"/>
    <n v="18233"/>
    <n v="13981"/>
    <n v="934"/>
    <m/>
    <x v="11"/>
  </r>
  <r>
    <x v="30"/>
    <s v="rom_fact_mahuds"/>
    <n v="5"/>
    <x v="3"/>
    <n v="41"/>
    <n v="21532"/>
    <n v="5930"/>
    <n v="0"/>
    <m/>
    <x v="12"/>
  </r>
  <r>
    <x v="30"/>
    <s v="rom_fact_harad"/>
    <n v="62"/>
    <x v="9"/>
    <n v="73"/>
    <n v="6498"/>
    <n v="11494"/>
    <n v="0"/>
    <m/>
    <x v="13"/>
  </r>
  <r>
    <x v="30"/>
    <s v="rom_fact_dunland"/>
    <n v="58"/>
    <x v="3"/>
    <n v="57.9"/>
    <n v="20921"/>
    <n v="10147"/>
    <n v="443"/>
    <m/>
    <x v="14"/>
  </r>
  <r>
    <x v="30"/>
    <s v="rom_fact_haerrim"/>
    <n v="0"/>
    <x v="11"/>
    <n v="0"/>
    <n v="5352"/>
    <n v="1750"/>
    <n v="0"/>
    <m/>
    <x v="15"/>
  </r>
  <r>
    <x v="30"/>
    <s v="rom_fact_goblins"/>
    <n v="95"/>
    <x v="6"/>
    <n v="126.8"/>
    <n v="18459"/>
    <n v="15594"/>
    <n v="831"/>
    <m/>
    <x v="16"/>
  </r>
  <r>
    <x v="30"/>
    <s v="rom_fact_balchoth"/>
    <n v="0"/>
    <x v="11"/>
    <n v="0"/>
    <n v="4872"/>
    <n v="1750"/>
    <n v="0"/>
    <m/>
    <x v="17"/>
  </r>
  <r>
    <x v="30"/>
    <s v="rom_fact_rhurim"/>
    <n v="106"/>
    <x v="22"/>
    <n v="351.9"/>
    <n v="30193"/>
    <n v="27934"/>
    <n v="966"/>
    <m/>
    <x v="18"/>
  </r>
  <r>
    <x v="30"/>
    <s v="rom_fact_feredrim"/>
    <n v="0"/>
    <x v="11"/>
    <n v="0"/>
    <n v="7360"/>
    <n v="1750"/>
    <n v="0"/>
    <m/>
    <x v="19"/>
  </r>
  <r>
    <x v="30"/>
    <s v="rom_fact_wainriders"/>
    <n v="0"/>
    <x v="11"/>
    <n v="0"/>
    <n v="6395"/>
    <n v="1750"/>
    <n v="0"/>
    <m/>
    <x v="20"/>
  </r>
  <r>
    <x v="30"/>
    <s v="rom_fact_blacklock"/>
    <n v="5"/>
    <x v="3"/>
    <n v="39"/>
    <n v="39267"/>
    <n v="7140"/>
    <n v="0"/>
    <m/>
    <x v="21"/>
  </r>
  <r>
    <x v="30"/>
    <s v="rom_fact_ironfist"/>
    <n v="4"/>
    <x v="10"/>
    <n v="28"/>
    <n v="33931"/>
    <n v="5312"/>
    <n v="0"/>
    <m/>
    <x v="22"/>
  </r>
  <r>
    <x v="30"/>
    <s v="rom_fact_gundabad"/>
    <n v="83"/>
    <x v="0"/>
    <n v="137.5"/>
    <n v="6900"/>
    <n v="16131"/>
    <n v="438"/>
    <m/>
    <x v="23"/>
  </r>
  <r>
    <x v="30"/>
    <s v="rom_fact_rohan_scouts"/>
    <n v="0"/>
    <x v="11"/>
    <n v="3"/>
    <n v="37630"/>
    <n v="2379"/>
    <n v="0"/>
    <m/>
    <x v="24"/>
  </r>
  <r>
    <x v="30"/>
    <s v="rom_fact_northern_enedwaith"/>
    <n v="5"/>
    <x v="3"/>
    <n v="30"/>
    <n v="16049"/>
    <n v="5217"/>
    <n v="0"/>
    <m/>
    <x v="25"/>
  </r>
  <r>
    <x v="30"/>
    <s v="rom_fact_southern_enedwaith"/>
    <n v="3"/>
    <x v="10"/>
    <n v="14"/>
    <n v="25126"/>
    <n v="3218"/>
    <n v="0"/>
    <m/>
    <x v="26"/>
  </r>
  <r>
    <x v="30"/>
    <s v="rom_fact_druedain"/>
    <n v="5"/>
    <x v="3"/>
    <n v="34"/>
    <n v="16455"/>
    <n v="5603"/>
    <n v="0"/>
    <m/>
    <x v="27"/>
  </r>
  <r>
    <x v="30"/>
    <s v="rom_fact_harondor"/>
    <n v="3"/>
    <x v="7"/>
    <n v="23"/>
    <n v="13507"/>
    <n v="4656"/>
    <n v="160"/>
    <m/>
    <x v="28"/>
  </r>
  <r>
    <x v="30"/>
    <s v="rom_fact_southron_nomads"/>
    <n v="0"/>
    <x v="11"/>
    <n v="0"/>
    <n v="4000"/>
    <n v="1750"/>
    <n v="0"/>
    <m/>
    <x v="29"/>
  </r>
  <r>
    <x v="30"/>
    <s v="rom_fact_separatist_harad"/>
    <n v="0"/>
    <x v="11"/>
    <n v="0"/>
    <n v="4000"/>
    <n v="1750"/>
    <n v="0"/>
    <m/>
    <x v="30"/>
  </r>
  <r>
    <x v="30"/>
    <s v="rom_fact_separatist_khand"/>
    <n v="0"/>
    <x v="11"/>
    <n v="0"/>
    <n v="4000"/>
    <n v="1750"/>
    <n v="0"/>
    <m/>
    <x v="30"/>
  </r>
  <r>
    <x v="30"/>
    <s v="rom_fact_separatist_balchoth"/>
    <n v="0"/>
    <x v="11"/>
    <n v="0"/>
    <n v="4000"/>
    <n v="1750"/>
    <n v="0"/>
    <m/>
    <x v="30"/>
  </r>
  <r>
    <x v="30"/>
    <s v="rom_fact_separatist_feredrim"/>
    <n v="0"/>
    <x v="11"/>
    <n v="0"/>
    <n v="4000"/>
    <n v="1750"/>
    <n v="0"/>
    <m/>
    <x v="30"/>
  </r>
  <r>
    <x v="30"/>
    <s v="rom_fact_separatist_haerrim"/>
    <n v="0"/>
    <x v="11"/>
    <n v="0"/>
    <n v="4000"/>
    <n v="1750"/>
    <n v="0"/>
    <m/>
    <x v="30"/>
  </r>
  <r>
    <x v="30"/>
    <s v="rom_fact_separatist_wainriders"/>
    <n v="0"/>
    <x v="11"/>
    <n v="0"/>
    <n v="4000"/>
    <n v="1750"/>
    <n v="0"/>
    <m/>
    <x v="30"/>
  </r>
  <r>
    <x v="30"/>
    <s v="rom_fact_separatist_rhurim"/>
    <n v="0"/>
    <x v="11"/>
    <n v="0"/>
    <n v="4000"/>
    <n v="1750"/>
    <n v="0"/>
    <m/>
    <x v="30"/>
  </r>
  <r>
    <x v="30"/>
    <s v="rom_fact_separatist_mahuds"/>
    <n v="0"/>
    <x v="11"/>
    <n v="0"/>
    <n v="4000"/>
    <n v="1750"/>
    <n v="0"/>
    <m/>
    <x v="30"/>
  </r>
  <r>
    <x v="30"/>
    <s v="rom_fact_separatist_umbar"/>
    <n v="0"/>
    <x v="11"/>
    <n v="0"/>
    <n v="4000"/>
    <n v="1750"/>
    <n v="0"/>
    <m/>
    <x v="30"/>
  </r>
  <r>
    <x v="31"/>
    <s v="rom_fact_mordor"/>
    <n v="129"/>
    <x v="18"/>
    <n v="176.4"/>
    <n v="232"/>
    <n v="19346"/>
    <n v="707"/>
    <m/>
    <x v="0"/>
  </r>
  <r>
    <x v="31"/>
    <s v="rom_fact_gondor"/>
    <n v="107"/>
    <x v="2"/>
    <n v="159"/>
    <n v="55108"/>
    <n v="20598"/>
    <n v="0"/>
    <m/>
    <x v="1"/>
  </r>
  <r>
    <x v="31"/>
    <s v="rom_fact_dale"/>
    <n v="89"/>
    <x v="13"/>
    <n v="75"/>
    <n v="9757"/>
    <n v="12746"/>
    <n v="242"/>
    <m/>
    <x v="2"/>
  </r>
  <r>
    <x v="31"/>
    <s v="rom_fact_erebor"/>
    <n v="84"/>
    <x v="9"/>
    <n v="65.3"/>
    <n v="48393"/>
    <n v="14663"/>
    <n v="691"/>
    <m/>
    <x v="3"/>
  </r>
  <r>
    <x v="31"/>
    <s v="rom_fact_rohan"/>
    <n v="93"/>
    <x v="0"/>
    <n v="88.1"/>
    <n v="26137"/>
    <n v="10756"/>
    <n v="0"/>
    <m/>
    <x v="4"/>
  </r>
  <r>
    <x v="31"/>
    <s v="rom_fact_dol_guldur"/>
    <n v="95"/>
    <x v="2"/>
    <n v="147"/>
    <n v="12046"/>
    <n v="16800"/>
    <n v="1018"/>
    <m/>
    <x v="5"/>
  </r>
  <r>
    <x v="31"/>
    <s v="rom_fact_anduin_vale"/>
    <n v="54"/>
    <x v="3"/>
    <n v="36"/>
    <n v="6187"/>
    <n v="5580"/>
    <n v="0"/>
    <m/>
    <x v="6"/>
  </r>
  <r>
    <x v="31"/>
    <s v="rom_fact_isengard"/>
    <n v="72"/>
    <x v="9"/>
    <n v="78.3"/>
    <n v="14576"/>
    <n v="12278"/>
    <n v="388"/>
    <m/>
    <x v="7"/>
  </r>
  <r>
    <x v="31"/>
    <s v="rom_fact_woodland_realm"/>
    <n v="30"/>
    <x v="11"/>
    <n v="0"/>
    <n v="8475"/>
    <n v="2500"/>
    <n v="0"/>
    <m/>
    <x v="8"/>
  </r>
  <r>
    <x v="31"/>
    <s v="rom_fact_lothlorien"/>
    <n v="53"/>
    <x v="10"/>
    <n v="29"/>
    <n v="10707"/>
    <n v="7977"/>
    <n v="0"/>
    <m/>
    <x v="9"/>
  </r>
  <r>
    <x v="31"/>
    <s v="rom_fact_khand"/>
    <n v="0"/>
    <x v="11"/>
    <n v="0"/>
    <n v="4919"/>
    <n v="1750"/>
    <n v="0"/>
    <m/>
    <x v="10"/>
  </r>
  <r>
    <x v="31"/>
    <s v="rom_fact_umbar"/>
    <n v="8"/>
    <x v="5"/>
    <n v="87.8"/>
    <n v="17166"/>
    <n v="14061"/>
    <n v="938"/>
    <m/>
    <x v="11"/>
  </r>
  <r>
    <x v="31"/>
    <s v="rom_fact_mahuds"/>
    <n v="5"/>
    <x v="3"/>
    <n v="42"/>
    <n v="19611"/>
    <n v="6070"/>
    <n v="0"/>
    <m/>
    <x v="12"/>
  </r>
  <r>
    <x v="31"/>
    <s v="rom_fact_harad"/>
    <n v="62"/>
    <x v="9"/>
    <n v="73"/>
    <n v="7882"/>
    <n v="11452"/>
    <n v="0"/>
    <m/>
    <x v="13"/>
  </r>
  <r>
    <x v="31"/>
    <s v="rom_fact_dunland"/>
    <n v="65"/>
    <x v="9"/>
    <n v="57.9"/>
    <n v="22747"/>
    <n v="10185"/>
    <n v="501"/>
    <m/>
    <x v="14"/>
  </r>
  <r>
    <x v="31"/>
    <s v="rom_fact_haerrim"/>
    <n v="0"/>
    <x v="11"/>
    <n v="0"/>
    <n v="5352"/>
    <n v="1750"/>
    <n v="0"/>
    <m/>
    <x v="15"/>
  </r>
  <r>
    <x v="31"/>
    <s v="rom_fact_goblins"/>
    <n v="105"/>
    <x v="17"/>
    <n v="137.80000000000001"/>
    <n v="21588"/>
    <n v="16541"/>
    <n v="837"/>
    <m/>
    <x v="16"/>
  </r>
  <r>
    <x v="31"/>
    <s v="rom_fact_balchoth"/>
    <n v="0"/>
    <x v="11"/>
    <n v="0"/>
    <n v="4872"/>
    <n v="1750"/>
    <n v="0"/>
    <m/>
    <x v="17"/>
  </r>
  <r>
    <x v="31"/>
    <s v="rom_fact_rhurim"/>
    <n v="109"/>
    <x v="24"/>
    <n v="357.8"/>
    <n v="30192"/>
    <n v="28718"/>
    <n v="970"/>
    <m/>
    <x v="18"/>
  </r>
  <r>
    <x v="31"/>
    <s v="rom_fact_feredrim"/>
    <n v="0"/>
    <x v="11"/>
    <n v="0"/>
    <n v="7360"/>
    <n v="1750"/>
    <n v="0"/>
    <m/>
    <x v="19"/>
  </r>
  <r>
    <x v="31"/>
    <s v="rom_fact_wainriders"/>
    <n v="0"/>
    <x v="11"/>
    <n v="0"/>
    <n v="6395"/>
    <n v="1750"/>
    <n v="0"/>
    <m/>
    <x v="20"/>
  </r>
  <r>
    <x v="31"/>
    <s v="rom_fact_blacklock"/>
    <n v="5"/>
    <x v="3"/>
    <n v="39"/>
    <n v="32362"/>
    <n v="7472"/>
    <n v="0"/>
    <m/>
    <x v="21"/>
  </r>
  <r>
    <x v="31"/>
    <s v="rom_fact_ironfist"/>
    <n v="4"/>
    <x v="10"/>
    <n v="28"/>
    <n v="35729"/>
    <n v="5312"/>
    <n v="0"/>
    <m/>
    <x v="22"/>
  </r>
  <r>
    <x v="31"/>
    <s v="rom_fact_gundabad"/>
    <n v="87"/>
    <x v="0"/>
    <n v="137.1"/>
    <n v="7390"/>
    <n v="16658"/>
    <n v="440"/>
    <m/>
    <x v="23"/>
  </r>
  <r>
    <x v="31"/>
    <s v="rom_fact_rohan_scouts"/>
    <n v="0"/>
    <x v="11"/>
    <n v="3"/>
    <n v="38751"/>
    <n v="2379"/>
    <n v="0"/>
    <m/>
    <x v="24"/>
  </r>
  <r>
    <x v="31"/>
    <s v="rom_fact_northern_enedwaith"/>
    <n v="5"/>
    <x v="3"/>
    <n v="35"/>
    <n v="14908"/>
    <n v="6018"/>
    <n v="0"/>
    <m/>
    <x v="25"/>
  </r>
  <r>
    <x v="31"/>
    <s v="rom_fact_southern_enedwaith"/>
    <n v="3"/>
    <x v="10"/>
    <n v="14"/>
    <n v="27684"/>
    <n v="3218"/>
    <n v="0"/>
    <m/>
    <x v="26"/>
  </r>
  <r>
    <x v="31"/>
    <s v="rom_fact_druedain"/>
    <n v="5"/>
    <x v="3"/>
    <n v="34"/>
    <n v="17896"/>
    <n v="5621"/>
    <n v="0"/>
    <m/>
    <x v="27"/>
  </r>
  <r>
    <x v="31"/>
    <s v="rom_fact_harondor"/>
    <n v="3"/>
    <x v="7"/>
    <n v="23"/>
    <n v="14151"/>
    <n v="4024"/>
    <n v="0"/>
    <m/>
    <x v="28"/>
  </r>
  <r>
    <x v="31"/>
    <s v="rom_fact_southron_nomads"/>
    <n v="0"/>
    <x v="11"/>
    <n v="0"/>
    <n v="4000"/>
    <n v="1750"/>
    <n v="0"/>
    <m/>
    <x v="29"/>
  </r>
  <r>
    <x v="31"/>
    <s v="rom_fact_separatist_harad"/>
    <n v="0"/>
    <x v="11"/>
    <n v="0"/>
    <n v="4000"/>
    <n v="1750"/>
    <n v="0"/>
    <m/>
    <x v="30"/>
  </r>
  <r>
    <x v="31"/>
    <s v="rom_fact_separatist_khand"/>
    <n v="0"/>
    <x v="11"/>
    <n v="0"/>
    <n v="4000"/>
    <n v="1750"/>
    <n v="0"/>
    <m/>
    <x v="30"/>
  </r>
  <r>
    <x v="31"/>
    <s v="rom_fact_separatist_balchoth"/>
    <n v="0"/>
    <x v="11"/>
    <n v="0"/>
    <n v="4000"/>
    <n v="1750"/>
    <n v="0"/>
    <m/>
    <x v="30"/>
  </r>
  <r>
    <x v="31"/>
    <s v="rom_fact_separatist_feredrim"/>
    <n v="0"/>
    <x v="11"/>
    <n v="0"/>
    <n v="4000"/>
    <n v="1750"/>
    <n v="0"/>
    <m/>
    <x v="30"/>
  </r>
  <r>
    <x v="31"/>
    <s v="rom_fact_separatist_haerrim"/>
    <n v="0"/>
    <x v="11"/>
    <n v="0"/>
    <n v="4000"/>
    <n v="1750"/>
    <n v="0"/>
    <m/>
    <x v="30"/>
  </r>
  <r>
    <x v="31"/>
    <s v="rom_fact_separatist_wainriders"/>
    <n v="0"/>
    <x v="11"/>
    <n v="0"/>
    <n v="4000"/>
    <n v="1750"/>
    <n v="0"/>
    <m/>
    <x v="30"/>
  </r>
  <r>
    <x v="31"/>
    <s v="rom_fact_separatist_rhurim"/>
    <n v="0"/>
    <x v="11"/>
    <n v="0"/>
    <n v="4000"/>
    <n v="1750"/>
    <n v="0"/>
    <m/>
    <x v="30"/>
  </r>
  <r>
    <x v="31"/>
    <s v="rom_fact_separatist_mahuds"/>
    <n v="0"/>
    <x v="11"/>
    <n v="0"/>
    <n v="4000"/>
    <n v="1750"/>
    <n v="0"/>
    <m/>
    <x v="30"/>
  </r>
  <r>
    <x v="31"/>
    <s v="rom_fact_separatist_umbar"/>
    <n v="0"/>
    <x v="11"/>
    <n v="0"/>
    <n v="4000"/>
    <n v="1750"/>
    <n v="0"/>
    <m/>
    <x v="30"/>
  </r>
  <r>
    <x v="32"/>
    <s v="rom_fact_mordor"/>
    <n v="129"/>
    <x v="18"/>
    <n v="176.4"/>
    <n v="1112"/>
    <n v="19477"/>
    <n v="714"/>
    <m/>
    <x v="0"/>
  </r>
  <r>
    <x v="32"/>
    <s v="rom_fact_gondor"/>
    <n v="112"/>
    <x v="2"/>
    <n v="160"/>
    <n v="51965"/>
    <n v="21000"/>
    <n v="0"/>
    <m/>
    <x v="1"/>
  </r>
  <r>
    <x v="32"/>
    <s v="rom_fact_dale"/>
    <n v="89"/>
    <x v="13"/>
    <n v="78"/>
    <n v="9687"/>
    <n v="13407"/>
    <n v="242"/>
    <m/>
    <x v="2"/>
  </r>
  <r>
    <x v="32"/>
    <s v="rom_fact_erebor"/>
    <n v="84"/>
    <x v="9"/>
    <n v="67.2"/>
    <n v="56010"/>
    <n v="15006"/>
    <n v="691"/>
    <m/>
    <x v="3"/>
  </r>
  <r>
    <x v="32"/>
    <s v="rom_fact_rohan"/>
    <n v="98"/>
    <x v="0"/>
    <n v="84.1"/>
    <n v="26984"/>
    <n v="10054"/>
    <n v="0"/>
    <m/>
    <x v="4"/>
  </r>
  <r>
    <x v="32"/>
    <s v="rom_fact_dol_guldur"/>
    <n v="95"/>
    <x v="2"/>
    <n v="150"/>
    <n v="11511"/>
    <n v="17400"/>
    <n v="1190"/>
    <m/>
    <x v="5"/>
  </r>
  <r>
    <x v="32"/>
    <s v="rom_fact_anduin_vale"/>
    <n v="59"/>
    <x v="3"/>
    <n v="38"/>
    <n v="5062"/>
    <n v="5864"/>
    <n v="0"/>
    <m/>
    <x v="6"/>
  </r>
  <r>
    <x v="32"/>
    <s v="rom_fact_isengard"/>
    <n v="72"/>
    <x v="9"/>
    <n v="84"/>
    <n v="11085"/>
    <n v="12839"/>
    <n v="389"/>
    <m/>
    <x v="7"/>
  </r>
  <r>
    <x v="32"/>
    <s v="rom_fact_woodland_realm"/>
    <n v="30"/>
    <x v="11"/>
    <n v="0"/>
    <n v="8475"/>
    <n v="2500"/>
    <n v="0"/>
    <m/>
    <x v="8"/>
  </r>
  <r>
    <x v="32"/>
    <s v="rom_fact_lothlorien"/>
    <n v="58"/>
    <x v="10"/>
    <n v="20"/>
    <n v="4900"/>
    <n v="7528"/>
    <n v="0"/>
    <m/>
    <x v="9"/>
  </r>
  <r>
    <x v="32"/>
    <s v="rom_fact_khand"/>
    <n v="0"/>
    <x v="11"/>
    <n v="0"/>
    <n v="4919"/>
    <n v="1750"/>
    <n v="0"/>
    <m/>
    <x v="10"/>
  </r>
  <r>
    <x v="32"/>
    <s v="rom_fact_umbar"/>
    <n v="8"/>
    <x v="5"/>
    <n v="87.8"/>
    <n v="19190"/>
    <n v="13664"/>
    <n v="944"/>
    <m/>
    <x v="11"/>
  </r>
  <r>
    <x v="32"/>
    <s v="rom_fact_mahuds"/>
    <n v="5"/>
    <x v="3"/>
    <n v="43"/>
    <n v="20686"/>
    <n v="6485"/>
    <n v="0"/>
    <m/>
    <x v="12"/>
  </r>
  <r>
    <x v="32"/>
    <s v="rom_fact_harad"/>
    <n v="62"/>
    <x v="9"/>
    <n v="73"/>
    <n v="7874"/>
    <n v="11522"/>
    <n v="0"/>
    <m/>
    <x v="13"/>
  </r>
  <r>
    <x v="32"/>
    <s v="rom_fact_dunland"/>
    <n v="65"/>
    <x v="9"/>
    <n v="56.9"/>
    <n v="24949"/>
    <n v="10600"/>
    <n v="504"/>
    <m/>
    <x v="14"/>
  </r>
  <r>
    <x v="32"/>
    <s v="rom_fact_haerrim"/>
    <n v="0"/>
    <x v="11"/>
    <n v="0"/>
    <n v="5352"/>
    <n v="1750"/>
    <n v="0"/>
    <m/>
    <x v="15"/>
  </r>
  <r>
    <x v="32"/>
    <s v="rom_fact_goblins"/>
    <n v="105"/>
    <x v="17"/>
    <n v="139.4"/>
    <n v="16954"/>
    <n v="17847"/>
    <n v="1679"/>
    <m/>
    <x v="16"/>
  </r>
  <r>
    <x v="32"/>
    <s v="rom_fact_balchoth"/>
    <n v="0"/>
    <x v="11"/>
    <n v="0"/>
    <n v="4872"/>
    <n v="1750"/>
    <n v="0"/>
    <m/>
    <x v="17"/>
  </r>
  <r>
    <x v="32"/>
    <s v="rom_fact_rhurim"/>
    <n v="109"/>
    <x v="24"/>
    <n v="367.1"/>
    <n v="30658"/>
    <n v="29414"/>
    <n v="976"/>
    <m/>
    <x v="18"/>
  </r>
  <r>
    <x v="32"/>
    <s v="rom_fact_feredrim"/>
    <n v="0"/>
    <x v="11"/>
    <n v="0"/>
    <n v="7360"/>
    <n v="1750"/>
    <n v="0"/>
    <m/>
    <x v="19"/>
  </r>
  <r>
    <x v="32"/>
    <s v="rom_fact_wainriders"/>
    <n v="0"/>
    <x v="11"/>
    <n v="0"/>
    <n v="6395"/>
    <n v="1750"/>
    <n v="0"/>
    <m/>
    <x v="20"/>
  </r>
  <r>
    <x v="32"/>
    <s v="rom_fact_blacklock"/>
    <n v="5"/>
    <x v="3"/>
    <n v="39"/>
    <n v="32651"/>
    <n v="7472"/>
    <n v="0"/>
    <m/>
    <x v="21"/>
  </r>
  <r>
    <x v="32"/>
    <s v="rom_fact_ironfist"/>
    <n v="4"/>
    <x v="10"/>
    <n v="28"/>
    <n v="32322"/>
    <n v="5312"/>
    <n v="0"/>
    <m/>
    <x v="22"/>
  </r>
  <r>
    <x v="32"/>
    <s v="rom_fact_gundabad"/>
    <n v="87"/>
    <x v="0"/>
    <n v="115.5"/>
    <n v="9095"/>
    <n v="14801"/>
    <n v="442"/>
    <m/>
    <x v="23"/>
  </r>
  <r>
    <x v="32"/>
    <s v="rom_fact_rohan_scouts"/>
    <n v="0"/>
    <x v="11"/>
    <n v="3"/>
    <n v="39872"/>
    <n v="2379"/>
    <n v="0"/>
    <m/>
    <x v="24"/>
  </r>
  <r>
    <x v="32"/>
    <s v="rom_fact_northern_enedwaith"/>
    <n v="5"/>
    <x v="3"/>
    <n v="34"/>
    <n v="15381"/>
    <n v="6413"/>
    <n v="0"/>
    <m/>
    <x v="25"/>
  </r>
  <r>
    <x v="32"/>
    <s v="rom_fact_southern_enedwaith"/>
    <n v="3"/>
    <x v="10"/>
    <n v="14"/>
    <n v="29912"/>
    <n v="2833"/>
    <n v="0"/>
    <m/>
    <x v="26"/>
  </r>
  <r>
    <x v="32"/>
    <s v="rom_fact_druedain"/>
    <n v="5"/>
    <x v="3"/>
    <n v="34"/>
    <n v="19369"/>
    <n v="5621"/>
    <n v="0"/>
    <m/>
    <x v="27"/>
  </r>
  <r>
    <x v="32"/>
    <s v="rom_fact_harondor"/>
    <n v="3"/>
    <x v="7"/>
    <n v="23"/>
    <n v="14668"/>
    <n v="3872"/>
    <n v="0"/>
    <m/>
    <x v="28"/>
  </r>
  <r>
    <x v="32"/>
    <s v="rom_fact_southron_nomads"/>
    <n v="0"/>
    <x v="11"/>
    <n v="0"/>
    <n v="4000"/>
    <n v="1750"/>
    <n v="0"/>
    <m/>
    <x v="29"/>
  </r>
  <r>
    <x v="32"/>
    <s v="rom_fact_separatist_harad"/>
    <n v="0"/>
    <x v="11"/>
    <n v="0"/>
    <n v="4000"/>
    <n v="1750"/>
    <n v="0"/>
    <m/>
    <x v="30"/>
  </r>
  <r>
    <x v="32"/>
    <s v="rom_fact_separatist_khand"/>
    <n v="0"/>
    <x v="11"/>
    <n v="0"/>
    <n v="4000"/>
    <n v="1750"/>
    <n v="0"/>
    <m/>
    <x v="30"/>
  </r>
  <r>
    <x v="32"/>
    <s v="rom_fact_separatist_balchoth"/>
    <n v="0"/>
    <x v="11"/>
    <n v="0"/>
    <n v="4000"/>
    <n v="1750"/>
    <n v="0"/>
    <m/>
    <x v="30"/>
  </r>
  <r>
    <x v="32"/>
    <s v="rom_fact_separatist_feredrim"/>
    <n v="0"/>
    <x v="11"/>
    <n v="0"/>
    <n v="4000"/>
    <n v="1750"/>
    <n v="0"/>
    <m/>
    <x v="30"/>
  </r>
  <r>
    <x v="32"/>
    <s v="rom_fact_separatist_haerrim"/>
    <n v="0"/>
    <x v="11"/>
    <n v="0"/>
    <n v="4000"/>
    <n v="1750"/>
    <n v="0"/>
    <m/>
    <x v="30"/>
  </r>
  <r>
    <x v="32"/>
    <s v="rom_fact_separatist_wainriders"/>
    <n v="0"/>
    <x v="11"/>
    <n v="0"/>
    <n v="4000"/>
    <n v="1750"/>
    <n v="0"/>
    <m/>
    <x v="30"/>
  </r>
  <r>
    <x v="32"/>
    <s v="rom_fact_separatist_rhurim"/>
    <n v="0"/>
    <x v="11"/>
    <n v="0"/>
    <n v="4000"/>
    <n v="1750"/>
    <n v="0"/>
    <m/>
    <x v="30"/>
  </r>
  <r>
    <x v="32"/>
    <s v="rom_fact_separatist_mahuds"/>
    <n v="0"/>
    <x v="11"/>
    <n v="0"/>
    <n v="4000"/>
    <n v="1750"/>
    <n v="0"/>
    <m/>
    <x v="30"/>
  </r>
  <r>
    <x v="32"/>
    <s v="rom_fact_separatist_umbar"/>
    <n v="0"/>
    <x v="11"/>
    <n v="0"/>
    <n v="4000"/>
    <n v="1750"/>
    <n v="0"/>
    <m/>
    <x v="30"/>
  </r>
  <r>
    <x v="33"/>
    <s v="rom_fact_mordor"/>
    <n v="129"/>
    <x v="18"/>
    <n v="176.4"/>
    <n v="1641"/>
    <n v="19880"/>
    <n v="721"/>
    <m/>
    <x v="0"/>
  </r>
  <r>
    <x v="33"/>
    <s v="rom_fact_gondor"/>
    <n v="112"/>
    <x v="2"/>
    <n v="160"/>
    <n v="58697"/>
    <n v="21670"/>
    <n v="670"/>
    <m/>
    <x v="1"/>
  </r>
  <r>
    <x v="33"/>
    <s v="rom_fact_dale"/>
    <n v="87"/>
    <x v="8"/>
    <n v="70"/>
    <n v="9788"/>
    <n v="12697"/>
    <n v="187"/>
    <m/>
    <x v="2"/>
  </r>
  <r>
    <x v="33"/>
    <s v="rom_fact_erebor"/>
    <n v="84"/>
    <x v="9"/>
    <n v="70.2"/>
    <n v="54511"/>
    <n v="15063"/>
    <n v="427"/>
    <m/>
    <x v="3"/>
  </r>
  <r>
    <x v="33"/>
    <s v="rom_fact_rohan"/>
    <n v="98"/>
    <x v="0"/>
    <n v="84.1"/>
    <n v="28810"/>
    <n v="11304"/>
    <n v="476"/>
    <m/>
    <x v="4"/>
  </r>
  <r>
    <x v="33"/>
    <s v="rom_fact_dol_guldur"/>
    <n v="114"/>
    <x v="2"/>
    <n v="152"/>
    <n v="13288"/>
    <n v="17534"/>
    <n v="1205"/>
    <m/>
    <x v="5"/>
  </r>
  <r>
    <x v="33"/>
    <s v="rom_fact_anduin_vale"/>
    <n v="59"/>
    <x v="3"/>
    <n v="40"/>
    <n v="5476"/>
    <n v="5411"/>
    <n v="0"/>
    <m/>
    <x v="6"/>
  </r>
  <r>
    <x v="33"/>
    <s v="rom_fact_isengard"/>
    <n v="77"/>
    <x v="9"/>
    <n v="75.5"/>
    <n v="12551"/>
    <n v="11994"/>
    <n v="390"/>
    <m/>
    <x v="7"/>
  </r>
  <r>
    <x v="33"/>
    <s v="rom_fact_woodland_realm"/>
    <n v="30"/>
    <x v="11"/>
    <n v="0"/>
    <n v="8475"/>
    <n v="2500"/>
    <n v="0"/>
    <m/>
    <x v="8"/>
  </r>
  <r>
    <x v="33"/>
    <s v="rom_fact_lothlorien"/>
    <n v="57"/>
    <x v="7"/>
    <n v="20"/>
    <n v="3168"/>
    <n v="6383"/>
    <n v="0"/>
    <m/>
    <x v="9"/>
  </r>
  <r>
    <x v="33"/>
    <s v="rom_fact_khand"/>
    <n v="0"/>
    <x v="11"/>
    <n v="0"/>
    <n v="4919"/>
    <n v="1750"/>
    <n v="0"/>
    <m/>
    <x v="10"/>
  </r>
  <r>
    <x v="33"/>
    <s v="rom_fact_umbar"/>
    <n v="8"/>
    <x v="5"/>
    <n v="88.8"/>
    <n v="22236"/>
    <n v="14287"/>
    <n v="949"/>
    <m/>
    <x v="11"/>
  </r>
  <r>
    <x v="33"/>
    <s v="rom_fact_mahuds"/>
    <n v="5"/>
    <x v="3"/>
    <n v="43"/>
    <n v="21758"/>
    <n v="6284"/>
    <n v="0"/>
    <m/>
    <x v="12"/>
  </r>
  <r>
    <x v="33"/>
    <s v="rom_fact_harad"/>
    <n v="67"/>
    <x v="9"/>
    <n v="73"/>
    <n v="6549"/>
    <n v="11635"/>
    <n v="0"/>
    <m/>
    <x v="13"/>
  </r>
  <r>
    <x v="33"/>
    <s v="rom_fact_dunland"/>
    <n v="65"/>
    <x v="9"/>
    <n v="56.9"/>
    <n v="26571"/>
    <n v="10527"/>
    <n v="510"/>
    <m/>
    <x v="14"/>
  </r>
  <r>
    <x v="33"/>
    <s v="rom_fact_haerrim"/>
    <n v="0"/>
    <x v="11"/>
    <n v="0"/>
    <n v="5352"/>
    <n v="1750"/>
    <n v="0"/>
    <m/>
    <x v="15"/>
  </r>
  <r>
    <x v="33"/>
    <s v="rom_fact_goblins"/>
    <n v="106"/>
    <x v="0"/>
    <n v="144.19999999999999"/>
    <n v="18325"/>
    <n v="19078"/>
    <n v="1815"/>
    <m/>
    <x v="16"/>
  </r>
  <r>
    <x v="33"/>
    <s v="rom_fact_balchoth"/>
    <n v="0"/>
    <x v="11"/>
    <n v="0"/>
    <n v="4872"/>
    <n v="1750"/>
    <n v="0"/>
    <m/>
    <x v="17"/>
  </r>
  <r>
    <x v="33"/>
    <s v="rom_fact_rhurim"/>
    <n v="110"/>
    <x v="22"/>
    <n v="381.29999999999899"/>
    <n v="28347"/>
    <n v="29240"/>
    <n v="1084"/>
    <m/>
    <x v="18"/>
  </r>
  <r>
    <x v="33"/>
    <s v="rom_fact_feredrim"/>
    <n v="0"/>
    <x v="11"/>
    <n v="0"/>
    <n v="7360"/>
    <n v="1750"/>
    <n v="0"/>
    <m/>
    <x v="19"/>
  </r>
  <r>
    <x v="33"/>
    <s v="rom_fact_wainriders"/>
    <n v="0"/>
    <x v="11"/>
    <n v="0"/>
    <n v="6395"/>
    <n v="1750"/>
    <n v="0"/>
    <m/>
    <x v="20"/>
  </r>
  <r>
    <x v="33"/>
    <s v="rom_fact_blacklock"/>
    <n v="5"/>
    <x v="3"/>
    <n v="40"/>
    <n v="35305"/>
    <n v="7605"/>
    <n v="0"/>
    <m/>
    <x v="21"/>
  </r>
  <r>
    <x v="33"/>
    <s v="rom_fact_ironfist"/>
    <n v="4"/>
    <x v="10"/>
    <n v="31"/>
    <n v="30435"/>
    <n v="5872"/>
    <n v="0"/>
    <m/>
    <x v="22"/>
  </r>
  <r>
    <x v="33"/>
    <s v="rom_fact_gundabad"/>
    <n v="87"/>
    <x v="0"/>
    <n v="116.9"/>
    <n v="9972"/>
    <n v="16324"/>
    <n v="495"/>
    <m/>
    <x v="23"/>
  </r>
  <r>
    <x v="33"/>
    <s v="rom_fact_rohan_scouts"/>
    <n v="0"/>
    <x v="11"/>
    <n v="3"/>
    <n v="40993"/>
    <n v="2379"/>
    <n v="0"/>
    <m/>
    <x v="24"/>
  </r>
  <r>
    <x v="33"/>
    <s v="rom_fact_northern_enedwaith"/>
    <n v="5"/>
    <x v="3"/>
    <n v="34"/>
    <n v="17985"/>
    <n v="6184"/>
    <n v="0"/>
    <m/>
    <x v="25"/>
  </r>
  <r>
    <x v="33"/>
    <s v="rom_fact_southern_enedwaith"/>
    <n v="3"/>
    <x v="10"/>
    <n v="14"/>
    <n v="31105"/>
    <n v="2814"/>
    <n v="0"/>
    <m/>
    <x v="26"/>
  </r>
  <r>
    <x v="33"/>
    <s v="rom_fact_druedain"/>
    <n v="5"/>
    <x v="3"/>
    <n v="34"/>
    <n v="20842"/>
    <n v="5621"/>
    <n v="0"/>
    <m/>
    <x v="27"/>
  </r>
  <r>
    <x v="33"/>
    <s v="rom_fact_harondor"/>
    <n v="3"/>
    <x v="7"/>
    <n v="23"/>
    <n v="15269"/>
    <n v="3981"/>
    <n v="0"/>
    <m/>
    <x v="28"/>
  </r>
  <r>
    <x v="33"/>
    <s v="rom_fact_southron_nomads"/>
    <n v="0"/>
    <x v="11"/>
    <n v="0"/>
    <n v="4000"/>
    <n v="1750"/>
    <n v="0"/>
    <m/>
    <x v="29"/>
  </r>
  <r>
    <x v="33"/>
    <s v="rom_fact_separatist_harad"/>
    <n v="0"/>
    <x v="11"/>
    <n v="0"/>
    <n v="4000"/>
    <n v="1750"/>
    <n v="0"/>
    <m/>
    <x v="30"/>
  </r>
  <r>
    <x v="33"/>
    <s v="rom_fact_separatist_khand"/>
    <n v="0"/>
    <x v="11"/>
    <n v="0"/>
    <n v="4000"/>
    <n v="1750"/>
    <n v="0"/>
    <m/>
    <x v="30"/>
  </r>
  <r>
    <x v="33"/>
    <s v="rom_fact_separatist_balchoth"/>
    <n v="0"/>
    <x v="11"/>
    <n v="0"/>
    <n v="4000"/>
    <n v="1750"/>
    <n v="0"/>
    <m/>
    <x v="30"/>
  </r>
  <r>
    <x v="33"/>
    <s v="rom_fact_separatist_feredrim"/>
    <n v="0"/>
    <x v="11"/>
    <n v="0"/>
    <n v="4000"/>
    <n v="1750"/>
    <n v="0"/>
    <m/>
    <x v="30"/>
  </r>
  <r>
    <x v="33"/>
    <s v="rom_fact_separatist_haerrim"/>
    <n v="0"/>
    <x v="11"/>
    <n v="0"/>
    <n v="4000"/>
    <n v="1750"/>
    <n v="0"/>
    <m/>
    <x v="30"/>
  </r>
  <r>
    <x v="33"/>
    <s v="rom_fact_separatist_wainriders"/>
    <n v="0"/>
    <x v="11"/>
    <n v="0"/>
    <n v="4000"/>
    <n v="1750"/>
    <n v="0"/>
    <m/>
    <x v="30"/>
  </r>
  <r>
    <x v="33"/>
    <s v="rom_fact_separatist_rhurim"/>
    <n v="0"/>
    <x v="11"/>
    <n v="0"/>
    <n v="4000"/>
    <n v="1750"/>
    <n v="0"/>
    <m/>
    <x v="30"/>
  </r>
  <r>
    <x v="33"/>
    <s v="rom_fact_separatist_mahuds"/>
    <n v="0"/>
    <x v="11"/>
    <n v="0"/>
    <n v="4000"/>
    <n v="1750"/>
    <n v="0"/>
    <m/>
    <x v="30"/>
  </r>
  <r>
    <x v="33"/>
    <s v="rom_fact_separatist_umbar"/>
    <n v="0"/>
    <x v="11"/>
    <n v="0"/>
    <n v="4000"/>
    <n v="1750"/>
    <n v="0"/>
    <m/>
    <x v="30"/>
  </r>
  <r>
    <x v="34"/>
    <s v="rom_fact_mordor"/>
    <n v="129"/>
    <x v="18"/>
    <n v="177.4"/>
    <n v="6967"/>
    <n v="20008"/>
    <n v="717"/>
    <m/>
    <x v="0"/>
  </r>
  <r>
    <x v="34"/>
    <s v="rom_fact_gondor"/>
    <n v="122"/>
    <x v="2"/>
    <n v="160"/>
    <n v="66828"/>
    <n v="22025"/>
    <n v="591"/>
    <m/>
    <x v="1"/>
  </r>
  <r>
    <x v="34"/>
    <s v="rom_fact_dale"/>
    <n v="87"/>
    <x v="8"/>
    <n v="72.099999999999994"/>
    <n v="8418"/>
    <n v="12843"/>
    <n v="190"/>
    <m/>
    <x v="2"/>
  </r>
  <r>
    <x v="34"/>
    <s v="rom_fact_erebor"/>
    <n v="84"/>
    <x v="9"/>
    <n v="74.3"/>
    <n v="56938"/>
    <n v="16295"/>
    <n v="430"/>
    <m/>
    <x v="3"/>
  </r>
  <r>
    <x v="34"/>
    <s v="rom_fact_rohan"/>
    <n v="97"/>
    <x v="17"/>
    <n v="76.099999999999994"/>
    <n v="29536"/>
    <n v="10840"/>
    <n v="517"/>
    <m/>
    <x v="4"/>
  </r>
  <r>
    <x v="34"/>
    <s v="rom_fact_dol_guldur"/>
    <n v="119"/>
    <x v="2"/>
    <n v="155"/>
    <n v="12205"/>
    <n v="17652"/>
    <n v="1194"/>
    <m/>
    <x v="5"/>
  </r>
  <r>
    <x v="34"/>
    <s v="rom_fact_anduin_vale"/>
    <n v="56"/>
    <x v="10"/>
    <n v="29"/>
    <n v="6024"/>
    <n v="5713"/>
    <n v="0"/>
    <m/>
    <x v="6"/>
  </r>
  <r>
    <x v="34"/>
    <s v="rom_fact_isengard"/>
    <n v="81"/>
    <x v="9"/>
    <n v="79.7"/>
    <n v="5396"/>
    <n v="12598"/>
    <n v="395"/>
    <m/>
    <x v="7"/>
  </r>
  <r>
    <x v="34"/>
    <s v="rom_fact_woodland_realm"/>
    <n v="30"/>
    <x v="11"/>
    <n v="0"/>
    <n v="8475"/>
    <n v="2500"/>
    <n v="0"/>
    <m/>
    <x v="8"/>
  </r>
  <r>
    <x v="34"/>
    <s v="rom_fact_lothlorien"/>
    <n v="55"/>
    <x v="7"/>
    <n v="18"/>
    <n v="2059"/>
    <n v="5716"/>
    <n v="0"/>
    <m/>
    <x v="9"/>
  </r>
  <r>
    <x v="34"/>
    <s v="rom_fact_khand"/>
    <n v="0"/>
    <x v="11"/>
    <n v="0"/>
    <n v="4919"/>
    <n v="1750"/>
    <n v="0"/>
    <m/>
    <x v="10"/>
  </r>
  <r>
    <x v="34"/>
    <s v="rom_fact_umbar"/>
    <n v="9"/>
    <x v="5"/>
    <n v="89.8"/>
    <n v="11248"/>
    <n v="13596"/>
    <n v="951"/>
    <m/>
    <x v="11"/>
  </r>
  <r>
    <x v="34"/>
    <s v="rom_fact_mahuds"/>
    <n v="5"/>
    <x v="3"/>
    <n v="43"/>
    <n v="17808"/>
    <n v="6284"/>
    <n v="0"/>
    <m/>
    <x v="12"/>
  </r>
  <r>
    <x v="34"/>
    <s v="rom_fact_harad"/>
    <n v="67"/>
    <x v="9"/>
    <n v="73"/>
    <n v="10682"/>
    <n v="11099"/>
    <n v="0"/>
    <m/>
    <x v="13"/>
  </r>
  <r>
    <x v="34"/>
    <s v="rom_fact_dunland"/>
    <n v="71"/>
    <x v="8"/>
    <n v="57.9"/>
    <n v="28629"/>
    <n v="11060"/>
    <n v="519"/>
    <m/>
    <x v="14"/>
  </r>
  <r>
    <x v="34"/>
    <s v="rom_fact_haerrim"/>
    <n v="0"/>
    <x v="11"/>
    <n v="0"/>
    <n v="5352"/>
    <n v="1750"/>
    <n v="0"/>
    <m/>
    <x v="15"/>
  </r>
  <r>
    <x v="34"/>
    <s v="rom_fact_goblins"/>
    <n v="112"/>
    <x v="0"/>
    <n v="140.4"/>
    <n v="24626"/>
    <n v="19644"/>
    <n v="1825"/>
    <m/>
    <x v="16"/>
  </r>
  <r>
    <x v="34"/>
    <s v="rom_fact_balchoth"/>
    <n v="0"/>
    <x v="11"/>
    <n v="0"/>
    <n v="4872"/>
    <n v="1750"/>
    <n v="0"/>
    <m/>
    <x v="17"/>
  </r>
  <r>
    <x v="34"/>
    <s v="rom_fact_rhurim"/>
    <n v="115"/>
    <x v="22"/>
    <n v="396.29999999999899"/>
    <n v="20550"/>
    <n v="28501"/>
    <n v="1068"/>
    <m/>
    <x v="18"/>
  </r>
  <r>
    <x v="34"/>
    <s v="rom_fact_feredrim"/>
    <n v="0"/>
    <x v="11"/>
    <n v="0"/>
    <n v="7360"/>
    <n v="1750"/>
    <n v="0"/>
    <m/>
    <x v="19"/>
  </r>
  <r>
    <x v="34"/>
    <s v="rom_fact_wainriders"/>
    <n v="0"/>
    <x v="11"/>
    <n v="0"/>
    <n v="6395"/>
    <n v="1750"/>
    <n v="0"/>
    <m/>
    <x v="20"/>
  </r>
  <r>
    <x v="34"/>
    <s v="rom_fact_blacklock"/>
    <n v="5"/>
    <x v="3"/>
    <n v="40"/>
    <n v="37994"/>
    <n v="9373"/>
    <n v="0"/>
    <m/>
    <x v="21"/>
  </r>
  <r>
    <x v="34"/>
    <s v="rom_fact_ironfist"/>
    <n v="4"/>
    <x v="10"/>
    <n v="31"/>
    <n v="31089"/>
    <n v="5761"/>
    <n v="0"/>
    <m/>
    <x v="22"/>
  </r>
  <r>
    <x v="34"/>
    <s v="rom_fact_gundabad"/>
    <n v="92"/>
    <x v="0"/>
    <n v="126.3"/>
    <n v="10815"/>
    <n v="15369"/>
    <n v="493"/>
    <m/>
    <x v="23"/>
  </r>
  <r>
    <x v="34"/>
    <s v="rom_fact_rohan_scouts"/>
    <n v="0"/>
    <x v="11"/>
    <n v="3"/>
    <n v="42114"/>
    <n v="2379"/>
    <n v="0"/>
    <m/>
    <x v="24"/>
  </r>
  <r>
    <x v="34"/>
    <s v="rom_fact_northern_enedwaith"/>
    <n v="5"/>
    <x v="3"/>
    <n v="34"/>
    <n v="20641"/>
    <n v="6427"/>
    <n v="0"/>
    <m/>
    <x v="25"/>
  </r>
  <r>
    <x v="34"/>
    <s v="rom_fact_southern_enedwaith"/>
    <n v="3"/>
    <x v="10"/>
    <n v="14"/>
    <n v="33386"/>
    <n v="2809"/>
    <n v="0"/>
    <m/>
    <x v="26"/>
  </r>
  <r>
    <x v="34"/>
    <s v="rom_fact_druedain"/>
    <n v="5"/>
    <x v="3"/>
    <n v="34"/>
    <n v="22315"/>
    <n v="5759"/>
    <n v="0"/>
    <m/>
    <x v="27"/>
  </r>
  <r>
    <x v="34"/>
    <s v="rom_fact_harondor"/>
    <n v="1"/>
    <x v="7"/>
    <n v="23"/>
    <n v="16228"/>
    <n v="3604"/>
    <n v="0"/>
    <m/>
    <x v="28"/>
  </r>
  <r>
    <x v="34"/>
    <s v="rom_fact_southron_nomads"/>
    <n v="0"/>
    <x v="11"/>
    <n v="0"/>
    <n v="4000"/>
    <n v="1750"/>
    <n v="0"/>
    <m/>
    <x v="29"/>
  </r>
  <r>
    <x v="34"/>
    <s v="rom_fact_separatist_harad"/>
    <n v="0"/>
    <x v="11"/>
    <n v="0"/>
    <n v="4000"/>
    <n v="1750"/>
    <n v="0"/>
    <m/>
    <x v="30"/>
  </r>
  <r>
    <x v="34"/>
    <s v="rom_fact_separatist_khand"/>
    <n v="0"/>
    <x v="11"/>
    <n v="0"/>
    <n v="4000"/>
    <n v="1750"/>
    <n v="0"/>
    <m/>
    <x v="30"/>
  </r>
  <r>
    <x v="34"/>
    <s v="rom_fact_separatist_balchoth"/>
    <n v="0"/>
    <x v="11"/>
    <n v="0"/>
    <n v="4000"/>
    <n v="1750"/>
    <n v="0"/>
    <m/>
    <x v="30"/>
  </r>
  <r>
    <x v="34"/>
    <s v="rom_fact_separatist_feredrim"/>
    <n v="0"/>
    <x v="11"/>
    <n v="0"/>
    <n v="4000"/>
    <n v="1750"/>
    <n v="0"/>
    <m/>
    <x v="30"/>
  </r>
  <r>
    <x v="34"/>
    <s v="rom_fact_separatist_haerrim"/>
    <n v="0"/>
    <x v="11"/>
    <n v="0"/>
    <n v="4000"/>
    <n v="1750"/>
    <n v="0"/>
    <m/>
    <x v="30"/>
  </r>
  <r>
    <x v="34"/>
    <s v="rom_fact_separatist_wainriders"/>
    <n v="0"/>
    <x v="11"/>
    <n v="0"/>
    <n v="4000"/>
    <n v="1750"/>
    <n v="0"/>
    <m/>
    <x v="30"/>
  </r>
  <r>
    <x v="34"/>
    <s v="rom_fact_separatist_rhurim"/>
    <n v="0"/>
    <x v="11"/>
    <n v="0"/>
    <n v="4000"/>
    <n v="1750"/>
    <n v="0"/>
    <m/>
    <x v="30"/>
  </r>
  <r>
    <x v="34"/>
    <s v="rom_fact_separatist_mahuds"/>
    <n v="0"/>
    <x v="11"/>
    <n v="0"/>
    <n v="4000"/>
    <n v="1750"/>
    <n v="0"/>
    <m/>
    <x v="30"/>
  </r>
  <r>
    <x v="34"/>
    <s v="rom_fact_separatist_umbar"/>
    <n v="0"/>
    <x v="11"/>
    <n v="0"/>
    <n v="4000"/>
    <n v="1750"/>
    <n v="0"/>
    <m/>
    <x v="30"/>
  </r>
  <r>
    <x v="35"/>
    <s v="rom_fact_mordor"/>
    <n v="134"/>
    <x v="18"/>
    <n v="177.4"/>
    <n v="6891"/>
    <n v="20149"/>
    <n v="725"/>
    <m/>
    <x v="0"/>
  </r>
  <r>
    <x v="35"/>
    <s v="rom_fact_gondor"/>
    <n v="122"/>
    <x v="2"/>
    <n v="160"/>
    <n v="74619"/>
    <n v="21411"/>
    <n v="0"/>
    <m/>
    <x v="1"/>
  </r>
  <r>
    <x v="35"/>
    <s v="rom_fact_dale"/>
    <n v="92"/>
    <x v="8"/>
    <n v="72.099999999999994"/>
    <n v="10344"/>
    <n v="13108"/>
    <n v="184"/>
    <m/>
    <x v="2"/>
  </r>
  <r>
    <x v="35"/>
    <s v="rom_fact_erebor"/>
    <n v="89"/>
    <x v="9"/>
    <n v="75.099999999999994"/>
    <n v="49704"/>
    <n v="14884"/>
    <n v="425"/>
    <m/>
    <x v="3"/>
  </r>
  <r>
    <x v="35"/>
    <s v="rom_fact_rohan"/>
    <n v="102"/>
    <x v="17"/>
    <n v="77.099999999999994"/>
    <n v="30861"/>
    <n v="10449"/>
    <n v="0"/>
    <m/>
    <x v="4"/>
  </r>
  <r>
    <x v="35"/>
    <s v="rom_fact_dol_guldur"/>
    <n v="119"/>
    <x v="2"/>
    <n v="158"/>
    <n v="12044"/>
    <n v="17656"/>
    <n v="1210"/>
    <m/>
    <x v="5"/>
  </r>
  <r>
    <x v="35"/>
    <s v="rom_fact_anduin_vale"/>
    <n v="56"/>
    <x v="10"/>
    <n v="30"/>
    <n v="6856"/>
    <n v="5704"/>
    <n v="0"/>
    <m/>
    <x v="6"/>
  </r>
  <r>
    <x v="35"/>
    <s v="rom_fact_isengard"/>
    <n v="101"/>
    <x v="9"/>
    <n v="80.7"/>
    <n v="7602"/>
    <n v="12759"/>
    <n v="396"/>
    <m/>
    <x v="7"/>
  </r>
  <r>
    <x v="35"/>
    <s v="rom_fact_woodland_realm"/>
    <n v="30"/>
    <x v="11"/>
    <n v="0"/>
    <n v="8475"/>
    <n v="2500"/>
    <n v="0"/>
    <m/>
    <x v="8"/>
  </r>
  <r>
    <x v="35"/>
    <s v="rom_fact_lothlorien"/>
    <n v="55"/>
    <x v="7"/>
    <n v="18"/>
    <n v="2541"/>
    <n v="5753"/>
    <n v="0"/>
    <m/>
    <x v="9"/>
  </r>
  <r>
    <x v="35"/>
    <s v="rom_fact_khand"/>
    <n v="0"/>
    <x v="11"/>
    <n v="0"/>
    <n v="4919"/>
    <n v="1750"/>
    <n v="0"/>
    <m/>
    <x v="10"/>
  </r>
  <r>
    <x v="35"/>
    <s v="rom_fact_umbar"/>
    <n v="9"/>
    <x v="5"/>
    <n v="89.8"/>
    <n v="10551"/>
    <n v="13546"/>
    <n v="953"/>
    <m/>
    <x v="11"/>
  </r>
  <r>
    <x v="35"/>
    <s v="rom_fact_mahuds"/>
    <n v="5"/>
    <x v="3"/>
    <n v="43"/>
    <n v="18880"/>
    <n v="6284"/>
    <n v="0"/>
    <m/>
    <x v="12"/>
  </r>
  <r>
    <x v="35"/>
    <s v="rom_fact_harad"/>
    <n v="67"/>
    <x v="9"/>
    <n v="73"/>
    <n v="12096"/>
    <n v="11674"/>
    <n v="0"/>
    <m/>
    <x v="13"/>
  </r>
  <r>
    <x v="35"/>
    <s v="rom_fact_dunland"/>
    <n v="71"/>
    <x v="8"/>
    <n v="56.9"/>
    <n v="29280"/>
    <n v="11508"/>
    <n v="524"/>
    <m/>
    <x v="14"/>
  </r>
  <r>
    <x v="35"/>
    <s v="rom_fact_haerrim"/>
    <n v="0"/>
    <x v="11"/>
    <n v="0"/>
    <n v="5352"/>
    <n v="1750"/>
    <n v="0"/>
    <m/>
    <x v="15"/>
  </r>
  <r>
    <x v="35"/>
    <s v="rom_fact_goblins"/>
    <n v="114"/>
    <x v="2"/>
    <n v="140.4"/>
    <n v="19625"/>
    <n v="20054"/>
    <n v="2018"/>
    <m/>
    <x v="16"/>
  </r>
  <r>
    <x v="35"/>
    <s v="rom_fact_balchoth"/>
    <n v="0"/>
    <x v="11"/>
    <n v="0"/>
    <n v="4872"/>
    <n v="1750"/>
    <n v="0"/>
    <m/>
    <x v="17"/>
  </r>
  <r>
    <x v="35"/>
    <s v="rom_fact_rhurim"/>
    <n v="119"/>
    <x v="22"/>
    <n v="403.1"/>
    <n v="22901"/>
    <n v="32340"/>
    <n v="1088"/>
    <m/>
    <x v="18"/>
  </r>
  <r>
    <x v="35"/>
    <s v="rom_fact_feredrim"/>
    <n v="0"/>
    <x v="11"/>
    <n v="0"/>
    <n v="7360"/>
    <n v="1750"/>
    <n v="0"/>
    <m/>
    <x v="19"/>
  </r>
  <r>
    <x v="35"/>
    <s v="rom_fact_wainriders"/>
    <n v="0"/>
    <x v="11"/>
    <n v="0"/>
    <n v="6395"/>
    <n v="1750"/>
    <n v="0"/>
    <m/>
    <x v="20"/>
  </r>
  <r>
    <x v="35"/>
    <s v="rom_fact_blacklock"/>
    <n v="5"/>
    <x v="3"/>
    <n v="41"/>
    <n v="31967"/>
    <n v="9646"/>
    <n v="0"/>
    <m/>
    <x v="21"/>
  </r>
  <r>
    <x v="35"/>
    <s v="rom_fact_ironfist"/>
    <n v="4"/>
    <x v="10"/>
    <n v="31"/>
    <n v="30980"/>
    <n v="5604"/>
    <n v="0"/>
    <m/>
    <x v="22"/>
  </r>
  <r>
    <x v="35"/>
    <s v="rom_fact_gundabad"/>
    <n v="92"/>
    <x v="0"/>
    <n v="126.3"/>
    <n v="13834"/>
    <n v="16509"/>
    <n v="668"/>
    <m/>
    <x v="23"/>
  </r>
  <r>
    <x v="35"/>
    <s v="rom_fact_rohan_scouts"/>
    <n v="0"/>
    <x v="11"/>
    <n v="3"/>
    <n v="43235"/>
    <n v="2379"/>
    <n v="0"/>
    <m/>
    <x v="24"/>
  </r>
  <r>
    <x v="35"/>
    <s v="rom_fact_northern_enedwaith"/>
    <n v="5"/>
    <x v="3"/>
    <n v="37"/>
    <n v="18019"/>
    <n v="6420"/>
    <n v="0"/>
    <m/>
    <x v="25"/>
  </r>
  <r>
    <x v="35"/>
    <s v="rom_fact_southern_enedwaith"/>
    <n v="3"/>
    <x v="10"/>
    <n v="14"/>
    <n v="35652"/>
    <n v="2806"/>
    <n v="0"/>
    <m/>
    <x v="26"/>
  </r>
  <r>
    <x v="35"/>
    <s v="rom_fact_druedain"/>
    <n v="5"/>
    <x v="3"/>
    <n v="35"/>
    <n v="23718"/>
    <n v="5780"/>
    <n v="0"/>
    <m/>
    <x v="27"/>
  </r>
  <r>
    <x v="35"/>
    <s v="rom_fact_harondor"/>
    <n v="1"/>
    <x v="7"/>
    <n v="22"/>
    <n v="15146"/>
    <n v="4071"/>
    <n v="0"/>
    <m/>
    <x v="28"/>
  </r>
  <r>
    <x v="35"/>
    <s v="rom_fact_southron_nomads"/>
    <n v="0"/>
    <x v="11"/>
    <n v="0"/>
    <n v="4000"/>
    <n v="1750"/>
    <n v="0"/>
    <m/>
    <x v="29"/>
  </r>
  <r>
    <x v="35"/>
    <s v="rom_fact_separatist_harad"/>
    <n v="0"/>
    <x v="11"/>
    <n v="0"/>
    <n v="4000"/>
    <n v="1750"/>
    <n v="0"/>
    <m/>
    <x v="30"/>
  </r>
  <r>
    <x v="35"/>
    <s v="rom_fact_separatist_khand"/>
    <n v="0"/>
    <x v="11"/>
    <n v="0"/>
    <n v="4000"/>
    <n v="1750"/>
    <n v="0"/>
    <m/>
    <x v="30"/>
  </r>
  <r>
    <x v="35"/>
    <s v="rom_fact_separatist_balchoth"/>
    <n v="0"/>
    <x v="11"/>
    <n v="0"/>
    <n v="4000"/>
    <n v="1750"/>
    <n v="0"/>
    <m/>
    <x v="30"/>
  </r>
  <r>
    <x v="35"/>
    <s v="rom_fact_separatist_feredrim"/>
    <n v="0"/>
    <x v="11"/>
    <n v="0"/>
    <n v="4000"/>
    <n v="1750"/>
    <n v="0"/>
    <m/>
    <x v="30"/>
  </r>
  <r>
    <x v="35"/>
    <s v="rom_fact_separatist_haerrim"/>
    <n v="0"/>
    <x v="11"/>
    <n v="0"/>
    <n v="4000"/>
    <n v="1750"/>
    <n v="0"/>
    <m/>
    <x v="30"/>
  </r>
  <r>
    <x v="35"/>
    <s v="rom_fact_separatist_wainriders"/>
    <n v="0"/>
    <x v="11"/>
    <n v="0"/>
    <n v="4000"/>
    <n v="1750"/>
    <n v="0"/>
    <m/>
    <x v="30"/>
  </r>
  <r>
    <x v="35"/>
    <s v="rom_fact_separatist_rhurim"/>
    <n v="0"/>
    <x v="11"/>
    <n v="0"/>
    <n v="4000"/>
    <n v="1750"/>
    <n v="0"/>
    <m/>
    <x v="30"/>
  </r>
  <r>
    <x v="35"/>
    <s v="rom_fact_separatist_mahuds"/>
    <n v="0"/>
    <x v="11"/>
    <n v="0"/>
    <n v="4000"/>
    <n v="1750"/>
    <n v="0"/>
    <m/>
    <x v="30"/>
  </r>
  <r>
    <x v="35"/>
    <s v="rom_fact_separatist_umbar"/>
    <n v="0"/>
    <x v="11"/>
    <n v="0"/>
    <n v="4000"/>
    <n v="1750"/>
    <n v="0"/>
    <m/>
    <x v="30"/>
  </r>
  <r>
    <x v="36"/>
    <s v="rom_fact_mordor"/>
    <n v="134"/>
    <x v="18"/>
    <n v="177.4"/>
    <n v="10931"/>
    <n v="20141"/>
    <n v="852"/>
    <m/>
    <x v="0"/>
  </r>
  <r>
    <x v="36"/>
    <s v="rom_fact_gondor"/>
    <n v="127"/>
    <x v="2"/>
    <n v="168"/>
    <n v="61856"/>
    <n v="23470"/>
    <n v="587"/>
    <m/>
    <x v="1"/>
  </r>
  <r>
    <x v="36"/>
    <s v="rom_fact_dale"/>
    <n v="92"/>
    <x v="8"/>
    <n v="55.6"/>
    <n v="12542"/>
    <n v="11704"/>
    <n v="197"/>
    <m/>
    <x v="2"/>
  </r>
  <r>
    <x v="36"/>
    <s v="rom_fact_erebor"/>
    <n v="89"/>
    <x v="9"/>
    <n v="78.099999999999994"/>
    <n v="42478"/>
    <n v="18122"/>
    <n v="435"/>
    <m/>
    <x v="3"/>
  </r>
  <r>
    <x v="36"/>
    <s v="rom_fact_rohan"/>
    <n v="100"/>
    <x v="12"/>
    <n v="64"/>
    <n v="39109"/>
    <n v="8925"/>
    <n v="514"/>
    <m/>
    <x v="4"/>
  </r>
  <r>
    <x v="36"/>
    <s v="rom_fact_dol_guldur"/>
    <n v="120"/>
    <x v="16"/>
    <n v="160.69999999999999"/>
    <n v="11977"/>
    <n v="17851"/>
    <n v="1212"/>
    <m/>
    <x v="5"/>
  </r>
  <r>
    <x v="36"/>
    <s v="rom_fact_anduin_vale"/>
    <n v="61"/>
    <x v="10"/>
    <n v="35"/>
    <n v="5610"/>
    <n v="5392"/>
    <n v="0"/>
    <m/>
    <x v="6"/>
  </r>
  <r>
    <x v="36"/>
    <s v="rom_fact_isengard"/>
    <n v="107"/>
    <x v="8"/>
    <n v="81.7"/>
    <n v="10035"/>
    <n v="13509"/>
    <n v="744"/>
    <m/>
    <x v="7"/>
  </r>
  <r>
    <x v="36"/>
    <s v="rom_fact_woodland_realm"/>
    <n v="30"/>
    <x v="11"/>
    <n v="0"/>
    <n v="8475"/>
    <n v="2500"/>
    <n v="0"/>
    <m/>
    <x v="8"/>
  </r>
  <r>
    <x v="36"/>
    <s v="rom_fact_lothlorien"/>
    <n v="61"/>
    <x v="10"/>
    <n v="22"/>
    <n v="3094"/>
    <n v="6727"/>
    <n v="0"/>
    <m/>
    <x v="9"/>
  </r>
  <r>
    <x v="36"/>
    <s v="rom_fact_khand"/>
    <n v="0"/>
    <x v="11"/>
    <n v="0"/>
    <n v="4919"/>
    <n v="1750"/>
    <n v="0"/>
    <m/>
    <x v="10"/>
  </r>
  <r>
    <x v="36"/>
    <s v="rom_fact_umbar"/>
    <n v="10"/>
    <x v="13"/>
    <n v="91.8"/>
    <n v="15505"/>
    <n v="15378"/>
    <n v="963"/>
    <m/>
    <x v="11"/>
  </r>
  <r>
    <x v="36"/>
    <s v="rom_fact_mahuds"/>
    <n v="5"/>
    <x v="3"/>
    <n v="24"/>
    <n v="22316"/>
    <n v="4007"/>
    <n v="0"/>
    <m/>
    <x v="12"/>
  </r>
  <r>
    <x v="36"/>
    <s v="rom_fact_harad"/>
    <n v="73"/>
    <x v="8"/>
    <n v="74.900000000000006"/>
    <n v="11950"/>
    <n v="11473"/>
    <n v="0"/>
    <m/>
    <x v="13"/>
  </r>
  <r>
    <x v="36"/>
    <s v="rom_fact_dunland"/>
    <n v="76"/>
    <x v="5"/>
    <n v="72.900000000000006"/>
    <n v="16746"/>
    <n v="13522"/>
    <n v="663"/>
    <m/>
    <x v="14"/>
  </r>
  <r>
    <x v="36"/>
    <s v="rom_fact_haerrim"/>
    <n v="0"/>
    <x v="11"/>
    <n v="0"/>
    <n v="5352"/>
    <n v="1750"/>
    <n v="0"/>
    <m/>
    <x v="15"/>
  </r>
  <r>
    <x v="36"/>
    <s v="rom_fact_goblins"/>
    <n v="113"/>
    <x v="0"/>
    <n v="143"/>
    <n v="21794"/>
    <n v="19132"/>
    <n v="2018"/>
    <m/>
    <x v="16"/>
  </r>
  <r>
    <x v="36"/>
    <s v="rom_fact_balchoth"/>
    <n v="0"/>
    <x v="11"/>
    <n v="0"/>
    <n v="4872"/>
    <n v="1750"/>
    <n v="0"/>
    <m/>
    <x v="17"/>
  </r>
  <r>
    <x v="36"/>
    <s v="rom_fact_rhurim"/>
    <n v="118"/>
    <x v="24"/>
    <n v="416.1"/>
    <n v="22860"/>
    <n v="32887"/>
    <n v="1038"/>
    <m/>
    <x v="18"/>
  </r>
  <r>
    <x v="36"/>
    <s v="rom_fact_feredrim"/>
    <n v="0"/>
    <x v="11"/>
    <n v="0"/>
    <n v="7360"/>
    <n v="1750"/>
    <n v="0"/>
    <m/>
    <x v="19"/>
  </r>
  <r>
    <x v="36"/>
    <s v="rom_fact_wainriders"/>
    <n v="0"/>
    <x v="11"/>
    <n v="0"/>
    <n v="6395"/>
    <n v="1750"/>
    <n v="0"/>
    <m/>
    <x v="20"/>
  </r>
  <r>
    <x v="36"/>
    <s v="rom_fact_blacklock"/>
    <n v="5"/>
    <x v="3"/>
    <n v="44"/>
    <n v="35684"/>
    <n v="10039"/>
    <n v="0"/>
    <m/>
    <x v="21"/>
  </r>
  <r>
    <x v="36"/>
    <s v="rom_fact_ironfist"/>
    <n v="4"/>
    <x v="10"/>
    <n v="32"/>
    <n v="32884"/>
    <n v="4512"/>
    <n v="0"/>
    <m/>
    <x v="22"/>
  </r>
  <r>
    <x v="36"/>
    <s v="rom_fact_gundabad"/>
    <n v="92"/>
    <x v="0"/>
    <n v="126.3"/>
    <n v="15582"/>
    <n v="16406"/>
    <n v="871"/>
    <m/>
    <x v="23"/>
  </r>
  <r>
    <x v="36"/>
    <s v="rom_fact_rohan_scouts"/>
    <n v="0"/>
    <x v="11"/>
    <n v="3"/>
    <n v="44356"/>
    <n v="2379"/>
    <n v="0"/>
    <m/>
    <x v="24"/>
  </r>
  <r>
    <x v="36"/>
    <s v="rom_fact_northern_enedwaith"/>
    <n v="5"/>
    <x v="3"/>
    <n v="40"/>
    <n v="17654"/>
    <n v="6427"/>
    <n v="0"/>
    <m/>
    <x v="25"/>
  </r>
  <r>
    <x v="36"/>
    <s v="rom_fact_southern_enedwaith"/>
    <n v="1"/>
    <x v="7"/>
    <n v="8"/>
    <n v="37510"/>
    <n v="2398"/>
    <n v="0"/>
    <m/>
    <x v="26"/>
  </r>
  <r>
    <x v="36"/>
    <s v="rom_fact_druedain"/>
    <n v="6"/>
    <x v="9"/>
    <n v="41"/>
    <n v="22097"/>
    <n v="6320"/>
    <n v="0"/>
    <m/>
    <x v="27"/>
  </r>
  <r>
    <x v="36"/>
    <s v="rom_fact_harondor"/>
    <n v="0"/>
    <x v="11"/>
    <n v="0"/>
    <n v="15146"/>
    <n v="1750"/>
    <n v="0"/>
    <m/>
    <x v="28"/>
  </r>
  <r>
    <x v="36"/>
    <s v="rom_fact_southron_nomads"/>
    <n v="0"/>
    <x v="11"/>
    <n v="0"/>
    <n v="4000"/>
    <n v="1750"/>
    <n v="0"/>
    <m/>
    <x v="29"/>
  </r>
  <r>
    <x v="36"/>
    <s v="rom_fact_separatist_harad"/>
    <n v="0"/>
    <x v="11"/>
    <n v="0"/>
    <n v="4000"/>
    <n v="1750"/>
    <n v="0"/>
    <m/>
    <x v="30"/>
  </r>
  <r>
    <x v="36"/>
    <s v="rom_fact_separatist_khand"/>
    <n v="0"/>
    <x v="11"/>
    <n v="0"/>
    <n v="4000"/>
    <n v="1750"/>
    <n v="0"/>
    <m/>
    <x v="30"/>
  </r>
  <r>
    <x v="36"/>
    <s v="rom_fact_separatist_balchoth"/>
    <n v="0"/>
    <x v="11"/>
    <n v="0"/>
    <n v="4000"/>
    <n v="1750"/>
    <n v="0"/>
    <m/>
    <x v="30"/>
  </r>
  <r>
    <x v="36"/>
    <s v="rom_fact_separatist_feredrim"/>
    <n v="0"/>
    <x v="11"/>
    <n v="0"/>
    <n v="4000"/>
    <n v="1750"/>
    <n v="0"/>
    <m/>
    <x v="30"/>
  </r>
  <r>
    <x v="36"/>
    <s v="rom_fact_separatist_haerrim"/>
    <n v="0"/>
    <x v="11"/>
    <n v="0"/>
    <n v="4000"/>
    <n v="1750"/>
    <n v="0"/>
    <m/>
    <x v="30"/>
  </r>
  <r>
    <x v="36"/>
    <s v="rom_fact_separatist_wainriders"/>
    <n v="0"/>
    <x v="11"/>
    <n v="0"/>
    <n v="4000"/>
    <n v="1750"/>
    <n v="0"/>
    <m/>
    <x v="30"/>
  </r>
  <r>
    <x v="36"/>
    <s v="rom_fact_separatist_rhurim"/>
    <n v="0"/>
    <x v="11"/>
    <n v="0"/>
    <n v="4000"/>
    <n v="1750"/>
    <n v="0"/>
    <m/>
    <x v="30"/>
  </r>
  <r>
    <x v="36"/>
    <s v="rom_fact_separatist_mahuds"/>
    <n v="0"/>
    <x v="11"/>
    <n v="0"/>
    <n v="4000"/>
    <n v="1750"/>
    <n v="0"/>
    <m/>
    <x v="30"/>
  </r>
  <r>
    <x v="36"/>
    <s v="rom_fact_separatist_umbar"/>
    <n v="0"/>
    <x v="11"/>
    <n v="0"/>
    <n v="4000"/>
    <n v="1750"/>
    <n v="0"/>
    <m/>
    <x v="30"/>
  </r>
  <r>
    <x v="37"/>
    <s v="rom_fact_mordor"/>
    <n v="134"/>
    <x v="18"/>
    <n v="177.4"/>
    <n v="6051"/>
    <n v="20928"/>
    <n v="864"/>
    <m/>
    <x v="0"/>
  </r>
  <r>
    <x v="37"/>
    <s v="rom_fact_gondor"/>
    <n v="127"/>
    <x v="2"/>
    <n v="164"/>
    <n v="64844"/>
    <n v="23972"/>
    <n v="0"/>
    <m/>
    <x v="1"/>
  </r>
  <r>
    <x v="37"/>
    <s v="rom_fact_dale"/>
    <n v="91"/>
    <x v="9"/>
    <n v="58.6"/>
    <n v="11765"/>
    <n v="10648"/>
    <n v="192"/>
    <m/>
    <x v="2"/>
  </r>
  <r>
    <x v="37"/>
    <s v="rom_fact_erebor"/>
    <n v="89"/>
    <x v="9"/>
    <n v="78.099999999999994"/>
    <n v="33856"/>
    <n v="17993"/>
    <n v="431"/>
    <m/>
    <x v="3"/>
  </r>
  <r>
    <x v="37"/>
    <s v="rom_fact_rohan"/>
    <n v="100"/>
    <x v="12"/>
    <n v="55"/>
    <n v="40280"/>
    <n v="9398"/>
    <n v="517"/>
    <m/>
    <x v="4"/>
  </r>
  <r>
    <x v="37"/>
    <s v="rom_fact_dol_guldur"/>
    <n v="129"/>
    <x v="16"/>
    <n v="161.69999999999999"/>
    <n v="14503"/>
    <n v="18430"/>
    <n v="1231"/>
    <m/>
    <x v="5"/>
  </r>
  <r>
    <x v="37"/>
    <s v="rom_fact_anduin_vale"/>
    <n v="61"/>
    <x v="10"/>
    <n v="21"/>
    <n v="7028"/>
    <n v="4163"/>
    <n v="0"/>
    <m/>
    <x v="6"/>
  </r>
  <r>
    <x v="37"/>
    <s v="rom_fact_isengard"/>
    <n v="107"/>
    <x v="8"/>
    <n v="87.7"/>
    <n v="14323"/>
    <n v="13973"/>
    <n v="745"/>
    <m/>
    <x v="7"/>
  </r>
  <r>
    <x v="37"/>
    <s v="rom_fact_woodland_realm"/>
    <n v="30"/>
    <x v="11"/>
    <n v="0"/>
    <n v="8475"/>
    <n v="2500"/>
    <n v="0"/>
    <m/>
    <x v="8"/>
  </r>
  <r>
    <x v="37"/>
    <s v="rom_fact_lothlorien"/>
    <n v="61"/>
    <x v="10"/>
    <n v="20"/>
    <n v="4263"/>
    <n v="6441"/>
    <n v="0"/>
    <m/>
    <x v="9"/>
  </r>
  <r>
    <x v="37"/>
    <s v="rom_fact_khand"/>
    <n v="0"/>
    <x v="11"/>
    <n v="0"/>
    <n v="4919"/>
    <n v="1750"/>
    <n v="0"/>
    <m/>
    <x v="10"/>
  </r>
  <r>
    <x v="37"/>
    <s v="rom_fact_umbar"/>
    <n v="10"/>
    <x v="13"/>
    <n v="92.8"/>
    <n v="15081"/>
    <n v="14870"/>
    <n v="969"/>
    <m/>
    <x v="11"/>
  </r>
  <r>
    <x v="37"/>
    <s v="rom_fact_mahuds"/>
    <n v="5"/>
    <x v="3"/>
    <n v="25"/>
    <n v="21990"/>
    <n v="4317"/>
    <n v="0"/>
    <m/>
    <x v="12"/>
  </r>
  <r>
    <x v="37"/>
    <s v="rom_fact_harad"/>
    <n v="73"/>
    <x v="8"/>
    <n v="77"/>
    <n v="8521"/>
    <n v="12596"/>
    <n v="0"/>
    <m/>
    <x v="13"/>
  </r>
  <r>
    <x v="37"/>
    <s v="rom_fact_dunland"/>
    <n v="76"/>
    <x v="5"/>
    <n v="73.900000000000006"/>
    <n v="9709"/>
    <n v="14322"/>
    <n v="668"/>
    <m/>
    <x v="14"/>
  </r>
  <r>
    <x v="37"/>
    <s v="rom_fact_haerrim"/>
    <n v="0"/>
    <x v="11"/>
    <n v="0"/>
    <n v="5352"/>
    <n v="1750"/>
    <n v="0"/>
    <m/>
    <x v="15"/>
  </r>
  <r>
    <x v="37"/>
    <s v="rom_fact_goblins"/>
    <n v="133"/>
    <x v="0"/>
    <n v="146"/>
    <n v="24253"/>
    <n v="20927"/>
    <n v="2280"/>
    <m/>
    <x v="16"/>
  </r>
  <r>
    <x v="37"/>
    <s v="rom_fact_balchoth"/>
    <n v="0"/>
    <x v="11"/>
    <n v="0"/>
    <n v="4872"/>
    <n v="1750"/>
    <n v="0"/>
    <m/>
    <x v="17"/>
  </r>
  <r>
    <x v="37"/>
    <s v="rom_fact_rhurim"/>
    <n v="124"/>
    <x v="22"/>
    <n v="425.1"/>
    <n v="26319"/>
    <n v="34681"/>
    <n v="1053"/>
    <m/>
    <x v="18"/>
  </r>
  <r>
    <x v="37"/>
    <s v="rom_fact_feredrim"/>
    <n v="0"/>
    <x v="11"/>
    <n v="0"/>
    <n v="7360"/>
    <n v="1750"/>
    <n v="0"/>
    <m/>
    <x v="19"/>
  </r>
  <r>
    <x v="37"/>
    <s v="rom_fact_wainriders"/>
    <n v="0"/>
    <x v="11"/>
    <n v="0"/>
    <n v="6395"/>
    <n v="1750"/>
    <n v="0"/>
    <m/>
    <x v="20"/>
  </r>
  <r>
    <x v="37"/>
    <s v="rom_fact_blacklock"/>
    <n v="5"/>
    <x v="3"/>
    <n v="46"/>
    <n v="39146"/>
    <n v="10294"/>
    <n v="0"/>
    <m/>
    <x v="21"/>
  </r>
  <r>
    <x v="37"/>
    <s v="rom_fact_ironfist"/>
    <n v="4"/>
    <x v="10"/>
    <n v="31"/>
    <n v="34658"/>
    <n v="6778"/>
    <n v="0"/>
    <m/>
    <x v="22"/>
  </r>
  <r>
    <x v="37"/>
    <s v="rom_fact_gundabad"/>
    <n v="92"/>
    <x v="0"/>
    <n v="128"/>
    <n v="15177"/>
    <n v="17744"/>
    <n v="878"/>
    <m/>
    <x v="23"/>
  </r>
  <r>
    <x v="37"/>
    <s v="rom_fact_rohan_scouts"/>
    <n v="0"/>
    <x v="11"/>
    <n v="3"/>
    <n v="45477"/>
    <n v="2379"/>
    <n v="0"/>
    <m/>
    <x v="24"/>
  </r>
  <r>
    <x v="37"/>
    <s v="rom_fact_northern_enedwaith"/>
    <n v="5"/>
    <x v="3"/>
    <n v="40"/>
    <n v="16532"/>
    <n v="6420"/>
    <n v="0"/>
    <m/>
    <x v="25"/>
  </r>
  <r>
    <x v="37"/>
    <s v="rom_fact_southern_enedwaith"/>
    <n v="1"/>
    <x v="7"/>
    <n v="8"/>
    <n v="39368"/>
    <n v="2385"/>
    <n v="0"/>
    <m/>
    <x v="26"/>
  </r>
  <r>
    <x v="37"/>
    <s v="rom_fact_druedain"/>
    <n v="6"/>
    <x v="9"/>
    <n v="41"/>
    <n v="23422"/>
    <n v="6556"/>
    <n v="0"/>
    <m/>
    <x v="27"/>
  </r>
  <r>
    <x v="37"/>
    <s v="rom_fact_harondor"/>
    <n v="0"/>
    <x v="11"/>
    <n v="0"/>
    <n v="15146"/>
    <n v="1750"/>
    <n v="0"/>
    <m/>
    <x v="28"/>
  </r>
  <r>
    <x v="37"/>
    <s v="rom_fact_southron_nomads"/>
    <n v="0"/>
    <x v="11"/>
    <n v="0"/>
    <n v="4000"/>
    <n v="1750"/>
    <n v="0"/>
    <m/>
    <x v="29"/>
  </r>
  <r>
    <x v="37"/>
    <s v="rom_fact_separatist_harad"/>
    <n v="0"/>
    <x v="11"/>
    <n v="0"/>
    <n v="4000"/>
    <n v="1750"/>
    <n v="0"/>
    <m/>
    <x v="30"/>
  </r>
  <r>
    <x v="37"/>
    <s v="rom_fact_separatist_khand"/>
    <n v="0"/>
    <x v="11"/>
    <n v="0"/>
    <n v="4000"/>
    <n v="1750"/>
    <n v="0"/>
    <m/>
    <x v="30"/>
  </r>
  <r>
    <x v="37"/>
    <s v="rom_fact_separatist_balchoth"/>
    <n v="0"/>
    <x v="11"/>
    <n v="0"/>
    <n v="4000"/>
    <n v="1750"/>
    <n v="0"/>
    <m/>
    <x v="30"/>
  </r>
  <r>
    <x v="37"/>
    <s v="rom_fact_separatist_feredrim"/>
    <n v="0"/>
    <x v="11"/>
    <n v="0"/>
    <n v="4000"/>
    <n v="1750"/>
    <n v="0"/>
    <m/>
    <x v="30"/>
  </r>
  <r>
    <x v="37"/>
    <s v="rom_fact_separatist_haerrim"/>
    <n v="0"/>
    <x v="11"/>
    <n v="0"/>
    <n v="4000"/>
    <n v="1750"/>
    <n v="0"/>
    <m/>
    <x v="30"/>
  </r>
  <r>
    <x v="37"/>
    <s v="rom_fact_separatist_wainriders"/>
    <n v="0"/>
    <x v="11"/>
    <n v="0"/>
    <n v="4000"/>
    <n v="1750"/>
    <n v="0"/>
    <m/>
    <x v="30"/>
  </r>
  <r>
    <x v="37"/>
    <s v="rom_fact_separatist_rhurim"/>
    <n v="0"/>
    <x v="11"/>
    <n v="0"/>
    <n v="4000"/>
    <n v="1750"/>
    <n v="0"/>
    <m/>
    <x v="30"/>
  </r>
  <r>
    <x v="37"/>
    <s v="rom_fact_separatist_mahuds"/>
    <n v="0"/>
    <x v="11"/>
    <n v="0"/>
    <n v="4000"/>
    <n v="1750"/>
    <n v="0"/>
    <m/>
    <x v="30"/>
  </r>
  <r>
    <x v="37"/>
    <s v="rom_fact_separatist_umbar"/>
    <n v="0"/>
    <x v="11"/>
    <n v="0"/>
    <n v="4000"/>
    <n v="1750"/>
    <n v="0"/>
    <m/>
    <x v="30"/>
  </r>
  <r>
    <x v="38"/>
    <s v="rom_fact_mordor"/>
    <n v="144"/>
    <x v="25"/>
    <n v="173"/>
    <n v="656"/>
    <n v="22046"/>
    <n v="878"/>
    <m/>
    <x v="0"/>
  </r>
  <r>
    <x v="38"/>
    <s v="rom_fact_gondor"/>
    <n v="124"/>
    <x v="17"/>
    <n v="138"/>
    <n v="66890"/>
    <n v="21169"/>
    <n v="576"/>
    <m/>
    <x v="1"/>
  </r>
  <r>
    <x v="38"/>
    <s v="rom_fact_dale"/>
    <n v="95"/>
    <x v="3"/>
    <n v="58.6"/>
    <n v="13704"/>
    <n v="10369"/>
    <n v="190"/>
    <m/>
    <x v="2"/>
  </r>
  <r>
    <x v="38"/>
    <s v="rom_fact_erebor"/>
    <n v="94"/>
    <x v="9"/>
    <n v="81.400000000000006"/>
    <n v="36741"/>
    <n v="18338"/>
    <n v="430"/>
    <m/>
    <x v="3"/>
  </r>
  <r>
    <x v="38"/>
    <s v="rom_fact_rohan"/>
    <n v="104"/>
    <x v="13"/>
    <n v="55"/>
    <n v="39445"/>
    <n v="8899"/>
    <n v="426"/>
    <m/>
    <x v="4"/>
  </r>
  <r>
    <x v="38"/>
    <s v="rom_fact_dol_guldur"/>
    <n v="129"/>
    <x v="16"/>
    <n v="162.69999999999999"/>
    <n v="13318"/>
    <n v="18653"/>
    <n v="1238"/>
    <m/>
    <x v="5"/>
  </r>
  <r>
    <x v="38"/>
    <s v="rom_fact_anduin_vale"/>
    <n v="61"/>
    <x v="10"/>
    <n v="21"/>
    <n v="4272"/>
    <n v="4165"/>
    <n v="0"/>
    <m/>
    <x v="6"/>
  </r>
  <r>
    <x v="38"/>
    <s v="rom_fact_isengard"/>
    <n v="128"/>
    <x v="5"/>
    <n v="104.69999999999899"/>
    <n v="11568"/>
    <n v="15159"/>
    <n v="670"/>
    <m/>
    <x v="7"/>
  </r>
  <r>
    <x v="38"/>
    <s v="rom_fact_woodland_realm"/>
    <n v="30"/>
    <x v="11"/>
    <n v="0"/>
    <n v="8475"/>
    <n v="2500"/>
    <n v="0"/>
    <m/>
    <x v="8"/>
  </r>
  <r>
    <x v="38"/>
    <s v="rom_fact_lothlorien"/>
    <n v="61"/>
    <x v="10"/>
    <n v="20"/>
    <n v="3216"/>
    <n v="6407"/>
    <n v="0"/>
    <m/>
    <x v="9"/>
  </r>
  <r>
    <x v="38"/>
    <s v="rom_fact_khand"/>
    <n v="0"/>
    <x v="11"/>
    <n v="0"/>
    <n v="4919"/>
    <n v="1750"/>
    <n v="0"/>
    <m/>
    <x v="10"/>
  </r>
  <r>
    <x v="38"/>
    <s v="rom_fact_umbar"/>
    <n v="10"/>
    <x v="13"/>
    <n v="96.8"/>
    <n v="20790"/>
    <n v="15376"/>
    <n v="977"/>
    <m/>
    <x v="11"/>
  </r>
  <r>
    <x v="38"/>
    <s v="rom_fact_mahuds"/>
    <n v="5"/>
    <x v="3"/>
    <n v="27"/>
    <n v="19846"/>
    <n v="4562"/>
    <n v="0"/>
    <m/>
    <x v="12"/>
  </r>
  <r>
    <x v="38"/>
    <s v="rom_fact_harad"/>
    <n v="73"/>
    <x v="8"/>
    <n v="78"/>
    <n v="11050"/>
    <n v="12342"/>
    <n v="0"/>
    <m/>
    <x v="13"/>
  </r>
  <r>
    <x v="38"/>
    <s v="rom_fact_dunland"/>
    <n v="85"/>
    <x v="5"/>
    <n v="82.9"/>
    <n v="10573"/>
    <n v="15217"/>
    <n v="821"/>
    <m/>
    <x v="14"/>
  </r>
  <r>
    <x v="38"/>
    <s v="rom_fact_haerrim"/>
    <n v="0"/>
    <x v="11"/>
    <n v="0"/>
    <n v="5352"/>
    <n v="1750"/>
    <n v="0"/>
    <m/>
    <x v="15"/>
  </r>
  <r>
    <x v="38"/>
    <s v="rom_fact_goblins"/>
    <n v="142"/>
    <x v="0"/>
    <n v="155"/>
    <n v="19207"/>
    <n v="20569"/>
    <n v="2286"/>
    <m/>
    <x v="16"/>
  </r>
  <r>
    <x v="38"/>
    <s v="rom_fact_balchoth"/>
    <n v="0"/>
    <x v="11"/>
    <n v="0"/>
    <n v="4872"/>
    <n v="1750"/>
    <n v="0"/>
    <m/>
    <x v="17"/>
  </r>
  <r>
    <x v="38"/>
    <s v="rom_fact_rhurim"/>
    <n v="125"/>
    <x v="23"/>
    <n v="427.1"/>
    <n v="35304"/>
    <n v="34709"/>
    <n v="1061"/>
    <m/>
    <x v="18"/>
  </r>
  <r>
    <x v="38"/>
    <s v="rom_fact_feredrim"/>
    <n v="0"/>
    <x v="11"/>
    <n v="0"/>
    <n v="7360"/>
    <n v="1750"/>
    <n v="0"/>
    <m/>
    <x v="19"/>
  </r>
  <r>
    <x v="38"/>
    <s v="rom_fact_wainriders"/>
    <n v="0"/>
    <x v="11"/>
    <n v="0"/>
    <n v="6395"/>
    <n v="1750"/>
    <n v="0"/>
    <m/>
    <x v="20"/>
  </r>
  <r>
    <x v="38"/>
    <s v="rom_fact_blacklock"/>
    <n v="5"/>
    <x v="3"/>
    <n v="46"/>
    <n v="42711"/>
    <n v="10191"/>
    <n v="0"/>
    <m/>
    <x v="21"/>
  </r>
  <r>
    <x v="38"/>
    <s v="rom_fact_ironfist"/>
    <n v="4"/>
    <x v="10"/>
    <n v="31"/>
    <n v="37011"/>
    <n v="5401"/>
    <n v="0"/>
    <m/>
    <x v="22"/>
  </r>
  <r>
    <x v="38"/>
    <s v="rom_fact_gundabad"/>
    <n v="101"/>
    <x v="0"/>
    <n v="131"/>
    <n v="16183"/>
    <n v="16469"/>
    <n v="877"/>
    <m/>
    <x v="23"/>
  </r>
  <r>
    <x v="38"/>
    <s v="rom_fact_rohan_scouts"/>
    <n v="0"/>
    <x v="11"/>
    <n v="3"/>
    <n v="46598"/>
    <n v="2379"/>
    <n v="0"/>
    <m/>
    <x v="24"/>
  </r>
  <r>
    <x v="38"/>
    <s v="rom_fact_northern_enedwaith"/>
    <n v="5"/>
    <x v="3"/>
    <n v="41"/>
    <n v="12426"/>
    <n v="6647"/>
    <n v="227"/>
    <m/>
    <x v="25"/>
  </r>
  <r>
    <x v="38"/>
    <s v="rom_fact_southern_enedwaith"/>
    <n v="1"/>
    <x v="7"/>
    <n v="8"/>
    <n v="41213"/>
    <n v="2385"/>
    <n v="0"/>
    <m/>
    <x v="26"/>
  </r>
  <r>
    <x v="38"/>
    <s v="rom_fact_druedain"/>
    <n v="6"/>
    <x v="9"/>
    <n v="43"/>
    <n v="25405"/>
    <n v="7109"/>
    <n v="0"/>
    <m/>
    <x v="27"/>
  </r>
  <r>
    <x v="38"/>
    <s v="rom_fact_harondor"/>
    <n v="0"/>
    <x v="11"/>
    <n v="0"/>
    <n v="15146"/>
    <n v="1750"/>
    <n v="0"/>
    <m/>
    <x v="28"/>
  </r>
  <r>
    <x v="38"/>
    <s v="rom_fact_southron_nomads"/>
    <n v="0"/>
    <x v="11"/>
    <n v="0"/>
    <n v="4000"/>
    <n v="1750"/>
    <n v="0"/>
    <m/>
    <x v="29"/>
  </r>
  <r>
    <x v="38"/>
    <s v="rom_fact_separatist_harad"/>
    <n v="0"/>
    <x v="11"/>
    <n v="0"/>
    <n v="4000"/>
    <n v="1750"/>
    <n v="0"/>
    <m/>
    <x v="30"/>
  </r>
  <r>
    <x v="38"/>
    <s v="rom_fact_separatist_khand"/>
    <n v="0"/>
    <x v="11"/>
    <n v="0"/>
    <n v="4000"/>
    <n v="1750"/>
    <n v="0"/>
    <m/>
    <x v="30"/>
  </r>
  <r>
    <x v="38"/>
    <s v="rom_fact_separatist_balchoth"/>
    <n v="0"/>
    <x v="11"/>
    <n v="0"/>
    <n v="4000"/>
    <n v="1750"/>
    <n v="0"/>
    <m/>
    <x v="30"/>
  </r>
  <r>
    <x v="38"/>
    <s v="rom_fact_separatist_feredrim"/>
    <n v="0"/>
    <x v="11"/>
    <n v="0"/>
    <n v="4000"/>
    <n v="1750"/>
    <n v="0"/>
    <m/>
    <x v="30"/>
  </r>
  <r>
    <x v="38"/>
    <s v="rom_fact_separatist_haerrim"/>
    <n v="0"/>
    <x v="11"/>
    <n v="0"/>
    <n v="4000"/>
    <n v="1750"/>
    <n v="0"/>
    <m/>
    <x v="30"/>
  </r>
  <r>
    <x v="38"/>
    <s v="rom_fact_separatist_wainriders"/>
    <n v="0"/>
    <x v="11"/>
    <n v="0"/>
    <n v="4000"/>
    <n v="1750"/>
    <n v="0"/>
    <m/>
    <x v="30"/>
  </r>
  <r>
    <x v="38"/>
    <s v="rom_fact_separatist_rhurim"/>
    <n v="0"/>
    <x v="11"/>
    <n v="0"/>
    <n v="4000"/>
    <n v="1750"/>
    <n v="0"/>
    <m/>
    <x v="30"/>
  </r>
  <r>
    <x v="38"/>
    <s v="rom_fact_separatist_mahuds"/>
    <n v="0"/>
    <x v="11"/>
    <n v="0"/>
    <n v="4000"/>
    <n v="1750"/>
    <n v="0"/>
    <m/>
    <x v="30"/>
  </r>
  <r>
    <x v="38"/>
    <s v="rom_fact_separatist_umbar"/>
    <n v="0"/>
    <x v="11"/>
    <n v="0"/>
    <n v="4000"/>
    <n v="1750"/>
    <n v="0"/>
    <m/>
    <x v="30"/>
  </r>
  <r>
    <x v="39"/>
    <s v="rom_fact_mordor"/>
    <n v="149"/>
    <x v="25"/>
    <n v="178.4"/>
    <n v="94"/>
    <n v="21449"/>
    <n v="880"/>
    <m/>
    <x v="0"/>
  </r>
  <r>
    <x v="39"/>
    <s v="rom_fact_gondor"/>
    <n v="123"/>
    <x v="6"/>
    <n v="132"/>
    <n v="68584"/>
    <n v="21686"/>
    <n v="0"/>
    <m/>
    <x v="1"/>
  </r>
  <r>
    <x v="39"/>
    <s v="rom_fact_dale"/>
    <n v="95"/>
    <x v="3"/>
    <n v="41"/>
    <n v="18188"/>
    <n v="8119"/>
    <n v="191"/>
    <m/>
    <x v="2"/>
  </r>
  <r>
    <x v="39"/>
    <s v="rom_fact_erebor"/>
    <n v="94"/>
    <x v="9"/>
    <n v="83.7"/>
    <n v="41869"/>
    <n v="18787"/>
    <n v="430"/>
    <m/>
    <x v="3"/>
  </r>
  <r>
    <x v="39"/>
    <s v="rom_fact_rohan"/>
    <n v="104"/>
    <x v="13"/>
    <n v="55"/>
    <n v="41483"/>
    <n v="9119"/>
    <n v="0"/>
    <m/>
    <x v="4"/>
  </r>
  <r>
    <x v="39"/>
    <s v="rom_fact_dol_guldur"/>
    <n v="130"/>
    <x v="4"/>
    <n v="168.7"/>
    <n v="14637"/>
    <n v="18310"/>
    <n v="1243"/>
    <m/>
    <x v="5"/>
  </r>
  <r>
    <x v="39"/>
    <s v="rom_fact_anduin_vale"/>
    <n v="58"/>
    <x v="11"/>
    <n v="9"/>
    <n v="5415"/>
    <n v="3929"/>
    <n v="0"/>
    <m/>
    <x v="6"/>
  </r>
  <r>
    <x v="39"/>
    <s v="rom_fact_isengard"/>
    <n v="133"/>
    <x v="5"/>
    <n v="107.9"/>
    <n v="10676"/>
    <n v="15713"/>
    <n v="672"/>
    <m/>
    <x v="7"/>
  </r>
  <r>
    <x v="39"/>
    <s v="rom_fact_woodland_realm"/>
    <n v="30"/>
    <x v="11"/>
    <n v="0"/>
    <n v="8475"/>
    <n v="2500"/>
    <n v="0"/>
    <m/>
    <x v="8"/>
  </r>
  <r>
    <x v="39"/>
    <s v="rom_fact_lothlorien"/>
    <n v="60"/>
    <x v="7"/>
    <n v="1"/>
    <n v="5760"/>
    <n v="3135"/>
    <n v="0"/>
    <m/>
    <x v="9"/>
  </r>
  <r>
    <x v="39"/>
    <s v="rom_fact_khand"/>
    <n v="0"/>
    <x v="11"/>
    <n v="0"/>
    <n v="4919"/>
    <n v="1750"/>
    <n v="0"/>
    <m/>
    <x v="10"/>
  </r>
  <r>
    <x v="39"/>
    <s v="rom_fact_umbar"/>
    <n v="10"/>
    <x v="13"/>
    <n v="98.8"/>
    <n v="16736"/>
    <n v="15400"/>
    <n v="981"/>
    <m/>
    <x v="11"/>
  </r>
  <r>
    <x v="39"/>
    <s v="rom_fact_mahuds"/>
    <n v="5"/>
    <x v="3"/>
    <n v="33"/>
    <n v="16154"/>
    <n v="5094"/>
    <n v="0"/>
    <m/>
    <x v="12"/>
  </r>
  <r>
    <x v="39"/>
    <s v="rom_fact_harad"/>
    <n v="73"/>
    <x v="8"/>
    <n v="78"/>
    <n v="8897"/>
    <n v="12047"/>
    <n v="0"/>
    <m/>
    <x v="13"/>
  </r>
  <r>
    <x v="39"/>
    <s v="rom_fact_dunland"/>
    <n v="85"/>
    <x v="5"/>
    <n v="88.9"/>
    <n v="9601"/>
    <n v="15357"/>
    <n v="830"/>
    <m/>
    <x v="14"/>
  </r>
  <r>
    <x v="39"/>
    <s v="rom_fact_haerrim"/>
    <n v="0"/>
    <x v="11"/>
    <n v="0"/>
    <n v="5352"/>
    <n v="1750"/>
    <n v="0"/>
    <m/>
    <x v="15"/>
  </r>
  <r>
    <x v="39"/>
    <s v="rom_fact_goblins"/>
    <n v="145"/>
    <x v="16"/>
    <n v="151.19999999999999"/>
    <n v="21602"/>
    <n v="20703"/>
    <n v="2402"/>
    <m/>
    <x v="16"/>
  </r>
  <r>
    <x v="39"/>
    <s v="rom_fact_balchoth"/>
    <n v="0"/>
    <x v="11"/>
    <n v="0"/>
    <n v="4872"/>
    <n v="1750"/>
    <n v="0"/>
    <m/>
    <x v="17"/>
  </r>
  <r>
    <x v="39"/>
    <s v="rom_fact_rhurim"/>
    <n v="130"/>
    <x v="26"/>
    <n v="429.2"/>
    <n v="37663"/>
    <n v="35371"/>
    <n v="1115"/>
    <m/>
    <x v="18"/>
  </r>
  <r>
    <x v="39"/>
    <s v="rom_fact_feredrim"/>
    <n v="0"/>
    <x v="11"/>
    <n v="0"/>
    <n v="7360"/>
    <n v="1750"/>
    <n v="0"/>
    <m/>
    <x v="19"/>
  </r>
  <r>
    <x v="39"/>
    <s v="rom_fact_wainriders"/>
    <n v="0"/>
    <x v="11"/>
    <n v="0"/>
    <n v="6395"/>
    <n v="1750"/>
    <n v="0"/>
    <m/>
    <x v="20"/>
  </r>
  <r>
    <x v="39"/>
    <s v="rom_fact_blacklock"/>
    <n v="5"/>
    <x v="3"/>
    <n v="46"/>
    <n v="45824"/>
    <n v="10539"/>
    <n v="0"/>
    <m/>
    <x v="21"/>
  </r>
  <r>
    <x v="39"/>
    <s v="rom_fact_ironfist"/>
    <n v="4"/>
    <x v="10"/>
    <n v="32"/>
    <n v="38614"/>
    <n v="6151"/>
    <n v="0"/>
    <m/>
    <x v="22"/>
  </r>
  <r>
    <x v="39"/>
    <s v="rom_fact_gundabad"/>
    <n v="102"/>
    <x v="2"/>
    <n v="134"/>
    <n v="15449"/>
    <n v="16823"/>
    <n v="881"/>
    <m/>
    <x v="23"/>
  </r>
  <r>
    <x v="39"/>
    <s v="rom_fact_rohan_scouts"/>
    <n v="0"/>
    <x v="11"/>
    <n v="3"/>
    <n v="47719"/>
    <n v="2379"/>
    <n v="0"/>
    <m/>
    <x v="24"/>
  </r>
  <r>
    <x v="39"/>
    <s v="rom_fact_northern_enedwaith"/>
    <n v="5"/>
    <x v="3"/>
    <n v="41"/>
    <n v="15532"/>
    <n v="6879"/>
    <n v="230"/>
    <m/>
    <x v="25"/>
  </r>
  <r>
    <x v="39"/>
    <s v="rom_fact_southern_enedwaith"/>
    <n v="1"/>
    <x v="7"/>
    <n v="8"/>
    <n v="43056"/>
    <n v="2383"/>
    <n v="0"/>
    <m/>
    <x v="26"/>
  </r>
  <r>
    <x v="39"/>
    <s v="rom_fact_druedain"/>
    <n v="6"/>
    <x v="9"/>
    <n v="43"/>
    <n v="27486"/>
    <n v="6864"/>
    <n v="0"/>
    <m/>
    <x v="27"/>
  </r>
  <r>
    <x v="39"/>
    <s v="rom_fact_harondor"/>
    <n v="0"/>
    <x v="11"/>
    <n v="0"/>
    <n v="15146"/>
    <n v="1750"/>
    <n v="0"/>
    <m/>
    <x v="28"/>
  </r>
  <r>
    <x v="39"/>
    <s v="rom_fact_southron_nomads"/>
    <n v="0"/>
    <x v="11"/>
    <n v="0"/>
    <n v="4000"/>
    <n v="1750"/>
    <n v="0"/>
    <m/>
    <x v="29"/>
  </r>
  <r>
    <x v="39"/>
    <s v="rom_fact_separatist_harad"/>
    <n v="0"/>
    <x v="11"/>
    <n v="0"/>
    <n v="4000"/>
    <n v="1750"/>
    <n v="0"/>
    <m/>
    <x v="30"/>
  </r>
  <r>
    <x v="39"/>
    <s v="rom_fact_separatist_khand"/>
    <n v="0"/>
    <x v="11"/>
    <n v="0"/>
    <n v="4000"/>
    <n v="1750"/>
    <n v="0"/>
    <m/>
    <x v="30"/>
  </r>
  <r>
    <x v="39"/>
    <s v="rom_fact_separatist_balchoth"/>
    <n v="0"/>
    <x v="11"/>
    <n v="0"/>
    <n v="4000"/>
    <n v="1750"/>
    <n v="0"/>
    <m/>
    <x v="30"/>
  </r>
  <r>
    <x v="39"/>
    <s v="rom_fact_separatist_feredrim"/>
    <n v="0"/>
    <x v="11"/>
    <n v="0"/>
    <n v="4000"/>
    <n v="1750"/>
    <n v="0"/>
    <m/>
    <x v="30"/>
  </r>
  <r>
    <x v="39"/>
    <s v="rom_fact_separatist_haerrim"/>
    <n v="0"/>
    <x v="11"/>
    <n v="0"/>
    <n v="4000"/>
    <n v="1750"/>
    <n v="0"/>
    <m/>
    <x v="30"/>
  </r>
  <r>
    <x v="39"/>
    <s v="rom_fact_separatist_wainriders"/>
    <n v="0"/>
    <x v="11"/>
    <n v="0"/>
    <n v="4000"/>
    <n v="1750"/>
    <n v="0"/>
    <m/>
    <x v="30"/>
  </r>
  <r>
    <x v="39"/>
    <s v="rom_fact_separatist_rhurim"/>
    <n v="0"/>
    <x v="11"/>
    <n v="0"/>
    <n v="4000"/>
    <n v="1750"/>
    <n v="0"/>
    <m/>
    <x v="30"/>
  </r>
  <r>
    <x v="39"/>
    <s v="rom_fact_separatist_mahuds"/>
    <n v="0"/>
    <x v="11"/>
    <n v="0"/>
    <n v="4000"/>
    <n v="1750"/>
    <n v="0"/>
    <m/>
    <x v="30"/>
  </r>
  <r>
    <x v="39"/>
    <s v="rom_fact_separatist_umbar"/>
    <n v="0"/>
    <x v="11"/>
    <n v="0"/>
    <n v="4000"/>
    <n v="1750"/>
    <n v="0"/>
    <m/>
    <x v="30"/>
  </r>
  <r>
    <x v="40"/>
    <s v="rom_fact_mordor"/>
    <n v="149"/>
    <x v="25"/>
    <n v="179.4"/>
    <n v="4360"/>
    <n v="21340"/>
    <n v="883"/>
    <m/>
    <x v="0"/>
  </r>
  <r>
    <x v="40"/>
    <s v="rom_fact_gondor"/>
    <n v="128"/>
    <x v="6"/>
    <n v="132"/>
    <n v="64391"/>
    <n v="21177"/>
    <n v="0"/>
    <m/>
    <x v="1"/>
  </r>
  <r>
    <x v="40"/>
    <s v="rom_fact_dale"/>
    <n v="95"/>
    <x v="3"/>
    <n v="44"/>
    <n v="21282"/>
    <n v="8733"/>
    <n v="193"/>
    <m/>
    <x v="2"/>
  </r>
  <r>
    <x v="40"/>
    <s v="rom_fact_erebor"/>
    <n v="94"/>
    <x v="9"/>
    <n v="83.7"/>
    <n v="47397"/>
    <n v="19397"/>
    <n v="432"/>
    <m/>
    <x v="3"/>
  </r>
  <r>
    <x v="40"/>
    <s v="rom_fact_rohan"/>
    <n v="104"/>
    <x v="13"/>
    <n v="70.8"/>
    <n v="37588"/>
    <n v="10362"/>
    <n v="0"/>
    <m/>
    <x v="4"/>
  </r>
  <r>
    <x v="40"/>
    <s v="rom_fact_dol_guldur"/>
    <n v="135"/>
    <x v="4"/>
    <n v="167.7"/>
    <n v="12467"/>
    <n v="18604"/>
    <n v="1246"/>
    <m/>
    <x v="5"/>
  </r>
  <r>
    <x v="40"/>
    <s v="rom_fact_anduin_vale"/>
    <n v="58"/>
    <x v="11"/>
    <n v="0"/>
    <n v="4515"/>
    <n v="2500"/>
    <n v="0"/>
    <m/>
    <x v="6"/>
  </r>
  <r>
    <x v="40"/>
    <s v="rom_fact_isengard"/>
    <n v="133"/>
    <x v="5"/>
    <n v="95.6"/>
    <n v="14367"/>
    <n v="14627"/>
    <n v="673"/>
    <m/>
    <x v="7"/>
  </r>
  <r>
    <x v="40"/>
    <s v="rom_fact_woodland_realm"/>
    <n v="30"/>
    <x v="11"/>
    <n v="0"/>
    <n v="8475"/>
    <n v="2500"/>
    <n v="0"/>
    <m/>
    <x v="8"/>
  </r>
  <r>
    <x v="40"/>
    <s v="rom_fact_lothlorien"/>
    <n v="65"/>
    <x v="7"/>
    <n v="1"/>
    <n v="8307"/>
    <n v="3135"/>
    <n v="0"/>
    <m/>
    <x v="9"/>
  </r>
  <r>
    <x v="40"/>
    <s v="rom_fact_khand"/>
    <n v="0"/>
    <x v="11"/>
    <n v="0"/>
    <n v="4919"/>
    <n v="1750"/>
    <n v="0"/>
    <m/>
    <x v="10"/>
  </r>
  <r>
    <x v="40"/>
    <s v="rom_fact_umbar"/>
    <n v="10"/>
    <x v="13"/>
    <n v="102.6"/>
    <n v="15549"/>
    <n v="14962"/>
    <n v="984"/>
    <m/>
    <x v="11"/>
  </r>
  <r>
    <x v="40"/>
    <s v="rom_fact_mahuds"/>
    <n v="5"/>
    <x v="3"/>
    <n v="38"/>
    <n v="15027"/>
    <n v="5724"/>
    <n v="0"/>
    <m/>
    <x v="12"/>
  </r>
  <r>
    <x v="40"/>
    <s v="rom_fact_harad"/>
    <n v="73"/>
    <x v="8"/>
    <n v="78"/>
    <n v="9371"/>
    <n v="11711"/>
    <n v="0"/>
    <m/>
    <x v="13"/>
  </r>
  <r>
    <x v="40"/>
    <s v="rom_fact_dunland"/>
    <n v="89"/>
    <x v="5"/>
    <n v="97.9"/>
    <n v="11176"/>
    <n v="15722"/>
    <n v="832"/>
    <m/>
    <x v="14"/>
  </r>
  <r>
    <x v="40"/>
    <s v="rom_fact_haerrim"/>
    <n v="0"/>
    <x v="11"/>
    <n v="0"/>
    <n v="5352"/>
    <n v="1750"/>
    <n v="0"/>
    <m/>
    <x v="15"/>
  </r>
  <r>
    <x v="40"/>
    <s v="rom_fact_goblins"/>
    <n v="165"/>
    <x v="16"/>
    <n v="153.80000000000001"/>
    <n v="21990"/>
    <n v="21671"/>
    <n v="2509"/>
    <m/>
    <x v="16"/>
  </r>
  <r>
    <x v="40"/>
    <s v="rom_fact_balchoth"/>
    <n v="0"/>
    <x v="11"/>
    <n v="0"/>
    <n v="4872"/>
    <n v="1750"/>
    <n v="0"/>
    <m/>
    <x v="17"/>
  </r>
  <r>
    <x v="40"/>
    <s v="rom_fact_rhurim"/>
    <n v="135"/>
    <x v="26"/>
    <n v="421.2"/>
    <n v="33983"/>
    <n v="35728"/>
    <n v="1121"/>
    <m/>
    <x v="18"/>
  </r>
  <r>
    <x v="40"/>
    <s v="rom_fact_feredrim"/>
    <n v="0"/>
    <x v="11"/>
    <n v="0"/>
    <n v="7360"/>
    <n v="1750"/>
    <n v="0"/>
    <m/>
    <x v="19"/>
  </r>
  <r>
    <x v="40"/>
    <s v="rom_fact_wainriders"/>
    <n v="0"/>
    <x v="11"/>
    <n v="0"/>
    <n v="6395"/>
    <n v="1750"/>
    <n v="0"/>
    <m/>
    <x v="20"/>
  </r>
  <r>
    <x v="40"/>
    <s v="rom_fact_blacklock"/>
    <n v="5"/>
    <x v="3"/>
    <n v="47"/>
    <n v="49174"/>
    <n v="10650"/>
    <n v="0"/>
    <m/>
    <x v="21"/>
  </r>
  <r>
    <x v="40"/>
    <s v="rom_fact_ironfist"/>
    <n v="4"/>
    <x v="10"/>
    <n v="32"/>
    <n v="40911"/>
    <n v="5457"/>
    <n v="0"/>
    <m/>
    <x v="22"/>
  </r>
  <r>
    <x v="40"/>
    <s v="rom_fact_gundabad"/>
    <n v="106"/>
    <x v="2"/>
    <n v="140"/>
    <n v="14885"/>
    <n v="17027"/>
    <n v="883"/>
    <m/>
    <x v="23"/>
  </r>
  <r>
    <x v="40"/>
    <s v="rom_fact_rohan_scouts"/>
    <n v="0"/>
    <x v="11"/>
    <n v="3"/>
    <n v="48840"/>
    <n v="2379"/>
    <n v="0"/>
    <m/>
    <x v="24"/>
  </r>
  <r>
    <x v="40"/>
    <s v="rom_fact_northern_enedwaith"/>
    <n v="5"/>
    <x v="3"/>
    <n v="42"/>
    <n v="18869"/>
    <n v="6879"/>
    <n v="230"/>
    <m/>
    <x v="25"/>
  </r>
  <r>
    <x v="40"/>
    <s v="rom_fact_southern_enedwaith"/>
    <n v="1"/>
    <x v="7"/>
    <n v="8"/>
    <n v="44899"/>
    <n v="2383"/>
    <n v="0"/>
    <m/>
    <x v="26"/>
  </r>
  <r>
    <x v="40"/>
    <s v="rom_fact_druedain"/>
    <n v="6"/>
    <x v="9"/>
    <n v="43"/>
    <n v="29653"/>
    <n v="6853"/>
    <n v="0"/>
    <m/>
    <x v="27"/>
  </r>
  <r>
    <x v="40"/>
    <s v="rom_fact_harondor"/>
    <n v="0"/>
    <x v="11"/>
    <n v="0"/>
    <n v="15146"/>
    <n v="1750"/>
    <n v="0"/>
    <m/>
    <x v="28"/>
  </r>
  <r>
    <x v="40"/>
    <s v="rom_fact_southron_nomads"/>
    <n v="0"/>
    <x v="11"/>
    <n v="0"/>
    <n v="4000"/>
    <n v="1750"/>
    <n v="0"/>
    <m/>
    <x v="29"/>
  </r>
  <r>
    <x v="40"/>
    <s v="rom_fact_separatist_harad"/>
    <n v="0"/>
    <x v="11"/>
    <n v="0"/>
    <n v="4000"/>
    <n v="1750"/>
    <n v="0"/>
    <m/>
    <x v="30"/>
  </r>
  <r>
    <x v="40"/>
    <s v="rom_fact_separatist_khand"/>
    <n v="0"/>
    <x v="11"/>
    <n v="0"/>
    <n v="4000"/>
    <n v="1750"/>
    <n v="0"/>
    <m/>
    <x v="30"/>
  </r>
  <r>
    <x v="40"/>
    <s v="rom_fact_separatist_balchoth"/>
    <n v="0"/>
    <x v="11"/>
    <n v="0"/>
    <n v="4000"/>
    <n v="1750"/>
    <n v="0"/>
    <m/>
    <x v="30"/>
  </r>
  <r>
    <x v="40"/>
    <s v="rom_fact_separatist_feredrim"/>
    <n v="0"/>
    <x v="11"/>
    <n v="0"/>
    <n v="4000"/>
    <n v="1750"/>
    <n v="0"/>
    <m/>
    <x v="30"/>
  </r>
  <r>
    <x v="40"/>
    <s v="rom_fact_separatist_haerrim"/>
    <n v="0"/>
    <x v="11"/>
    <n v="0"/>
    <n v="4000"/>
    <n v="1750"/>
    <n v="0"/>
    <m/>
    <x v="30"/>
  </r>
  <r>
    <x v="40"/>
    <s v="rom_fact_separatist_wainriders"/>
    <n v="0"/>
    <x v="11"/>
    <n v="0"/>
    <n v="4000"/>
    <n v="1750"/>
    <n v="0"/>
    <m/>
    <x v="30"/>
  </r>
  <r>
    <x v="40"/>
    <s v="rom_fact_separatist_rhurim"/>
    <n v="0"/>
    <x v="11"/>
    <n v="0"/>
    <n v="4000"/>
    <n v="1750"/>
    <n v="0"/>
    <m/>
    <x v="30"/>
  </r>
  <r>
    <x v="40"/>
    <s v="rom_fact_separatist_mahuds"/>
    <n v="0"/>
    <x v="11"/>
    <n v="0"/>
    <n v="4000"/>
    <n v="1750"/>
    <n v="0"/>
    <m/>
    <x v="30"/>
  </r>
  <r>
    <x v="40"/>
    <s v="rom_fact_separatist_umbar"/>
    <n v="0"/>
    <x v="11"/>
    <n v="0"/>
    <n v="4000"/>
    <n v="1750"/>
    <n v="0"/>
    <m/>
    <x v="30"/>
  </r>
  <r>
    <x v="41"/>
    <s v="rom_fact_mordor"/>
    <n v="153"/>
    <x v="25"/>
    <n v="191.8"/>
    <n v="4476"/>
    <n v="21614"/>
    <n v="885"/>
    <m/>
    <x v="0"/>
  </r>
  <r>
    <x v="41"/>
    <s v="rom_fact_gondor"/>
    <n v="128"/>
    <x v="6"/>
    <n v="137"/>
    <n v="59294"/>
    <n v="21386"/>
    <n v="0"/>
    <m/>
    <x v="1"/>
  </r>
  <r>
    <x v="41"/>
    <s v="rom_fact_dale"/>
    <n v="100"/>
    <x v="3"/>
    <n v="47"/>
    <n v="25853"/>
    <n v="8878"/>
    <n v="193"/>
    <m/>
    <x v="2"/>
  </r>
  <r>
    <x v="41"/>
    <s v="rom_fact_erebor"/>
    <n v="99"/>
    <x v="9"/>
    <n v="75.7"/>
    <n v="43724"/>
    <n v="17939"/>
    <n v="432"/>
    <m/>
    <x v="3"/>
  </r>
  <r>
    <x v="41"/>
    <s v="rom_fact_rohan"/>
    <n v="109"/>
    <x v="13"/>
    <n v="69.2"/>
    <n v="33890"/>
    <n v="9806"/>
    <n v="0"/>
    <m/>
    <x v="4"/>
  </r>
  <r>
    <x v="41"/>
    <s v="rom_fact_dol_guldur"/>
    <n v="135"/>
    <x v="4"/>
    <n v="177.5"/>
    <n v="12644"/>
    <n v="19849"/>
    <n v="1258"/>
    <m/>
    <x v="5"/>
  </r>
  <r>
    <x v="41"/>
    <s v="rom_fact_anduin_vale"/>
    <n v="58"/>
    <x v="11"/>
    <n v="0"/>
    <n v="4515"/>
    <n v="2500"/>
    <n v="0"/>
    <m/>
    <x v="6"/>
  </r>
  <r>
    <x v="41"/>
    <s v="rom_fact_isengard"/>
    <n v="133"/>
    <x v="5"/>
    <n v="86.3"/>
    <n v="18549"/>
    <n v="13397"/>
    <n v="672"/>
    <m/>
    <x v="7"/>
  </r>
  <r>
    <x v="41"/>
    <s v="rom_fact_woodland_realm"/>
    <n v="30"/>
    <x v="11"/>
    <n v="0"/>
    <n v="8475"/>
    <n v="2500"/>
    <n v="0"/>
    <m/>
    <x v="8"/>
  </r>
  <r>
    <x v="41"/>
    <s v="rom_fact_lothlorien"/>
    <n v="64"/>
    <x v="11"/>
    <n v="1"/>
    <n v="6365"/>
    <n v="2828"/>
    <n v="0"/>
    <m/>
    <x v="9"/>
  </r>
  <r>
    <x v="41"/>
    <s v="rom_fact_khand"/>
    <n v="0"/>
    <x v="11"/>
    <n v="0"/>
    <n v="4919"/>
    <n v="1750"/>
    <n v="0"/>
    <m/>
    <x v="10"/>
  </r>
  <r>
    <x v="41"/>
    <s v="rom_fact_umbar"/>
    <n v="10"/>
    <x v="13"/>
    <n v="106.6"/>
    <n v="16943"/>
    <n v="15892"/>
    <n v="987"/>
    <m/>
    <x v="11"/>
  </r>
  <r>
    <x v="41"/>
    <s v="rom_fact_mahuds"/>
    <n v="5"/>
    <x v="3"/>
    <n v="42"/>
    <n v="15527"/>
    <n v="6093"/>
    <n v="0"/>
    <m/>
    <x v="12"/>
  </r>
  <r>
    <x v="41"/>
    <s v="rom_fact_harad"/>
    <n v="82"/>
    <x v="8"/>
    <n v="84"/>
    <n v="8082"/>
    <n v="12003"/>
    <n v="0"/>
    <m/>
    <x v="13"/>
  </r>
  <r>
    <x v="41"/>
    <s v="rom_fact_dunland"/>
    <n v="89"/>
    <x v="5"/>
    <n v="101.6"/>
    <n v="13312"/>
    <n v="16323"/>
    <n v="836"/>
    <m/>
    <x v="14"/>
  </r>
  <r>
    <x v="41"/>
    <s v="rom_fact_haerrim"/>
    <n v="0"/>
    <x v="11"/>
    <n v="0"/>
    <n v="5352"/>
    <n v="1750"/>
    <n v="0"/>
    <m/>
    <x v="15"/>
  </r>
  <r>
    <x v="41"/>
    <s v="rom_fact_goblins"/>
    <n v="170"/>
    <x v="4"/>
    <n v="160.80000000000001"/>
    <n v="22177"/>
    <n v="22009"/>
    <n v="2524"/>
    <m/>
    <x v="16"/>
  </r>
  <r>
    <x v="41"/>
    <s v="rom_fact_balchoth"/>
    <n v="0"/>
    <x v="11"/>
    <n v="0"/>
    <n v="4872"/>
    <n v="1750"/>
    <n v="0"/>
    <m/>
    <x v="17"/>
  </r>
  <r>
    <x v="41"/>
    <s v="rom_fact_rhurim"/>
    <n v="135"/>
    <x v="26"/>
    <n v="426.2"/>
    <n v="37030"/>
    <n v="35997"/>
    <n v="1122"/>
    <m/>
    <x v="18"/>
  </r>
  <r>
    <x v="41"/>
    <s v="rom_fact_feredrim"/>
    <n v="0"/>
    <x v="11"/>
    <n v="0"/>
    <n v="7360"/>
    <n v="1750"/>
    <n v="0"/>
    <m/>
    <x v="19"/>
  </r>
  <r>
    <x v="41"/>
    <s v="rom_fact_wainriders"/>
    <n v="0"/>
    <x v="11"/>
    <n v="0"/>
    <n v="6395"/>
    <n v="1750"/>
    <n v="0"/>
    <m/>
    <x v="20"/>
  </r>
  <r>
    <x v="41"/>
    <s v="rom_fact_blacklock"/>
    <n v="5"/>
    <x v="3"/>
    <n v="48"/>
    <n v="52736"/>
    <n v="10890"/>
    <n v="0"/>
    <m/>
    <x v="21"/>
  </r>
  <r>
    <x v="41"/>
    <s v="rom_fact_ironfist"/>
    <n v="4"/>
    <x v="10"/>
    <n v="32"/>
    <n v="41573"/>
    <n v="5457"/>
    <n v="0"/>
    <m/>
    <x v="22"/>
  </r>
  <r>
    <x v="41"/>
    <s v="rom_fact_gundabad"/>
    <n v="111"/>
    <x v="2"/>
    <n v="143.30000000000001"/>
    <n v="11574"/>
    <n v="18147"/>
    <n v="895"/>
    <m/>
    <x v="23"/>
  </r>
  <r>
    <x v="41"/>
    <s v="rom_fact_rohan_scouts"/>
    <n v="0"/>
    <x v="11"/>
    <n v="3"/>
    <n v="49961"/>
    <n v="2379"/>
    <n v="0"/>
    <m/>
    <x v="24"/>
  </r>
  <r>
    <x v="41"/>
    <s v="rom_fact_northern_enedwaith"/>
    <n v="5"/>
    <x v="3"/>
    <n v="42"/>
    <n v="22214"/>
    <n v="6999"/>
    <n v="231"/>
    <m/>
    <x v="25"/>
  </r>
  <r>
    <x v="41"/>
    <s v="rom_fact_southern_enedwaith"/>
    <n v="1"/>
    <x v="7"/>
    <n v="8"/>
    <n v="46718"/>
    <n v="2407"/>
    <n v="0"/>
    <m/>
    <x v="26"/>
  </r>
  <r>
    <x v="41"/>
    <s v="rom_fact_druedain"/>
    <n v="6"/>
    <x v="9"/>
    <n v="40"/>
    <n v="31297"/>
    <n v="6483"/>
    <n v="0"/>
    <m/>
    <x v="27"/>
  </r>
  <r>
    <x v="41"/>
    <s v="rom_fact_harondor"/>
    <n v="0"/>
    <x v="11"/>
    <n v="0"/>
    <n v="15146"/>
    <n v="1750"/>
    <n v="0"/>
    <m/>
    <x v="28"/>
  </r>
  <r>
    <x v="41"/>
    <s v="rom_fact_southron_nomads"/>
    <n v="0"/>
    <x v="11"/>
    <n v="0"/>
    <n v="4000"/>
    <n v="1750"/>
    <n v="0"/>
    <m/>
    <x v="29"/>
  </r>
  <r>
    <x v="41"/>
    <s v="rom_fact_separatist_harad"/>
    <n v="0"/>
    <x v="11"/>
    <n v="0"/>
    <n v="4000"/>
    <n v="1750"/>
    <n v="0"/>
    <m/>
    <x v="30"/>
  </r>
  <r>
    <x v="41"/>
    <s v="rom_fact_separatist_khand"/>
    <n v="0"/>
    <x v="11"/>
    <n v="0"/>
    <n v="4000"/>
    <n v="1750"/>
    <n v="0"/>
    <m/>
    <x v="30"/>
  </r>
  <r>
    <x v="41"/>
    <s v="rom_fact_separatist_balchoth"/>
    <n v="0"/>
    <x v="11"/>
    <n v="0"/>
    <n v="4000"/>
    <n v="1750"/>
    <n v="0"/>
    <m/>
    <x v="30"/>
  </r>
  <r>
    <x v="41"/>
    <s v="rom_fact_separatist_feredrim"/>
    <n v="0"/>
    <x v="11"/>
    <n v="0"/>
    <n v="4000"/>
    <n v="1750"/>
    <n v="0"/>
    <m/>
    <x v="30"/>
  </r>
  <r>
    <x v="41"/>
    <s v="rom_fact_separatist_haerrim"/>
    <n v="0"/>
    <x v="11"/>
    <n v="0"/>
    <n v="4000"/>
    <n v="1750"/>
    <n v="0"/>
    <m/>
    <x v="30"/>
  </r>
  <r>
    <x v="41"/>
    <s v="rom_fact_separatist_wainriders"/>
    <n v="0"/>
    <x v="11"/>
    <n v="0"/>
    <n v="4000"/>
    <n v="1750"/>
    <n v="0"/>
    <m/>
    <x v="30"/>
  </r>
  <r>
    <x v="41"/>
    <s v="rom_fact_separatist_rhurim"/>
    <n v="0"/>
    <x v="11"/>
    <n v="0"/>
    <n v="4000"/>
    <n v="1750"/>
    <n v="0"/>
    <m/>
    <x v="30"/>
  </r>
  <r>
    <x v="41"/>
    <s v="rom_fact_separatist_mahuds"/>
    <n v="0"/>
    <x v="11"/>
    <n v="0"/>
    <n v="4000"/>
    <n v="1750"/>
    <n v="0"/>
    <m/>
    <x v="30"/>
  </r>
  <r>
    <x v="41"/>
    <s v="rom_fact_separatist_umbar"/>
    <n v="0"/>
    <x v="11"/>
    <n v="0"/>
    <n v="4000"/>
    <n v="1750"/>
    <n v="0"/>
    <m/>
    <x v="30"/>
  </r>
  <r>
    <x v="42"/>
    <s v="rom_fact_mordor"/>
    <n v="158"/>
    <x v="27"/>
    <n v="202.5"/>
    <n v="4623"/>
    <n v="22533"/>
    <n v="1094"/>
    <m/>
    <x v="0"/>
  </r>
  <r>
    <x v="42"/>
    <s v="rom_fact_gondor"/>
    <n v="127"/>
    <x v="12"/>
    <n v="129"/>
    <n v="50813"/>
    <n v="20545"/>
    <n v="525"/>
    <m/>
    <x v="1"/>
  </r>
  <r>
    <x v="42"/>
    <s v="rom_fact_dale"/>
    <n v="100"/>
    <x v="3"/>
    <n v="48"/>
    <n v="24581"/>
    <n v="9001"/>
    <n v="0"/>
    <m/>
    <x v="2"/>
  </r>
  <r>
    <x v="42"/>
    <s v="rom_fact_erebor"/>
    <n v="99"/>
    <x v="9"/>
    <n v="57.7"/>
    <n v="51172"/>
    <n v="16043"/>
    <n v="0"/>
    <m/>
    <x v="3"/>
  </r>
  <r>
    <x v="42"/>
    <s v="rom_fact_rohan"/>
    <n v="110"/>
    <x v="12"/>
    <n v="70.2"/>
    <n v="33087"/>
    <n v="10431"/>
    <n v="425"/>
    <m/>
    <x v="4"/>
  </r>
  <r>
    <x v="42"/>
    <s v="rom_fact_dol_guldur"/>
    <n v="135"/>
    <x v="4"/>
    <n v="179.6"/>
    <n v="12277"/>
    <n v="20769"/>
    <n v="1267"/>
    <m/>
    <x v="5"/>
  </r>
  <r>
    <x v="42"/>
    <s v="rom_fact_anduin_vale"/>
    <n v="58"/>
    <x v="11"/>
    <n v="0"/>
    <n v="4515"/>
    <n v="2500"/>
    <n v="0"/>
    <m/>
    <x v="6"/>
  </r>
  <r>
    <x v="42"/>
    <s v="rom_fact_isengard"/>
    <n v="137"/>
    <x v="8"/>
    <n v="92.8"/>
    <n v="13760"/>
    <n v="14570"/>
    <n v="673"/>
    <m/>
    <x v="7"/>
  </r>
  <r>
    <x v="42"/>
    <s v="rom_fact_woodland_realm"/>
    <n v="30"/>
    <x v="11"/>
    <n v="0"/>
    <n v="8475"/>
    <n v="2500"/>
    <n v="0"/>
    <m/>
    <x v="8"/>
  </r>
  <r>
    <x v="42"/>
    <s v="rom_fact_lothlorien"/>
    <n v="64"/>
    <x v="11"/>
    <n v="3"/>
    <n v="6297"/>
    <n v="3240"/>
    <n v="0"/>
    <m/>
    <x v="9"/>
  </r>
  <r>
    <x v="42"/>
    <s v="rom_fact_khand"/>
    <n v="0"/>
    <x v="11"/>
    <n v="0"/>
    <n v="4919"/>
    <n v="1750"/>
    <n v="0"/>
    <m/>
    <x v="10"/>
  </r>
  <r>
    <x v="42"/>
    <s v="rom_fact_umbar"/>
    <n v="10"/>
    <x v="13"/>
    <n v="109.6"/>
    <n v="21458"/>
    <n v="15865"/>
    <n v="992"/>
    <m/>
    <x v="11"/>
  </r>
  <r>
    <x v="42"/>
    <s v="rom_fact_mahuds"/>
    <n v="5"/>
    <x v="3"/>
    <n v="45"/>
    <n v="16297"/>
    <n v="6680"/>
    <n v="0"/>
    <m/>
    <x v="12"/>
  </r>
  <r>
    <x v="42"/>
    <s v="rom_fact_harad"/>
    <n v="82"/>
    <x v="8"/>
    <n v="85"/>
    <n v="7796"/>
    <n v="13053"/>
    <n v="0"/>
    <m/>
    <x v="13"/>
  </r>
  <r>
    <x v="42"/>
    <s v="rom_fact_dunland"/>
    <n v="94"/>
    <x v="5"/>
    <n v="103.6"/>
    <n v="13603"/>
    <n v="17215"/>
    <n v="839"/>
    <m/>
    <x v="14"/>
  </r>
  <r>
    <x v="42"/>
    <s v="rom_fact_haerrim"/>
    <n v="0"/>
    <x v="11"/>
    <n v="0"/>
    <n v="5352"/>
    <n v="1750"/>
    <n v="0"/>
    <m/>
    <x v="15"/>
  </r>
  <r>
    <x v="42"/>
    <s v="rom_fact_goblins"/>
    <n v="175"/>
    <x v="4"/>
    <n v="161.80000000000001"/>
    <n v="30321"/>
    <n v="22880"/>
    <n v="2531"/>
    <m/>
    <x v="16"/>
  </r>
  <r>
    <x v="42"/>
    <s v="rom_fact_balchoth"/>
    <n v="0"/>
    <x v="11"/>
    <n v="0"/>
    <n v="4872"/>
    <n v="1750"/>
    <n v="0"/>
    <m/>
    <x v="17"/>
  </r>
  <r>
    <x v="42"/>
    <s v="rom_fact_rhurim"/>
    <n v="135"/>
    <x v="26"/>
    <n v="430.4"/>
    <n v="41496"/>
    <n v="36246"/>
    <n v="1207"/>
    <m/>
    <x v="18"/>
  </r>
  <r>
    <x v="42"/>
    <s v="rom_fact_feredrim"/>
    <n v="0"/>
    <x v="11"/>
    <n v="0"/>
    <n v="7360"/>
    <n v="1750"/>
    <n v="0"/>
    <m/>
    <x v="19"/>
  </r>
  <r>
    <x v="42"/>
    <s v="rom_fact_wainriders"/>
    <n v="0"/>
    <x v="11"/>
    <n v="0"/>
    <n v="6395"/>
    <n v="1750"/>
    <n v="0"/>
    <m/>
    <x v="20"/>
  </r>
  <r>
    <x v="42"/>
    <s v="rom_fact_blacklock"/>
    <n v="5"/>
    <x v="3"/>
    <n v="48"/>
    <n v="56298"/>
    <n v="10890"/>
    <n v="0"/>
    <m/>
    <x v="21"/>
  </r>
  <r>
    <x v="42"/>
    <s v="rom_fact_ironfist"/>
    <n v="4"/>
    <x v="10"/>
    <n v="35"/>
    <n v="39150"/>
    <n v="6952"/>
    <n v="0"/>
    <m/>
    <x v="22"/>
  </r>
  <r>
    <x v="42"/>
    <s v="rom_fact_gundabad"/>
    <n v="111"/>
    <x v="2"/>
    <n v="149.69999999999999"/>
    <n v="19119"/>
    <n v="18144"/>
    <n v="899"/>
    <m/>
    <x v="23"/>
  </r>
  <r>
    <x v="42"/>
    <s v="rom_fact_rohan_scouts"/>
    <n v="0"/>
    <x v="11"/>
    <n v="3"/>
    <n v="51082"/>
    <n v="2379"/>
    <n v="0"/>
    <m/>
    <x v="24"/>
  </r>
  <r>
    <x v="42"/>
    <s v="rom_fact_northern_enedwaith"/>
    <n v="5"/>
    <x v="3"/>
    <n v="42"/>
    <n v="25672"/>
    <n v="7076"/>
    <n v="232"/>
    <m/>
    <x v="25"/>
  </r>
  <r>
    <x v="42"/>
    <s v="rom_fact_southern_enedwaith"/>
    <n v="1"/>
    <x v="7"/>
    <n v="8"/>
    <n v="48566"/>
    <n v="2388"/>
    <n v="0"/>
    <m/>
    <x v="26"/>
  </r>
  <r>
    <x v="42"/>
    <s v="rom_fact_druedain"/>
    <n v="6"/>
    <x v="9"/>
    <n v="40"/>
    <n v="32114"/>
    <n v="6427"/>
    <n v="0"/>
    <m/>
    <x v="27"/>
  </r>
  <r>
    <x v="42"/>
    <s v="rom_fact_harondor"/>
    <n v="0"/>
    <x v="11"/>
    <n v="0"/>
    <n v="15146"/>
    <n v="1750"/>
    <n v="0"/>
    <m/>
    <x v="28"/>
  </r>
  <r>
    <x v="42"/>
    <s v="rom_fact_southron_nomads"/>
    <n v="0"/>
    <x v="11"/>
    <n v="0"/>
    <n v="4000"/>
    <n v="1750"/>
    <n v="0"/>
    <m/>
    <x v="29"/>
  </r>
  <r>
    <x v="42"/>
    <s v="rom_fact_separatist_harad"/>
    <n v="0"/>
    <x v="11"/>
    <n v="0"/>
    <n v="4000"/>
    <n v="1750"/>
    <n v="0"/>
    <m/>
    <x v="30"/>
  </r>
  <r>
    <x v="42"/>
    <s v="rom_fact_separatist_khand"/>
    <n v="0"/>
    <x v="11"/>
    <n v="0"/>
    <n v="4000"/>
    <n v="1750"/>
    <n v="0"/>
    <m/>
    <x v="30"/>
  </r>
  <r>
    <x v="42"/>
    <s v="rom_fact_separatist_balchoth"/>
    <n v="0"/>
    <x v="11"/>
    <n v="0"/>
    <n v="4000"/>
    <n v="1750"/>
    <n v="0"/>
    <m/>
    <x v="30"/>
  </r>
  <r>
    <x v="42"/>
    <s v="rom_fact_separatist_feredrim"/>
    <n v="0"/>
    <x v="11"/>
    <n v="0"/>
    <n v="4000"/>
    <n v="1750"/>
    <n v="0"/>
    <m/>
    <x v="30"/>
  </r>
  <r>
    <x v="42"/>
    <s v="rom_fact_separatist_haerrim"/>
    <n v="0"/>
    <x v="11"/>
    <n v="0"/>
    <n v="4000"/>
    <n v="1750"/>
    <n v="0"/>
    <m/>
    <x v="30"/>
  </r>
  <r>
    <x v="42"/>
    <s v="rom_fact_separatist_wainriders"/>
    <n v="0"/>
    <x v="11"/>
    <n v="0"/>
    <n v="4000"/>
    <n v="1750"/>
    <n v="0"/>
    <m/>
    <x v="30"/>
  </r>
  <r>
    <x v="42"/>
    <s v="rom_fact_separatist_rhurim"/>
    <n v="0"/>
    <x v="11"/>
    <n v="0"/>
    <n v="4000"/>
    <n v="1750"/>
    <n v="0"/>
    <m/>
    <x v="30"/>
  </r>
  <r>
    <x v="42"/>
    <s v="rom_fact_separatist_mahuds"/>
    <n v="0"/>
    <x v="11"/>
    <n v="0"/>
    <n v="4000"/>
    <n v="1750"/>
    <n v="0"/>
    <m/>
    <x v="30"/>
  </r>
  <r>
    <x v="42"/>
    <s v="rom_fact_separatist_umbar"/>
    <n v="0"/>
    <x v="11"/>
    <n v="0"/>
    <n v="4000"/>
    <n v="1750"/>
    <n v="0"/>
    <m/>
    <x v="30"/>
  </r>
  <r>
    <x v="43"/>
    <s v="rom_fact_mordor"/>
    <n v="164"/>
    <x v="28"/>
    <n v="204.3"/>
    <n v="1478"/>
    <n v="22691"/>
    <n v="1217"/>
    <m/>
    <x v="0"/>
  </r>
  <r>
    <x v="43"/>
    <s v="rom_fact_gondor"/>
    <n v="126"/>
    <x v="13"/>
    <n v="118"/>
    <n v="49821"/>
    <n v="20471"/>
    <n v="404"/>
    <m/>
    <x v="1"/>
  </r>
  <r>
    <x v="43"/>
    <s v="rom_fact_dale"/>
    <n v="100"/>
    <x v="3"/>
    <n v="50.6"/>
    <n v="16338"/>
    <n v="9837"/>
    <n v="192"/>
    <m/>
    <x v="2"/>
  </r>
  <r>
    <x v="43"/>
    <s v="rom_fact_erebor"/>
    <n v="119"/>
    <x v="9"/>
    <n v="60.8"/>
    <n v="50604"/>
    <n v="16724"/>
    <n v="431"/>
    <m/>
    <x v="3"/>
  </r>
  <r>
    <x v="43"/>
    <s v="rom_fact_rohan"/>
    <n v="125"/>
    <x v="12"/>
    <n v="70.2"/>
    <n v="28846"/>
    <n v="9521"/>
    <n v="344"/>
    <m/>
    <x v="4"/>
  </r>
  <r>
    <x v="43"/>
    <s v="rom_fact_dol_guldur"/>
    <n v="135"/>
    <x v="4"/>
    <n v="180.7"/>
    <n v="10426"/>
    <n v="20679"/>
    <n v="1260"/>
    <m/>
    <x v="5"/>
  </r>
  <r>
    <x v="43"/>
    <s v="rom_fact_anduin_vale"/>
    <n v="58"/>
    <x v="11"/>
    <n v="0"/>
    <n v="4515"/>
    <n v="2500"/>
    <n v="0"/>
    <m/>
    <x v="6"/>
  </r>
  <r>
    <x v="43"/>
    <s v="rom_fact_isengard"/>
    <n v="137"/>
    <x v="8"/>
    <n v="104.1"/>
    <n v="14998"/>
    <n v="15218"/>
    <n v="671"/>
    <m/>
    <x v="7"/>
  </r>
  <r>
    <x v="43"/>
    <s v="rom_fact_woodland_realm"/>
    <n v="30"/>
    <x v="11"/>
    <n v="0"/>
    <n v="8475"/>
    <n v="2500"/>
    <n v="0"/>
    <m/>
    <x v="8"/>
  </r>
  <r>
    <x v="43"/>
    <s v="rom_fact_lothlorien"/>
    <n v="64"/>
    <x v="11"/>
    <n v="0"/>
    <n v="4721"/>
    <n v="2500"/>
    <n v="0"/>
    <m/>
    <x v="9"/>
  </r>
  <r>
    <x v="43"/>
    <s v="rom_fact_khand"/>
    <n v="0"/>
    <x v="11"/>
    <n v="0"/>
    <n v="4919"/>
    <n v="1750"/>
    <n v="0"/>
    <m/>
    <x v="10"/>
  </r>
  <r>
    <x v="43"/>
    <s v="rom_fact_umbar"/>
    <n v="10"/>
    <x v="13"/>
    <n v="113.6"/>
    <n v="13861"/>
    <n v="16850"/>
    <n v="998"/>
    <m/>
    <x v="11"/>
  </r>
  <r>
    <x v="43"/>
    <s v="rom_fact_mahuds"/>
    <n v="5"/>
    <x v="3"/>
    <n v="48"/>
    <n v="12345"/>
    <n v="7066"/>
    <n v="0"/>
    <m/>
    <x v="12"/>
  </r>
  <r>
    <x v="43"/>
    <s v="rom_fact_harad"/>
    <n v="82"/>
    <x v="8"/>
    <n v="85"/>
    <n v="11111"/>
    <n v="12949"/>
    <n v="0"/>
    <m/>
    <x v="13"/>
  </r>
  <r>
    <x v="43"/>
    <s v="rom_fact_dunland"/>
    <n v="94"/>
    <x v="5"/>
    <n v="104.6"/>
    <n v="14021"/>
    <n v="16816"/>
    <n v="831"/>
    <m/>
    <x v="14"/>
  </r>
  <r>
    <x v="43"/>
    <s v="rom_fact_haerrim"/>
    <n v="0"/>
    <x v="11"/>
    <n v="0"/>
    <n v="5352"/>
    <n v="1750"/>
    <n v="0"/>
    <m/>
    <x v="15"/>
  </r>
  <r>
    <x v="43"/>
    <s v="rom_fact_goblins"/>
    <n v="175"/>
    <x v="4"/>
    <n v="173.8"/>
    <n v="24413"/>
    <n v="21667"/>
    <n v="2521"/>
    <m/>
    <x v="16"/>
  </r>
  <r>
    <x v="43"/>
    <s v="rom_fact_balchoth"/>
    <n v="0"/>
    <x v="11"/>
    <n v="0"/>
    <n v="4872"/>
    <n v="1750"/>
    <n v="0"/>
    <m/>
    <x v="17"/>
  </r>
  <r>
    <x v="43"/>
    <s v="rom_fact_rhurim"/>
    <n v="144"/>
    <x v="26"/>
    <n v="416.1"/>
    <n v="37549"/>
    <n v="34516"/>
    <n v="1204"/>
    <m/>
    <x v="18"/>
  </r>
  <r>
    <x v="43"/>
    <s v="rom_fact_feredrim"/>
    <n v="0"/>
    <x v="11"/>
    <n v="0"/>
    <n v="7360"/>
    <n v="1750"/>
    <n v="0"/>
    <m/>
    <x v="19"/>
  </r>
  <r>
    <x v="43"/>
    <s v="rom_fact_wainriders"/>
    <n v="0"/>
    <x v="11"/>
    <n v="0"/>
    <n v="6395"/>
    <n v="1750"/>
    <n v="0"/>
    <m/>
    <x v="20"/>
  </r>
  <r>
    <x v="43"/>
    <s v="rom_fact_blacklock"/>
    <n v="5"/>
    <x v="3"/>
    <n v="48"/>
    <n v="59860"/>
    <n v="10890"/>
    <n v="0"/>
    <m/>
    <x v="21"/>
  </r>
  <r>
    <x v="43"/>
    <s v="rom_fact_ironfist"/>
    <n v="4"/>
    <x v="10"/>
    <n v="38"/>
    <n v="39576"/>
    <n v="7290"/>
    <n v="0"/>
    <m/>
    <x v="22"/>
  </r>
  <r>
    <x v="43"/>
    <s v="rom_fact_gundabad"/>
    <n v="111"/>
    <x v="2"/>
    <n v="152.69999999999999"/>
    <n v="17967"/>
    <n v="17674"/>
    <n v="892"/>
    <m/>
    <x v="23"/>
  </r>
  <r>
    <x v="43"/>
    <s v="rom_fact_rohan_scouts"/>
    <n v="0"/>
    <x v="11"/>
    <n v="3"/>
    <n v="52203"/>
    <n v="2379"/>
    <n v="0"/>
    <m/>
    <x v="24"/>
  </r>
  <r>
    <x v="43"/>
    <s v="rom_fact_northern_enedwaith"/>
    <n v="5"/>
    <x v="3"/>
    <n v="42"/>
    <n v="29100"/>
    <n v="7154"/>
    <n v="231"/>
    <m/>
    <x v="25"/>
  </r>
  <r>
    <x v="43"/>
    <s v="rom_fact_southern_enedwaith"/>
    <n v="1"/>
    <x v="7"/>
    <n v="8"/>
    <n v="50385"/>
    <n v="2407"/>
    <n v="0"/>
    <m/>
    <x v="26"/>
  </r>
  <r>
    <x v="43"/>
    <s v="rom_fact_druedain"/>
    <n v="6"/>
    <x v="9"/>
    <n v="37"/>
    <n v="30287"/>
    <n v="6094"/>
    <n v="0"/>
    <m/>
    <x v="27"/>
  </r>
  <r>
    <x v="43"/>
    <s v="rom_fact_harondor"/>
    <n v="0"/>
    <x v="11"/>
    <n v="0"/>
    <n v="15146"/>
    <n v="1750"/>
    <n v="0"/>
    <m/>
    <x v="28"/>
  </r>
  <r>
    <x v="43"/>
    <s v="rom_fact_southron_nomads"/>
    <n v="0"/>
    <x v="11"/>
    <n v="0"/>
    <n v="4000"/>
    <n v="1750"/>
    <n v="0"/>
    <m/>
    <x v="29"/>
  </r>
  <r>
    <x v="43"/>
    <s v="rom_fact_separatist_harad"/>
    <n v="0"/>
    <x v="11"/>
    <n v="0"/>
    <n v="4000"/>
    <n v="1750"/>
    <n v="0"/>
    <m/>
    <x v="30"/>
  </r>
  <r>
    <x v="43"/>
    <s v="rom_fact_separatist_khand"/>
    <n v="0"/>
    <x v="11"/>
    <n v="0"/>
    <n v="4000"/>
    <n v="1750"/>
    <n v="0"/>
    <m/>
    <x v="30"/>
  </r>
  <r>
    <x v="43"/>
    <s v="rom_fact_separatist_balchoth"/>
    <n v="0"/>
    <x v="11"/>
    <n v="0"/>
    <n v="4000"/>
    <n v="1750"/>
    <n v="0"/>
    <m/>
    <x v="30"/>
  </r>
  <r>
    <x v="43"/>
    <s v="rom_fact_separatist_feredrim"/>
    <n v="0"/>
    <x v="11"/>
    <n v="0"/>
    <n v="4000"/>
    <n v="1750"/>
    <n v="0"/>
    <m/>
    <x v="30"/>
  </r>
  <r>
    <x v="43"/>
    <s v="rom_fact_separatist_haerrim"/>
    <n v="0"/>
    <x v="11"/>
    <n v="0"/>
    <n v="4000"/>
    <n v="1750"/>
    <n v="0"/>
    <m/>
    <x v="30"/>
  </r>
  <r>
    <x v="43"/>
    <s v="rom_fact_separatist_wainriders"/>
    <n v="0"/>
    <x v="11"/>
    <n v="0"/>
    <n v="4000"/>
    <n v="1750"/>
    <n v="0"/>
    <m/>
    <x v="30"/>
  </r>
  <r>
    <x v="43"/>
    <s v="rom_fact_separatist_rhurim"/>
    <n v="0"/>
    <x v="11"/>
    <n v="0"/>
    <n v="4000"/>
    <n v="1750"/>
    <n v="0"/>
    <m/>
    <x v="30"/>
  </r>
  <r>
    <x v="43"/>
    <s v="rom_fact_separatist_mahuds"/>
    <n v="0"/>
    <x v="11"/>
    <n v="0"/>
    <n v="4000"/>
    <n v="1750"/>
    <n v="0"/>
    <m/>
    <x v="30"/>
  </r>
  <r>
    <x v="43"/>
    <s v="rom_fact_separatist_umbar"/>
    <n v="0"/>
    <x v="11"/>
    <n v="0"/>
    <n v="4000"/>
    <n v="1750"/>
    <n v="0"/>
    <m/>
    <x v="30"/>
  </r>
  <r>
    <x v="44"/>
    <s v="rom_fact_mordor"/>
    <n v="163"/>
    <x v="27"/>
    <n v="202.4"/>
    <n v="10688"/>
    <n v="21895"/>
    <n v="1207"/>
    <m/>
    <x v="0"/>
  </r>
  <r>
    <x v="44"/>
    <s v="rom_fact_gondor"/>
    <n v="131"/>
    <x v="13"/>
    <n v="125"/>
    <n v="55215"/>
    <n v="21837"/>
    <n v="404"/>
    <m/>
    <x v="1"/>
  </r>
  <r>
    <x v="44"/>
    <s v="rom_fact_dale"/>
    <n v="105"/>
    <x v="3"/>
    <n v="49.6"/>
    <n v="18607"/>
    <n v="9953"/>
    <n v="193"/>
    <m/>
    <x v="2"/>
  </r>
  <r>
    <x v="44"/>
    <s v="rom_fact_erebor"/>
    <n v="124"/>
    <x v="9"/>
    <n v="72.8"/>
    <n v="51460"/>
    <n v="17619"/>
    <n v="432"/>
    <m/>
    <x v="3"/>
  </r>
  <r>
    <x v="44"/>
    <s v="rom_fact_rohan"/>
    <n v="134"/>
    <x v="12"/>
    <n v="78.2"/>
    <n v="27973"/>
    <n v="9477"/>
    <n v="344"/>
    <m/>
    <x v="4"/>
  </r>
  <r>
    <x v="44"/>
    <s v="rom_fact_dol_guldur"/>
    <n v="140"/>
    <x v="4"/>
    <n v="179.7"/>
    <n v="10652"/>
    <n v="21131"/>
    <n v="1263"/>
    <m/>
    <x v="5"/>
  </r>
  <r>
    <x v="44"/>
    <s v="rom_fact_anduin_vale"/>
    <n v="58"/>
    <x v="11"/>
    <n v="0"/>
    <n v="4515"/>
    <n v="2500"/>
    <n v="0"/>
    <m/>
    <x v="6"/>
  </r>
  <r>
    <x v="44"/>
    <s v="rom_fact_isengard"/>
    <n v="147"/>
    <x v="8"/>
    <n v="111.8"/>
    <n v="17714"/>
    <n v="17211"/>
    <n v="675"/>
    <m/>
    <x v="7"/>
  </r>
  <r>
    <x v="44"/>
    <s v="rom_fact_woodland_realm"/>
    <n v="30"/>
    <x v="11"/>
    <n v="0"/>
    <n v="8475"/>
    <n v="2500"/>
    <n v="0"/>
    <m/>
    <x v="8"/>
  </r>
  <r>
    <x v="44"/>
    <s v="rom_fact_lothlorien"/>
    <n v="64"/>
    <x v="11"/>
    <n v="0"/>
    <n v="4721"/>
    <n v="2500"/>
    <n v="0"/>
    <m/>
    <x v="9"/>
  </r>
  <r>
    <x v="44"/>
    <s v="rom_fact_khand"/>
    <n v="0"/>
    <x v="11"/>
    <n v="0"/>
    <n v="4919"/>
    <n v="1750"/>
    <n v="0"/>
    <m/>
    <x v="10"/>
  </r>
  <r>
    <x v="44"/>
    <s v="rom_fact_umbar"/>
    <n v="10"/>
    <x v="13"/>
    <n v="91.6"/>
    <n v="14594"/>
    <n v="15047"/>
    <n v="998"/>
    <m/>
    <x v="11"/>
  </r>
  <r>
    <x v="44"/>
    <s v="rom_fact_mahuds"/>
    <n v="5"/>
    <x v="3"/>
    <n v="48"/>
    <n v="13148"/>
    <n v="6775"/>
    <n v="0"/>
    <m/>
    <x v="12"/>
  </r>
  <r>
    <x v="44"/>
    <s v="rom_fact_harad"/>
    <n v="87"/>
    <x v="8"/>
    <n v="84"/>
    <n v="14213"/>
    <n v="12466"/>
    <n v="0"/>
    <m/>
    <x v="13"/>
  </r>
  <r>
    <x v="44"/>
    <s v="rom_fact_dunland"/>
    <n v="94"/>
    <x v="5"/>
    <n v="104.6"/>
    <n v="14255"/>
    <n v="17350"/>
    <n v="839"/>
    <m/>
    <x v="14"/>
  </r>
  <r>
    <x v="44"/>
    <s v="rom_fact_haerrim"/>
    <n v="0"/>
    <x v="11"/>
    <n v="0"/>
    <n v="5352"/>
    <n v="1750"/>
    <n v="0"/>
    <m/>
    <x v="15"/>
  </r>
  <r>
    <x v="44"/>
    <s v="rom_fact_goblins"/>
    <n v="185"/>
    <x v="4"/>
    <n v="173.8"/>
    <n v="21097"/>
    <n v="22478"/>
    <n v="2535"/>
    <m/>
    <x v="16"/>
  </r>
  <r>
    <x v="44"/>
    <s v="rom_fact_balchoth"/>
    <n v="0"/>
    <x v="11"/>
    <n v="0"/>
    <n v="4872"/>
    <n v="1750"/>
    <n v="0"/>
    <m/>
    <x v="17"/>
  </r>
  <r>
    <x v="44"/>
    <s v="rom_fact_rhurim"/>
    <n v="144"/>
    <x v="26"/>
    <n v="425.5"/>
    <n v="37786"/>
    <n v="34215"/>
    <n v="1200"/>
    <m/>
    <x v="18"/>
  </r>
  <r>
    <x v="44"/>
    <s v="rom_fact_feredrim"/>
    <n v="0"/>
    <x v="11"/>
    <n v="0"/>
    <n v="7360"/>
    <n v="1750"/>
    <n v="0"/>
    <m/>
    <x v="19"/>
  </r>
  <r>
    <x v="44"/>
    <s v="rom_fact_wainriders"/>
    <n v="0"/>
    <x v="11"/>
    <n v="0"/>
    <n v="6395"/>
    <n v="1750"/>
    <n v="0"/>
    <m/>
    <x v="20"/>
  </r>
  <r>
    <x v="44"/>
    <s v="rom_fact_blacklock"/>
    <n v="5"/>
    <x v="3"/>
    <n v="48"/>
    <n v="63422"/>
    <n v="10890"/>
    <n v="0"/>
    <m/>
    <x v="21"/>
  </r>
  <r>
    <x v="44"/>
    <s v="rom_fact_ironfist"/>
    <n v="4"/>
    <x v="10"/>
    <n v="41"/>
    <n v="40098"/>
    <n v="7194"/>
    <n v="0"/>
    <m/>
    <x v="22"/>
  </r>
  <r>
    <x v="44"/>
    <s v="rom_fact_gundabad"/>
    <n v="111"/>
    <x v="2"/>
    <n v="161"/>
    <n v="14624"/>
    <n v="18944"/>
    <n v="897"/>
    <m/>
    <x v="23"/>
  </r>
  <r>
    <x v="44"/>
    <s v="rom_fact_rohan_scouts"/>
    <n v="0"/>
    <x v="11"/>
    <n v="3"/>
    <n v="53324"/>
    <n v="2379"/>
    <n v="0"/>
    <m/>
    <x v="24"/>
  </r>
  <r>
    <x v="44"/>
    <s v="rom_fact_northern_enedwaith"/>
    <n v="5"/>
    <x v="3"/>
    <n v="43"/>
    <n v="32453"/>
    <n v="6995"/>
    <n v="231"/>
    <m/>
    <x v="25"/>
  </r>
  <r>
    <x v="44"/>
    <s v="rom_fact_southern_enedwaith"/>
    <n v="1"/>
    <x v="7"/>
    <n v="8"/>
    <n v="52204"/>
    <n v="2407"/>
    <n v="0"/>
    <m/>
    <x v="26"/>
  </r>
  <r>
    <x v="44"/>
    <s v="rom_fact_druedain"/>
    <n v="6"/>
    <x v="9"/>
    <n v="37"/>
    <n v="31981"/>
    <n v="6080"/>
    <n v="0"/>
    <m/>
    <x v="27"/>
  </r>
  <r>
    <x v="44"/>
    <s v="rom_fact_harondor"/>
    <n v="0"/>
    <x v="11"/>
    <n v="0"/>
    <n v="15146"/>
    <n v="1750"/>
    <n v="0"/>
    <m/>
    <x v="28"/>
  </r>
  <r>
    <x v="44"/>
    <s v="rom_fact_southron_nomads"/>
    <n v="0"/>
    <x v="11"/>
    <n v="0"/>
    <n v="4000"/>
    <n v="1750"/>
    <n v="0"/>
    <m/>
    <x v="29"/>
  </r>
  <r>
    <x v="44"/>
    <s v="rom_fact_separatist_harad"/>
    <n v="0"/>
    <x v="11"/>
    <n v="0"/>
    <n v="4000"/>
    <n v="1750"/>
    <n v="0"/>
    <m/>
    <x v="30"/>
  </r>
  <r>
    <x v="44"/>
    <s v="rom_fact_separatist_khand"/>
    <n v="0"/>
    <x v="11"/>
    <n v="0"/>
    <n v="4000"/>
    <n v="1750"/>
    <n v="0"/>
    <m/>
    <x v="30"/>
  </r>
  <r>
    <x v="44"/>
    <s v="rom_fact_separatist_balchoth"/>
    <n v="0"/>
    <x v="11"/>
    <n v="0"/>
    <n v="4000"/>
    <n v="1750"/>
    <n v="0"/>
    <m/>
    <x v="30"/>
  </r>
  <r>
    <x v="44"/>
    <s v="rom_fact_separatist_feredrim"/>
    <n v="0"/>
    <x v="11"/>
    <n v="0"/>
    <n v="4000"/>
    <n v="1750"/>
    <n v="0"/>
    <m/>
    <x v="30"/>
  </r>
  <r>
    <x v="44"/>
    <s v="rom_fact_separatist_haerrim"/>
    <n v="0"/>
    <x v="11"/>
    <n v="0"/>
    <n v="4000"/>
    <n v="1750"/>
    <n v="0"/>
    <m/>
    <x v="30"/>
  </r>
  <r>
    <x v="44"/>
    <s v="rom_fact_separatist_wainriders"/>
    <n v="0"/>
    <x v="11"/>
    <n v="0"/>
    <n v="4000"/>
    <n v="1750"/>
    <n v="0"/>
    <m/>
    <x v="30"/>
  </r>
  <r>
    <x v="44"/>
    <s v="rom_fact_separatist_rhurim"/>
    <n v="0"/>
    <x v="11"/>
    <n v="0"/>
    <n v="4000"/>
    <n v="1750"/>
    <n v="0"/>
    <m/>
    <x v="30"/>
  </r>
  <r>
    <x v="44"/>
    <s v="rom_fact_separatist_mahuds"/>
    <n v="0"/>
    <x v="11"/>
    <n v="0"/>
    <n v="4000"/>
    <n v="1750"/>
    <n v="0"/>
    <m/>
    <x v="30"/>
  </r>
  <r>
    <x v="44"/>
    <s v="rom_fact_separatist_umbar"/>
    <n v="0"/>
    <x v="11"/>
    <n v="0"/>
    <n v="4000"/>
    <n v="1750"/>
    <n v="0"/>
    <m/>
    <x v="30"/>
  </r>
  <r>
    <x v="45"/>
    <s v="rom_fact_mordor"/>
    <n v="163"/>
    <x v="27"/>
    <n v="207.3"/>
    <n v="657"/>
    <n v="22122"/>
    <n v="1208"/>
    <m/>
    <x v="0"/>
  </r>
  <r>
    <x v="45"/>
    <s v="rom_fact_gondor"/>
    <n v="131"/>
    <x v="13"/>
    <n v="123"/>
    <n v="54777"/>
    <n v="21611"/>
    <n v="409"/>
    <m/>
    <x v="1"/>
  </r>
  <r>
    <x v="45"/>
    <s v="rom_fact_dale"/>
    <n v="105"/>
    <x v="3"/>
    <n v="37.700000000000003"/>
    <n v="14635"/>
    <n v="9809"/>
    <n v="191"/>
    <m/>
    <x v="2"/>
  </r>
  <r>
    <x v="45"/>
    <s v="rom_fact_erebor"/>
    <n v="124"/>
    <x v="9"/>
    <n v="75.8"/>
    <n v="48947"/>
    <n v="17537"/>
    <n v="430"/>
    <m/>
    <x v="3"/>
  </r>
  <r>
    <x v="45"/>
    <s v="rom_fact_rohan"/>
    <n v="134"/>
    <x v="12"/>
    <n v="72.2"/>
    <n v="26485"/>
    <n v="10416"/>
    <n v="510"/>
    <m/>
    <x v="4"/>
  </r>
  <r>
    <x v="45"/>
    <s v="rom_fact_dol_guldur"/>
    <n v="144"/>
    <x v="4"/>
    <n v="180.7"/>
    <n v="12488"/>
    <n v="21223"/>
    <n v="1271"/>
    <m/>
    <x v="5"/>
  </r>
  <r>
    <x v="45"/>
    <s v="rom_fact_anduin_vale"/>
    <n v="58"/>
    <x v="11"/>
    <n v="0"/>
    <n v="4515"/>
    <n v="2500"/>
    <n v="0"/>
    <m/>
    <x v="6"/>
  </r>
  <r>
    <x v="45"/>
    <s v="rom_fact_isengard"/>
    <n v="152"/>
    <x v="8"/>
    <n v="118.1"/>
    <n v="16364"/>
    <n v="16785"/>
    <n v="677"/>
    <m/>
    <x v="7"/>
  </r>
  <r>
    <x v="45"/>
    <s v="rom_fact_woodland_realm"/>
    <n v="30"/>
    <x v="11"/>
    <n v="0"/>
    <n v="8475"/>
    <n v="2500"/>
    <n v="0"/>
    <m/>
    <x v="8"/>
  </r>
  <r>
    <x v="45"/>
    <s v="rom_fact_lothlorien"/>
    <n v="64"/>
    <x v="11"/>
    <n v="0"/>
    <n v="4721"/>
    <n v="2500"/>
    <n v="0"/>
    <m/>
    <x v="9"/>
  </r>
  <r>
    <x v="45"/>
    <s v="rom_fact_khand"/>
    <n v="0"/>
    <x v="11"/>
    <n v="0"/>
    <n v="4919"/>
    <n v="1750"/>
    <n v="0"/>
    <m/>
    <x v="10"/>
  </r>
  <r>
    <x v="45"/>
    <s v="rom_fact_umbar"/>
    <n v="10"/>
    <x v="13"/>
    <n v="91.6"/>
    <n v="17316"/>
    <n v="14606"/>
    <n v="1001"/>
    <m/>
    <x v="11"/>
  </r>
  <r>
    <x v="45"/>
    <s v="rom_fact_mahuds"/>
    <n v="5"/>
    <x v="3"/>
    <n v="48"/>
    <n v="13996"/>
    <n v="6730"/>
    <n v="0"/>
    <m/>
    <x v="12"/>
  </r>
  <r>
    <x v="45"/>
    <s v="rom_fact_harad"/>
    <n v="87"/>
    <x v="8"/>
    <n v="85"/>
    <n v="15884"/>
    <n v="12089"/>
    <n v="0"/>
    <m/>
    <x v="13"/>
  </r>
  <r>
    <x v="45"/>
    <s v="rom_fact_dunland"/>
    <n v="96"/>
    <x v="12"/>
    <n v="122.6"/>
    <n v="11812"/>
    <n v="18219"/>
    <n v="1015"/>
    <m/>
    <x v="14"/>
  </r>
  <r>
    <x v="45"/>
    <s v="rom_fact_haerrim"/>
    <n v="0"/>
    <x v="11"/>
    <n v="0"/>
    <n v="5352"/>
    <n v="1750"/>
    <n v="0"/>
    <m/>
    <x v="15"/>
  </r>
  <r>
    <x v="45"/>
    <s v="rom_fact_goblins"/>
    <n v="189"/>
    <x v="4"/>
    <n v="189.8"/>
    <n v="24440"/>
    <n v="25276"/>
    <n v="2558"/>
    <m/>
    <x v="16"/>
  </r>
  <r>
    <x v="45"/>
    <s v="rom_fact_balchoth"/>
    <n v="0"/>
    <x v="11"/>
    <n v="0"/>
    <n v="4872"/>
    <n v="1750"/>
    <n v="0"/>
    <m/>
    <x v="17"/>
  </r>
  <r>
    <x v="45"/>
    <s v="rom_fact_rhurim"/>
    <n v="144"/>
    <x v="26"/>
    <n v="409.29999999999899"/>
    <n v="43832"/>
    <n v="33469"/>
    <n v="1198"/>
    <m/>
    <x v="18"/>
  </r>
  <r>
    <x v="45"/>
    <s v="rom_fact_feredrim"/>
    <n v="0"/>
    <x v="11"/>
    <n v="0"/>
    <n v="7360"/>
    <n v="1750"/>
    <n v="0"/>
    <m/>
    <x v="19"/>
  </r>
  <r>
    <x v="45"/>
    <s v="rom_fact_wainriders"/>
    <n v="0"/>
    <x v="11"/>
    <n v="0"/>
    <n v="6395"/>
    <n v="1750"/>
    <n v="0"/>
    <m/>
    <x v="20"/>
  </r>
  <r>
    <x v="45"/>
    <s v="rom_fact_blacklock"/>
    <n v="5"/>
    <x v="3"/>
    <n v="48"/>
    <n v="66984"/>
    <n v="10890"/>
    <n v="0"/>
    <m/>
    <x v="21"/>
  </r>
  <r>
    <x v="45"/>
    <s v="rom_fact_ironfist"/>
    <n v="4"/>
    <x v="10"/>
    <n v="41"/>
    <n v="38667"/>
    <n v="7323"/>
    <n v="0"/>
    <m/>
    <x v="22"/>
  </r>
  <r>
    <x v="45"/>
    <s v="rom_fact_gundabad"/>
    <n v="120"/>
    <x v="2"/>
    <n v="162"/>
    <n v="12821"/>
    <n v="19084"/>
    <n v="904"/>
    <m/>
    <x v="23"/>
  </r>
  <r>
    <x v="45"/>
    <s v="rom_fact_rohan_scouts"/>
    <n v="0"/>
    <x v="11"/>
    <n v="3"/>
    <n v="54445"/>
    <n v="2379"/>
    <n v="0"/>
    <m/>
    <x v="24"/>
  </r>
  <r>
    <x v="45"/>
    <s v="rom_fact_northern_enedwaith"/>
    <n v="5"/>
    <x v="3"/>
    <n v="43"/>
    <n v="31237"/>
    <n v="7346"/>
    <n v="235"/>
    <m/>
    <x v="25"/>
  </r>
  <r>
    <x v="45"/>
    <s v="rom_fact_southern_enedwaith"/>
    <n v="1"/>
    <x v="7"/>
    <n v="8"/>
    <n v="54023"/>
    <n v="2407"/>
    <n v="0"/>
    <m/>
    <x v="26"/>
  </r>
  <r>
    <x v="45"/>
    <s v="rom_fact_druedain"/>
    <n v="4"/>
    <x v="10"/>
    <n v="30"/>
    <n v="33402"/>
    <n v="5807"/>
    <n v="0"/>
    <m/>
    <x v="27"/>
  </r>
  <r>
    <x v="45"/>
    <s v="rom_fact_harondor"/>
    <n v="0"/>
    <x v="11"/>
    <n v="0"/>
    <n v="15146"/>
    <n v="1750"/>
    <n v="0"/>
    <m/>
    <x v="28"/>
  </r>
  <r>
    <x v="45"/>
    <s v="rom_fact_southron_nomads"/>
    <n v="0"/>
    <x v="11"/>
    <n v="0"/>
    <n v="4000"/>
    <n v="1750"/>
    <n v="0"/>
    <m/>
    <x v="29"/>
  </r>
  <r>
    <x v="45"/>
    <s v="rom_fact_separatist_harad"/>
    <n v="0"/>
    <x v="11"/>
    <n v="0"/>
    <n v="4000"/>
    <n v="1750"/>
    <n v="0"/>
    <m/>
    <x v="30"/>
  </r>
  <r>
    <x v="45"/>
    <s v="rom_fact_separatist_khand"/>
    <n v="0"/>
    <x v="11"/>
    <n v="0"/>
    <n v="4000"/>
    <n v="1750"/>
    <n v="0"/>
    <m/>
    <x v="30"/>
  </r>
  <r>
    <x v="45"/>
    <s v="rom_fact_separatist_balchoth"/>
    <n v="0"/>
    <x v="11"/>
    <n v="0"/>
    <n v="4000"/>
    <n v="1750"/>
    <n v="0"/>
    <m/>
    <x v="30"/>
  </r>
  <r>
    <x v="45"/>
    <s v="rom_fact_separatist_feredrim"/>
    <n v="0"/>
    <x v="11"/>
    <n v="0"/>
    <n v="4000"/>
    <n v="1750"/>
    <n v="0"/>
    <m/>
    <x v="30"/>
  </r>
  <r>
    <x v="45"/>
    <s v="rom_fact_separatist_haerrim"/>
    <n v="0"/>
    <x v="11"/>
    <n v="0"/>
    <n v="4000"/>
    <n v="1750"/>
    <n v="0"/>
    <m/>
    <x v="30"/>
  </r>
  <r>
    <x v="45"/>
    <s v="rom_fact_separatist_wainriders"/>
    <n v="0"/>
    <x v="11"/>
    <n v="0"/>
    <n v="4000"/>
    <n v="1750"/>
    <n v="0"/>
    <m/>
    <x v="30"/>
  </r>
  <r>
    <x v="45"/>
    <s v="rom_fact_separatist_rhurim"/>
    <n v="0"/>
    <x v="11"/>
    <n v="0"/>
    <n v="4000"/>
    <n v="1750"/>
    <n v="0"/>
    <m/>
    <x v="30"/>
  </r>
  <r>
    <x v="45"/>
    <s v="rom_fact_separatist_mahuds"/>
    <n v="0"/>
    <x v="11"/>
    <n v="0"/>
    <n v="4000"/>
    <n v="1750"/>
    <n v="0"/>
    <m/>
    <x v="30"/>
  </r>
  <r>
    <x v="45"/>
    <s v="rom_fact_separatist_umbar"/>
    <n v="0"/>
    <x v="11"/>
    <n v="0"/>
    <n v="4000"/>
    <n v="1750"/>
    <n v="0"/>
    <m/>
    <x v="30"/>
  </r>
  <r>
    <x v="46"/>
    <s v="rom_fact_mordor"/>
    <n v="163"/>
    <x v="27"/>
    <n v="213.7"/>
    <n v="3238"/>
    <n v="21805"/>
    <n v="1213"/>
    <m/>
    <x v="0"/>
  </r>
  <r>
    <x v="46"/>
    <s v="rom_fact_gondor"/>
    <n v="131"/>
    <x v="13"/>
    <n v="125"/>
    <n v="53777"/>
    <n v="21799"/>
    <n v="405"/>
    <m/>
    <x v="1"/>
  </r>
  <r>
    <x v="46"/>
    <s v="rom_fact_dale"/>
    <n v="105"/>
    <x v="3"/>
    <n v="49.8"/>
    <n v="17791"/>
    <n v="9856"/>
    <n v="194"/>
    <m/>
    <x v="2"/>
  </r>
  <r>
    <x v="46"/>
    <s v="rom_fact_erebor"/>
    <n v="124"/>
    <x v="9"/>
    <n v="77.8"/>
    <n v="54043"/>
    <n v="18371"/>
    <n v="433"/>
    <m/>
    <x v="3"/>
  </r>
  <r>
    <x v="46"/>
    <s v="rom_fact_rohan"/>
    <n v="134"/>
    <x v="12"/>
    <n v="74.2"/>
    <n v="27298"/>
    <n v="9059"/>
    <n v="426"/>
    <m/>
    <x v="4"/>
  </r>
  <r>
    <x v="46"/>
    <s v="rom_fact_dol_guldur"/>
    <n v="144"/>
    <x v="4"/>
    <n v="180.7"/>
    <n v="16586"/>
    <n v="21334"/>
    <n v="1268"/>
    <m/>
    <x v="5"/>
  </r>
  <r>
    <x v="46"/>
    <s v="rom_fact_anduin_vale"/>
    <n v="58"/>
    <x v="11"/>
    <n v="0"/>
    <n v="4515"/>
    <n v="2500"/>
    <n v="0"/>
    <m/>
    <x v="6"/>
  </r>
  <r>
    <x v="46"/>
    <s v="rom_fact_isengard"/>
    <n v="152"/>
    <x v="8"/>
    <n v="118.4"/>
    <n v="11701"/>
    <n v="17714"/>
    <n v="679"/>
    <m/>
    <x v="7"/>
  </r>
  <r>
    <x v="46"/>
    <s v="rom_fact_woodland_realm"/>
    <n v="30"/>
    <x v="11"/>
    <n v="0"/>
    <n v="8475"/>
    <n v="2500"/>
    <n v="0"/>
    <m/>
    <x v="8"/>
  </r>
  <r>
    <x v="46"/>
    <s v="rom_fact_lothlorien"/>
    <n v="64"/>
    <x v="11"/>
    <n v="0"/>
    <n v="4721"/>
    <n v="2500"/>
    <n v="0"/>
    <m/>
    <x v="9"/>
  </r>
  <r>
    <x v="46"/>
    <s v="rom_fact_khand"/>
    <n v="0"/>
    <x v="11"/>
    <n v="0"/>
    <n v="4919"/>
    <n v="1750"/>
    <n v="0"/>
    <m/>
    <x v="10"/>
  </r>
  <r>
    <x v="46"/>
    <s v="rom_fact_umbar"/>
    <n v="10"/>
    <x v="13"/>
    <n v="90.6"/>
    <n v="15845"/>
    <n v="15673"/>
    <n v="1007"/>
    <m/>
    <x v="11"/>
  </r>
  <r>
    <x v="46"/>
    <s v="rom_fact_mahuds"/>
    <n v="5"/>
    <x v="3"/>
    <n v="48"/>
    <n v="14859"/>
    <n v="6745"/>
    <n v="0"/>
    <m/>
    <x v="12"/>
  </r>
  <r>
    <x v="46"/>
    <s v="rom_fact_harad"/>
    <n v="87"/>
    <x v="8"/>
    <n v="85"/>
    <n v="17140"/>
    <n v="12924"/>
    <n v="0"/>
    <m/>
    <x v="13"/>
  </r>
  <r>
    <x v="46"/>
    <s v="rom_fact_dunland"/>
    <n v="101"/>
    <x v="12"/>
    <n v="122.8"/>
    <n v="10345"/>
    <n v="19681"/>
    <n v="1015"/>
    <m/>
    <x v="14"/>
  </r>
  <r>
    <x v="46"/>
    <s v="rom_fact_haerrim"/>
    <n v="0"/>
    <x v="11"/>
    <n v="0"/>
    <n v="5352"/>
    <n v="1750"/>
    <n v="0"/>
    <m/>
    <x v="15"/>
  </r>
  <r>
    <x v="46"/>
    <s v="rom_fact_goblins"/>
    <n v="189"/>
    <x v="4"/>
    <n v="199.6"/>
    <n v="31602"/>
    <n v="23801"/>
    <n v="2543"/>
    <m/>
    <x v="16"/>
  </r>
  <r>
    <x v="46"/>
    <s v="rom_fact_balchoth"/>
    <n v="0"/>
    <x v="11"/>
    <n v="0"/>
    <n v="4872"/>
    <n v="1750"/>
    <n v="0"/>
    <m/>
    <x v="17"/>
  </r>
  <r>
    <x v="46"/>
    <s v="rom_fact_rhurim"/>
    <n v="153"/>
    <x v="26"/>
    <n v="371.3"/>
    <n v="43632"/>
    <n v="35683"/>
    <n v="1204"/>
    <m/>
    <x v="18"/>
  </r>
  <r>
    <x v="46"/>
    <s v="rom_fact_feredrim"/>
    <n v="0"/>
    <x v="11"/>
    <n v="0"/>
    <n v="7360"/>
    <n v="1750"/>
    <n v="0"/>
    <m/>
    <x v="19"/>
  </r>
  <r>
    <x v="46"/>
    <s v="rom_fact_wainriders"/>
    <n v="0"/>
    <x v="11"/>
    <n v="0"/>
    <n v="6395"/>
    <n v="1750"/>
    <n v="0"/>
    <m/>
    <x v="20"/>
  </r>
  <r>
    <x v="46"/>
    <s v="rom_fact_blacklock"/>
    <n v="5"/>
    <x v="3"/>
    <n v="48"/>
    <n v="70546"/>
    <n v="10890"/>
    <n v="0"/>
    <m/>
    <x v="21"/>
  </r>
  <r>
    <x v="46"/>
    <s v="rom_fact_ironfist"/>
    <n v="4"/>
    <x v="10"/>
    <n v="41"/>
    <n v="37293"/>
    <n v="7323"/>
    <n v="0"/>
    <m/>
    <x v="22"/>
  </r>
  <r>
    <x v="46"/>
    <s v="rom_fact_gundabad"/>
    <n v="120"/>
    <x v="2"/>
    <n v="165.6"/>
    <n v="11199"/>
    <n v="19645"/>
    <n v="900"/>
    <m/>
    <x v="23"/>
  </r>
  <r>
    <x v="46"/>
    <s v="rom_fact_rohan_scouts"/>
    <n v="0"/>
    <x v="11"/>
    <n v="3"/>
    <n v="55566"/>
    <n v="2379"/>
    <n v="0"/>
    <m/>
    <x v="24"/>
  </r>
  <r>
    <x v="46"/>
    <s v="rom_fact_northern_enedwaith"/>
    <n v="6"/>
    <x v="9"/>
    <n v="49"/>
    <n v="35842"/>
    <n v="8158"/>
    <n v="289"/>
    <m/>
    <x v="25"/>
  </r>
  <r>
    <x v="46"/>
    <s v="rom_fact_southern_enedwaith"/>
    <n v="0"/>
    <x v="11"/>
    <n v="0"/>
    <n v="54023"/>
    <n v="2044"/>
    <n v="0"/>
    <m/>
    <x v="26"/>
  </r>
  <r>
    <x v="46"/>
    <s v="rom_fact_druedain"/>
    <n v="4"/>
    <x v="10"/>
    <n v="30"/>
    <n v="30825"/>
    <n v="5809"/>
    <n v="0"/>
    <m/>
    <x v="27"/>
  </r>
  <r>
    <x v="46"/>
    <s v="rom_fact_harondor"/>
    <n v="0"/>
    <x v="11"/>
    <n v="0"/>
    <n v="15146"/>
    <n v="1750"/>
    <n v="0"/>
    <m/>
    <x v="28"/>
  </r>
  <r>
    <x v="46"/>
    <s v="rom_fact_southron_nomads"/>
    <n v="0"/>
    <x v="11"/>
    <n v="0"/>
    <n v="4000"/>
    <n v="1750"/>
    <n v="0"/>
    <m/>
    <x v="29"/>
  </r>
  <r>
    <x v="46"/>
    <s v="rom_fact_separatist_harad"/>
    <n v="0"/>
    <x v="11"/>
    <n v="0"/>
    <n v="4000"/>
    <n v="1750"/>
    <n v="0"/>
    <m/>
    <x v="30"/>
  </r>
  <r>
    <x v="46"/>
    <s v="rom_fact_separatist_khand"/>
    <n v="0"/>
    <x v="11"/>
    <n v="0"/>
    <n v="4000"/>
    <n v="1750"/>
    <n v="0"/>
    <m/>
    <x v="30"/>
  </r>
  <r>
    <x v="46"/>
    <s v="rom_fact_separatist_balchoth"/>
    <n v="0"/>
    <x v="11"/>
    <n v="0"/>
    <n v="4000"/>
    <n v="1750"/>
    <n v="0"/>
    <m/>
    <x v="30"/>
  </r>
  <r>
    <x v="46"/>
    <s v="rom_fact_separatist_feredrim"/>
    <n v="0"/>
    <x v="11"/>
    <n v="0"/>
    <n v="4000"/>
    <n v="1750"/>
    <n v="0"/>
    <m/>
    <x v="30"/>
  </r>
  <r>
    <x v="46"/>
    <s v="rom_fact_separatist_haerrim"/>
    <n v="0"/>
    <x v="11"/>
    <n v="0"/>
    <n v="4000"/>
    <n v="1750"/>
    <n v="0"/>
    <m/>
    <x v="30"/>
  </r>
  <r>
    <x v="46"/>
    <s v="rom_fact_separatist_wainriders"/>
    <n v="0"/>
    <x v="11"/>
    <n v="0"/>
    <n v="4000"/>
    <n v="1750"/>
    <n v="0"/>
    <m/>
    <x v="30"/>
  </r>
  <r>
    <x v="46"/>
    <s v="rom_fact_separatist_rhurim"/>
    <n v="0"/>
    <x v="11"/>
    <n v="0"/>
    <n v="4000"/>
    <n v="1750"/>
    <n v="0"/>
    <m/>
    <x v="30"/>
  </r>
  <r>
    <x v="46"/>
    <s v="rom_fact_separatist_mahuds"/>
    <n v="0"/>
    <x v="11"/>
    <n v="0"/>
    <n v="4000"/>
    <n v="1750"/>
    <n v="0"/>
    <m/>
    <x v="30"/>
  </r>
  <r>
    <x v="46"/>
    <s v="rom_fact_separatist_umbar"/>
    <n v="0"/>
    <x v="11"/>
    <n v="0"/>
    <n v="4000"/>
    <n v="1750"/>
    <n v="0"/>
    <m/>
    <x v="30"/>
  </r>
  <r>
    <x v="47"/>
    <s v="rom_fact_mordor"/>
    <n v="168"/>
    <x v="27"/>
    <n v="212.3"/>
    <n v="4452"/>
    <n v="21087"/>
    <n v="1011"/>
    <m/>
    <x v="0"/>
  </r>
  <r>
    <x v="47"/>
    <s v="rom_fact_gondor"/>
    <n v="131"/>
    <x v="13"/>
    <n v="108"/>
    <n v="55938"/>
    <n v="18752"/>
    <n v="412"/>
    <m/>
    <x v="1"/>
  </r>
  <r>
    <x v="47"/>
    <s v="rom_fact_dale"/>
    <n v="105"/>
    <x v="3"/>
    <n v="49.6"/>
    <n v="22857"/>
    <n v="9784"/>
    <n v="193"/>
    <m/>
    <x v="2"/>
  </r>
  <r>
    <x v="47"/>
    <s v="rom_fact_erebor"/>
    <n v="133"/>
    <x v="9"/>
    <n v="82.8"/>
    <n v="57753"/>
    <n v="18371"/>
    <n v="432"/>
    <m/>
    <x v="3"/>
  </r>
  <r>
    <x v="47"/>
    <s v="rom_fact_rohan"/>
    <n v="138"/>
    <x v="13"/>
    <n v="62"/>
    <n v="28959"/>
    <n v="9380"/>
    <n v="353"/>
    <m/>
    <x v="4"/>
  </r>
  <r>
    <x v="47"/>
    <s v="rom_fact_dol_guldur"/>
    <n v="144"/>
    <x v="4"/>
    <n v="180.7"/>
    <n v="13332"/>
    <n v="21839"/>
    <n v="1276"/>
    <m/>
    <x v="5"/>
  </r>
  <r>
    <x v="47"/>
    <s v="rom_fact_anduin_vale"/>
    <n v="58"/>
    <x v="11"/>
    <n v="0"/>
    <n v="4515"/>
    <n v="2500"/>
    <n v="0"/>
    <m/>
    <x v="6"/>
  </r>
  <r>
    <x v="47"/>
    <s v="rom_fact_isengard"/>
    <n v="152"/>
    <x v="8"/>
    <n v="120.8"/>
    <n v="9944"/>
    <n v="17656"/>
    <n v="681"/>
    <m/>
    <x v="7"/>
  </r>
  <r>
    <x v="47"/>
    <s v="rom_fact_woodland_realm"/>
    <n v="30"/>
    <x v="11"/>
    <n v="0"/>
    <n v="8475"/>
    <n v="2500"/>
    <n v="0"/>
    <m/>
    <x v="8"/>
  </r>
  <r>
    <x v="47"/>
    <s v="rom_fact_lothlorien"/>
    <n v="64"/>
    <x v="11"/>
    <n v="0"/>
    <n v="4721"/>
    <n v="2500"/>
    <n v="0"/>
    <m/>
    <x v="9"/>
  </r>
  <r>
    <x v="47"/>
    <s v="rom_fact_khand"/>
    <n v="0"/>
    <x v="11"/>
    <n v="0"/>
    <n v="4919"/>
    <n v="1750"/>
    <n v="0"/>
    <m/>
    <x v="10"/>
  </r>
  <r>
    <x v="47"/>
    <s v="rom_fact_umbar"/>
    <n v="10"/>
    <x v="13"/>
    <n v="91.6"/>
    <n v="22714"/>
    <n v="16318"/>
    <n v="1011"/>
    <m/>
    <x v="11"/>
  </r>
  <r>
    <x v="47"/>
    <s v="rom_fact_mahuds"/>
    <n v="5"/>
    <x v="3"/>
    <n v="48"/>
    <n v="11258"/>
    <n v="6782"/>
    <n v="0"/>
    <m/>
    <x v="12"/>
  </r>
  <r>
    <x v="47"/>
    <s v="rom_fact_harad"/>
    <n v="90"/>
    <x v="5"/>
    <n v="85"/>
    <n v="14960"/>
    <n v="14351"/>
    <n v="0"/>
    <m/>
    <x v="13"/>
  </r>
  <r>
    <x v="47"/>
    <s v="rom_fact_dunland"/>
    <n v="103"/>
    <x v="6"/>
    <n v="142.4"/>
    <n v="15881"/>
    <n v="20314"/>
    <n v="1032"/>
    <m/>
    <x v="14"/>
  </r>
  <r>
    <x v="47"/>
    <s v="rom_fact_haerrim"/>
    <n v="0"/>
    <x v="11"/>
    <n v="0"/>
    <n v="5352"/>
    <n v="1750"/>
    <n v="0"/>
    <m/>
    <x v="15"/>
  </r>
  <r>
    <x v="47"/>
    <s v="rom_fact_goblins"/>
    <n v="195"/>
    <x v="15"/>
    <n v="200.6"/>
    <n v="21919"/>
    <n v="26622"/>
    <n v="2731"/>
    <m/>
    <x v="16"/>
  </r>
  <r>
    <x v="47"/>
    <s v="rom_fact_balchoth"/>
    <n v="0"/>
    <x v="11"/>
    <n v="0"/>
    <n v="4872"/>
    <n v="1750"/>
    <n v="0"/>
    <m/>
    <x v="17"/>
  </r>
  <r>
    <x v="47"/>
    <s v="rom_fact_rhurim"/>
    <n v="155"/>
    <x v="23"/>
    <n v="362.7"/>
    <n v="44841"/>
    <n v="33897"/>
    <n v="1199"/>
    <m/>
    <x v="18"/>
  </r>
  <r>
    <x v="47"/>
    <s v="rom_fact_feredrim"/>
    <n v="0"/>
    <x v="11"/>
    <n v="0"/>
    <n v="7360"/>
    <n v="1750"/>
    <n v="0"/>
    <m/>
    <x v="19"/>
  </r>
  <r>
    <x v="47"/>
    <s v="rom_fact_wainriders"/>
    <n v="0"/>
    <x v="11"/>
    <n v="0"/>
    <n v="6395"/>
    <n v="1750"/>
    <n v="0"/>
    <m/>
    <x v="20"/>
  </r>
  <r>
    <x v="47"/>
    <s v="rom_fact_blacklock"/>
    <n v="5"/>
    <x v="3"/>
    <n v="48"/>
    <n v="74108"/>
    <n v="10890"/>
    <n v="0"/>
    <m/>
    <x v="21"/>
  </r>
  <r>
    <x v="47"/>
    <s v="rom_fact_ironfist"/>
    <n v="4"/>
    <x v="10"/>
    <n v="41"/>
    <n v="34344"/>
    <n v="7549"/>
    <n v="0"/>
    <m/>
    <x v="22"/>
  </r>
  <r>
    <x v="47"/>
    <s v="rom_fact_gundabad"/>
    <n v="124"/>
    <x v="2"/>
    <n v="178.3"/>
    <n v="7714"/>
    <n v="21308"/>
    <n v="910"/>
    <m/>
    <x v="23"/>
  </r>
  <r>
    <x v="47"/>
    <s v="rom_fact_rohan_scouts"/>
    <n v="0"/>
    <x v="11"/>
    <n v="3"/>
    <n v="56687"/>
    <n v="2379"/>
    <n v="0"/>
    <m/>
    <x v="24"/>
  </r>
  <r>
    <x v="47"/>
    <s v="rom_fact_northern_enedwaith"/>
    <n v="6"/>
    <x v="9"/>
    <n v="49"/>
    <n v="32097"/>
    <n v="8731"/>
    <n v="344"/>
    <m/>
    <x v="25"/>
  </r>
  <r>
    <x v="47"/>
    <s v="rom_fact_southern_enedwaith"/>
    <n v="0"/>
    <x v="11"/>
    <n v="0"/>
    <n v="54023"/>
    <n v="1750"/>
    <n v="0"/>
    <m/>
    <x v="26"/>
  </r>
  <r>
    <x v="47"/>
    <s v="rom_fact_druedain"/>
    <n v="2"/>
    <x v="7"/>
    <n v="12"/>
    <n v="32096"/>
    <n v="3209"/>
    <n v="0"/>
    <m/>
    <x v="27"/>
  </r>
  <r>
    <x v="47"/>
    <s v="rom_fact_harondor"/>
    <n v="0"/>
    <x v="11"/>
    <n v="0"/>
    <n v="15146"/>
    <n v="1750"/>
    <n v="0"/>
    <m/>
    <x v="28"/>
  </r>
  <r>
    <x v="47"/>
    <s v="rom_fact_southron_nomads"/>
    <n v="0"/>
    <x v="11"/>
    <n v="0"/>
    <n v="4000"/>
    <n v="1750"/>
    <n v="0"/>
    <m/>
    <x v="29"/>
  </r>
  <r>
    <x v="47"/>
    <s v="rom_fact_separatist_harad"/>
    <n v="0"/>
    <x v="11"/>
    <n v="0"/>
    <n v="4000"/>
    <n v="1750"/>
    <n v="0"/>
    <m/>
    <x v="30"/>
  </r>
  <r>
    <x v="47"/>
    <s v="rom_fact_separatist_khand"/>
    <n v="0"/>
    <x v="11"/>
    <n v="0"/>
    <n v="4000"/>
    <n v="1750"/>
    <n v="0"/>
    <m/>
    <x v="30"/>
  </r>
  <r>
    <x v="47"/>
    <s v="rom_fact_separatist_balchoth"/>
    <n v="0"/>
    <x v="11"/>
    <n v="0"/>
    <n v="4000"/>
    <n v="1750"/>
    <n v="0"/>
    <m/>
    <x v="30"/>
  </r>
  <r>
    <x v="47"/>
    <s v="rom_fact_separatist_feredrim"/>
    <n v="0"/>
    <x v="11"/>
    <n v="0"/>
    <n v="4000"/>
    <n v="1750"/>
    <n v="0"/>
    <m/>
    <x v="30"/>
  </r>
  <r>
    <x v="47"/>
    <s v="rom_fact_separatist_haerrim"/>
    <n v="0"/>
    <x v="11"/>
    <n v="0"/>
    <n v="4000"/>
    <n v="1750"/>
    <n v="0"/>
    <m/>
    <x v="30"/>
  </r>
  <r>
    <x v="47"/>
    <s v="rom_fact_separatist_wainriders"/>
    <n v="0"/>
    <x v="11"/>
    <n v="0"/>
    <n v="4000"/>
    <n v="1750"/>
    <n v="0"/>
    <m/>
    <x v="30"/>
  </r>
  <r>
    <x v="47"/>
    <s v="rom_fact_separatist_rhurim"/>
    <n v="0"/>
    <x v="11"/>
    <n v="0"/>
    <n v="4000"/>
    <n v="1750"/>
    <n v="0"/>
    <m/>
    <x v="30"/>
  </r>
  <r>
    <x v="47"/>
    <s v="rom_fact_separatist_mahuds"/>
    <n v="0"/>
    <x v="11"/>
    <n v="0"/>
    <n v="4000"/>
    <n v="1750"/>
    <n v="0"/>
    <m/>
    <x v="30"/>
  </r>
  <r>
    <x v="47"/>
    <s v="rom_fact_separatist_umbar"/>
    <n v="0"/>
    <x v="11"/>
    <n v="0"/>
    <n v="4000"/>
    <n v="1750"/>
    <n v="0"/>
    <m/>
    <x v="30"/>
  </r>
  <r>
    <x v="48"/>
    <s v="rom_fact_mordor"/>
    <n v="168"/>
    <x v="27"/>
    <n v="209.2"/>
    <n v="210"/>
    <n v="21302"/>
    <n v="1015"/>
    <m/>
    <x v="0"/>
  </r>
  <r>
    <x v="48"/>
    <s v="rom_fact_gondor"/>
    <n v="136"/>
    <x v="13"/>
    <n v="115"/>
    <n v="56997"/>
    <n v="20752"/>
    <n v="407"/>
    <m/>
    <x v="1"/>
  </r>
  <r>
    <x v="48"/>
    <s v="rom_fact_dale"/>
    <n v="110"/>
    <x v="3"/>
    <n v="49.6"/>
    <n v="27859"/>
    <n v="9782"/>
    <n v="191"/>
    <m/>
    <x v="2"/>
  </r>
  <r>
    <x v="48"/>
    <s v="rom_fact_erebor"/>
    <n v="143"/>
    <x v="9"/>
    <n v="85.8"/>
    <n v="62822"/>
    <n v="18033"/>
    <n v="430"/>
    <m/>
    <x v="3"/>
  </r>
  <r>
    <x v="48"/>
    <s v="rom_fact_rohan"/>
    <n v="138"/>
    <x v="13"/>
    <n v="64"/>
    <n v="22055"/>
    <n v="8526"/>
    <n v="347"/>
    <m/>
    <x v="4"/>
  </r>
  <r>
    <x v="48"/>
    <s v="rom_fact_dol_guldur"/>
    <n v="149"/>
    <x v="4"/>
    <n v="182.7"/>
    <n v="13040"/>
    <n v="22434"/>
    <n v="1282"/>
    <m/>
    <x v="5"/>
  </r>
  <r>
    <x v="48"/>
    <s v="rom_fact_anduin_vale"/>
    <n v="58"/>
    <x v="11"/>
    <n v="0"/>
    <n v="4515"/>
    <n v="2500"/>
    <n v="0"/>
    <m/>
    <x v="6"/>
  </r>
  <r>
    <x v="48"/>
    <s v="rom_fact_isengard"/>
    <n v="152"/>
    <x v="8"/>
    <n v="121.9"/>
    <n v="14710"/>
    <n v="17597"/>
    <n v="683"/>
    <m/>
    <x v="7"/>
  </r>
  <r>
    <x v="48"/>
    <s v="rom_fact_woodland_realm"/>
    <n v="30"/>
    <x v="11"/>
    <n v="0"/>
    <n v="8475"/>
    <n v="2500"/>
    <n v="0"/>
    <m/>
    <x v="8"/>
  </r>
  <r>
    <x v="48"/>
    <s v="rom_fact_lothlorien"/>
    <n v="64"/>
    <x v="11"/>
    <n v="0"/>
    <n v="4721"/>
    <n v="2500"/>
    <n v="0"/>
    <m/>
    <x v="9"/>
  </r>
  <r>
    <x v="48"/>
    <s v="rom_fact_khand"/>
    <n v="0"/>
    <x v="11"/>
    <n v="0"/>
    <n v="4919"/>
    <n v="1750"/>
    <n v="0"/>
    <m/>
    <x v="10"/>
  </r>
  <r>
    <x v="48"/>
    <s v="rom_fact_umbar"/>
    <n v="10"/>
    <x v="13"/>
    <n v="90.6"/>
    <n v="26190"/>
    <n v="16382"/>
    <n v="1013"/>
    <m/>
    <x v="11"/>
  </r>
  <r>
    <x v="48"/>
    <s v="rom_fact_mahuds"/>
    <n v="5"/>
    <x v="3"/>
    <n v="48"/>
    <n v="12158"/>
    <n v="6782"/>
    <n v="0"/>
    <m/>
    <x v="12"/>
  </r>
  <r>
    <x v="48"/>
    <s v="rom_fact_harad"/>
    <n v="95"/>
    <x v="5"/>
    <n v="87"/>
    <n v="15355"/>
    <n v="13934"/>
    <n v="0"/>
    <m/>
    <x v="13"/>
  </r>
  <r>
    <x v="48"/>
    <s v="rom_fact_dunland"/>
    <n v="103"/>
    <x v="6"/>
    <n v="137.4"/>
    <n v="19206"/>
    <n v="21063"/>
    <n v="1040"/>
    <m/>
    <x v="14"/>
  </r>
  <r>
    <x v="48"/>
    <s v="rom_fact_haerrim"/>
    <n v="0"/>
    <x v="11"/>
    <n v="0"/>
    <n v="5352"/>
    <n v="1750"/>
    <n v="0"/>
    <m/>
    <x v="15"/>
  </r>
  <r>
    <x v="48"/>
    <s v="rom_fact_goblins"/>
    <n v="200"/>
    <x v="15"/>
    <n v="206.6"/>
    <n v="24022"/>
    <n v="26733"/>
    <n v="2734"/>
    <m/>
    <x v="16"/>
  </r>
  <r>
    <x v="48"/>
    <s v="rom_fact_balchoth"/>
    <n v="0"/>
    <x v="11"/>
    <n v="0"/>
    <n v="4872"/>
    <n v="1750"/>
    <n v="0"/>
    <m/>
    <x v="17"/>
  </r>
  <r>
    <x v="48"/>
    <s v="rom_fact_rhurim"/>
    <n v="159"/>
    <x v="23"/>
    <n v="364.7"/>
    <n v="46544"/>
    <n v="35499"/>
    <n v="1206"/>
    <m/>
    <x v="18"/>
  </r>
  <r>
    <x v="48"/>
    <s v="rom_fact_feredrim"/>
    <n v="0"/>
    <x v="11"/>
    <n v="0"/>
    <n v="7360"/>
    <n v="1750"/>
    <n v="0"/>
    <m/>
    <x v="19"/>
  </r>
  <r>
    <x v="48"/>
    <s v="rom_fact_wainriders"/>
    <n v="0"/>
    <x v="11"/>
    <n v="0"/>
    <n v="6395"/>
    <n v="1750"/>
    <n v="0"/>
    <m/>
    <x v="20"/>
  </r>
  <r>
    <x v="48"/>
    <s v="rom_fact_blacklock"/>
    <n v="5"/>
    <x v="3"/>
    <n v="49"/>
    <n v="71945"/>
    <n v="11172"/>
    <n v="0"/>
    <m/>
    <x v="21"/>
  </r>
  <r>
    <x v="48"/>
    <s v="rom_fact_ironfist"/>
    <n v="4"/>
    <x v="10"/>
    <n v="41"/>
    <n v="31621"/>
    <n v="7569"/>
    <n v="0"/>
    <m/>
    <x v="22"/>
  </r>
  <r>
    <x v="48"/>
    <s v="rom_fact_gundabad"/>
    <n v="129"/>
    <x v="2"/>
    <n v="189.5"/>
    <n v="8391"/>
    <n v="21314"/>
    <n v="910"/>
    <m/>
    <x v="23"/>
  </r>
  <r>
    <x v="48"/>
    <s v="rom_fact_rohan_scouts"/>
    <n v="0"/>
    <x v="11"/>
    <n v="3"/>
    <n v="57808"/>
    <n v="2379"/>
    <n v="0"/>
    <m/>
    <x v="24"/>
  </r>
  <r>
    <x v="48"/>
    <s v="rom_fact_northern_enedwaith"/>
    <n v="6"/>
    <x v="9"/>
    <n v="48"/>
    <n v="32705"/>
    <n v="8808"/>
    <n v="348"/>
    <m/>
    <x v="25"/>
  </r>
  <r>
    <x v="48"/>
    <s v="rom_fact_southern_enedwaith"/>
    <n v="0"/>
    <x v="11"/>
    <n v="0"/>
    <n v="54023"/>
    <n v="1750"/>
    <n v="0"/>
    <m/>
    <x v="26"/>
  </r>
  <r>
    <x v="48"/>
    <s v="rom_fact_druedain"/>
    <n v="2"/>
    <x v="7"/>
    <n v="15"/>
    <n v="29571"/>
    <n v="3901"/>
    <n v="0"/>
    <m/>
    <x v="27"/>
  </r>
  <r>
    <x v="48"/>
    <s v="rom_fact_harondor"/>
    <n v="0"/>
    <x v="11"/>
    <n v="0"/>
    <n v="15146"/>
    <n v="1750"/>
    <n v="0"/>
    <m/>
    <x v="28"/>
  </r>
  <r>
    <x v="48"/>
    <s v="rom_fact_southron_nomads"/>
    <n v="0"/>
    <x v="11"/>
    <n v="0"/>
    <n v="4000"/>
    <n v="1750"/>
    <n v="0"/>
    <m/>
    <x v="29"/>
  </r>
  <r>
    <x v="48"/>
    <s v="rom_fact_separatist_harad"/>
    <n v="0"/>
    <x v="11"/>
    <n v="0"/>
    <n v="4000"/>
    <n v="1750"/>
    <n v="0"/>
    <m/>
    <x v="30"/>
  </r>
  <r>
    <x v="48"/>
    <s v="rom_fact_separatist_khand"/>
    <n v="0"/>
    <x v="11"/>
    <n v="0"/>
    <n v="4000"/>
    <n v="1750"/>
    <n v="0"/>
    <m/>
    <x v="30"/>
  </r>
  <r>
    <x v="48"/>
    <s v="rom_fact_separatist_balchoth"/>
    <n v="0"/>
    <x v="11"/>
    <n v="0"/>
    <n v="4000"/>
    <n v="1750"/>
    <n v="0"/>
    <m/>
    <x v="30"/>
  </r>
  <r>
    <x v="48"/>
    <s v="rom_fact_separatist_feredrim"/>
    <n v="0"/>
    <x v="11"/>
    <n v="0"/>
    <n v="4000"/>
    <n v="1750"/>
    <n v="0"/>
    <m/>
    <x v="30"/>
  </r>
  <r>
    <x v="48"/>
    <s v="rom_fact_separatist_haerrim"/>
    <n v="0"/>
    <x v="11"/>
    <n v="0"/>
    <n v="4000"/>
    <n v="1750"/>
    <n v="0"/>
    <m/>
    <x v="30"/>
  </r>
  <r>
    <x v="48"/>
    <s v="rom_fact_separatist_wainriders"/>
    <n v="0"/>
    <x v="11"/>
    <n v="0"/>
    <n v="4000"/>
    <n v="1750"/>
    <n v="0"/>
    <m/>
    <x v="30"/>
  </r>
  <r>
    <x v="48"/>
    <s v="rom_fact_separatist_rhurim"/>
    <n v="0"/>
    <x v="11"/>
    <n v="0"/>
    <n v="4000"/>
    <n v="1750"/>
    <n v="0"/>
    <m/>
    <x v="30"/>
  </r>
  <r>
    <x v="48"/>
    <s v="rom_fact_separatist_mahuds"/>
    <n v="0"/>
    <x v="11"/>
    <n v="0"/>
    <n v="4000"/>
    <n v="1750"/>
    <n v="0"/>
    <m/>
    <x v="30"/>
  </r>
  <r>
    <x v="48"/>
    <s v="rom_fact_separatist_umbar"/>
    <n v="0"/>
    <x v="11"/>
    <n v="0"/>
    <n v="4000"/>
    <n v="1750"/>
    <n v="0"/>
    <m/>
    <x v="30"/>
  </r>
  <r>
    <x v="49"/>
    <s v="rom_fact_mordor"/>
    <n v="168"/>
    <x v="27"/>
    <n v="209.2"/>
    <n v="4540"/>
    <n v="21345"/>
    <n v="1020"/>
    <m/>
    <x v="0"/>
  </r>
  <r>
    <x v="49"/>
    <s v="rom_fact_gondor"/>
    <n v="136"/>
    <x v="13"/>
    <n v="119"/>
    <n v="63015"/>
    <n v="21495"/>
    <n v="407"/>
    <m/>
    <x v="1"/>
  </r>
  <r>
    <x v="49"/>
    <s v="rom_fact_dale"/>
    <n v="110"/>
    <x v="3"/>
    <n v="49.6"/>
    <n v="18277"/>
    <n v="10425"/>
    <n v="193"/>
    <m/>
    <x v="2"/>
  </r>
  <r>
    <x v="49"/>
    <s v="rom_fact_erebor"/>
    <n v="143"/>
    <x v="9"/>
    <n v="90.1"/>
    <n v="66119"/>
    <n v="18390"/>
    <n v="432"/>
    <m/>
    <x v="3"/>
  </r>
  <r>
    <x v="49"/>
    <s v="rom_fact_rohan"/>
    <n v="138"/>
    <x v="13"/>
    <n v="63.8"/>
    <n v="19750"/>
    <n v="9984"/>
    <n v="296"/>
    <m/>
    <x v="4"/>
  </r>
  <r>
    <x v="49"/>
    <s v="rom_fact_dol_guldur"/>
    <n v="149"/>
    <x v="4"/>
    <n v="181.7"/>
    <n v="15683"/>
    <n v="21672"/>
    <n v="1287"/>
    <m/>
    <x v="5"/>
  </r>
  <r>
    <x v="49"/>
    <s v="rom_fact_anduin_vale"/>
    <n v="58"/>
    <x v="11"/>
    <n v="0"/>
    <n v="4515"/>
    <n v="2500"/>
    <n v="0"/>
    <m/>
    <x v="6"/>
  </r>
  <r>
    <x v="49"/>
    <s v="rom_fact_isengard"/>
    <n v="156"/>
    <x v="8"/>
    <n v="120.3"/>
    <n v="21304"/>
    <n v="17739"/>
    <n v="685"/>
    <m/>
    <x v="7"/>
  </r>
  <r>
    <x v="49"/>
    <s v="rom_fact_woodland_realm"/>
    <n v="30"/>
    <x v="11"/>
    <n v="0"/>
    <n v="8475"/>
    <n v="2500"/>
    <n v="0"/>
    <m/>
    <x v="8"/>
  </r>
  <r>
    <x v="49"/>
    <s v="rom_fact_lothlorien"/>
    <n v="64"/>
    <x v="11"/>
    <n v="0"/>
    <n v="4721"/>
    <n v="2500"/>
    <n v="0"/>
    <m/>
    <x v="9"/>
  </r>
  <r>
    <x v="49"/>
    <s v="rom_fact_khand"/>
    <n v="0"/>
    <x v="11"/>
    <n v="0"/>
    <n v="4919"/>
    <n v="1750"/>
    <n v="0"/>
    <m/>
    <x v="10"/>
  </r>
  <r>
    <x v="49"/>
    <s v="rom_fact_umbar"/>
    <n v="10"/>
    <x v="13"/>
    <n v="91.6"/>
    <n v="20984"/>
    <n v="16317"/>
    <n v="1016"/>
    <m/>
    <x v="11"/>
  </r>
  <r>
    <x v="49"/>
    <s v="rom_fact_mahuds"/>
    <n v="5"/>
    <x v="3"/>
    <n v="48"/>
    <n v="13185"/>
    <n v="6655"/>
    <n v="0"/>
    <m/>
    <x v="12"/>
  </r>
  <r>
    <x v="49"/>
    <s v="rom_fact_harad"/>
    <n v="95"/>
    <x v="5"/>
    <n v="90"/>
    <n v="17616"/>
    <n v="12498"/>
    <n v="0"/>
    <m/>
    <x v="13"/>
  </r>
  <r>
    <x v="49"/>
    <s v="rom_fact_dunland"/>
    <n v="103"/>
    <x v="6"/>
    <n v="142.5"/>
    <n v="17794"/>
    <n v="21345"/>
    <n v="1041"/>
    <m/>
    <x v="14"/>
  </r>
  <r>
    <x v="49"/>
    <s v="rom_fact_haerrim"/>
    <n v="0"/>
    <x v="11"/>
    <n v="0"/>
    <n v="5352"/>
    <n v="1750"/>
    <n v="0"/>
    <m/>
    <x v="15"/>
  </r>
  <r>
    <x v="49"/>
    <s v="rom_fact_goblins"/>
    <n v="210"/>
    <x v="15"/>
    <n v="207.6"/>
    <n v="31603"/>
    <n v="26489"/>
    <n v="2731"/>
    <m/>
    <x v="16"/>
  </r>
  <r>
    <x v="49"/>
    <s v="rom_fact_balchoth"/>
    <n v="0"/>
    <x v="11"/>
    <n v="0"/>
    <n v="4872"/>
    <n v="1750"/>
    <n v="0"/>
    <m/>
    <x v="17"/>
  </r>
  <r>
    <x v="49"/>
    <s v="rom_fact_rhurim"/>
    <n v="168"/>
    <x v="23"/>
    <n v="365.7"/>
    <n v="39322"/>
    <n v="35504"/>
    <n v="1210"/>
    <m/>
    <x v="18"/>
  </r>
  <r>
    <x v="49"/>
    <s v="rom_fact_feredrim"/>
    <n v="0"/>
    <x v="11"/>
    <n v="0"/>
    <n v="7360"/>
    <n v="1750"/>
    <n v="0"/>
    <m/>
    <x v="19"/>
  </r>
  <r>
    <x v="49"/>
    <s v="rom_fact_wainriders"/>
    <n v="0"/>
    <x v="11"/>
    <n v="0"/>
    <n v="6395"/>
    <n v="1750"/>
    <n v="0"/>
    <m/>
    <x v="20"/>
  </r>
  <r>
    <x v="49"/>
    <s v="rom_fact_blacklock"/>
    <n v="5"/>
    <x v="3"/>
    <n v="52"/>
    <n v="74783"/>
    <n v="11558"/>
    <n v="0"/>
    <m/>
    <x v="21"/>
  </r>
  <r>
    <x v="49"/>
    <s v="rom_fact_ironfist"/>
    <n v="4"/>
    <x v="10"/>
    <n v="41"/>
    <n v="32096"/>
    <n v="8511"/>
    <n v="0"/>
    <m/>
    <x v="22"/>
  </r>
  <r>
    <x v="49"/>
    <s v="rom_fact_gundabad"/>
    <n v="129"/>
    <x v="2"/>
    <n v="189.5"/>
    <n v="11129"/>
    <n v="20943"/>
    <n v="911"/>
    <m/>
    <x v="23"/>
  </r>
  <r>
    <x v="49"/>
    <s v="rom_fact_rohan_scouts"/>
    <n v="0"/>
    <x v="11"/>
    <n v="3"/>
    <n v="58929"/>
    <n v="2379"/>
    <n v="0"/>
    <m/>
    <x v="24"/>
  </r>
  <r>
    <x v="49"/>
    <s v="rom_fact_northern_enedwaith"/>
    <n v="6"/>
    <x v="9"/>
    <n v="52"/>
    <n v="37054"/>
    <n v="8889"/>
    <n v="349"/>
    <m/>
    <x v="25"/>
  </r>
  <r>
    <x v="49"/>
    <s v="rom_fact_southern_enedwaith"/>
    <n v="0"/>
    <x v="11"/>
    <n v="0"/>
    <n v="54023"/>
    <n v="1750"/>
    <n v="0"/>
    <m/>
    <x v="26"/>
  </r>
  <r>
    <x v="49"/>
    <s v="rom_fact_druedain"/>
    <n v="2"/>
    <x v="7"/>
    <n v="18"/>
    <n v="29513"/>
    <n v="4110"/>
    <n v="0"/>
    <m/>
    <x v="27"/>
  </r>
  <r>
    <x v="49"/>
    <s v="rom_fact_harondor"/>
    <n v="0"/>
    <x v="11"/>
    <n v="0"/>
    <n v="15146"/>
    <n v="1750"/>
    <n v="0"/>
    <m/>
    <x v="28"/>
  </r>
  <r>
    <x v="49"/>
    <s v="rom_fact_southron_nomads"/>
    <n v="0"/>
    <x v="11"/>
    <n v="0"/>
    <n v="4000"/>
    <n v="1750"/>
    <n v="0"/>
    <m/>
    <x v="29"/>
  </r>
  <r>
    <x v="49"/>
    <s v="rom_fact_separatist_harad"/>
    <n v="0"/>
    <x v="11"/>
    <n v="0"/>
    <n v="4000"/>
    <n v="1750"/>
    <n v="0"/>
    <m/>
    <x v="30"/>
  </r>
  <r>
    <x v="49"/>
    <s v="rom_fact_separatist_khand"/>
    <n v="0"/>
    <x v="11"/>
    <n v="0"/>
    <n v="4000"/>
    <n v="1750"/>
    <n v="0"/>
    <m/>
    <x v="30"/>
  </r>
  <r>
    <x v="49"/>
    <s v="rom_fact_separatist_balchoth"/>
    <n v="0"/>
    <x v="11"/>
    <n v="0"/>
    <n v="4000"/>
    <n v="1750"/>
    <n v="0"/>
    <m/>
    <x v="30"/>
  </r>
  <r>
    <x v="49"/>
    <s v="rom_fact_separatist_feredrim"/>
    <n v="0"/>
    <x v="11"/>
    <n v="0"/>
    <n v="4000"/>
    <n v="1750"/>
    <n v="0"/>
    <m/>
    <x v="30"/>
  </r>
  <r>
    <x v="49"/>
    <s v="rom_fact_separatist_haerrim"/>
    <n v="0"/>
    <x v="11"/>
    <n v="0"/>
    <n v="4000"/>
    <n v="1750"/>
    <n v="0"/>
    <m/>
    <x v="30"/>
  </r>
  <r>
    <x v="49"/>
    <s v="rom_fact_separatist_wainriders"/>
    <n v="0"/>
    <x v="11"/>
    <n v="0"/>
    <n v="4000"/>
    <n v="1750"/>
    <n v="0"/>
    <m/>
    <x v="30"/>
  </r>
  <r>
    <x v="49"/>
    <s v="rom_fact_separatist_rhurim"/>
    <n v="0"/>
    <x v="11"/>
    <n v="0"/>
    <n v="4000"/>
    <n v="1750"/>
    <n v="0"/>
    <m/>
    <x v="30"/>
  </r>
  <r>
    <x v="49"/>
    <s v="rom_fact_separatist_mahuds"/>
    <n v="0"/>
    <x v="11"/>
    <n v="0"/>
    <n v="4000"/>
    <n v="1750"/>
    <n v="0"/>
    <m/>
    <x v="30"/>
  </r>
  <r>
    <x v="49"/>
    <s v="rom_fact_separatist_umbar"/>
    <n v="0"/>
    <x v="11"/>
    <n v="0"/>
    <n v="4000"/>
    <n v="1750"/>
    <n v="0"/>
    <m/>
    <x v="30"/>
  </r>
  <r>
    <x v="50"/>
    <s v="rom_fact_mordor"/>
    <n v="172"/>
    <x v="27"/>
    <n v="210.2"/>
    <n v="5107"/>
    <n v="21419"/>
    <n v="1019"/>
    <m/>
    <x v="0"/>
  </r>
  <r>
    <x v="50"/>
    <s v="rom_fact_gondor"/>
    <n v="136"/>
    <x v="13"/>
    <n v="122"/>
    <n v="63328"/>
    <n v="22129"/>
    <n v="407"/>
    <m/>
    <x v="1"/>
  </r>
  <r>
    <x v="50"/>
    <s v="rom_fact_dale"/>
    <n v="110"/>
    <x v="3"/>
    <n v="48.6"/>
    <n v="24801"/>
    <n v="9946"/>
    <n v="189"/>
    <m/>
    <x v="2"/>
  </r>
  <r>
    <x v="50"/>
    <s v="rom_fact_erebor"/>
    <n v="143"/>
    <x v="9"/>
    <n v="61.1"/>
    <n v="71708"/>
    <n v="16129"/>
    <n v="429"/>
    <m/>
    <x v="3"/>
  </r>
  <r>
    <x v="50"/>
    <s v="rom_fact_rohan"/>
    <n v="142"/>
    <x v="5"/>
    <n v="78.599999999999994"/>
    <n v="12171"/>
    <n v="10481"/>
    <n v="346"/>
    <m/>
    <x v="4"/>
  </r>
  <r>
    <x v="50"/>
    <s v="rom_fact_dol_guldur"/>
    <n v="148"/>
    <x v="16"/>
    <n v="181.7"/>
    <n v="16616"/>
    <n v="23264"/>
    <n v="1410"/>
    <m/>
    <x v="5"/>
  </r>
  <r>
    <x v="50"/>
    <s v="rom_fact_anduin_vale"/>
    <n v="58"/>
    <x v="11"/>
    <n v="0"/>
    <n v="4515"/>
    <n v="2500"/>
    <n v="0"/>
    <m/>
    <x v="6"/>
  </r>
  <r>
    <x v="50"/>
    <s v="rom_fact_isengard"/>
    <n v="177"/>
    <x v="5"/>
    <n v="113.2"/>
    <n v="12599"/>
    <n v="16414"/>
    <n v="686"/>
    <m/>
    <x v="7"/>
  </r>
  <r>
    <x v="50"/>
    <s v="rom_fact_woodland_realm"/>
    <n v="30"/>
    <x v="11"/>
    <n v="0"/>
    <n v="8475"/>
    <n v="2500"/>
    <n v="0"/>
    <m/>
    <x v="8"/>
  </r>
  <r>
    <x v="50"/>
    <s v="rom_fact_lothlorien"/>
    <n v="64"/>
    <x v="11"/>
    <n v="0"/>
    <n v="4721"/>
    <n v="2500"/>
    <n v="0"/>
    <m/>
    <x v="9"/>
  </r>
  <r>
    <x v="50"/>
    <s v="rom_fact_khand"/>
    <n v="0"/>
    <x v="11"/>
    <n v="0"/>
    <n v="4919"/>
    <n v="1750"/>
    <n v="0"/>
    <m/>
    <x v="10"/>
  </r>
  <r>
    <x v="50"/>
    <s v="rom_fact_umbar"/>
    <n v="10"/>
    <x v="13"/>
    <n v="91.6"/>
    <n v="28509"/>
    <n v="16572"/>
    <n v="1018"/>
    <m/>
    <x v="11"/>
  </r>
  <r>
    <x v="50"/>
    <s v="rom_fact_mahuds"/>
    <n v="5"/>
    <x v="3"/>
    <n v="48"/>
    <n v="12908"/>
    <n v="7418"/>
    <n v="0"/>
    <m/>
    <x v="12"/>
  </r>
  <r>
    <x v="50"/>
    <s v="rom_fact_harad"/>
    <n v="101"/>
    <x v="13"/>
    <n v="100"/>
    <n v="18869"/>
    <n v="15009"/>
    <n v="0"/>
    <m/>
    <x v="13"/>
  </r>
  <r>
    <x v="50"/>
    <s v="rom_fact_dunland"/>
    <n v="108"/>
    <x v="6"/>
    <n v="141.5"/>
    <n v="18431"/>
    <n v="21297"/>
    <n v="1045"/>
    <m/>
    <x v="14"/>
  </r>
  <r>
    <x v="50"/>
    <s v="rom_fact_haerrim"/>
    <n v="0"/>
    <x v="11"/>
    <n v="0"/>
    <n v="5352"/>
    <n v="1750"/>
    <n v="0"/>
    <m/>
    <x v="15"/>
  </r>
  <r>
    <x v="50"/>
    <s v="rom_fact_goblins"/>
    <n v="215"/>
    <x v="15"/>
    <n v="207.6"/>
    <n v="28357"/>
    <n v="26963"/>
    <n v="2770"/>
    <m/>
    <x v="16"/>
  </r>
  <r>
    <x v="50"/>
    <s v="rom_fact_balchoth"/>
    <n v="0"/>
    <x v="11"/>
    <n v="0"/>
    <n v="4872"/>
    <n v="1750"/>
    <n v="0"/>
    <m/>
    <x v="17"/>
  </r>
  <r>
    <x v="50"/>
    <s v="rom_fact_rhurim"/>
    <n v="170"/>
    <x v="22"/>
    <n v="364.7"/>
    <n v="38801"/>
    <n v="35913"/>
    <n v="1210"/>
    <m/>
    <x v="18"/>
  </r>
  <r>
    <x v="50"/>
    <s v="rom_fact_feredrim"/>
    <n v="0"/>
    <x v="11"/>
    <n v="0"/>
    <n v="7360"/>
    <n v="1750"/>
    <n v="0"/>
    <m/>
    <x v="19"/>
  </r>
  <r>
    <x v="50"/>
    <s v="rom_fact_wainriders"/>
    <n v="0"/>
    <x v="11"/>
    <n v="0"/>
    <n v="6395"/>
    <n v="1750"/>
    <n v="0"/>
    <m/>
    <x v="20"/>
  </r>
  <r>
    <x v="50"/>
    <s v="rom_fact_blacklock"/>
    <n v="5"/>
    <x v="3"/>
    <n v="54"/>
    <n v="72815"/>
    <n v="11945"/>
    <n v="0"/>
    <m/>
    <x v="21"/>
  </r>
  <r>
    <x v="50"/>
    <s v="rom_fact_ironfist"/>
    <n v="4"/>
    <x v="10"/>
    <n v="41"/>
    <n v="33034"/>
    <n v="7841"/>
    <n v="0"/>
    <m/>
    <x v="22"/>
  </r>
  <r>
    <x v="50"/>
    <s v="rom_fact_gundabad"/>
    <n v="129"/>
    <x v="2"/>
    <n v="190"/>
    <n v="14787"/>
    <n v="21959"/>
    <n v="916"/>
    <m/>
    <x v="23"/>
  </r>
  <r>
    <x v="50"/>
    <s v="rom_fact_rohan_scouts"/>
    <n v="0"/>
    <x v="11"/>
    <n v="3"/>
    <n v="60050"/>
    <n v="2379"/>
    <n v="0"/>
    <m/>
    <x v="24"/>
  </r>
  <r>
    <x v="50"/>
    <s v="rom_fact_northern_enedwaith"/>
    <n v="6"/>
    <x v="9"/>
    <n v="55"/>
    <n v="40687"/>
    <n v="9605"/>
    <n v="349"/>
    <m/>
    <x v="25"/>
  </r>
  <r>
    <x v="50"/>
    <s v="rom_fact_southern_enedwaith"/>
    <n v="0"/>
    <x v="11"/>
    <n v="0"/>
    <n v="54023"/>
    <n v="1750"/>
    <n v="0"/>
    <m/>
    <x v="26"/>
  </r>
  <r>
    <x v="50"/>
    <s v="rom_fact_druedain"/>
    <n v="2"/>
    <x v="7"/>
    <n v="19"/>
    <n v="30297"/>
    <n v="3743"/>
    <n v="0"/>
    <m/>
    <x v="27"/>
  </r>
  <r>
    <x v="50"/>
    <s v="rom_fact_harondor"/>
    <n v="0"/>
    <x v="11"/>
    <n v="0"/>
    <n v="15146"/>
    <n v="1750"/>
    <n v="0"/>
    <m/>
    <x v="28"/>
  </r>
  <r>
    <x v="50"/>
    <s v="rom_fact_southron_nomads"/>
    <n v="0"/>
    <x v="11"/>
    <n v="0"/>
    <n v="4000"/>
    <n v="1750"/>
    <n v="0"/>
    <m/>
    <x v="29"/>
  </r>
  <r>
    <x v="50"/>
    <s v="rom_fact_separatist_harad"/>
    <n v="0"/>
    <x v="11"/>
    <n v="0"/>
    <n v="4000"/>
    <n v="1750"/>
    <n v="0"/>
    <m/>
    <x v="30"/>
  </r>
  <r>
    <x v="50"/>
    <s v="rom_fact_separatist_khand"/>
    <n v="0"/>
    <x v="11"/>
    <n v="0"/>
    <n v="4000"/>
    <n v="1750"/>
    <n v="0"/>
    <m/>
    <x v="30"/>
  </r>
  <r>
    <x v="50"/>
    <s v="rom_fact_separatist_balchoth"/>
    <n v="0"/>
    <x v="11"/>
    <n v="0"/>
    <n v="4000"/>
    <n v="1750"/>
    <n v="0"/>
    <m/>
    <x v="30"/>
  </r>
  <r>
    <x v="50"/>
    <s v="rom_fact_separatist_feredrim"/>
    <n v="0"/>
    <x v="11"/>
    <n v="0"/>
    <n v="4000"/>
    <n v="1750"/>
    <n v="0"/>
    <m/>
    <x v="30"/>
  </r>
  <r>
    <x v="50"/>
    <s v="rom_fact_separatist_haerrim"/>
    <n v="0"/>
    <x v="11"/>
    <n v="0"/>
    <n v="4000"/>
    <n v="1750"/>
    <n v="0"/>
    <m/>
    <x v="30"/>
  </r>
  <r>
    <x v="50"/>
    <s v="rom_fact_separatist_wainriders"/>
    <n v="0"/>
    <x v="11"/>
    <n v="0"/>
    <n v="4000"/>
    <n v="1750"/>
    <n v="0"/>
    <m/>
    <x v="30"/>
  </r>
  <r>
    <x v="50"/>
    <s v="rom_fact_separatist_rhurim"/>
    <n v="0"/>
    <x v="11"/>
    <n v="0"/>
    <n v="4000"/>
    <n v="1750"/>
    <n v="0"/>
    <m/>
    <x v="30"/>
  </r>
  <r>
    <x v="50"/>
    <s v="rom_fact_separatist_mahuds"/>
    <n v="0"/>
    <x v="11"/>
    <n v="0"/>
    <n v="4000"/>
    <n v="1750"/>
    <n v="0"/>
    <m/>
    <x v="30"/>
  </r>
  <r>
    <x v="50"/>
    <s v="rom_fact_separatist_umbar"/>
    <n v="0"/>
    <x v="11"/>
    <n v="0"/>
    <n v="4000"/>
    <n v="1750"/>
    <n v="0"/>
    <m/>
    <x v="30"/>
  </r>
  <r>
    <x v="51"/>
    <s v="rom_fact_mordor"/>
    <n v="181"/>
    <x v="28"/>
    <n v="213.8"/>
    <n v="3108"/>
    <n v="21706"/>
    <n v="1027"/>
    <m/>
    <x v="0"/>
  </r>
  <r>
    <x v="51"/>
    <s v="rom_fact_gondor"/>
    <n v="136"/>
    <x v="13"/>
    <n v="124"/>
    <n v="64531"/>
    <n v="22226"/>
    <n v="0"/>
    <m/>
    <x v="1"/>
  </r>
  <r>
    <x v="51"/>
    <s v="rom_fact_dale"/>
    <n v="110"/>
    <x v="3"/>
    <n v="49.6"/>
    <n v="18004"/>
    <n v="10202"/>
    <n v="185"/>
    <m/>
    <x v="2"/>
  </r>
  <r>
    <x v="51"/>
    <s v="rom_fact_erebor"/>
    <n v="148"/>
    <x v="9"/>
    <n v="51.1"/>
    <n v="64111"/>
    <n v="14864"/>
    <n v="426"/>
    <m/>
    <x v="3"/>
  </r>
  <r>
    <x v="51"/>
    <s v="rom_fact_rohan"/>
    <n v="141"/>
    <x v="8"/>
    <n v="60.599999999999902"/>
    <n v="11225"/>
    <n v="8721"/>
    <n v="0"/>
    <m/>
    <x v="4"/>
  </r>
  <r>
    <x v="51"/>
    <s v="rom_fact_dol_guldur"/>
    <n v="148"/>
    <x v="16"/>
    <n v="181.7"/>
    <n v="18984"/>
    <n v="22182"/>
    <n v="1416"/>
    <m/>
    <x v="5"/>
  </r>
  <r>
    <x v="51"/>
    <s v="rom_fact_anduin_vale"/>
    <n v="58"/>
    <x v="11"/>
    <n v="0"/>
    <n v="4515"/>
    <n v="2500"/>
    <n v="0"/>
    <m/>
    <x v="6"/>
  </r>
  <r>
    <x v="51"/>
    <s v="rom_fact_isengard"/>
    <n v="177"/>
    <x v="5"/>
    <n v="114.5"/>
    <n v="14328"/>
    <n v="16725"/>
    <n v="687"/>
    <m/>
    <x v="7"/>
  </r>
  <r>
    <x v="51"/>
    <s v="rom_fact_woodland_realm"/>
    <n v="30"/>
    <x v="11"/>
    <n v="0"/>
    <n v="8475"/>
    <n v="2500"/>
    <n v="0"/>
    <m/>
    <x v="8"/>
  </r>
  <r>
    <x v="51"/>
    <s v="rom_fact_lothlorien"/>
    <n v="64"/>
    <x v="11"/>
    <n v="0"/>
    <n v="4721"/>
    <n v="2500"/>
    <n v="0"/>
    <m/>
    <x v="9"/>
  </r>
  <r>
    <x v="51"/>
    <s v="rom_fact_khand"/>
    <n v="0"/>
    <x v="11"/>
    <n v="0"/>
    <n v="4919"/>
    <n v="1750"/>
    <n v="0"/>
    <m/>
    <x v="10"/>
  </r>
  <r>
    <x v="51"/>
    <s v="rom_fact_umbar"/>
    <n v="10"/>
    <x v="13"/>
    <n v="94"/>
    <n v="20683"/>
    <n v="16757"/>
    <n v="1033"/>
    <m/>
    <x v="11"/>
  </r>
  <r>
    <x v="51"/>
    <s v="rom_fact_mahuds"/>
    <n v="5"/>
    <x v="3"/>
    <n v="48"/>
    <n v="11476"/>
    <n v="7461"/>
    <n v="0"/>
    <m/>
    <x v="12"/>
  </r>
  <r>
    <x v="51"/>
    <s v="rom_fact_harad"/>
    <n v="101"/>
    <x v="13"/>
    <n v="99"/>
    <n v="19985"/>
    <n v="14966"/>
    <n v="0"/>
    <m/>
    <x v="13"/>
  </r>
  <r>
    <x v="51"/>
    <s v="rom_fact_dunland"/>
    <n v="108"/>
    <x v="6"/>
    <n v="144.6"/>
    <n v="22515"/>
    <n v="21578"/>
    <n v="1049"/>
    <m/>
    <x v="14"/>
  </r>
  <r>
    <x v="51"/>
    <s v="rom_fact_haerrim"/>
    <n v="0"/>
    <x v="11"/>
    <n v="0"/>
    <n v="5352"/>
    <n v="1750"/>
    <n v="0"/>
    <m/>
    <x v="15"/>
  </r>
  <r>
    <x v="51"/>
    <s v="rom_fact_goblins"/>
    <n v="216"/>
    <x v="14"/>
    <n v="212.6"/>
    <n v="36702"/>
    <n v="27367"/>
    <n v="2861"/>
    <m/>
    <x v="16"/>
  </r>
  <r>
    <x v="51"/>
    <s v="rom_fact_balchoth"/>
    <n v="0"/>
    <x v="11"/>
    <n v="0"/>
    <n v="4872"/>
    <n v="1750"/>
    <n v="0"/>
    <m/>
    <x v="17"/>
  </r>
  <r>
    <x v="51"/>
    <s v="rom_fact_rhurim"/>
    <n v="170"/>
    <x v="22"/>
    <n v="365.7"/>
    <n v="36006"/>
    <n v="36128"/>
    <n v="1212"/>
    <m/>
    <x v="18"/>
  </r>
  <r>
    <x v="51"/>
    <s v="rom_fact_feredrim"/>
    <n v="0"/>
    <x v="11"/>
    <n v="0"/>
    <n v="7360"/>
    <n v="1750"/>
    <n v="0"/>
    <m/>
    <x v="19"/>
  </r>
  <r>
    <x v="51"/>
    <s v="rom_fact_wainriders"/>
    <n v="0"/>
    <x v="11"/>
    <n v="0"/>
    <n v="6395"/>
    <n v="1750"/>
    <n v="0"/>
    <m/>
    <x v="20"/>
  </r>
  <r>
    <x v="51"/>
    <s v="rom_fact_blacklock"/>
    <n v="5"/>
    <x v="3"/>
    <n v="57"/>
    <n v="71479"/>
    <n v="12036"/>
    <n v="0"/>
    <m/>
    <x v="21"/>
  </r>
  <r>
    <x v="51"/>
    <s v="rom_fact_ironfist"/>
    <n v="4"/>
    <x v="10"/>
    <n v="41"/>
    <n v="34438"/>
    <n v="7688"/>
    <n v="0"/>
    <m/>
    <x v="22"/>
  </r>
  <r>
    <x v="51"/>
    <s v="rom_fact_gundabad"/>
    <n v="134"/>
    <x v="2"/>
    <n v="194.8"/>
    <n v="19425"/>
    <n v="22181"/>
    <n v="922"/>
    <m/>
    <x v="23"/>
  </r>
  <r>
    <x v="51"/>
    <s v="rom_fact_rohan_scouts"/>
    <n v="0"/>
    <x v="11"/>
    <n v="3"/>
    <n v="61171"/>
    <n v="2379"/>
    <n v="0"/>
    <m/>
    <x v="24"/>
  </r>
  <r>
    <x v="51"/>
    <s v="rom_fact_northern_enedwaith"/>
    <n v="6"/>
    <x v="9"/>
    <n v="55"/>
    <n v="44312"/>
    <n v="9597"/>
    <n v="349"/>
    <m/>
    <x v="25"/>
  </r>
  <r>
    <x v="51"/>
    <s v="rom_fact_southern_enedwaith"/>
    <n v="0"/>
    <x v="11"/>
    <n v="0"/>
    <n v="54023"/>
    <n v="1750"/>
    <n v="0"/>
    <m/>
    <x v="26"/>
  </r>
  <r>
    <x v="51"/>
    <s v="rom_fact_druedain"/>
    <n v="2"/>
    <x v="7"/>
    <n v="18"/>
    <n v="31289"/>
    <n v="3674"/>
    <n v="0"/>
    <m/>
    <x v="27"/>
  </r>
  <r>
    <x v="51"/>
    <s v="rom_fact_harondor"/>
    <n v="0"/>
    <x v="11"/>
    <n v="0"/>
    <n v="15146"/>
    <n v="1750"/>
    <n v="0"/>
    <m/>
    <x v="28"/>
  </r>
  <r>
    <x v="51"/>
    <s v="rom_fact_southron_nomads"/>
    <n v="0"/>
    <x v="11"/>
    <n v="0"/>
    <n v="4000"/>
    <n v="1750"/>
    <n v="0"/>
    <m/>
    <x v="29"/>
  </r>
  <r>
    <x v="51"/>
    <s v="rom_fact_separatist_harad"/>
    <n v="0"/>
    <x v="11"/>
    <n v="0"/>
    <n v="4000"/>
    <n v="1750"/>
    <n v="0"/>
    <m/>
    <x v="30"/>
  </r>
  <r>
    <x v="51"/>
    <s v="rom_fact_separatist_khand"/>
    <n v="0"/>
    <x v="11"/>
    <n v="0"/>
    <n v="4000"/>
    <n v="1750"/>
    <n v="0"/>
    <m/>
    <x v="30"/>
  </r>
  <r>
    <x v="51"/>
    <s v="rom_fact_separatist_balchoth"/>
    <n v="0"/>
    <x v="11"/>
    <n v="0"/>
    <n v="4000"/>
    <n v="1750"/>
    <n v="0"/>
    <m/>
    <x v="30"/>
  </r>
  <r>
    <x v="51"/>
    <s v="rom_fact_separatist_feredrim"/>
    <n v="0"/>
    <x v="11"/>
    <n v="0"/>
    <n v="4000"/>
    <n v="1750"/>
    <n v="0"/>
    <m/>
    <x v="30"/>
  </r>
  <r>
    <x v="51"/>
    <s v="rom_fact_separatist_haerrim"/>
    <n v="0"/>
    <x v="11"/>
    <n v="0"/>
    <n v="4000"/>
    <n v="1750"/>
    <n v="0"/>
    <m/>
    <x v="30"/>
  </r>
  <r>
    <x v="51"/>
    <s v="rom_fact_separatist_wainriders"/>
    <n v="0"/>
    <x v="11"/>
    <n v="0"/>
    <n v="4000"/>
    <n v="1750"/>
    <n v="0"/>
    <m/>
    <x v="30"/>
  </r>
  <r>
    <x v="51"/>
    <s v="rom_fact_separatist_rhurim"/>
    <n v="0"/>
    <x v="11"/>
    <n v="0"/>
    <n v="4000"/>
    <n v="1750"/>
    <n v="0"/>
    <m/>
    <x v="30"/>
  </r>
  <r>
    <x v="51"/>
    <s v="rom_fact_separatist_mahuds"/>
    <n v="0"/>
    <x v="11"/>
    <n v="0"/>
    <n v="4000"/>
    <n v="1750"/>
    <n v="0"/>
    <m/>
    <x v="30"/>
  </r>
  <r>
    <x v="51"/>
    <s v="rom_fact_separatist_umbar"/>
    <n v="0"/>
    <x v="11"/>
    <n v="0"/>
    <n v="4000"/>
    <n v="1750"/>
    <n v="0"/>
    <m/>
    <x v="30"/>
  </r>
  <r>
    <x v="52"/>
    <s v="rom_fact_mordor"/>
    <n v="181"/>
    <x v="28"/>
    <n v="214.8"/>
    <n v="5153"/>
    <n v="21915"/>
    <n v="1030"/>
    <m/>
    <x v="0"/>
  </r>
  <r>
    <x v="52"/>
    <s v="rom_fact_gondor"/>
    <n v="141"/>
    <x v="13"/>
    <n v="126"/>
    <n v="66324"/>
    <n v="23379"/>
    <n v="282"/>
    <m/>
    <x v="1"/>
  </r>
  <r>
    <x v="52"/>
    <s v="rom_fact_dale"/>
    <n v="115"/>
    <x v="3"/>
    <n v="48.6"/>
    <n v="20534"/>
    <n v="10044"/>
    <n v="187"/>
    <m/>
    <x v="2"/>
  </r>
  <r>
    <x v="52"/>
    <s v="rom_fact_erebor"/>
    <n v="148"/>
    <x v="9"/>
    <n v="65.2"/>
    <n v="53601"/>
    <n v="15816"/>
    <n v="427"/>
    <m/>
    <x v="3"/>
  </r>
  <r>
    <x v="52"/>
    <s v="rom_fact_rohan"/>
    <n v="141"/>
    <x v="8"/>
    <n v="59.9"/>
    <n v="10829"/>
    <n v="7738"/>
    <n v="201"/>
    <m/>
    <x v="4"/>
  </r>
  <r>
    <x v="52"/>
    <s v="rom_fact_dol_guldur"/>
    <n v="153"/>
    <x v="16"/>
    <n v="181.7"/>
    <n v="16117"/>
    <n v="23526"/>
    <n v="1422"/>
    <m/>
    <x v="5"/>
  </r>
  <r>
    <x v="52"/>
    <s v="rom_fact_anduin_vale"/>
    <n v="58"/>
    <x v="11"/>
    <n v="0"/>
    <n v="4515"/>
    <n v="2500"/>
    <n v="0"/>
    <m/>
    <x v="6"/>
  </r>
  <r>
    <x v="52"/>
    <s v="rom_fact_isengard"/>
    <n v="177"/>
    <x v="5"/>
    <n v="77.899999999999906"/>
    <n v="14134"/>
    <n v="13301"/>
    <n v="875"/>
    <m/>
    <x v="7"/>
  </r>
  <r>
    <x v="52"/>
    <s v="rom_fact_woodland_realm"/>
    <n v="30"/>
    <x v="11"/>
    <n v="0"/>
    <n v="8475"/>
    <n v="2500"/>
    <n v="0"/>
    <m/>
    <x v="8"/>
  </r>
  <r>
    <x v="52"/>
    <s v="rom_fact_lothlorien"/>
    <n v="64"/>
    <x v="11"/>
    <n v="0"/>
    <n v="4721"/>
    <n v="2500"/>
    <n v="0"/>
    <m/>
    <x v="9"/>
  </r>
  <r>
    <x v="52"/>
    <s v="rom_fact_khand"/>
    <n v="0"/>
    <x v="11"/>
    <n v="0"/>
    <n v="4919"/>
    <n v="1750"/>
    <n v="0"/>
    <m/>
    <x v="10"/>
  </r>
  <r>
    <x v="52"/>
    <s v="rom_fact_umbar"/>
    <n v="10"/>
    <x v="13"/>
    <n v="100"/>
    <n v="24924"/>
    <n v="17459"/>
    <n v="1037"/>
    <m/>
    <x v="11"/>
  </r>
  <r>
    <x v="52"/>
    <s v="rom_fact_mahuds"/>
    <n v="5"/>
    <x v="3"/>
    <n v="48"/>
    <n v="12721"/>
    <n v="7478"/>
    <n v="0"/>
    <m/>
    <x v="12"/>
  </r>
  <r>
    <x v="52"/>
    <s v="rom_fact_harad"/>
    <n v="101"/>
    <x v="13"/>
    <n v="102"/>
    <n v="21681"/>
    <n v="13733"/>
    <n v="0"/>
    <m/>
    <x v="13"/>
  </r>
  <r>
    <x v="52"/>
    <s v="rom_fact_dunland"/>
    <n v="108"/>
    <x v="6"/>
    <n v="146.80000000000001"/>
    <n v="27270"/>
    <n v="21851"/>
    <n v="1052"/>
    <m/>
    <x v="14"/>
  </r>
  <r>
    <x v="52"/>
    <s v="rom_fact_haerrim"/>
    <n v="0"/>
    <x v="11"/>
    <n v="0"/>
    <n v="5352"/>
    <n v="1750"/>
    <n v="0"/>
    <m/>
    <x v="15"/>
  </r>
  <r>
    <x v="52"/>
    <s v="rom_fact_goblins"/>
    <n v="216"/>
    <x v="14"/>
    <n v="214.6"/>
    <n v="33150"/>
    <n v="27794"/>
    <n v="3069"/>
    <m/>
    <x v="16"/>
  </r>
  <r>
    <x v="52"/>
    <s v="rom_fact_balchoth"/>
    <n v="0"/>
    <x v="11"/>
    <n v="0"/>
    <n v="4872"/>
    <n v="1750"/>
    <n v="0"/>
    <m/>
    <x v="17"/>
  </r>
  <r>
    <x v="52"/>
    <s v="rom_fact_rhurim"/>
    <n v="175"/>
    <x v="22"/>
    <n v="365.7"/>
    <n v="36889"/>
    <n v="35494"/>
    <n v="1295"/>
    <m/>
    <x v="18"/>
  </r>
  <r>
    <x v="52"/>
    <s v="rom_fact_feredrim"/>
    <n v="0"/>
    <x v="11"/>
    <n v="0"/>
    <n v="7360"/>
    <n v="1750"/>
    <n v="0"/>
    <m/>
    <x v="19"/>
  </r>
  <r>
    <x v="52"/>
    <s v="rom_fact_wainriders"/>
    <n v="0"/>
    <x v="11"/>
    <n v="0"/>
    <n v="6395"/>
    <n v="1750"/>
    <n v="0"/>
    <m/>
    <x v="20"/>
  </r>
  <r>
    <x v="52"/>
    <s v="rom_fact_blacklock"/>
    <n v="5"/>
    <x v="3"/>
    <n v="60"/>
    <n v="73460"/>
    <n v="12415"/>
    <n v="0"/>
    <m/>
    <x v="21"/>
  </r>
  <r>
    <x v="52"/>
    <s v="rom_fact_ironfist"/>
    <n v="4"/>
    <x v="10"/>
    <n v="41"/>
    <n v="36156"/>
    <n v="7374"/>
    <n v="0"/>
    <m/>
    <x v="22"/>
  </r>
  <r>
    <x v="52"/>
    <s v="rom_fact_gundabad"/>
    <n v="138"/>
    <x v="2"/>
    <n v="187.4"/>
    <n v="18985"/>
    <n v="21898"/>
    <n v="924"/>
    <m/>
    <x v="23"/>
  </r>
  <r>
    <x v="52"/>
    <s v="rom_fact_rohan_scouts"/>
    <n v="0"/>
    <x v="11"/>
    <n v="3"/>
    <n v="62292"/>
    <n v="2379"/>
    <n v="0"/>
    <m/>
    <x v="24"/>
  </r>
  <r>
    <x v="52"/>
    <s v="rom_fact_northern_enedwaith"/>
    <n v="6"/>
    <x v="9"/>
    <n v="55"/>
    <n v="47007"/>
    <n v="10156"/>
    <n v="351"/>
    <m/>
    <x v="25"/>
  </r>
  <r>
    <x v="52"/>
    <s v="rom_fact_southern_enedwaith"/>
    <n v="0"/>
    <x v="11"/>
    <n v="0"/>
    <n v="54023"/>
    <n v="1750"/>
    <n v="0"/>
    <m/>
    <x v="26"/>
  </r>
  <r>
    <x v="52"/>
    <s v="rom_fact_druedain"/>
    <n v="2"/>
    <x v="7"/>
    <n v="19"/>
    <n v="32069"/>
    <n v="3739"/>
    <n v="0"/>
    <m/>
    <x v="27"/>
  </r>
  <r>
    <x v="52"/>
    <s v="rom_fact_harondor"/>
    <n v="0"/>
    <x v="11"/>
    <n v="0"/>
    <n v="15146"/>
    <n v="1750"/>
    <n v="0"/>
    <m/>
    <x v="28"/>
  </r>
  <r>
    <x v="52"/>
    <s v="rom_fact_southron_nomads"/>
    <n v="0"/>
    <x v="11"/>
    <n v="0"/>
    <n v="4000"/>
    <n v="1750"/>
    <n v="0"/>
    <m/>
    <x v="29"/>
  </r>
  <r>
    <x v="52"/>
    <s v="rom_fact_separatist_harad"/>
    <n v="0"/>
    <x v="11"/>
    <n v="0"/>
    <n v="4000"/>
    <n v="1750"/>
    <n v="0"/>
    <m/>
    <x v="30"/>
  </r>
  <r>
    <x v="52"/>
    <s v="rom_fact_separatist_khand"/>
    <n v="0"/>
    <x v="11"/>
    <n v="0"/>
    <n v="4000"/>
    <n v="1750"/>
    <n v="0"/>
    <m/>
    <x v="30"/>
  </r>
  <r>
    <x v="52"/>
    <s v="rom_fact_separatist_balchoth"/>
    <n v="0"/>
    <x v="11"/>
    <n v="0"/>
    <n v="4000"/>
    <n v="1750"/>
    <n v="0"/>
    <m/>
    <x v="30"/>
  </r>
  <r>
    <x v="52"/>
    <s v="rom_fact_separatist_feredrim"/>
    <n v="0"/>
    <x v="11"/>
    <n v="0"/>
    <n v="4000"/>
    <n v="1750"/>
    <n v="0"/>
    <m/>
    <x v="30"/>
  </r>
  <r>
    <x v="52"/>
    <s v="rom_fact_separatist_haerrim"/>
    <n v="0"/>
    <x v="11"/>
    <n v="0"/>
    <n v="4000"/>
    <n v="1750"/>
    <n v="0"/>
    <m/>
    <x v="30"/>
  </r>
  <r>
    <x v="52"/>
    <s v="rom_fact_separatist_wainriders"/>
    <n v="0"/>
    <x v="11"/>
    <n v="0"/>
    <n v="4000"/>
    <n v="1750"/>
    <n v="0"/>
    <m/>
    <x v="30"/>
  </r>
  <r>
    <x v="52"/>
    <s v="rom_fact_separatist_rhurim"/>
    <n v="0"/>
    <x v="11"/>
    <n v="0"/>
    <n v="4000"/>
    <n v="1750"/>
    <n v="0"/>
    <m/>
    <x v="30"/>
  </r>
  <r>
    <x v="52"/>
    <s v="rom_fact_separatist_mahuds"/>
    <n v="0"/>
    <x v="11"/>
    <n v="0"/>
    <n v="4000"/>
    <n v="1750"/>
    <n v="0"/>
    <m/>
    <x v="30"/>
  </r>
  <r>
    <x v="52"/>
    <s v="rom_fact_separatist_umbar"/>
    <n v="0"/>
    <x v="11"/>
    <n v="0"/>
    <n v="4000"/>
    <n v="1750"/>
    <n v="0"/>
    <m/>
    <x v="30"/>
  </r>
  <r>
    <x v="53"/>
    <s v="rom_fact_mordor"/>
    <n v="181"/>
    <x v="28"/>
    <n v="219.8"/>
    <n v="1751"/>
    <n v="22289"/>
    <n v="1156"/>
    <m/>
    <x v="0"/>
  </r>
  <r>
    <x v="53"/>
    <s v="rom_fact_gondor"/>
    <n v="141"/>
    <x v="13"/>
    <n v="126"/>
    <n v="65429"/>
    <n v="23388"/>
    <n v="0"/>
    <m/>
    <x v="1"/>
  </r>
  <r>
    <x v="53"/>
    <s v="rom_fact_dale"/>
    <n v="115"/>
    <x v="3"/>
    <n v="48.6"/>
    <n v="19652"/>
    <n v="10022"/>
    <n v="178"/>
    <m/>
    <x v="2"/>
  </r>
  <r>
    <x v="53"/>
    <s v="rom_fact_erebor"/>
    <n v="148"/>
    <x v="9"/>
    <n v="26.1"/>
    <n v="50386"/>
    <n v="9831"/>
    <n v="420"/>
    <m/>
    <x v="3"/>
  </r>
  <r>
    <x v="53"/>
    <s v="rom_fact_rohan"/>
    <n v="146"/>
    <x v="8"/>
    <n v="43"/>
    <n v="12353"/>
    <n v="6038"/>
    <n v="0"/>
    <m/>
    <x v="4"/>
  </r>
  <r>
    <x v="53"/>
    <s v="rom_fact_dol_guldur"/>
    <n v="153"/>
    <x v="16"/>
    <n v="181.7"/>
    <n v="19176"/>
    <n v="22547"/>
    <n v="1425"/>
    <m/>
    <x v="5"/>
  </r>
  <r>
    <x v="53"/>
    <s v="rom_fact_anduin_vale"/>
    <n v="58"/>
    <x v="11"/>
    <n v="0"/>
    <n v="4515"/>
    <n v="2500"/>
    <n v="0"/>
    <m/>
    <x v="6"/>
  </r>
  <r>
    <x v="53"/>
    <s v="rom_fact_isengard"/>
    <n v="182"/>
    <x v="5"/>
    <n v="86.3"/>
    <n v="14546"/>
    <n v="14026"/>
    <n v="882"/>
    <m/>
    <x v="7"/>
  </r>
  <r>
    <x v="53"/>
    <s v="rom_fact_woodland_realm"/>
    <n v="30"/>
    <x v="11"/>
    <n v="0"/>
    <n v="8475"/>
    <n v="2500"/>
    <n v="0"/>
    <m/>
    <x v="8"/>
  </r>
  <r>
    <x v="53"/>
    <s v="rom_fact_lothlorien"/>
    <n v="64"/>
    <x v="11"/>
    <n v="0"/>
    <n v="4721"/>
    <n v="2500"/>
    <n v="0"/>
    <m/>
    <x v="9"/>
  </r>
  <r>
    <x v="53"/>
    <s v="rom_fact_khand"/>
    <n v="0"/>
    <x v="11"/>
    <n v="0"/>
    <n v="4919"/>
    <n v="1750"/>
    <n v="0"/>
    <m/>
    <x v="10"/>
  </r>
  <r>
    <x v="53"/>
    <s v="rom_fact_umbar"/>
    <n v="10"/>
    <x v="13"/>
    <n v="104.8"/>
    <n v="31073"/>
    <n v="18379"/>
    <n v="1043"/>
    <m/>
    <x v="11"/>
  </r>
  <r>
    <x v="53"/>
    <s v="rom_fact_mahuds"/>
    <n v="5"/>
    <x v="3"/>
    <n v="48"/>
    <n v="14050"/>
    <n v="7603"/>
    <n v="0"/>
    <m/>
    <x v="12"/>
  </r>
  <r>
    <x v="53"/>
    <s v="rom_fact_harad"/>
    <n v="110"/>
    <x v="13"/>
    <n v="109"/>
    <n v="28180"/>
    <n v="14941"/>
    <n v="0"/>
    <m/>
    <x v="13"/>
  </r>
  <r>
    <x v="53"/>
    <s v="rom_fact_dunland"/>
    <n v="108"/>
    <x v="6"/>
    <n v="147.80000000000001"/>
    <n v="16619"/>
    <n v="21462"/>
    <n v="1057"/>
    <m/>
    <x v="14"/>
  </r>
  <r>
    <x v="53"/>
    <s v="rom_fact_haerrim"/>
    <n v="0"/>
    <x v="11"/>
    <n v="0"/>
    <n v="5352"/>
    <n v="1750"/>
    <n v="0"/>
    <m/>
    <x v="15"/>
  </r>
  <r>
    <x v="53"/>
    <s v="rom_fact_goblins"/>
    <n v="225"/>
    <x v="14"/>
    <n v="228.6"/>
    <n v="35635"/>
    <n v="29565"/>
    <n v="3077"/>
    <m/>
    <x v="16"/>
  </r>
  <r>
    <x v="53"/>
    <s v="rom_fact_balchoth"/>
    <n v="0"/>
    <x v="11"/>
    <n v="0"/>
    <n v="4872"/>
    <n v="1750"/>
    <n v="0"/>
    <m/>
    <x v="17"/>
  </r>
  <r>
    <x v="53"/>
    <s v="rom_fact_rhurim"/>
    <n v="183"/>
    <x v="22"/>
    <n v="372.7"/>
    <n v="35167"/>
    <n v="36691"/>
    <n v="1298"/>
    <m/>
    <x v="18"/>
  </r>
  <r>
    <x v="53"/>
    <s v="rom_fact_feredrim"/>
    <n v="0"/>
    <x v="11"/>
    <n v="0"/>
    <n v="7360"/>
    <n v="1750"/>
    <n v="0"/>
    <m/>
    <x v="19"/>
  </r>
  <r>
    <x v="53"/>
    <s v="rom_fact_wainriders"/>
    <n v="0"/>
    <x v="11"/>
    <n v="0"/>
    <n v="6395"/>
    <n v="1750"/>
    <n v="0"/>
    <m/>
    <x v="20"/>
  </r>
  <r>
    <x v="53"/>
    <s v="rom_fact_blacklock"/>
    <n v="5"/>
    <x v="3"/>
    <n v="63"/>
    <n v="72494"/>
    <n v="12492"/>
    <n v="0"/>
    <m/>
    <x v="21"/>
  </r>
  <r>
    <x v="53"/>
    <s v="rom_fact_ironfist"/>
    <n v="4"/>
    <x v="10"/>
    <n v="41"/>
    <n v="37874"/>
    <n v="7374"/>
    <n v="0"/>
    <m/>
    <x v="22"/>
  </r>
  <r>
    <x v="53"/>
    <s v="rom_fact_gundabad"/>
    <n v="142"/>
    <x v="2"/>
    <n v="191.4"/>
    <n v="40361"/>
    <n v="22060"/>
    <n v="925"/>
    <m/>
    <x v="23"/>
  </r>
  <r>
    <x v="53"/>
    <s v="rom_fact_rohan_scouts"/>
    <n v="0"/>
    <x v="11"/>
    <n v="3"/>
    <n v="63413"/>
    <n v="2379"/>
    <n v="0"/>
    <m/>
    <x v="24"/>
  </r>
  <r>
    <x v="53"/>
    <s v="rom_fact_northern_enedwaith"/>
    <n v="6"/>
    <x v="9"/>
    <n v="55"/>
    <n v="47014"/>
    <n v="10165"/>
    <n v="352"/>
    <m/>
    <x v="25"/>
  </r>
  <r>
    <x v="53"/>
    <s v="rom_fact_southern_enedwaith"/>
    <n v="0"/>
    <x v="11"/>
    <n v="0"/>
    <n v="54023"/>
    <n v="1750"/>
    <n v="0"/>
    <m/>
    <x v="26"/>
  </r>
  <r>
    <x v="53"/>
    <s v="rom_fact_druedain"/>
    <n v="2"/>
    <x v="7"/>
    <n v="12"/>
    <n v="33453"/>
    <n v="2244"/>
    <n v="0"/>
    <m/>
    <x v="27"/>
  </r>
  <r>
    <x v="53"/>
    <s v="rom_fact_harondor"/>
    <n v="0"/>
    <x v="11"/>
    <n v="0"/>
    <n v="15146"/>
    <n v="1750"/>
    <n v="0"/>
    <m/>
    <x v="28"/>
  </r>
  <r>
    <x v="53"/>
    <s v="rom_fact_southron_nomads"/>
    <n v="0"/>
    <x v="11"/>
    <n v="0"/>
    <n v="4000"/>
    <n v="1750"/>
    <n v="0"/>
    <m/>
    <x v="29"/>
  </r>
  <r>
    <x v="53"/>
    <s v="rom_fact_separatist_harad"/>
    <n v="0"/>
    <x v="11"/>
    <n v="0"/>
    <n v="4000"/>
    <n v="1750"/>
    <n v="0"/>
    <m/>
    <x v="30"/>
  </r>
  <r>
    <x v="53"/>
    <s v="rom_fact_separatist_khand"/>
    <n v="0"/>
    <x v="11"/>
    <n v="0"/>
    <n v="4000"/>
    <n v="1750"/>
    <n v="0"/>
    <m/>
    <x v="30"/>
  </r>
  <r>
    <x v="53"/>
    <s v="rom_fact_separatist_balchoth"/>
    <n v="0"/>
    <x v="11"/>
    <n v="0"/>
    <n v="4000"/>
    <n v="1750"/>
    <n v="0"/>
    <m/>
    <x v="30"/>
  </r>
  <r>
    <x v="53"/>
    <s v="rom_fact_separatist_feredrim"/>
    <n v="0"/>
    <x v="11"/>
    <n v="0"/>
    <n v="4000"/>
    <n v="1750"/>
    <n v="0"/>
    <m/>
    <x v="30"/>
  </r>
  <r>
    <x v="53"/>
    <s v="rom_fact_separatist_haerrim"/>
    <n v="0"/>
    <x v="11"/>
    <n v="0"/>
    <n v="4000"/>
    <n v="1750"/>
    <n v="0"/>
    <m/>
    <x v="30"/>
  </r>
  <r>
    <x v="53"/>
    <s v="rom_fact_separatist_wainriders"/>
    <n v="0"/>
    <x v="11"/>
    <n v="0"/>
    <n v="4000"/>
    <n v="1750"/>
    <n v="0"/>
    <m/>
    <x v="30"/>
  </r>
  <r>
    <x v="53"/>
    <s v="rom_fact_separatist_rhurim"/>
    <n v="0"/>
    <x v="11"/>
    <n v="0"/>
    <n v="4000"/>
    <n v="1750"/>
    <n v="0"/>
    <m/>
    <x v="30"/>
  </r>
  <r>
    <x v="53"/>
    <s v="rom_fact_separatist_mahuds"/>
    <n v="0"/>
    <x v="11"/>
    <n v="0"/>
    <n v="4000"/>
    <n v="1750"/>
    <n v="0"/>
    <m/>
    <x v="30"/>
  </r>
  <r>
    <x v="53"/>
    <s v="rom_fact_separatist_umbar"/>
    <n v="0"/>
    <x v="11"/>
    <n v="0"/>
    <n v="4000"/>
    <n v="1750"/>
    <n v="0"/>
    <m/>
    <x v="30"/>
  </r>
  <r>
    <x v="54"/>
    <s v="rom_fact_mordor"/>
    <n v="181"/>
    <x v="28"/>
    <n v="219.8"/>
    <n v="6743"/>
    <n v="22485"/>
    <n v="1154"/>
    <m/>
    <x v="0"/>
  </r>
  <r>
    <x v="54"/>
    <s v="rom_fact_gondor"/>
    <n v="141"/>
    <x v="13"/>
    <n v="126"/>
    <n v="67618"/>
    <n v="23630"/>
    <n v="0"/>
    <m/>
    <x v="1"/>
  </r>
  <r>
    <x v="54"/>
    <s v="rom_fact_dale"/>
    <n v="115"/>
    <x v="3"/>
    <n v="42.6"/>
    <n v="20022"/>
    <n v="8627"/>
    <n v="165"/>
    <m/>
    <x v="2"/>
  </r>
  <r>
    <x v="54"/>
    <s v="rom_fact_erebor"/>
    <n v="148"/>
    <x v="9"/>
    <n v="37.299999999999997"/>
    <n v="37089"/>
    <n v="8712"/>
    <n v="210"/>
    <m/>
    <x v="3"/>
  </r>
  <r>
    <x v="54"/>
    <s v="rom_fact_rohan"/>
    <n v="145"/>
    <x v="9"/>
    <n v="24"/>
    <n v="16789"/>
    <n v="4868"/>
    <n v="0"/>
    <m/>
    <x v="4"/>
  </r>
  <r>
    <x v="54"/>
    <s v="rom_fact_dol_guldur"/>
    <n v="153"/>
    <x v="16"/>
    <n v="185.7"/>
    <n v="18568"/>
    <n v="22621"/>
    <n v="1422"/>
    <m/>
    <x v="5"/>
  </r>
  <r>
    <x v="54"/>
    <s v="rom_fact_anduin_vale"/>
    <n v="58"/>
    <x v="11"/>
    <n v="0"/>
    <n v="4515"/>
    <n v="2500"/>
    <n v="0"/>
    <m/>
    <x v="6"/>
  </r>
  <r>
    <x v="54"/>
    <s v="rom_fact_isengard"/>
    <n v="182"/>
    <x v="5"/>
    <n v="88.5"/>
    <n v="16403"/>
    <n v="14265"/>
    <n v="882"/>
    <m/>
    <x v="7"/>
  </r>
  <r>
    <x v="54"/>
    <s v="rom_fact_woodland_realm"/>
    <n v="30"/>
    <x v="11"/>
    <n v="0"/>
    <n v="8475"/>
    <n v="2500"/>
    <n v="0"/>
    <m/>
    <x v="8"/>
  </r>
  <r>
    <x v="54"/>
    <s v="rom_fact_lothlorien"/>
    <n v="64"/>
    <x v="11"/>
    <n v="0"/>
    <n v="4721"/>
    <n v="2500"/>
    <n v="0"/>
    <m/>
    <x v="9"/>
  </r>
  <r>
    <x v="54"/>
    <s v="rom_fact_khand"/>
    <n v="0"/>
    <x v="11"/>
    <n v="0"/>
    <n v="4919"/>
    <n v="1750"/>
    <n v="0"/>
    <m/>
    <x v="10"/>
  </r>
  <r>
    <x v="54"/>
    <s v="rom_fact_umbar"/>
    <n v="10"/>
    <x v="13"/>
    <n v="110.8"/>
    <n v="34402"/>
    <n v="18534"/>
    <n v="1045"/>
    <m/>
    <x v="11"/>
  </r>
  <r>
    <x v="54"/>
    <s v="rom_fact_mahuds"/>
    <n v="5"/>
    <x v="3"/>
    <n v="48"/>
    <n v="15605"/>
    <n v="7603"/>
    <n v="0"/>
    <m/>
    <x v="12"/>
  </r>
  <r>
    <x v="54"/>
    <s v="rom_fact_harad"/>
    <n v="110"/>
    <x v="13"/>
    <n v="121"/>
    <n v="25250"/>
    <n v="13736"/>
    <n v="0"/>
    <m/>
    <x v="13"/>
  </r>
  <r>
    <x v="54"/>
    <s v="rom_fact_dunland"/>
    <n v="113"/>
    <x v="6"/>
    <n v="147.80000000000001"/>
    <n v="19352"/>
    <n v="22541"/>
    <n v="1058"/>
    <m/>
    <x v="14"/>
  </r>
  <r>
    <x v="54"/>
    <s v="rom_fact_haerrim"/>
    <n v="0"/>
    <x v="11"/>
    <n v="0"/>
    <n v="5352"/>
    <n v="1750"/>
    <n v="0"/>
    <m/>
    <x v="15"/>
  </r>
  <r>
    <x v="54"/>
    <s v="rom_fact_goblins"/>
    <n v="230"/>
    <x v="20"/>
    <n v="251.7"/>
    <n v="36585"/>
    <n v="28513"/>
    <n v="2986"/>
    <m/>
    <x v="16"/>
  </r>
  <r>
    <x v="54"/>
    <s v="rom_fact_balchoth"/>
    <n v="0"/>
    <x v="11"/>
    <n v="0"/>
    <n v="4872"/>
    <n v="1750"/>
    <n v="0"/>
    <m/>
    <x v="17"/>
  </r>
  <r>
    <x v="54"/>
    <s v="rom_fact_rhurim"/>
    <n v="183"/>
    <x v="22"/>
    <n v="375.7"/>
    <n v="45740"/>
    <n v="36525"/>
    <n v="1296"/>
    <m/>
    <x v="18"/>
  </r>
  <r>
    <x v="54"/>
    <s v="rom_fact_feredrim"/>
    <n v="0"/>
    <x v="11"/>
    <n v="0"/>
    <n v="7360"/>
    <n v="1750"/>
    <n v="0"/>
    <m/>
    <x v="19"/>
  </r>
  <r>
    <x v="54"/>
    <s v="rom_fact_wainriders"/>
    <n v="0"/>
    <x v="11"/>
    <n v="0"/>
    <n v="6395"/>
    <n v="1750"/>
    <n v="0"/>
    <m/>
    <x v="20"/>
  </r>
  <r>
    <x v="54"/>
    <s v="rom_fact_blacklock"/>
    <n v="5"/>
    <x v="3"/>
    <n v="66"/>
    <n v="72987"/>
    <n v="13007"/>
    <n v="0"/>
    <m/>
    <x v="21"/>
  </r>
  <r>
    <x v="54"/>
    <s v="rom_fact_ironfist"/>
    <n v="4"/>
    <x v="10"/>
    <n v="41"/>
    <n v="39592"/>
    <n v="8161"/>
    <n v="0"/>
    <m/>
    <x v="22"/>
  </r>
  <r>
    <x v="54"/>
    <s v="rom_fact_gundabad"/>
    <n v="147"/>
    <x v="2"/>
    <n v="187.6"/>
    <n v="48060"/>
    <n v="22047"/>
    <n v="924"/>
    <m/>
    <x v="23"/>
  </r>
  <r>
    <x v="54"/>
    <s v="rom_fact_rohan_scouts"/>
    <n v="0"/>
    <x v="11"/>
    <n v="3"/>
    <n v="64534"/>
    <n v="2379"/>
    <n v="0"/>
    <m/>
    <x v="24"/>
  </r>
  <r>
    <x v="54"/>
    <s v="rom_fact_northern_enedwaith"/>
    <n v="6"/>
    <x v="9"/>
    <n v="55"/>
    <n v="50228"/>
    <n v="10391"/>
    <n v="354"/>
    <m/>
    <x v="25"/>
  </r>
  <r>
    <x v="54"/>
    <s v="rom_fact_southern_enedwaith"/>
    <n v="0"/>
    <x v="11"/>
    <n v="0"/>
    <n v="54023"/>
    <n v="1750"/>
    <n v="0"/>
    <m/>
    <x v="26"/>
  </r>
  <r>
    <x v="54"/>
    <s v="rom_fact_druedain"/>
    <n v="2"/>
    <x v="7"/>
    <n v="9"/>
    <n v="32187"/>
    <n v="2801"/>
    <n v="0"/>
    <m/>
    <x v="27"/>
  </r>
  <r>
    <x v="54"/>
    <s v="rom_fact_harondor"/>
    <n v="0"/>
    <x v="11"/>
    <n v="0"/>
    <n v="15146"/>
    <n v="1750"/>
    <n v="0"/>
    <m/>
    <x v="28"/>
  </r>
  <r>
    <x v="54"/>
    <s v="rom_fact_southron_nomads"/>
    <n v="0"/>
    <x v="11"/>
    <n v="0"/>
    <n v="4000"/>
    <n v="1750"/>
    <n v="0"/>
    <m/>
    <x v="29"/>
  </r>
  <r>
    <x v="54"/>
    <s v="rom_fact_separatist_harad"/>
    <n v="0"/>
    <x v="11"/>
    <n v="0"/>
    <n v="4000"/>
    <n v="1750"/>
    <n v="0"/>
    <m/>
    <x v="30"/>
  </r>
  <r>
    <x v="54"/>
    <s v="rom_fact_separatist_khand"/>
    <n v="0"/>
    <x v="11"/>
    <n v="0"/>
    <n v="4000"/>
    <n v="1750"/>
    <n v="0"/>
    <m/>
    <x v="30"/>
  </r>
  <r>
    <x v="54"/>
    <s v="rom_fact_separatist_balchoth"/>
    <n v="0"/>
    <x v="11"/>
    <n v="0"/>
    <n v="4000"/>
    <n v="1750"/>
    <n v="0"/>
    <m/>
    <x v="30"/>
  </r>
  <r>
    <x v="54"/>
    <s v="rom_fact_separatist_feredrim"/>
    <n v="0"/>
    <x v="11"/>
    <n v="0"/>
    <n v="4000"/>
    <n v="1750"/>
    <n v="0"/>
    <m/>
    <x v="30"/>
  </r>
  <r>
    <x v="54"/>
    <s v="rom_fact_separatist_haerrim"/>
    <n v="0"/>
    <x v="11"/>
    <n v="0"/>
    <n v="4000"/>
    <n v="1750"/>
    <n v="0"/>
    <m/>
    <x v="30"/>
  </r>
  <r>
    <x v="54"/>
    <s v="rom_fact_separatist_wainriders"/>
    <n v="0"/>
    <x v="11"/>
    <n v="0"/>
    <n v="4000"/>
    <n v="1750"/>
    <n v="0"/>
    <m/>
    <x v="30"/>
  </r>
  <r>
    <x v="54"/>
    <s v="rom_fact_separatist_rhurim"/>
    <n v="0"/>
    <x v="11"/>
    <n v="0"/>
    <n v="4000"/>
    <n v="1750"/>
    <n v="0"/>
    <m/>
    <x v="30"/>
  </r>
  <r>
    <x v="54"/>
    <s v="rom_fact_separatist_mahuds"/>
    <n v="0"/>
    <x v="11"/>
    <n v="0"/>
    <n v="4000"/>
    <n v="1750"/>
    <n v="0"/>
    <m/>
    <x v="30"/>
  </r>
  <r>
    <x v="54"/>
    <s v="rom_fact_separatist_umbar"/>
    <n v="0"/>
    <x v="11"/>
    <n v="0"/>
    <n v="4000"/>
    <n v="1750"/>
    <n v="0"/>
    <m/>
    <x v="30"/>
  </r>
  <r>
    <x v="55"/>
    <s v="rom_fact_mordor"/>
    <n v="181"/>
    <x v="28"/>
    <n v="219.8"/>
    <n v="5220"/>
    <n v="22522"/>
    <n v="1267"/>
    <m/>
    <x v="0"/>
  </r>
  <r>
    <x v="55"/>
    <s v="rom_fact_gondor"/>
    <n v="141"/>
    <x v="13"/>
    <n v="107"/>
    <n v="73654"/>
    <n v="19153"/>
    <n v="0"/>
    <m/>
    <x v="1"/>
  </r>
  <r>
    <x v="55"/>
    <s v="rom_fact_dale"/>
    <n v="115"/>
    <x v="3"/>
    <n v="50.6"/>
    <n v="13260"/>
    <n v="8109"/>
    <n v="166"/>
    <m/>
    <x v="2"/>
  </r>
  <r>
    <x v="55"/>
    <s v="rom_fact_erebor"/>
    <n v="153"/>
    <x v="9"/>
    <n v="37.1"/>
    <n v="27762"/>
    <n v="7678"/>
    <n v="210"/>
    <m/>
    <x v="3"/>
  </r>
  <r>
    <x v="55"/>
    <s v="rom_fact_rohan"/>
    <n v="145"/>
    <x v="9"/>
    <n v="39"/>
    <n v="10269"/>
    <n v="4165"/>
    <n v="0"/>
    <m/>
    <x v="4"/>
  </r>
  <r>
    <x v="55"/>
    <s v="rom_fact_dol_guldur"/>
    <n v="158"/>
    <x v="16"/>
    <n v="189.7"/>
    <n v="17720"/>
    <n v="23112"/>
    <n v="1519"/>
    <m/>
    <x v="5"/>
  </r>
  <r>
    <x v="55"/>
    <s v="rom_fact_anduin_vale"/>
    <n v="58"/>
    <x v="11"/>
    <n v="0"/>
    <n v="4515"/>
    <n v="2500"/>
    <n v="0"/>
    <m/>
    <x v="6"/>
  </r>
  <r>
    <x v="55"/>
    <s v="rom_fact_isengard"/>
    <n v="182"/>
    <x v="5"/>
    <n v="91.3"/>
    <n v="15563"/>
    <n v="14283"/>
    <n v="892"/>
    <m/>
    <x v="7"/>
  </r>
  <r>
    <x v="55"/>
    <s v="rom_fact_woodland_realm"/>
    <n v="30"/>
    <x v="11"/>
    <n v="0"/>
    <n v="8475"/>
    <n v="2500"/>
    <n v="0"/>
    <m/>
    <x v="8"/>
  </r>
  <r>
    <x v="55"/>
    <s v="rom_fact_lothlorien"/>
    <n v="64"/>
    <x v="11"/>
    <n v="0"/>
    <n v="4721"/>
    <n v="2500"/>
    <n v="0"/>
    <m/>
    <x v="9"/>
  </r>
  <r>
    <x v="55"/>
    <s v="rom_fact_khand"/>
    <n v="0"/>
    <x v="11"/>
    <n v="0"/>
    <n v="4919"/>
    <n v="1750"/>
    <n v="0"/>
    <m/>
    <x v="10"/>
  </r>
  <r>
    <x v="55"/>
    <s v="rom_fact_umbar"/>
    <n v="10"/>
    <x v="13"/>
    <n v="110.8"/>
    <n v="32478"/>
    <n v="19105"/>
    <n v="1051"/>
    <m/>
    <x v="11"/>
  </r>
  <r>
    <x v="55"/>
    <s v="rom_fact_mahuds"/>
    <n v="4"/>
    <x v="10"/>
    <n v="40"/>
    <n v="16264"/>
    <n v="6683"/>
    <n v="0"/>
    <m/>
    <x v="12"/>
  </r>
  <r>
    <x v="55"/>
    <s v="rom_fact_harad"/>
    <n v="111"/>
    <x v="12"/>
    <n v="134"/>
    <n v="25336"/>
    <n v="16399"/>
    <n v="0"/>
    <m/>
    <x v="13"/>
  </r>
  <r>
    <x v="55"/>
    <s v="rom_fact_dunland"/>
    <n v="117"/>
    <x v="6"/>
    <n v="150.80000000000001"/>
    <n v="23127"/>
    <n v="23367"/>
    <n v="1069"/>
    <m/>
    <x v="14"/>
  </r>
  <r>
    <x v="55"/>
    <s v="rom_fact_haerrim"/>
    <n v="0"/>
    <x v="11"/>
    <n v="0"/>
    <n v="5352"/>
    <n v="1750"/>
    <n v="0"/>
    <m/>
    <x v="15"/>
  </r>
  <r>
    <x v="55"/>
    <s v="rom_fact_goblins"/>
    <n v="240"/>
    <x v="20"/>
    <n v="254.7"/>
    <n v="30334"/>
    <n v="31760"/>
    <n v="3020"/>
    <m/>
    <x v="16"/>
  </r>
  <r>
    <x v="55"/>
    <s v="rom_fact_balchoth"/>
    <n v="0"/>
    <x v="11"/>
    <n v="0"/>
    <n v="4872"/>
    <n v="1750"/>
    <n v="0"/>
    <m/>
    <x v="17"/>
  </r>
  <r>
    <x v="55"/>
    <s v="rom_fact_rhurim"/>
    <n v="182"/>
    <x v="24"/>
    <n v="367.7"/>
    <n v="52816"/>
    <n v="32645"/>
    <n v="1351"/>
    <m/>
    <x v="18"/>
  </r>
  <r>
    <x v="55"/>
    <s v="rom_fact_feredrim"/>
    <n v="0"/>
    <x v="11"/>
    <n v="0"/>
    <n v="7360"/>
    <n v="1750"/>
    <n v="0"/>
    <m/>
    <x v="19"/>
  </r>
  <r>
    <x v="55"/>
    <s v="rom_fact_wainriders"/>
    <n v="0"/>
    <x v="11"/>
    <n v="0"/>
    <n v="6395"/>
    <n v="1750"/>
    <n v="0"/>
    <m/>
    <x v="20"/>
  </r>
  <r>
    <x v="55"/>
    <s v="rom_fact_blacklock"/>
    <n v="5"/>
    <x v="3"/>
    <n v="69"/>
    <n v="73167"/>
    <n v="13320"/>
    <n v="0"/>
    <m/>
    <x v="21"/>
  </r>
  <r>
    <x v="55"/>
    <s v="rom_fact_ironfist"/>
    <n v="4"/>
    <x v="10"/>
    <n v="41"/>
    <n v="41310"/>
    <n v="7374"/>
    <n v="0"/>
    <m/>
    <x v="22"/>
  </r>
  <r>
    <x v="55"/>
    <s v="rom_fact_gundabad"/>
    <n v="147"/>
    <x v="2"/>
    <n v="196.6"/>
    <n v="52690"/>
    <n v="23446"/>
    <n v="932"/>
    <m/>
    <x v="23"/>
  </r>
  <r>
    <x v="55"/>
    <s v="rom_fact_rohan_scouts"/>
    <n v="0"/>
    <x v="11"/>
    <n v="3"/>
    <n v="65655"/>
    <n v="2379"/>
    <n v="0"/>
    <m/>
    <x v="24"/>
  </r>
  <r>
    <x v="55"/>
    <s v="rom_fact_northern_enedwaith"/>
    <n v="6"/>
    <x v="9"/>
    <n v="55"/>
    <n v="45933"/>
    <n v="10640"/>
    <n v="356"/>
    <m/>
    <x v="25"/>
  </r>
  <r>
    <x v="55"/>
    <s v="rom_fact_southern_enedwaith"/>
    <n v="0"/>
    <x v="11"/>
    <n v="0"/>
    <n v="54023"/>
    <n v="1750"/>
    <n v="0"/>
    <m/>
    <x v="26"/>
  </r>
  <r>
    <x v="55"/>
    <s v="rom_fact_druedain"/>
    <n v="2"/>
    <x v="7"/>
    <n v="9"/>
    <n v="21499"/>
    <n v="2633"/>
    <n v="0"/>
    <m/>
    <x v="27"/>
  </r>
  <r>
    <x v="55"/>
    <s v="rom_fact_harondor"/>
    <n v="0"/>
    <x v="11"/>
    <n v="0"/>
    <n v="15146"/>
    <n v="1750"/>
    <n v="0"/>
    <m/>
    <x v="28"/>
  </r>
  <r>
    <x v="55"/>
    <s v="rom_fact_southron_nomads"/>
    <n v="0"/>
    <x v="11"/>
    <n v="0"/>
    <n v="4000"/>
    <n v="1750"/>
    <n v="0"/>
    <m/>
    <x v="29"/>
  </r>
  <r>
    <x v="55"/>
    <s v="rom_fact_separatist_harad"/>
    <n v="0"/>
    <x v="11"/>
    <n v="0"/>
    <n v="4000"/>
    <n v="1750"/>
    <n v="0"/>
    <m/>
    <x v="30"/>
  </r>
  <r>
    <x v="55"/>
    <s v="rom_fact_separatist_khand"/>
    <n v="0"/>
    <x v="11"/>
    <n v="0"/>
    <n v="4000"/>
    <n v="1750"/>
    <n v="0"/>
    <m/>
    <x v="30"/>
  </r>
  <r>
    <x v="55"/>
    <s v="rom_fact_separatist_balchoth"/>
    <n v="0"/>
    <x v="11"/>
    <n v="0"/>
    <n v="4000"/>
    <n v="1750"/>
    <n v="0"/>
    <m/>
    <x v="30"/>
  </r>
  <r>
    <x v="55"/>
    <s v="rom_fact_separatist_feredrim"/>
    <n v="0"/>
    <x v="11"/>
    <n v="0"/>
    <n v="4000"/>
    <n v="1750"/>
    <n v="0"/>
    <m/>
    <x v="30"/>
  </r>
  <r>
    <x v="55"/>
    <s v="rom_fact_separatist_haerrim"/>
    <n v="0"/>
    <x v="11"/>
    <n v="0"/>
    <n v="4000"/>
    <n v="1750"/>
    <n v="0"/>
    <m/>
    <x v="30"/>
  </r>
  <r>
    <x v="55"/>
    <s v="rom_fact_separatist_wainriders"/>
    <n v="0"/>
    <x v="11"/>
    <n v="0"/>
    <n v="4000"/>
    <n v="1750"/>
    <n v="0"/>
    <m/>
    <x v="30"/>
  </r>
  <r>
    <x v="55"/>
    <s v="rom_fact_separatist_rhurim"/>
    <n v="0"/>
    <x v="11"/>
    <n v="0"/>
    <n v="4000"/>
    <n v="1750"/>
    <n v="0"/>
    <m/>
    <x v="30"/>
  </r>
  <r>
    <x v="55"/>
    <s v="rom_fact_separatist_mahuds"/>
    <n v="0"/>
    <x v="11"/>
    <n v="0"/>
    <n v="4000"/>
    <n v="1750"/>
    <n v="0"/>
    <m/>
    <x v="30"/>
  </r>
  <r>
    <x v="55"/>
    <s v="rom_fact_separatist_umbar"/>
    <n v="0"/>
    <x v="11"/>
    <n v="0"/>
    <n v="4000"/>
    <n v="1750"/>
    <n v="0"/>
    <m/>
    <x v="30"/>
  </r>
  <r>
    <x v="56"/>
    <s v="rom_fact_mordor"/>
    <n v="190"/>
    <x v="28"/>
    <n v="220.7"/>
    <n v="5591"/>
    <n v="22715"/>
    <n v="1281"/>
    <m/>
    <x v="0"/>
  </r>
  <r>
    <x v="56"/>
    <s v="rom_fact_gondor"/>
    <n v="146"/>
    <x v="13"/>
    <n v="94"/>
    <n v="71319"/>
    <n v="16777"/>
    <n v="0"/>
    <m/>
    <x v="1"/>
  </r>
  <r>
    <x v="56"/>
    <s v="rom_fact_dale"/>
    <n v="140"/>
    <x v="3"/>
    <n v="56.6"/>
    <n v="13875"/>
    <n v="8394"/>
    <n v="166"/>
    <m/>
    <x v="2"/>
  </r>
  <r>
    <x v="56"/>
    <s v="rom_fact_erebor"/>
    <n v="153"/>
    <x v="9"/>
    <n v="27"/>
    <n v="30029"/>
    <n v="8095"/>
    <n v="211"/>
    <m/>
    <x v="3"/>
  </r>
  <r>
    <x v="56"/>
    <s v="rom_fact_rohan"/>
    <n v="145"/>
    <x v="9"/>
    <n v="33.6"/>
    <n v="8627"/>
    <n v="5316"/>
    <n v="0"/>
    <m/>
    <x v="4"/>
  </r>
  <r>
    <x v="56"/>
    <s v="rom_fact_dol_guldur"/>
    <n v="158"/>
    <x v="16"/>
    <n v="196.6"/>
    <n v="13984"/>
    <n v="25225"/>
    <n v="1538"/>
    <m/>
    <x v="5"/>
  </r>
  <r>
    <x v="56"/>
    <s v="rom_fact_anduin_vale"/>
    <n v="58"/>
    <x v="11"/>
    <n v="0"/>
    <n v="4515"/>
    <n v="2500"/>
    <n v="0"/>
    <m/>
    <x v="6"/>
  </r>
  <r>
    <x v="56"/>
    <s v="rom_fact_isengard"/>
    <n v="186"/>
    <x v="5"/>
    <n v="93.5"/>
    <n v="14948"/>
    <n v="13819"/>
    <n v="895"/>
    <m/>
    <x v="7"/>
  </r>
  <r>
    <x v="56"/>
    <s v="rom_fact_woodland_realm"/>
    <n v="30"/>
    <x v="11"/>
    <n v="0"/>
    <n v="8475"/>
    <n v="2500"/>
    <n v="0"/>
    <m/>
    <x v="8"/>
  </r>
  <r>
    <x v="56"/>
    <s v="rom_fact_lothlorien"/>
    <n v="64"/>
    <x v="11"/>
    <n v="0"/>
    <n v="4721"/>
    <n v="2500"/>
    <n v="0"/>
    <m/>
    <x v="9"/>
  </r>
  <r>
    <x v="56"/>
    <s v="rom_fact_khand"/>
    <n v="0"/>
    <x v="11"/>
    <n v="0"/>
    <n v="4919"/>
    <n v="1750"/>
    <n v="0"/>
    <m/>
    <x v="10"/>
  </r>
  <r>
    <x v="56"/>
    <s v="rom_fact_umbar"/>
    <n v="10"/>
    <x v="13"/>
    <n v="110.8"/>
    <n v="28636"/>
    <n v="18621"/>
    <n v="1052"/>
    <m/>
    <x v="11"/>
  </r>
  <r>
    <x v="56"/>
    <s v="rom_fact_mahuds"/>
    <n v="5"/>
    <x v="3"/>
    <n v="50"/>
    <n v="17771"/>
    <n v="7638"/>
    <n v="0"/>
    <m/>
    <x v="12"/>
  </r>
  <r>
    <x v="56"/>
    <s v="rom_fact_harad"/>
    <n v="109"/>
    <x v="5"/>
    <n v="119"/>
    <n v="25653"/>
    <n v="14219"/>
    <n v="0"/>
    <m/>
    <x v="13"/>
  </r>
  <r>
    <x v="56"/>
    <s v="rom_fact_dunland"/>
    <n v="117"/>
    <x v="6"/>
    <n v="151.80000000000001"/>
    <n v="27665"/>
    <n v="23545"/>
    <n v="1071"/>
    <m/>
    <x v="14"/>
  </r>
  <r>
    <x v="56"/>
    <s v="rom_fact_haerrim"/>
    <n v="0"/>
    <x v="11"/>
    <n v="0"/>
    <n v="5352"/>
    <n v="1750"/>
    <n v="0"/>
    <m/>
    <x v="15"/>
  </r>
  <r>
    <x v="56"/>
    <s v="rom_fact_goblins"/>
    <n v="273"/>
    <x v="20"/>
    <n v="262.7"/>
    <n v="26708"/>
    <n v="32061"/>
    <n v="3026"/>
    <m/>
    <x v="16"/>
  </r>
  <r>
    <x v="56"/>
    <s v="rom_fact_balchoth"/>
    <n v="0"/>
    <x v="11"/>
    <n v="0"/>
    <n v="4872"/>
    <n v="1750"/>
    <n v="0"/>
    <m/>
    <x v="17"/>
  </r>
  <r>
    <x v="56"/>
    <s v="rom_fact_rhurim"/>
    <n v="188"/>
    <x v="22"/>
    <n v="347.7"/>
    <n v="66718"/>
    <n v="35384"/>
    <n v="1545"/>
    <m/>
    <x v="18"/>
  </r>
  <r>
    <x v="56"/>
    <s v="rom_fact_feredrim"/>
    <n v="0"/>
    <x v="11"/>
    <n v="0"/>
    <n v="7360"/>
    <n v="1750"/>
    <n v="0"/>
    <m/>
    <x v="19"/>
  </r>
  <r>
    <x v="56"/>
    <s v="rom_fact_wainriders"/>
    <n v="0"/>
    <x v="11"/>
    <n v="0"/>
    <n v="6395"/>
    <n v="1750"/>
    <n v="0"/>
    <m/>
    <x v="20"/>
  </r>
  <r>
    <x v="56"/>
    <s v="rom_fact_blacklock"/>
    <n v="5"/>
    <x v="3"/>
    <n v="72"/>
    <n v="72913"/>
    <n v="13754"/>
    <n v="0"/>
    <m/>
    <x v="21"/>
  </r>
  <r>
    <x v="56"/>
    <s v="rom_fact_ironfist"/>
    <n v="4"/>
    <x v="10"/>
    <n v="41"/>
    <n v="43028"/>
    <n v="7374"/>
    <n v="0"/>
    <m/>
    <x v="22"/>
  </r>
  <r>
    <x v="56"/>
    <s v="rom_fact_gundabad"/>
    <n v="147"/>
    <x v="2"/>
    <n v="178.5"/>
    <n v="63377"/>
    <n v="21980"/>
    <n v="933"/>
    <m/>
    <x v="23"/>
  </r>
  <r>
    <x v="56"/>
    <s v="rom_fact_rohan_scouts"/>
    <n v="0"/>
    <x v="11"/>
    <n v="3"/>
    <n v="66776"/>
    <n v="2379"/>
    <n v="0"/>
    <m/>
    <x v="24"/>
  </r>
  <r>
    <x v="56"/>
    <s v="rom_fact_northern_enedwaith"/>
    <n v="6"/>
    <x v="9"/>
    <n v="55"/>
    <n v="50601"/>
    <n v="10640"/>
    <n v="356"/>
    <m/>
    <x v="25"/>
  </r>
  <r>
    <x v="56"/>
    <s v="rom_fact_southern_enedwaith"/>
    <n v="0"/>
    <x v="11"/>
    <n v="0"/>
    <n v="54023"/>
    <n v="1750"/>
    <n v="0"/>
    <m/>
    <x v="26"/>
  </r>
  <r>
    <x v="56"/>
    <s v="rom_fact_druedain"/>
    <n v="2"/>
    <x v="7"/>
    <n v="12"/>
    <n v="22489"/>
    <n v="2993"/>
    <n v="0"/>
    <m/>
    <x v="27"/>
  </r>
  <r>
    <x v="56"/>
    <s v="rom_fact_harondor"/>
    <n v="0"/>
    <x v="11"/>
    <n v="0"/>
    <n v="15146"/>
    <n v="1750"/>
    <n v="0"/>
    <m/>
    <x v="28"/>
  </r>
  <r>
    <x v="56"/>
    <s v="rom_fact_southron_nomads"/>
    <n v="0"/>
    <x v="11"/>
    <n v="0"/>
    <n v="4000"/>
    <n v="1750"/>
    <n v="0"/>
    <m/>
    <x v="29"/>
  </r>
  <r>
    <x v="56"/>
    <s v="rom_fact_separatist_harad"/>
    <n v="0"/>
    <x v="11"/>
    <n v="0"/>
    <n v="4000"/>
    <n v="1750"/>
    <n v="0"/>
    <m/>
    <x v="30"/>
  </r>
  <r>
    <x v="56"/>
    <s v="rom_fact_separatist_khand"/>
    <n v="0"/>
    <x v="11"/>
    <n v="0"/>
    <n v="4000"/>
    <n v="1750"/>
    <n v="0"/>
    <m/>
    <x v="30"/>
  </r>
  <r>
    <x v="56"/>
    <s v="rom_fact_separatist_balchoth"/>
    <n v="0"/>
    <x v="11"/>
    <n v="0"/>
    <n v="4000"/>
    <n v="1750"/>
    <n v="0"/>
    <m/>
    <x v="30"/>
  </r>
  <r>
    <x v="56"/>
    <s v="rom_fact_separatist_feredrim"/>
    <n v="0"/>
    <x v="11"/>
    <n v="0"/>
    <n v="4000"/>
    <n v="1750"/>
    <n v="0"/>
    <m/>
    <x v="30"/>
  </r>
  <r>
    <x v="56"/>
    <s v="rom_fact_separatist_haerrim"/>
    <n v="0"/>
    <x v="11"/>
    <n v="0"/>
    <n v="4000"/>
    <n v="1750"/>
    <n v="0"/>
    <m/>
    <x v="30"/>
  </r>
  <r>
    <x v="56"/>
    <s v="rom_fact_separatist_wainriders"/>
    <n v="0"/>
    <x v="11"/>
    <n v="0"/>
    <n v="4000"/>
    <n v="1750"/>
    <n v="0"/>
    <m/>
    <x v="30"/>
  </r>
  <r>
    <x v="56"/>
    <s v="rom_fact_separatist_rhurim"/>
    <n v="0"/>
    <x v="11"/>
    <n v="0"/>
    <n v="4000"/>
    <n v="1750"/>
    <n v="0"/>
    <m/>
    <x v="30"/>
  </r>
  <r>
    <x v="56"/>
    <s v="rom_fact_separatist_mahuds"/>
    <n v="0"/>
    <x v="11"/>
    <n v="0"/>
    <n v="4000"/>
    <n v="1750"/>
    <n v="0"/>
    <m/>
    <x v="30"/>
  </r>
  <r>
    <x v="56"/>
    <s v="rom_fact_separatist_umbar"/>
    <n v="0"/>
    <x v="11"/>
    <n v="0"/>
    <n v="4000"/>
    <n v="1750"/>
    <n v="0"/>
    <m/>
    <x v="30"/>
  </r>
  <r>
    <x v="57"/>
    <s v="rom_fact_mordor"/>
    <n v="190"/>
    <x v="28"/>
    <n v="220.7"/>
    <n v="7812"/>
    <n v="22966"/>
    <n v="1476"/>
    <m/>
    <x v="0"/>
  </r>
  <r>
    <x v="57"/>
    <s v="rom_fact_gondor"/>
    <n v="143"/>
    <x v="9"/>
    <n v="54"/>
    <n v="73655"/>
    <n v="10894"/>
    <n v="0"/>
    <m/>
    <x v="1"/>
  </r>
  <r>
    <x v="57"/>
    <s v="rom_fact_dale"/>
    <n v="140"/>
    <x v="3"/>
    <n v="63.4"/>
    <n v="11790"/>
    <n v="9793"/>
    <n v="172"/>
    <m/>
    <x v="2"/>
  </r>
  <r>
    <x v="57"/>
    <s v="rom_fact_erebor"/>
    <n v="153"/>
    <x v="9"/>
    <n v="26"/>
    <n v="27780"/>
    <n v="8099"/>
    <n v="215"/>
    <m/>
    <x v="3"/>
  </r>
  <r>
    <x v="57"/>
    <s v="rom_fact_rohan"/>
    <n v="145"/>
    <x v="10"/>
    <n v="16.600000000000001"/>
    <n v="9072"/>
    <n v="4558"/>
    <n v="0"/>
    <m/>
    <x v="4"/>
  </r>
  <r>
    <x v="57"/>
    <s v="rom_fact_dol_guldur"/>
    <n v="159"/>
    <x v="4"/>
    <n v="207.5"/>
    <n v="15076"/>
    <n v="26943"/>
    <n v="1541"/>
    <m/>
    <x v="5"/>
  </r>
  <r>
    <x v="57"/>
    <s v="rom_fact_anduin_vale"/>
    <n v="58"/>
    <x v="11"/>
    <n v="0"/>
    <n v="4515"/>
    <n v="2500"/>
    <n v="0"/>
    <m/>
    <x v="6"/>
  </r>
  <r>
    <x v="57"/>
    <s v="rom_fact_isengard"/>
    <n v="211"/>
    <x v="5"/>
    <n v="107.4"/>
    <n v="14766"/>
    <n v="16580"/>
    <n v="911"/>
    <m/>
    <x v="7"/>
  </r>
  <r>
    <x v="57"/>
    <s v="rom_fact_woodland_realm"/>
    <n v="30"/>
    <x v="11"/>
    <n v="0"/>
    <n v="8475"/>
    <n v="2500"/>
    <n v="0"/>
    <m/>
    <x v="8"/>
  </r>
  <r>
    <x v="57"/>
    <s v="rom_fact_lothlorien"/>
    <n v="64"/>
    <x v="11"/>
    <n v="0"/>
    <n v="4721"/>
    <n v="2500"/>
    <n v="0"/>
    <m/>
    <x v="9"/>
  </r>
  <r>
    <x v="57"/>
    <s v="rom_fact_khand"/>
    <n v="0"/>
    <x v="11"/>
    <n v="0"/>
    <n v="4919"/>
    <n v="1750"/>
    <n v="0"/>
    <m/>
    <x v="10"/>
  </r>
  <r>
    <x v="57"/>
    <s v="rom_fact_umbar"/>
    <n v="10"/>
    <x v="13"/>
    <n v="112"/>
    <n v="32774"/>
    <n v="19911"/>
    <n v="1059"/>
    <m/>
    <x v="11"/>
  </r>
  <r>
    <x v="57"/>
    <s v="rom_fact_mahuds"/>
    <n v="5"/>
    <x v="3"/>
    <n v="44"/>
    <n v="14696"/>
    <n v="7926"/>
    <n v="0"/>
    <m/>
    <x v="12"/>
  </r>
  <r>
    <x v="57"/>
    <s v="rom_fact_harad"/>
    <n v="109"/>
    <x v="5"/>
    <n v="126"/>
    <n v="25052"/>
    <n v="16446"/>
    <n v="0"/>
    <m/>
    <x v="13"/>
  </r>
  <r>
    <x v="57"/>
    <s v="rom_fact_dunland"/>
    <n v="119"/>
    <x v="0"/>
    <n v="154.69999999999999"/>
    <n v="26193"/>
    <n v="25966"/>
    <n v="1507"/>
    <m/>
    <x v="14"/>
  </r>
  <r>
    <x v="57"/>
    <s v="rom_fact_haerrim"/>
    <n v="0"/>
    <x v="11"/>
    <n v="0"/>
    <n v="5352"/>
    <n v="1750"/>
    <n v="0"/>
    <m/>
    <x v="15"/>
  </r>
  <r>
    <x v="57"/>
    <s v="rom_fact_goblins"/>
    <n v="277"/>
    <x v="1"/>
    <n v="263.89999999999998"/>
    <n v="27256"/>
    <n v="30266"/>
    <n v="3059"/>
    <m/>
    <x v="16"/>
  </r>
  <r>
    <x v="57"/>
    <s v="rom_fact_balchoth"/>
    <n v="0"/>
    <x v="11"/>
    <n v="0"/>
    <n v="4872"/>
    <n v="1750"/>
    <n v="0"/>
    <m/>
    <x v="17"/>
  </r>
  <r>
    <x v="57"/>
    <s v="rom_fact_rhurim"/>
    <n v="188"/>
    <x v="22"/>
    <n v="348.7"/>
    <n v="60895"/>
    <n v="32085"/>
    <n v="1525"/>
    <m/>
    <x v="18"/>
  </r>
  <r>
    <x v="57"/>
    <s v="rom_fact_feredrim"/>
    <n v="0"/>
    <x v="11"/>
    <n v="0"/>
    <n v="7360"/>
    <n v="1750"/>
    <n v="0"/>
    <m/>
    <x v="19"/>
  </r>
  <r>
    <x v="57"/>
    <s v="rom_fact_wainriders"/>
    <n v="0"/>
    <x v="11"/>
    <n v="0"/>
    <n v="6395"/>
    <n v="1750"/>
    <n v="0"/>
    <m/>
    <x v="20"/>
  </r>
  <r>
    <x v="57"/>
    <s v="rom_fact_blacklock"/>
    <n v="5"/>
    <x v="3"/>
    <n v="72"/>
    <n v="71759"/>
    <n v="14036"/>
    <n v="0"/>
    <m/>
    <x v="21"/>
  </r>
  <r>
    <x v="57"/>
    <s v="rom_fact_ironfist"/>
    <n v="4"/>
    <x v="10"/>
    <n v="41"/>
    <n v="44746"/>
    <n v="8161"/>
    <n v="0"/>
    <m/>
    <x v="22"/>
  </r>
  <r>
    <x v="57"/>
    <s v="rom_fact_gundabad"/>
    <n v="152"/>
    <x v="2"/>
    <n v="178.5"/>
    <n v="42764"/>
    <n v="22163"/>
    <n v="940"/>
    <m/>
    <x v="23"/>
  </r>
  <r>
    <x v="57"/>
    <s v="rom_fact_rohan_scouts"/>
    <n v="0"/>
    <x v="11"/>
    <n v="3"/>
    <n v="67897"/>
    <n v="2379"/>
    <n v="0"/>
    <m/>
    <x v="24"/>
  </r>
  <r>
    <x v="57"/>
    <s v="rom_fact_northern_enedwaith"/>
    <n v="6"/>
    <x v="9"/>
    <n v="55"/>
    <n v="55360"/>
    <n v="10860"/>
    <n v="448"/>
    <m/>
    <x v="25"/>
  </r>
  <r>
    <x v="57"/>
    <s v="rom_fact_southern_enedwaith"/>
    <n v="0"/>
    <x v="11"/>
    <n v="0"/>
    <n v="54023"/>
    <n v="1750"/>
    <n v="0"/>
    <m/>
    <x v="26"/>
  </r>
  <r>
    <x v="57"/>
    <s v="rom_fact_druedain"/>
    <n v="2"/>
    <x v="7"/>
    <n v="17"/>
    <n v="23882"/>
    <n v="3909"/>
    <n v="0"/>
    <m/>
    <x v="27"/>
  </r>
  <r>
    <x v="57"/>
    <s v="rom_fact_harondor"/>
    <n v="0"/>
    <x v="11"/>
    <n v="0"/>
    <n v="15146"/>
    <n v="1750"/>
    <n v="0"/>
    <m/>
    <x v="28"/>
  </r>
  <r>
    <x v="57"/>
    <s v="rom_fact_southron_nomads"/>
    <n v="0"/>
    <x v="11"/>
    <n v="0"/>
    <n v="4000"/>
    <n v="1750"/>
    <n v="0"/>
    <m/>
    <x v="29"/>
  </r>
  <r>
    <x v="57"/>
    <s v="rom_fact_separatist_harad"/>
    <n v="0"/>
    <x v="11"/>
    <n v="0"/>
    <n v="4000"/>
    <n v="1750"/>
    <n v="0"/>
    <m/>
    <x v="30"/>
  </r>
  <r>
    <x v="57"/>
    <s v="rom_fact_separatist_khand"/>
    <n v="0"/>
    <x v="11"/>
    <n v="0"/>
    <n v="4000"/>
    <n v="1750"/>
    <n v="0"/>
    <m/>
    <x v="30"/>
  </r>
  <r>
    <x v="57"/>
    <s v="rom_fact_separatist_balchoth"/>
    <n v="0"/>
    <x v="11"/>
    <n v="0"/>
    <n v="4000"/>
    <n v="1750"/>
    <n v="0"/>
    <m/>
    <x v="30"/>
  </r>
  <r>
    <x v="57"/>
    <s v="rom_fact_separatist_feredrim"/>
    <n v="0"/>
    <x v="11"/>
    <n v="0"/>
    <n v="4000"/>
    <n v="1750"/>
    <n v="0"/>
    <m/>
    <x v="30"/>
  </r>
  <r>
    <x v="57"/>
    <s v="rom_fact_separatist_haerrim"/>
    <n v="0"/>
    <x v="11"/>
    <n v="0"/>
    <n v="4000"/>
    <n v="1750"/>
    <n v="0"/>
    <m/>
    <x v="30"/>
  </r>
  <r>
    <x v="57"/>
    <s v="rom_fact_separatist_wainriders"/>
    <n v="0"/>
    <x v="11"/>
    <n v="0"/>
    <n v="4000"/>
    <n v="1750"/>
    <n v="0"/>
    <m/>
    <x v="30"/>
  </r>
  <r>
    <x v="57"/>
    <s v="rom_fact_separatist_rhurim"/>
    <n v="0"/>
    <x v="11"/>
    <n v="0"/>
    <n v="4000"/>
    <n v="1750"/>
    <n v="0"/>
    <m/>
    <x v="30"/>
  </r>
  <r>
    <x v="57"/>
    <s v="rom_fact_separatist_mahuds"/>
    <n v="0"/>
    <x v="11"/>
    <n v="0"/>
    <n v="4000"/>
    <n v="1750"/>
    <n v="0"/>
    <m/>
    <x v="30"/>
  </r>
  <r>
    <x v="57"/>
    <s v="rom_fact_separatist_umbar"/>
    <n v="0"/>
    <x v="11"/>
    <n v="0"/>
    <n v="4000"/>
    <n v="1750"/>
    <n v="0"/>
    <m/>
    <x v="30"/>
  </r>
  <r>
    <x v="58"/>
    <s v="rom_fact_mordor"/>
    <n v="193"/>
    <x v="29"/>
    <n v="219.4"/>
    <n v="60"/>
    <n v="23658"/>
    <n v="1693"/>
    <m/>
    <x v="0"/>
  </r>
  <r>
    <x v="58"/>
    <s v="rom_fact_gondor"/>
    <n v="141"/>
    <x v="3"/>
    <n v="52"/>
    <n v="70764"/>
    <n v="10563"/>
    <n v="0"/>
    <m/>
    <x v="1"/>
  </r>
  <r>
    <x v="58"/>
    <s v="rom_fact_dale"/>
    <n v="160"/>
    <x v="3"/>
    <n v="69.3"/>
    <n v="14060"/>
    <n v="11877"/>
    <n v="181"/>
    <m/>
    <x v="2"/>
  </r>
  <r>
    <x v="58"/>
    <s v="rom_fact_erebor"/>
    <n v="153"/>
    <x v="9"/>
    <n v="27"/>
    <n v="27500"/>
    <n v="7592"/>
    <n v="222"/>
    <m/>
    <x v="3"/>
  </r>
  <r>
    <x v="58"/>
    <s v="rom_fact_rohan"/>
    <n v="145"/>
    <x v="10"/>
    <n v="10.6"/>
    <n v="10622"/>
    <n v="4128"/>
    <n v="0"/>
    <m/>
    <x v="4"/>
  </r>
  <r>
    <x v="58"/>
    <s v="rom_fact_dol_guldur"/>
    <n v="159"/>
    <x v="4"/>
    <n v="203"/>
    <n v="16473"/>
    <n v="26478"/>
    <n v="1544"/>
    <m/>
    <x v="5"/>
  </r>
  <r>
    <x v="58"/>
    <s v="rom_fact_anduin_vale"/>
    <n v="58"/>
    <x v="11"/>
    <n v="0"/>
    <n v="4515"/>
    <n v="2500"/>
    <n v="0"/>
    <m/>
    <x v="6"/>
  </r>
  <r>
    <x v="58"/>
    <s v="rom_fact_isengard"/>
    <n v="211"/>
    <x v="5"/>
    <n v="114.9"/>
    <n v="18305"/>
    <n v="17763"/>
    <n v="905"/>
    <m/>
    <x v="7"/>
  </r>
  <r>
    <x v="58"/>
    <s v="rom_fact_woodland_realm"/>
    <n v="30"/>
    <x v="11"/>
    <n v="0"/>
    <n v="8475"/>
    <n v="2500"/>
    <n v="0"/>
    <m/>
    <x v="8"/>
  </r>
  <r>
    <x v="58"/>
    <s v="rom_fact_lothlorien"/>
    <n v="64"/>
    <x v="11"/>
    <n v="0"/>
    <n v="4721"/>
    <n v="2500"/>
    <n v="0"/>
    <m/>
    <x v="9"/>
  </r>
  <r>
    <x v="58"/>
    <s v="rom_fact_khand"/>
    <n v="0"/>
    <x v="11"/>
    <n v="0"/>
    <n v="4919"/>
    <n v="1750"/>
    <n v="0"/>
    <m/>
    <x v="10"/>
  </r>
  <r>
    <x v="58"/>
    <s v="rom_fact_umbar"/>
    <n v="10"/>
    <x v="13"/>
    <n v="114"/>
    <n v="34745"/>
    <n v="20857"/>
    <n v="1311"/>
    <m/>
    <x v="11"/>
  </r>
  <r>
    <x v="58"/>
    <s v="rom_fact_mahuds"/>
    <n v="4"/>
    <x v="10"/>
    <n v="41"/>
    <n v="12148"/>
    <n v="6780"/>
    <n v="0"/>
    <m/>
    <x v="12"/>
  </r>
  <r>
    <x v="58"/>
    <s v="rom_fact_harad"/>
    <n v="113"/>
    <x v="5"/>
    <n v="125"/>
    <n v="25098"/>
    <n v="16371"/>
    <n v="0"/>
    <m/>
    <x v="13"/>
  </r>
  <r>
    <x v="58"/>
    <s v="rom_fact_dunland"/>
    <n v="124"/>
    <x v="0"/>
    <n v="155.69999999999999"/>
    <n v="24196"/>
    <n v="27294"/>
    <n v="1501"/>
    <m/>
    <x v="14"/>
  </r>
  <r>
    <x v="58"/>
    <s v="rom_fact_haerrim"/>
    <n v="0"/>
    <x v="11"/>
    <n v="0"/>
    <n v="5352"/>
    <n v="1750"/>
    <n v="0"/>
    <m/>
    <x v="15"/>
  </r>
  <r>
    <x v="58"/>
    <s v="rom_fact_goblins"/>
    <n v="277"/>
    <x v="1"/>
    <n v="265"/>
    <n v="33190"/>
    <n v="30470"/>
    <n v="3030"/>
    <m/>
    <x v="16"/>
  </r>
  <r>
    <x v="58"/>
    <s v="rom_fact_balchoth"/>
    <n v="0"/>
    <x v="11"/>
    <n v="0"/>
    <n v="4872"/>
    <n v="1750"/>
    <n v="0"/>
    <m/>
    <x v="17"/>
  </r>
  <r>
    <x v="58"/>
    <s v="rom_fact_rhurim"/>
    <n v="190"/>
    <x v="23"/>
    <n v="332.5"/>
    <n v="78898"/>
    <n v="29966"/>
    <n v="1531"/>
    <m/>
    <x v="18"/>
  </r>
  <r>
    <x v="58"/>
    <s v="rom_fact_feredrim"/>
    <n v="0"/>
    <x v="11"/>
    <n v="0"/>
    <n v="7360"/>
    <n v="1750"/>
    <n v="0"/>
    <m/>
    <x v="19"/>
  </r>
  <r>
    <x v="58"/>
    <s v="rom_fact_wainriders"/>
    <n v="0"/>
    <x v="11"/>
    <n v="0"/>
    <n v="6395"/>
    <n v="1750"/>
    <n v="0"/>
    <m/>
    <x v="20"/>
  </r>
  <r>
    <x v="58"/>
    <s v="rom_fact_blacklock"/>
    <n v="5"/>
    <x v="3"/>
    <n v="72"/>
    <n v="69762"/>
    <n v="14036"/>
    <n v="0"/>
    <m/>
    <x v="21"/>
  </r>
  <r>
    <x v="58"/>
    <s v="rom_fact_ironfist"/>
    <n v="4"/>
    <x v="10"/>
    <n v="41"/>
    <n v="45564"/>
    <n v="7460"/>
    <n v="0"/>
    <m/>
    <x v="22"/>
  </r>
  <r>
    <x v="58"/>
    <s v="rom_fact_gundabad"/>
    <n v="152"/>
    <x v="2"/>
    <n v="187.5"/>
    <n v="42716"/>
    <n v="22339"/>
    <n v="934"/>
    <m/>
    <x v="23"/>
  </r>
  <r>
    <x v="58"/>
    <s v="rom_fact_rohan_scouts"/>
    <n v="0"/>
    <x v="11"/>
    <n v="3"/>
    <n v="69018"/>
    <n v="2379"/>
    <n v="0"/>
    <m/>
    <x v="24"/>
  </r>
  <r>
    <x v="58"/>
    <s v="rom_fact_northern_enedwaith"/>
    <n v="6"/>
    <x v="9"/>
    <n v="55"/>
    <n v="60455"/>
    <n v="11068"/>
    <n v="656"/>
    <m/>
    <x v="25"/>
  </r>
  <r>
    <x v="58"/>
    <s v="rom_fact_southern_enedwaith"/>
    <n v="0"/>
    <x v="11"/>
    <n v="0"/>
    <n v="54023"/>
    <n v="1750"/>
    <n v="0"/>
    <m/>
    <x v="26"/>
  </r>
  <r>
    <x v="58"/>
    <s v="rom_fact_druedain"/>
    <n v="2"/>
    <x v="7"/>
    <n v="20"/>
    <n v="25028"/>
    <n v="4125"/>
    <n v="0"/>
    <m/>
    <x v="27"/>
  </r>
  <r>
    <x v="58"/>
    <s v="rom_fact_harondor"/>
    <n v="0"/>
    <x v="11"/>
    <n v="0"/>
    <n v="15146"/>
    <n v="1750"/>
    <n v="0"/>
    <m/>
    <x v="28"/>
  </r>
  <r>
    <x v="58"/>
    <s v="rom_fact_southron_nomads"/>
    <n v="0"/>
    <x v="11"/>
    <n v="0"/>
    <n v="4000"/>
    <n v="1750"/>
    <n v="0"/>
    <m/>
    <x v="29"/>
  </r>
  <r>
    <x v="58"/>
    <s v="rom_fact_separatist_harad"/>
    <n v="0"/>
    <x v="11"/>
    <n v="0"/>
    <n v="4000"/>
    <n v="1750"/>
    <n v="0"/>
    <m/>
    <x v="30"/>
  </r>
  <r>
    <x v="58"/>
    <s v="rom_fact_separatist_khand"/>
    <n v="0"/>
    <x v="11"/>
    <n v="0"/>
    <n v="4000"/>
    <n v="1750"/>
    <n v="0"/>
    <m/>
    <x v="30"/>
  </r>
  <r>
    <x v="58"/>
    <s v="rom_fact_separatist_balchoth"/>
    <n v="0"/>
    <x v="11"/>
    <n v="0"/>
    <n v="4000"/>
    <n v="1750"/>
    <n v="0"/>
    <m/>
    <x v="30"/>
  </r>
  <r>
    <x v="58"/>
    <s v="rom_fact_separatist_feredrim"/>
    <n v="0"/>
    <x v="11"/>
    <n v="0"/>
    <n v="4000"/>
    <n v="1750"/>
    <n v="0"/>
    <m/>
    <x v="30"/>
  </r>
  <r>
    <x v="58"/>
    <s v="rom_fact_separatist_haerrim"/>
    <n v="0"/>
    <x v="11"/>
    <n v="0"/>
    <n v="4000"/>
    <n v="1750"/>
    <n v="0"/>
    <m/>
    <x v="30"/>
  </r>
  <r>
    <x v="58"/>
    <s v="rom_fact_separatist_wainriders"/>
    <n v="0"/>
    <x v="11"/>
    <n v="0"/>
    <n v="4000"/>
    <n v="1750"/>
    <n v="0"/>
    <m/>
    <x v="30"/>
  </r>
  <r>
    <x v="58"/>
    <s v="rom_fact_separatist_rhurim"/>
    <n v="0"/>
    <x v="11"/>
    <n v="0"/>
    <n v="4000"/>
    <n v="1750"/>
    <n v="0"/>
    <m/>
    <x v="30"/>
  </r>
  <r>
    <x v="58"/>
    <s v="rom_fact_separatist_mahuds"/>
    <n v="0"/>
    <x v="11"/>
    <n v="0"/>
    <n v="4000"/>
    <n v="1750"/>
    <n v="0"/>
    <m/>
    <x v="30"/>
  </r>
  <r>
    <x v="58"/>
    <s v="rom_fact_separatist_umbar"/>
    <n v="0"/>
    <x v="11"/>
    <n v="0"/>
    <n v="4000"/>
    <n v="1750"/>
    <n v="0"/>
    <m/>
    <x v="30"/>
  </r>
  <r>
    <x v="59"/>
    <s v="rom_fact_mordor"/>
    <n v="198"/>
    <x v="29"/>
    <n v="219.4"/>
    <n v="6111"/>
    <n v="23814"/>
    <n v="1708"/>
    <m/>
    <x v="0"/>
  </r>
  <r>
    <x v="59"/>
    <s v="rom_fact_gondor"/>
    <n v="141"/>
    <x v="3"/>
    <n v="60"/>
    <n v="67287"/>
    <n v="11130"/>
    <n v="0"/>
    <m/>
    <x v="1"/>
  </r>
  <r>
    <x v="59"/>
    <s v="rom_fact_dale"/>
    <n v="160"/>
    <x v="3"/>
    <n v="69.3"/>
    <n v="15928"/>
    <n v="11802"/>
    <n v="188"/>
    <m/>
    <x v="2"/>
  </r>
  <r>
    <x v="59"/>
    <s v="rom_fact_erebor"/>
    <n v="166"/>
    <x v="9"/>
    <n v="32.200000000000003"/>
    <n v="29532"/>
    <n v="9210"/>
    <n v="228"/>
    <m/>
    <x v="3"/>
  </r>
  <r>
    <x v="59"/>
    <s v="rom_fact_rohan"/>
    <n v="145"/>
    <x v="10"/>
    <n v="10.6"/>
    <n v="10821"/>
    <n v="3620"/>
    <n v="0"/>
    <m/>
    <x v="4"/>
  </r>
  <r>
    <x v="59"/>
    <s v="rom_fact_dol_guldur"/>
    <n v="164"/>
    <x v="4"/>
    <n v="203"/>
    <n v="15748"/>
    <n v="26391"/>
    <n v="1565"/>
    <m/>
    <x v="5"/>
  </r>
  <r>
    <x v="59"/>
    <s v="rom_fact_anduin_vale"/>
    <n v="58"/>
    <x v="11"/>
    <n v="0"/>
    <n v="4515"/>
    <n v="2500"/>
    <n v="0"/>
    <m/>
    <x v="6"/>
  </r>
  <r>
    <x v="59"/>
    <s v="rom_fact_isengard"/>
    <n v="211"/>
    <x v="5"/>
    <n v="125.7"/>
    <n v="14379"/>
    <n v="19080"/>
    <n v="909"/>
    <m/>
    <x v="7"/>
  </r>
  <r>
    <x v="59"/>
    <s v="rom_fact_woodland_realm"/>
    <n v="30"/>
    <x v="11"/>
    <n v="0"/>
    <n v="8475"/>
    <n v="2500"/>
    <n v="0"/>
    <m/>
    <x v="8"/>
  </r>
  <r>
    <x v="59"/>
    <s v="rom_fact_lothlorien"/>
    <n v="64"/>
    <x v="11"/>
    <n v="0"/>
    <n v="4721"/>
    <n v="2500"/>
    <n v="0"/>
    <m/>
    <x v="9"/>
  </r>
  <r>
    <x v="59"/>
    <s v="rom_fact_khand"/>
    <n v="0"/>
    <x v="11"/>
    <n v="0"/>
    <n v="4919"/>
    <n v="1750"/>
    <n v="0"/>
    <m/>
    <x v="10"/>
  </r>
  <r>
    <x v="59"/>
    <s v="rom_fact_umbar"/>
    <n v="10"/>
    <x v="13"/>
    <n v="115"/>
    <n v="27407"/>
    <n v="21033"/>
    <n v="1315"/>
    <m/>
    <x v="11"/>
  </r>
  <r>
    <x v="59"/>
    <s v="rom_fact_mahuds"/>
    <n v="4"/>
    <x v="10"/>
    <n v="44"/>
    <n v="11863"/>
    <n v="7164"/>
    <n v="0"/>
    <m/>
    <x v="12"/>
  </r>
  <r>
    <x v="59"/>
    <s v="rom_fact_harad"/>
    <n v="113"/>
    <x v="5"/>
    <n v="121"/>
    <n v="24104"/>
    <n v="16885"/>
    <n v="0"/>
    <m/>
    <x v="13"/>
  </r>
  <r>
    <x v="59"/>
    <s v="rom_fact_dunland"/>
    <n v="124"/>
    <x v="0"/>
    <n v="155.69999999999999"/>
    <n v="24399"/>
    <n v="26922"/>
    <n v="1502"/>
    <m/>
    <x v="14"/>
  </r>
  <r>
    <x v="59"/>
    <s v="rom_fact_haerrim"/>
    <n v="0"/>
    <x v="11"/>
    <n v="0"/>
    <n v="5352"/>
    <n v="1750"/>
    <n v="0"/>
    <m/>
    <x v="15"/>
  </r>
  <r>
    <x v="59"/>
    <s v="rom_fact_goblins"/>
    <n v="297"/>
    <x v="1"/>
    <n v="271"/>
    <n v="33028"/>
    <n v="31634"/>
    <n v="3037"/>
    <m/>
    <x v="16"/>
  </r>
  <r>
    <x v="59"/>
    <s v="rom_fact_balchoth"/>
    <n v="0"/>
    <x v="11"/>
    <n v="0"/>
    <n v="4872"/>
    <n v="1750"/>
    <n v="0"/>
    <m/>
    <x v="17"/>
  </r>
  <r>
    <x v="59"/>
    <s v="rom_fact_rhurim"/>
    <n v="194"/>
    <x v="23"/>
    <n v="344.2"/>
    <n v="71833"/>
    <n v="34196"/>
    <n v="1635"/>
    <m/>
    <x v="18"/>
  </r>
  <r>
    <x v="59"/>
    <s v="rom_fact_feredrim"/>
    <n v="0"/>
    <x v="11"/>
    <n v="0"/>
    <n v="7360"/>
    <n v="1750"/>
    <n v="0"/>
    <m/>
    <x v="19"/>
  </r>
  <r>
    <x v="59"/>
    <s v="rom_fact_wainriders"/>
    <n v="0"/>
    <x v="11"/>
    <n v="0"/>
    <n v="6395"/>
    <n v="1750"/>
    <n v="0"/>
    <m/>
    <x v="20"/>
  </r>
  <r>
    <x v="59"/>
    <s v="rom_fact_blacklock"/>
    <n v="5"/>
    <x v="3"/>
    <n v="72"/>
    <n v="70193"/>
    <n v="14063"/>
    <n v="0"/>
    <m/>
    <x v="21"/>
  </r>
  <r>
    <x v="59"/>
    <s v="rom_fact_ironfist"/>
    <n v="4"/>
    <x v="10"/>
    <n v="41"/>
    <n v="47368"/>
    <n v="7460"/>
    <n v="0"/>
    <m/>
    <x v="22"/>
  </r>
  <r>
    <x v="59"/>
    <s v="rom_fact_gundabad"/>
    <n v="152"/>
    <x v="2"/>
    <n v="187.5"/>
    <n v="47126"/>
    <n v="23156"/>
    <n v="938"/>
    <m/>
    <x v="23"/>
  </r>
  <r>
    <x v="59"/>
    <s v="rom_fact_rohan_scouts"/>
    <n v="0"/>
    <x v="11"/>
    <n v="3"/>
    <n v="70139"/>
    <n v="2379"/>
    <n v="0"/>
    <m/>
    <x v="24"/>
  </r>
  <r>
    <x v="59"/>
    <s v="rom_fact_northern_enedwaith"/>
    <n v="6"/>
    <x v="9"/>
    <n v="55"/>
    <n v="65541"/>
    <n v="11059"/>
    <n v="657"/>
    <m/>
    <x v="25"/>
  </r>
  <r>
    <x v="59"/>
    <s v="rom_fact_southern_enedwaith"/>
    <n v="0"/>
    <x v="11"/>
    <n v="0"/>
    <n v="54023"/>
    <n v="1750"/>
    <n v="0"/>
    <m/>
    <x v="26"/>
  </r>
  <r>
    <x v="59"/>
    <s v="rom_fact_druedain"/>
    <n v="2"/>
    <x v="7"/>
    <n v="21"/>
    <n v="26421"/>
    <n v="4373"/>
    <n v="0"/>
    <m/>
    <x v="27"/>
  </r>
  <r>
    <x v="59"/>
    <s v="rom_fact_harondor"/>
    <n v="0"/>
    <x v="11"/>
    <n v="0"/>
    <n v="15146"/>
    <n v="1750"/>
    <n v="0"/>
    <m/>
    <x v="28"/>
  </r>
  <r>
    <x v="59"/>
    <s v="rom_fact_southron_nomads"/>
    <n v="0"/>
    <x v="11"/>
    <n v="0"/>
    <n v="4000"/>
    <n v="1750"/>
    <n v="0"/>
    <m/>
    <x v="29"/>
  </r>
  <r>
    <x v="59"/>
    <s v="rom_fact_separatist_harad"/>
    <n v="0"/>
    <x v="11"/>
    <n v="0"/>
    <n v="4000"/>
    <n v="1750"/>
    <n v="0"/>
    <m/>
    <x v="30"/>
  </r>
  <r>
    <x v="59"/>
    <s v="rom_fact_separatist_khand"/>
    <n v="0"/>
    <x v="11"/>
    <n v="0"/>
    <n v="4000"/>
    <n v="1750"/>
    <n v="0"/>
    <m/>
    <x v="30"/>
  </r>
  <r>
    <x v="59"/>
    <s v="rom_fact_separatist_balchoth"/>
    <n v="0"/>
    <x v="11"/>
    <n v="0"/>
    <n v="4000"/>
    <n v="1750"/>
    <n v="0"/>
    <m/>
    <x v="30"/>
  </r>
  <r>
    <x v="59"/>
    <s v="rom_fact_separatist_feredrim"/>
    <n v="0"/>
    <x v="11"/>
    <n v="0"/>
    <n v="4000"/>
    <n v="1750"/>
    <n v="0"/>
    <m/>
    <x v="30"/>
  </r>
  <r>
    <x v="59"/>
    <s v="rom_fact_separatist_haerrim"/>
    <n v="0"/>
    <x v="11"/>
    <n v="0"/>
    <n v="4000"/>
    <n v="1750"/>
    <n v="0"/>
    <m/>
    <x v="30"/>
  </r>
  <r>
    <x v="59"/>
    <s v="rom_fact_separatist_wainriders"/>
    <n v="0"/>
    <x v="11"/>
    <n v="0"/>
    <n v="4000"/>
    <n v="1750"/>
    <n v="0"/>
    <m/>
    <x v="30"/>
  </r>
  <r>
    <x v="59"/>
    <s v="rom_fact_separatist_rhurim"/>
    <n v="0"/>
    <x v="11"/>
    <n v="0"/>
    <n v="4000"/>
    <n v="1750"/>
    <n v="0"/>
    <m/>
    <x v="30"/>
  </r>
  <r>
    <x v="59"/>
    <s v="rom_fact_separatist_mahuds"/>
    <n v="0"/>
    <x v="11"/>
    <n v="0"/>
    <n v="4000"/>
    <n v="1750"/>
    <n v="0"/>
    <m/>
    <x v="30"/>
  </r>
  <r>
    <x v="59"/>
    <s v="rom_fact_separatist_umbar"/>
    <n v="0"/>
    <x v="11"/>
    <n v="0"/>
    <n v="4000"/>
    <n v="1750"/>
    <n v="0"/>
    <m/>
    <x v="30"/>
  </r>
  <r>
    <x v="60"/>
    <s v="rom_fact_mordor"/>
    <n v="203"/>
    <x v="29"/>
    <n v="218"/>
    <n v="3296"/>
    <n v="23986"/>
    <n v="1712"/>
    <m/>
    <x v="0"/>
  </r>
  <r>
    <x v="60"/>
    <s v="rom_fact_gondor"/>
    <n v="146"/>
    <x v="3"/>
    <n v="64"/>
    <n v="61654"/>
    <n v="12835"/>
    <n v="0"/>
    <m/>
    <x v="1"/>
  </r>
  <r>
    <x v="60"/>
    <s v="rom_fact_dale"/>
    <n v="165"/>
    <x v="3"/>
    <n v="82.7"/>
    <n v="18713"/>
    <n v="13738"/>
    <n v="279"/>
    <m/>
    <x v="2"/>
  </r>
  <r>
    <x v="60"/>
    <s v="rom_fact_erebor"/>
    <n v="166"/>
    <x v="9"/>
    <n v="36.799999999999997"/>
    <n v="26292"/>
    <n v="12046"/>
    <n v="437"/>
    <m/>
    <x v="3"/>
  </r>
  <r>
    <x v="60"/>
    <s v="rom_fact_rohan"/>
    <n v="145"/>
    <x v="10"/>
    <n v="13.6"/>
    <n v="9519"/>
    <n v="3539"/>
    <n v="0"/>
    <m/>
    <x v="4"/>
  </r>
  <r>
    <x v="60"/>
    <s v="rom_fact_dol_guldur"/>
    <n v="164"/>
    <x v="4"/>
    <n v="203"/>
    <n v="17928"/>
    <n v="28149"/>
    <n v="1798"/>
    <m/>
    <x v="5"/>
  </r>
  <r>
    <x v="60"/>
    <s v="rom_fact_anduin_vale"/>
    <n v="58"/>
    <x v="11"/>
    <n v="0"/>
    <n v="4515"/>
    <n v="2500"/>
    <n v="0"/>
    <m/>
    <x v="6"/>
  </r>
  <r>
    <x v="60"/>
    <s v="rom_fact_isengard"/>
    <n v="211"/>
    <x v="5"/>
    <n v="133.5"/>
    <n v="17078"/>
    <n v="19922"/>
    <n v="920"/>
    <m/>
    <x v="7"/>
  </r>
  <r>
    <x v="60"/>
    <s v="rom_fact_woodland_realm"/>
    <n v="30"/>
    <x v="11"/>
    <n v="0"/>
    <n v="8475"/>
    <n v="2500"/>
    <n v="0"/>
    <m/>
    <x v="8"/>
  </r>
  <r>
    <x v="60"/>
    <s v="rom_fact_lothlorien"/>
    <n v="64"/>
    <x v="11"/>
    <n v="0"/>
    <n v="4721"/>
    <n v="2500"/>
    <n v="0"/>
    <m/>
    <x v="9"/>
  </r>
  <r>
    <x v="60"/>
    <s v="rom_fact_khand"/>
    <n v="0"/>
    <x v="11"/>
    <n v="0"/>
    <n v="4919"/>
    <n v="1750"/>
    <n v="0"/>
    <m/>
    <x v="10"/>
  </r>
  <r>
    <x v="60"/>
    <s v="rom_fact_umbar"/>
    <n v="10"/>
    <x v="13"/>
    <n v="116"/>
    <n v="29161"/>
    <n v="21195"/>
    <n v="1400"/>
    <m/>
    <x v="11"/>
  </r>
  <r>
    <x v="60"/>
    <s v="rom_fact_mahuds"/>
    <n v="5"/>
    <x v="3"/>
    <n v="51"/>
    <n v="12670"/>
    <n v="8525"/>
    <n v="0"/>
    <m/>
    <x v="12"/>
  </r>
  <r>
    <x v="60"/>
    <s v="rom_fact_harad"/>
    <n v="112"/>
    <x v="8"/>
    <n v="119"/>
    <n v="23975"/>
    <n v="14756"/>
    <n v="0"/>
    <m/>
    <x v="13"/>
  </r>
  <r>
    <x v="60"/>
    <s v="rom_fact_dunland"/>
    <n v="128"/>
    <x v="0"/>
    <n v="164.7"/>
    <n v="23532"/>
    <n v="27357"/>
    <n v="1512"/>
    <m/>
    <x v="14"/>
  </r>
  <r>
    <x v="60"/>
    <s v="rom_fact_haerrim"/>
    <n v="0"/>
    <x v="11"/>
    <n v="0"/>
    <n v="5352"/>
    <n v="1750"/>
    <n v="0"/>
    <m/>
    <x v="15"/>
  </r>
  <r>
    <x v="60"/>
    <s v="rom_fact_goblins"/>
    <n v="297"/>
    <x v="1"/>
    <n v="268.8"/>
    <n v="28999"/>
    <n v="33795"/>
    <n v="3080"/>
    <m/>
    <x v="16"/>
  </r>
  <r>
    <x v="60"/>
    <s v="rom_fact_balchoth"/>
    <n v="0"/>
    <x v="11"/>
    <n v="0"/>
    <n v="4872"/>
    <n v="1750"/>
    <n v="0"/>
    <m/>
    <x v="17"/>
  </r>
  <r>
    <x v="60"/>
    <s v="rom_fact_rhurim"/>
    <n v="194"/>
    <x v="23"/>
    <n v="348.5"/>
    <n v="81691"/>
    <n v="34625"/>
    <n v="1637"/>
    <m/>
    <x v="18"/>
  </r>
  <r>
    <x v="60"/>
    <s v="rom_fact_feredrim"/>
    <n v="0"/>
    <x v="11"/>
    <n v="0"/>
    <n v="7360"/>
    <n v="1750"/>
    <n v="0"/>
    <m/>
    <x v="19"/>
  </r>
  <r>
    <x v="60"/>
    <s v="rom_fact_wainriders"/>
    <n v="0"/>
    <x v="11"/>
    <n v="0"/>
    <n v="6395"/>
    <n v="1750"/>
    <n v="0"/>
    <m/>
    <x v="20"/>
  </r>
  <r>
    <x v="60"/>
    <s v="rom_fact_blacklock"/>
    <n v="5"/>
    <x v="3"/>
    <n v="72"/>
    <n v="69795"/>
    <n v="14711"/>
    <n v="0"/>
    <m/>
    <x v="21"/>
  </r>
  <r>
    <x v="60"/>
    <s v="rom_fact_ironfist"/>
    <n v="4"/>
    <x v="10"/>
    <n v="41"/>
    <n v="43547"/>
    <n v="7460"/>
    <n v="0"/>
    <m/>
    <x v="22"/>
  </r>
  <r>
    <x v="60"/>
    <s v="rom_fact_gundabad"/>
    <n v="152"/>
    <x v="2"/>
    <n v="195"/>
    <n v="45306"/>
    <n v="24919"/>
    <n v="950"/>
    <m/>
    <x v="23"/>
  </r>
  <r>
    <x v="60"/>
    <s v="rom_fact_rohan_scouts"/>
    <n v="0"/>
    <x v="11"/>
    <n v="3"/>
    <n v="71260"/>
    <n v="2379"/>
    <n v="0"/>
    <m/>
    <x v="24"/>
  </r>
  <r>
    <x v="60"/>
    <s v="rom_fact_northern_enedwaith"/>
    <n v="6"/>
    <x v="9"/>
    <n v="55"/>
    <n v="70628"/>
    <n v="11160"/>
    <n v="659"/>
    <m/>
    <x v="25"/>
  </r>
  <r>
    <x v="60"/>
    <s v="rom_fact_southern_enedwaith"/>
    <n v="0"/>
    <x v="11"/>
    <n v="0"/>
    <n v="54023"/>
    <n v="1750"/>
    <n v="0"/>
    <m/>
    <x v="26"/>
  </r>
  <r>
    <x v="60"/>
    <s v="rom_fact_druedain"/>
    <n v="2"/>
    <x v="7"/>
    <n v="21"/>
    <n v="27816"/>
    <n v="4375"/>
    <n v="0"/>
    <m/>
    <x v="27"/>
  </r>
  <r>
    <x v="60"/>
    <s v="rom_fact_harondor"/>
    <n v="0"/>
    <x v="11"/>
    <n v="0"/>
    <n v="15146"/>
    <n v="1750"/>
    <n v="0"/>
    <m/>
    <x v="28"/>
  </r>
  <r>
    <x v="60"/>
    <s v="rom_fact_southron_nomads"/>
    <n v="0"/>
    <x v="11"/>
    <n v="0"/>
    <n v="4000"/>
    <n v="1750"/>
    <n v="0"/>
    <m/>
    <x v="29"/>
  </r>
  <r>
    <x v="60"/>
    <s v="rom_fact_separatist_harad"/>
    <n v="0"/>
    <x v="11"/>
    <n v="0"/>
    <n v="4000"/>
    <n v="1750"/>
    <n v="0"/>
    <m/>
    <x v="30"/>
  </r>
  <r>
    <x v="60"/>
    <s v="rom_fact_separatist_khand"/>
    <n v="0"/>
    <x v="11"/>
    <n v="0"/>
    <n v="4000"/>
    <n v="1750"/>
    <n v="0"/>
    <m/>
    <x v="30"/>
  </r>
  <r>
    <x v="60"/>
    <s v="rom_fact_separatist_balchoth"/>
    <n v="0"/>
    <x v="11"/>
    <n v="0"/>
    <n v="4000"/>
    <n v="1750"/>
    <n v="0"/>
    <m/>
    <x v="30"/>
  </r>
  <r>
    <x v="60"/>
    <s v="rom_fact_separatist_feredrim"/>
    <n v="0"/>
    <x v="11"/>
    <n v="0"/>
    <n v="4000"/>
    <n v="1750"/>
    <n v="0"/>
    <m/>
    <x v="30"/>
  </r>
  <r>
    <x v="60"/>
    <s v="rom_fact_separatist_haerrim"/>
    <n v="0"/>
    <x v="11"/>
    <n v="0"/>
    <n v="4000"/>
    <n v="1750"/>
    <n v="0"/>
    <m/>
    <x v="30"/>
  </r>
  <r>
    <x v="60"/>
    <s v="rom_fact_separatist_wainriders"/>
    <n v="0"/>
    <x v="11"/>
    <n v="0"/>
    <n v="4000"/>
    <n v="1750"/>
    <n v="0"/>
    <m/>
    <x v="30"/>
  </r>
  <r>
    <x v="60"/>
    <s v="rom_fact_separatist_rhurim"/>
    <n v="0"/>
    <x v="11"/>
    <n v="0"/>
    <n v="4000"/>
    <n v="1750"/>
    <n v="0"/>
    <m/>
    <x v="30"/>
  </r>
  <r>
    <x v="60"/>
    <s v="rom_fact_separatist_mahuds"/>
    <n v="0"/>
    <x v="11"/>
    <n v="0"/>
    <n v="4000"/>
    <n v="1750"/>
    <n v="0"/>
    <m/>
    <x v="30"/>
  </r>
  <r>
    <x v="60"/>
    <s v="rom_fact_separatist_umbar"/>
    <n v="0"/>
    <x v="11"/>
    <n v="0"/>
    <n v="4000"/>
    <n v="1750"/>
    <n v="0"/>
    <m/>
    <x v="30"/>
  </r>
  <r>
    <x v="61"/>
    <s v="rom_fact_mordor"/>
    <n v="204"/>
    <x v="19"/>
    <n v="225.6"/>
    <n v="747"/>
    <n v="25427"/>
    <n v="1931"/>
    <m/>
    <x v="0"/>
  </r>
  <r>
    <x v="61"/>
    <s v="rom_fact_gondor"/>
    <n v="146"/>
    <x v="3"/>
    <n v="57"/>
    <n v="61042"/>
    <n v="11296"/>
    <n v="0"/>
    <m/>
    <x v="1"/>
  </r>
  <r>
    <x v="61"/>
    <s v="rom_fact_dale"/>
    <n v="166"/>
    <x v="9"/>
    <n v="92"/>
    <n v="15806"/>
    <n v="14995"/>
    <n v="333"/>
    <m/>
    <x v="2"/>
  </r>
  <r>
    <x v="61"/>
    <s v="rom_fact_erebor"/>
    <n v="166"/>
    <x v="9"/>
    <n v="37.4"/>
    <n v="24621"/>
    <n v="12790"/>
    <n v="440"/>
    <m/>
    <x v="3"/>
  </r>
  <r>
    <x v="61"/>
    <s v="rom_fact_rohan"/>
    <n v="150"/>
    <x v="10"/>
    <n v="13.6"/>
    <n v="12140"/>
    <n v="3599"/>
    <n v="0"/>
    <m/>
    <x v="4"/>
  </r>
  <r>
    <x v="61"/>
    <s v="rom_fact_dol_guldur"/>
    <n v="184"/>
    <x v="4"/>
    <n v="203.9"/>
    <n v="18589"/>
    <n v="27934"/>
    <n v="1816"/>
    <m/>
    <x v="5"/>
  </r>
  <r>
    <x v="61"/>
    <s v="rom_fact_anduin_vale"/>
    <n v="58"/>
    <x v="11"/>
    <n v="0"/>
    <n v="4515"/>
    <n v="2500"/>
    <n v="0"/>
    <m/>
    <x v="6"/>
  </r>
  <r>
    <x v="61"/>
    <s v="rom_fact_isengard"/>
    <n v="216"/>
    <x v="5"/>
    <n v="136.9"/>
    <n v="18635"/>
    <n v="20119"/>
    <n v="923"/>
    <m/>
    <x v="7"/>
  </r>
  <r>
    <x v="61"/>
    <s v="rom_fact_woodland_realm"/>
    <n v="30"/>
    <x v="11"/>
    <n v="0"/>
    <n v="8475"/>
    <n v="2500"/>
    <n v="0"/>
    <m/>
    <x v="8"/>
  </r>
  <r>
    <x v="61"/>
    <s v="rom_fact_lothlorien"/>
    <n v="64"/>
    <x v="11"/>
    <n v="0"/>
    <n v="4721"/>
    <n v="2500"/>
    <n v="0"/>
    <m/>
    <x v="9"/>
  </r>
  <r>
    <x v="61"/>
    <s v="rom_fact_khand"/>
    <n v="0"/>
    <x v="11"/>
    <n v="0"/>
    <n v="4919"/>
    <n v="1750"/>
    <n v="0"/>
    <m/>
    <x v="10"/>
  </r>
  <r>
    <x v="61"/>
    <s v="rom_fact_umbar"/>
    <n v="10"/>
    <x v="13"/>
    <n v="117"/>
    <n v="34071"/>
    <n v="21296"/>
    <n v="1409"/>
    <m/>
    <x v="11"/>
  </r>
  <r>
    <x v="61"/>
    <s v="rom_fact_mahuds"/>
    <n v="5"/>
    <x v="3"/>
    <n v="50"/>
    <n v="12057"/>
    <n v="9028"/>
    <n v="0"/>
    <m/>
    <x v="12"/>
  </r>
  <r>
    <x v="61"/>
    <s v="rom_fact_harad"/>
    <n v="112"/>
    <x v="8"/>
    <n v="120"/>
    <n v="24702"/>
    <n v="15637"/>
    <n v="0"/>
    <m/>
    <x v="13"/>
  </r>
  <r>
    <x v="61"/>
    <s v="rom_fact_dunland"/>
    <n v="132"/>
    <x v="0"/>
    <n v="171"/>
    <n v="26278"/>
    <n v="27180"/>
    <n v="1513"/>
    <m/>
    <x v="14"/>
  </r>
  <r>
    <x v="61"/>
    <s v="rom_fact_haerrim"/>
    <n v="0"/>
    <x v="11"/>
    <n v="0"/>
    <n v="5352"/>
    <n v="1750"/>
    <n v="0"/>
    <m/>
    <x v="15"/>
  </r>
  <r>
    <x v="61"/>
    <s v="rom_fact_goblins"/>
    <n v="301"/>
    <x v="1"/>
    <n v="280.8"/>
    <n v="27069"/>
    <n v="34521"/>
    <n v="3097"/>
    <m/>
    <x v="16"/>
  </r>
  <r>
    <x v="61"/>
    <s v="rom_fact_balchoth"/>
    <n v="0"/>
    <x v="11"/>
    <n v="0"/>
    <n v="4872"/>
    <n v="1750"/>
    <n v="0"/>
    <m/>
    <x v="17"/>
  </r>
  <r>
    <x v="61"/>
    <s v="rom_fact_rhurim"/>
    <n v="206"/>
    <x v="22"/>
    <n v="351.5"/>
    <n v="80842"/>
    <n v="35088"/>
    <n v="1544"/>
    <m/>
    <x v="18"/>
  </r>
  <r>
    <x v="61"/>
    <s v="rom_fact_feredrim"/>
    <n v="0"/>
    <x v="11"/>
    <n v="0"/>
    <n v="7360"/>
    <n v="1750"/>
    <n v="0"/>
    <m/>
    <x v="19"/>
  </r>
  <r>
    <x v="61"/>
    <s v="rom_fact_wainriders"/>
    <n v="0"/>
    <x v="11"/>
    <n v="0"/>
    <n v="6395"/>
    <n v="1750"/>
    <n v="0"/>
    <m/>
    <x v="20"/>
  </r>
  <r>
    <x v="61"/>
    <s v="rom_fact_blacklock"/>
    <n v="5"/>
    <x v="3"/>
    <n v="72"/>
    <n v="66486"/>
    <n v="15205"/>
    <n v="0"/>
    <m/>
    <x v="21"/>
  </r>
  <r>
    <x v="61"/>
    <s v="rom_fact_ironfist"/>
    <n v="4"/>
    <x v="10"/>
    <n v="41"/>
    <n v="45646"/>
    <n v="7885"/>
    <n v="0"/>
    <m/>
    <x v="22"/>
  </r>
  <r>
    <x v="61"/>
    <s v="rom_fact_gundabad"/>
    <n v="157"/>
    <x v="2"/>
    <n v="205.8"/>
    <n v="45454"/>
    <n v="27077"/>
    <n v="959"/>
    <m/>
    <x v="23"/>
  </r>
  <r>
    <x v="61"/>
    <s v="rom_fact_rohan_scouts"/>
    <n v="0"/>
    <x v="11"/>
    <n v="3"/>
    <n v="72381"/>
    <n v="2379"/>
    <n v="0"/>
    <m/>
    <x v="24"/>
  </r>
  <r>
    <x v="61"/>
    <s v="rom_fact_northern_enedwaith"/>
    <n v="6"/>
    <x v="9"/>
    <n v="57"/>
    <n v="72990"/>
    <n v="11430"/>
    <n v="663"/>
    <m/>
    <x v="25"/>
  </r>
  <r>
    <x v="61"/>
    <s v="rom_fact_southern_enedwaith"/>
    <n v="0"/>
    <x v="11"/>
    <n v="0"/>
    <n v="54023"/>
    <n v="1750"/>
    <n v="0"/>
    <m/>
    <x v="26"/>
  </r>
  <r>
    <x v="61"/>
    <s v="rom_fact_druedain"/>
    <n v="2"/>
    <x v="7"/>
    <n v="21"/>
    <n v="29219"/>
    <n v="4383"/>
    <n v="0"/>
    <m/>
    <x v="27"/>
  </r>
  <r>
    <x v="61"/>
    <s v="rom_fact_harondor"/>
    <n v="0"/>
    <x v="11"/>
    <n v="0"/>
    <n v="15146"/>
    <n v="1750"/>
    <n v="0"/>
    <m/>
    <x v="28"/>
  </r>
  <r>
    <x v="61"/>
    <s v="rom_fact_southron_nomads"/>
    <n v="0"/>
    <x v="11"/>
    <n v="0"/>
    <n v="4000"/>
    <n v="1750"/>
    <n v="0"/>
    <m/>
    <x v="29"/>
  </r>
  <r>
    <x v="61"/>
    <s v="rom_fact_separatist_harad"/>
    <n v="0"/>
    <x v="11"/>
    <n v="0"/>
    <n v="4000"/>
    <n v="1750"/>
    <n v="0"/>
    <m/>
    <x v="30"/>
  </r>
  <r>
    <x v="61"/>
    <s v="rom_fact_separatist_khand"/>
    <n v="0"/>
    <x v="11"/>
    <n v="0"/>
    <n v="4000"/>
    <n v="1750"/>
    <n v="0"/>
    <m/>
    <x v="30"/>
  </r>
  <r>
    <x v="61"/>
    <s v="rom_fact_separatist_balchoth"/>
    <n v="0"/>
    <x v="11"/>
    <n v="0"/>
    <n v="4000"/>
    <n v="1750"/>
    <n v="0"/>
    <m/>
    <x v="30"/>
  </r>
  <r>
    <x v="61"/>
    <s v="rom_fact_separatist_feredrim"/>
    <n v="0"/>
    <x v="11"/>
    <n v="0"/>
    <n v="4000"/>
    <n v="1750"/>
    <n v="0"/>
    <m/>
    <x v="30"/>
  </r>
  <r>
    <x v="61"/>
    <s v="rom_fact_separatist_haerrim"/>
    <n v="0"/>
    <x v="11"/>
    <n v="0"/>
    <n v="4000"/>
    <n v="1750"/>
    <n v="0"/>
    <m/>
    <x v="30"/>
  </r>
  <r>
    <x v="61"/>
    <s v="rom_fact_separatist_wainriders"/>
    <n v="0"/>
    <x v="11"/>
    <n v="0"/>
    <n v="4000"/>
    <n v="1750"/>
    <n v="0"/>
    <m/>
    <x v="30"/>
  </r>
  <r>
    <x v="61"/>
    <s v="rom_fact_separatist_rhurim"/>
    <n v="0"/>
    <x v="11"/>
    <n v="0"/>
    <n v="4000"/>
    <n v="1750"/>
    <n v="0"/>
    <m/>
    <x v="30"/>
  </r>
  <r>
    <x v="61"/>
    <s v="rom_fact_separatist_mahuds"/>
    <n v="0"/>
    <x v="11"/>
    <n v="0"/>
    <n v="4000"/>
    <n v="1750"/>
    <n v="0"/>
    <m/>
    <x v="30"/>
  </r>
  <r>
    <x v="61"/>
    <s v="rom_fact_separatist_umbar"/>
    <n v="0"/>
    <x v="11"/>
    <n v="0"/>
    <n v="4000"/>
    <n v="1750"/>
    <n v="0"/>
    <m/>
    <x v="30"/>
  </r>
  <r>
    <x v="62"/>
    <s v="rom_fact_mordor"/>
    <n v="209"/>
    <x v="19"/>
    <n v="225.6"/>
    <n v="3310"/>
    <n v="26024"/>
    <n v="2161"/>
    <m/>
    <x v="0"/>
  </r>
  <r>
    <x v="62"/>
    <s v="rom_fact_gondor"/>
    <n v="146"/>
    <x v="3"/>
    <n v="51"/>
    <n v="61045"/>
    <n v="11160"/>
    <n v="0"/>
    <m/>
    <x v="1"/>
  </r>
  <r>
    <x v="62"/>
    <s v="rom_fact_dale"/>
    <n v="166"/>
    <x v="9"/>
    <n v="99.4"/>
    <n v="19674"/>
    <n v="17033"/>
    <n v="333"/>
    <m/>
    <x v="2"/>
  </r>
  <r>
    <x v="62"/>
    <s v="rom_fact_erebor"/>
    <n v="166"/>
    <x v="9"/>
    <n v="44"/>
    <n v="26843"/>
    <n v="12947"/>
    <n v="440"/>
    <m/>
    <x v="3"/>
  </r>
  <r>
    <x v="62"/>
    <s v="rom_fact_rohan"/>
    <n v="155"/>
    <x v="10"/>
    <n v="11.6"/>
    <n v="9166"/>
    <n v="3685"/>
    <n v="0"/>
    <m/>
    <x v="4"/>
  </r>
  <r>
    <x v="62"/>
    <s v="rom_fact_dol_guldur"/>
    <n v="193"/>
    <x v="4"/>
    <n v="217.9"/>
    <n v="17174"/>
    <n v="29636"/>
    <n v="1818"/>
    <m/>
    <x v="5"/>
  </r>
  <r>
    <x v="62"/>
    <s v="rom_fact_anduin_vale"/>
    <n v="58"/>
    <x v="11"/>
    <n v="0"/>
    <n v="4515"/>
    <n v="2500"/>
    <n v="0"/>
    <m/>
    <x v="6"/>
  </r>
  <r>
    <x v="62"/>
    <s v="rom_fact_isengard"/>
    <n v="216"/>
    <x v="5"/>
    <n v="136.9"/>
    <n v="26041"/>
    <n v="20298"/>
    <n v="926"/>
    <m/>
    <x v="7"/>
  </r>
  <r>
    <x v="62"/>
    <s v="rom_fact_woodland_realm"/>
    <n v="30"/>
    <x v="11"/>
    <n v="0"/>
    <n v="8475"/>
    <n v="2500"/>
    <n v="0"/>
    <m/>
    <x v="8"/>
  </r>
  <r>
    <x v="62"/>
    <s v="rom_fact_lothlorien"/>
    <n v="64"/>
    <x v="11"/>
    <n v="0"/>
    <n v="4721"/>
    <n v="2500"/>
    <n v="0"/>
    <m/>
    <x v="9"/>
  </r>
  <r>
    <x v="62"/>
    <s v="rom_fact_khand"/>
    <n v="0"/>
    <x v="11"/>
    <n v="0"/>
    <n v="4919"/>
    <n v="1750"/>
    <n v="0"/>
    <m/>
    <x v="10"/>
  </r>
  <r>
    <x v="62"/>
    <s v="rom_fact_umbar"/>
    <n v="10"/>
    <x v="13"/>
    <n v="117"/>
    <n v="41096"/>
    <n v="22402"/>
    <n v="1418"/>
    <m/>
    <x v="11"/>
  </r>
  <r>
    <x v="62"/>
    <s v="rom_fact_mahuds"/>
    <n v="5"/>
    <x v="3"/>
    <n v="54"/>
    <n v="7461"/>
    <n v="9532"/>
    <n v="0"/>
    <m/>
    <x v="12"/>
  </r>
  <r>
    <x v="62"/>
    <s v="rom_fact_harad"/>
    <n v="112"/>
    <x v="8"/>
    <n v="121"/>
    <n v="24969"/>
    <n v="15100"/>
    <n v="0"/>
    <m/>
    <x v="13"/>
  </r>
  <r>
    <x v="62"/>
    <s v="rom_fact_dunland"/>
    <n v="137"/>
    <x v="0"/>
    <n v="176"/>
    <n v="22349"/>
    <n v="27978"/>
    <n v="1752"/>
    <m/>
    <x v="14"/>
  </r>
  <r>
    <x v="62"/>
    <s v="rom_fact_haerrim"/>
    <n v="0"/>
    <x v="11"/>
    <n v="0"/>
    <n v="5352"/>
    <n v="1750"/>
    <n v="0"/>
    <m/>
    <x v="15"/>
  </r>
  <r>
    <x v="62"/>
    <s v="rom_fact_goblins"/>
    <n v="301"/>
    <x v="1"/>
    <n v="282.7"/>
    <n v="30897"/>
    <n v="35940"/>
    <n v="3107"/>
    <m/>
    <x v="16"/>
  </r>
  <r>
    <x v="62"/>
    <s v="rom_fact_balchoth"/>
    <n v="0"/>
    <x v="11"/>
    <n v="0"/>
    <n v="4872"/>
    <n v="1750"/>
    <n v="0"/>
    <m/>
    <x v="17"/>
  </r>
  <r>
    <x v="62"/>
    <s v="rom_fact_rhurim"/>
    <n v="215"/>
    <x v="22"/>
    <n v="354.5"/>
    <n v="71011"/>
    <n v="34990"/>
    <n v="1545"/>
    <m/>
    <x v="18"/>
  </r>
  <r>
    <x v="62"/>
    <s v="rom_fact_feredrim"/>
    <n v="0"/>
    <x v="11"/>
    <n v="0"/>
    <n v="7360"/>
    <n v="1750"/>
    <n v="0"/>
    <m/>
    <x v="19"/>
  </r>
  <r>
    <x v="62"/>
    <s v="rom_fact_wainriders"/>
    <n v="0"/>
    <x v="11"/>
    <n v="0"/>
    <n v="6395"/>
    <n v="1750"/>
    <n v="0"/>
    <m/>
    <x v="20"/>
  </r>
  <r>
    <x v="62"/>
    <s v="rom_fact_blacklock"/>
    <n v="5"/>
    <x v="3"/>
    <n v="72"/>
    <n v="66777"/>
    <n v="15205"/>
    <n v="0"/>
    <m/>
    <x v="21"/>
  </r>
  <r>
    <x v="62"/>
    <s v="rom_fact_ironfist"/>
    <n v="4"/>
    <x v="10"/>
    <n v="41"/>
    <n v="47875"/>
    <n v="7885"/>
    <n v="0"/>
    <m/>
    <x v="22"/>
  </r>
  <r>
    <x v="62"/>
    <s v="rom_fact_gundabad"/>
    <n v="157"/>
    <x v="2"/>
    <n v="208.6"/>
    <n v="48297"/>
    <n v="27754"/>
    <n v="963"/>
    <m/>
    <x v="23"/>
  </r>
  <r>
    <x v="62"/>
    <s v="rom_fact_rohan_scouts"/>
    <n v="0"/>
    <x v="11"/>
    <n v="3"/>
    <n v="73502"/>
    <n v="2379"/>
    <n v="0"/>
    <m/>
    <x v="24"/>
  </r>
  <r>
    <x v="62"/>
    <s v="rom_fact_northern_enedwaith"/>
    <n v="6"/>
    <x v="9"/>
    <n v="59"/>
    <n v="77538"/>
    <n v="11863"/>
    <n v="666"/>
    <m/>
    <x v="25"/>
  </r>
  <r>
    <x v="62"/>
    <s v="rom_fact_southern_enedwaith"/>
    <n v="0"/>
    <x v="11"/>
    <n v="0"/>
    <n v="54023"/>
    <n v="1750"/>
    <n v="0"/>
    <m/>
    <x v="26"/>
  </r>
  <r>
    <x v="62"/>
    <s v="rom_fact_druedain"/>
    <n v="2"/>
    <x v="7"/>
    <n v="21"/>
    <n v="30622"/>
    <n v="4383"/>
    <n v="0"/>
    <m/>
    <x v="27"/>
  </r>
  <r>
    <x v="62"/>
    <s v="rom_fact_harondor"/>
    <n v="0"/>
    <x v="11"/>
    <n v="0"/>
    <n v="15146"/>
    <n v="1750"/>
    <n v="0"/>
    <m/>
    <x v="28"/>
  </r>
  <r>
    <x v="62"/>
    <s v="rom_fact_southron_nomads"/>
    <n v="0"/>
    <x v="11"/>
    <n v="0"/>
    <n v="4000"/>
    <n v="1750"/>
    <n v="0"/>
    <m/>
    <x v="29"/>
  </r>
  <r>
    <x v="62"/>
    <s v="rom_fact_separatist_harad"/>
    <n v="0"/>
    <x v="11"/>
    <n v="0"/>
    <n v="4000"/>
    <n v="1750"/>
    <n v="0"/>
    <m/>
    <x v="30"/>
  </r>
  <r>
    <x v="62"/>
    <s v="rom_fact_separatist_khand"/>
    <n v="0"/>
    <x v="11"/>
    <n v="0"/>
    <n v="4000"/>
    <n v="1750"/>
    <n v="0"/>
    <m/>
    <x v="30"/>
  </r>
  <r>
    <x v="62"/>
    <s v="rom_fact_separatist_balchoth"/>
    <n v="0"/>
    <x v="11"/>
    <n v="0"/>
    <n v="4000"/>
    <n v="1750"/>
    <n v="0"/>
    <m/>
    <x v="30"/>
  </r>
  <r>
    <x v="62"/>
    <s v="rom_fact_separatist_feredrim"/>
    <n v="0"/>
    <x v="11"/>
    <n v="0"/>
    <n v="4000"/>
    <n v="1750"/>
    <n v="0"/>
    <m/>
    <x v="30"/>
  </r>
  <r>
    <x v="62"/>
    <s v="rom_fact_separatist_haerrim"/>
    <n v="0"/>
    <x v="11"/>
    <n v="0"/>
    <n v="4000"/>
    <n v="1750"/>
    <n v="0"/>
    <m/>
    <x v="30"/>
  </r>
  <r>
    <x v="62"/>
    <s v="rom_fact_separatist_wainriders"/>
    <n v="0"/>
    <x v="11"/>
    <n v="0"/>
    <n v="4000"/>
    <n v="1750"/>
    <n v="0"/>
    <m/>
    <x v="30"/>
  </r>
  <r>
    <x v="62"/>
    <s v="rom_fact_separatist_rhurim"/>
    <n v="0"/>
    <x v="11"/>
    <n v="0"/>
    <n v="4000"/>
    <n v="1750"/>
    <n v="0"/>
    <m/>
    <x v="30"/>
  </r>
  <r>
    <x v="62"/>
    <s v="rom_fact_separatist_mahuds"/>
    <n v="0"/>
    <x v="11"/>
    <n v="0"/>
    <n v="4000"/>
    <n v="1750"/>
    <n v="0"/>
    <m/>
    <x v="30"/>
  </r>
  <r>
    <x v="62"/>
    <s v="rom_fact_separatist_umbar"/>
    <n v="0"/>
    <x v="11"/>
    <n v="0"/>
    <n v="4000"/>
    <n v="1750"/>
    <n v="0"/>
    <m/>
    <x v="30"/>
  </r>
  <r>
    <x v="63"/>
    <s v="rom_fact_mordor"/>
    <n v="213"/>
    <x v="30"/>
    <n v="224.3"/>
    <n v="4612"/>
    <n v="25981"/>
    <n v="1324"/>
    <m/>
    <x v="0"/>
  </r>
  <r>
    <x v="63"/>
    <s v="rom_fact_gondor"/>
    <n v="141"/>
    <x v="11"/>
    <n v="34"/>
    <n v="55361"/>
    <n v="8029"/>
    <n v="0"/>
    <m/>
    <x v="1"/>
  </r>
  <r>
    <x v="63"/>
    <s v="rom_fact_dale"/>
    <n v="166"/>
    <x v="9"/>
    <n v="82.8"/>
    <n v="25846"/>
    <n v="15516"/>
    <n v="335"/>
    <m/>
    <x v="2"/>
  </r>
  <r>
    <x v="63"/>
    <s v="rom_fact_erebor"/>
    <n v="171"/>
    <x v="9"/>
    <n v="44"/>
    <n v="26430"/>
    <n v="13508"/>
    <n v="442"/>
    <m/>
    <x v="3"/>
  </r>
  <r>
    <x v="63"/>
    <s v="rom_fact_rohan"/>
    <n v="152"/>
    <x v="11"/>
    <n v="2.6"/>
    <n v="8938"/>
    <n v="3062"/>
    <n v="0"/>
    <m/>
    <x v="4"/>
  </r>
  <r>
    <x v="63"/>
    <s v="rom_fact_dol_guldur"/>
    <n v="193"/>
    <x v="4"/>
    <n v="223.7"/>
    <n v="17937"/>
    <n v="29473"/>
    <n v="1237"/>
    <m/>
    <x v="5"/>
  </r>
  <r>
    <x v="63"/>
    <s v="rom_fact_anduin_vale"/>
    <n v="58"/>
    <x v="11"/>
    <n v="0"/>
    <n v="4515"/>
    <n v="2500"/>
    <n v="0"/>
    <m/>
    <x v="6"/>
  </r>
  <r>
    <x v="63"/>
    <s v="rom_fact_isengard"/>
    <n v="218"/>
    <x v="13"/>
    <n v="138.9"/>
    <n v="23153"/>
    <n v="21128"/>
    <n v="934"/>
    <m/>
    <x v="7"/>
  </r>
  <r>
    <x v="63"/>
    <s v="rom_fact_woodland_realm"/>
    <n v="30"/>
    <x v="11"/>
    <n v="0"/>
    <n v="8475"/>
    <n v="2500"/>
    <n v="0"/>
    <m/>
    <x v="8"/>
  </r>
  <r>
    <x v="63"/>
    <s v="rom_fact_lothlorien"/>
    <n v="64"/>
    <x v="11"/>
    <n v="0"/>
    <n v="4721"/>
    <n v="2500"/>
    <n v="0"/>
    <m/>
    <x v="9"/>
  </r>
  <r>
    <x v="63"/>
    <s v="rom_fact_khand"/>
    <n v="0"/>
    <x v="11"/>
    <n v="0"/>
    <n v="4919"/>
    <n v="1750"/>
    <n v="0"/>
    <m/>
    <x v="10"/>
  </r>
  <r>
    <x v="63"/>
    <s v="rom_fact_umbar"/>
    <n v="11"/>
    <x v="12"/>
    <n v="119"/>
    <n v="31542"/>
    <n v="22019"/>
    <n v="1430"/>
    <m/>
    <x v="11"/>
  </r>
  <r>
    <x v="63"/>
    <s v="rom_fact_mahuds"/>
    <n v="4"/>
    <x v="10"/>
    <n v="49"/>
    <n v="7010"/>
    <n v="7781"/>
    <n v="0"/>
    <m/>
    <x v="12"/>
  </r>
  <r>
    <x v="63"/>
    <s v="rom_fact_harad"/>
    <n v="113"/>
    <x v="5"/>
    <n v="109"/>
    <n v="31102"/>
    <n v="13019"/>
    <n v="0"/>
    <m/>
    <x v="13"/>
  </r>
  <r>
    <x v="63"/>
    <s v="rom_fact_dunland"/>
    <n v="137"/>
    <x v="0"/>
    <n v="177"/>
    <n v="29304"/>
    <n v="28634"/>
    <n v="1772"/>
    <m/>
    <x v="14"/>
  </r>
  <r>
    <x v="63"/>
    <s v="rom_fact_haerrim"/>
    <n v="0"/>
    <x v="11"/>
    <n v="0"/>
    <n v="5352"/>
    <n v="1750"/>
    <n v="0"/>
    <m/>
    <x v="15"/>
  </r>
  <r>
    <x v="63"/>
    <s v="rom_fact_goblins"/>
    <n v="302"/>
    <x v="25"/>
    <n v="284.7"/>
    <n v="26704"/>
    <n v="35761"/>
    <n v="3214"/>
    <m/>
    <x v="16"/>
  </r>
  <r>
    <x v="63"/>
    <s v="rom_fact_balchoth"/>
    <n v="0"/>
    <x v="11"/>
    <n v="0"/>
    <n v="4872"/>
    <n v="1750"/>
    <n v="0"/>
    <m/>
    <x v="17"/>
  </r>
  <r>
    <x v="63"/>
    <s v="rom_fact_rhurim"/>
    <n v="215"/>
    <x v="22"/>
    <n v="361.3"/>
    <n v="60323"/>
    <n v="33583"/>
    <n v="0"/>
    <m/>
    <x v="18"/>
  </r>
  <r>
    <x v="63"/>
    <s v="rom_fact_feredrim"/>
    <n v="0"/>
    <x v="11"/>
    <n v="0"/>
    <n v="7360"/>
    <n v="1750"/>
    <n v="0"/>
    <m/>
    <x v="19"/>
  </r>
  <r>
    <x v="63"/>
    <s v="rom_fact_wainriders"/>
    <n v="0"/>
    <x v="11"/>
    <n v="0"/>
    <n v="6395"/>
    <n v="1750"/>
    <n v="0"/>
    <m/>
    <x v="20"/>
  </r>
  <r>
    <x v="63"/>
    <s v="rom_fact_blacklock"/>
    <n v="5"/>
    <x v="3"/>
    <n v="72"/>
    <n v="67068"/>
    <n v="15205"/>
    <n v="0"/>
    <m/>
    <x v="21"/>
  </r>
  <r>
    <x v="63"/>
    <s v="rom_fact_ironfist"/>
    <n v="4"/>
    <x v="10"/>
    <n v="41"/>
    <n v="50130"/>
    <n v="7911"/>
    <n v="0"/>
    <m/>
    <x v="22"/>
  </r>
  <r>
    <x v="63"/>
    <s v="rom_fact_gundabad"/>
    <n v="157"/>
    <x v="2"/>
    <n v="214.8"/>
    <n v="50896"/>
    <n v="26649"/>
    <n v="963"/>
    <m/>
    <x v="23"/>
  </r>
  <r>
    <x v="63"/>
    <s v="rom_fact_rohan_scouts"/>
    <n v="0"/>
    <x v="11"/>
    <n v="3"/>
    <n v="74623"/>
    <n v="2379"/>
    <n v="0"/>
    <m/>
    <x v="24"/>
  </r>
  <r>
    <x v="63"/>
    <s v="rom_fact_northern_enedwaith"/>
    <n v="6"/>
    <x v="9"/>
    <n v="58"/>
    <n v="82352"/>
    <n v="11737"/>
    <n v="678"/>
    <m/>
    <x v="25"/>
  </r>
  <r>
    <x v="63"/>
    <s v="rom_fact_southern_enedwaith"/>
    <n v="0"/>
    <x v="11"/>
    <n v="0"/>
    <n v="54023"/>
    <n v="1750"/>
    <n v="0"/>
    <m/>
    <x v="26"/>
  </r>
  <r>
    <x v="63"/>
    <s v="rom_fact_druedain"/>
    <n v="2"/>
    <x v="7"/>
    <n v="12"/>
    <n v="29310"/>
    <n v="3437"/>
    <n v="0"/>
    <m/>
    <x v="27"/>
  </r>
  <r>
    <x v="63"/>
    <s v="rom_fact_harondor"/>
    <n v="0"/>
    <x v="11"/>
    <n v="0"/>
    <n v="15146"/>
    <n v="1750"/>
    <n v="0"/>
    <m/>
    <x v="28"/>
  </r>
  <r>
    <x v="63"/>
    <s v="rom_fact_southron_nomads"/>
    <n v="0"/>
    <x v="11"/>
    <n v="0"/>
    <n v="4000"/>
    <n v="1750"/>
    <n v="0"/>
    <m/>
    <x v="29"/>
  </r>
  <r>
    <x v="63"/>
    <s v="rom_fact_separatist_harad"/>
    <n v="0"/>
    <x v="11"/>
    <n v="0"/>
    <n v="4000"/>
    <n v="1750"/>
    <n v="0"/>
    <m/>
    <x v="30"/>
  </r>
  <r>
    <x v="63"/>
    <s v="rom_fact_separatist_khand"/>
    <n v="0"/>
    <x v="11"/>
    <n v="0"/>
    <n v="4000"/>
    <n v="1750"/>
    <n v="0"/>
    <m/>
    <x v="30"/>
  </r>
  <r>
    <x v="63"/>
    <s v="rom_fact_separatist_balchoth"/>
    <n v="0"/>
    <x v="11"/>
    <n v="0"/>
    <n v="4000"/>
    <n v="1750"/>
    <n v="0"/>
    <m/>
    <x v="30"/>
  </r>
  <r>
    <x v="63"/>
    <s v="rom_fact_separatist_feredrim"/>
    <n v="0"/>
    <x v="11"/>
    <n v="0"/>
    <n v="4000"/>
    <n v="1750"/>
    <n v="0"/>
    <m/>
    <x v="30"/>
  </r>
  <r>
    <x v="63"/>
    <s v="rom_fact_separatist_haerrim"/>
    <n v="0"/>
    <x v="11"/>
    <n v="0"/>
    <n v="4000"/>
    <n v="1750"/>
    <n v="0"/>
    <m/>
    <x v="30"/>
  </r>
  <r>
    <x v="63"/>
    <s v="rom_fact_separatist_wainriders"/>
    <n v="0"/>
    <x v="11"/>
    <n v="0"/>
    <n v="4000"/>
    <n v="1750"/>
    <n v="0"/>
    <m/>
    <x v="30"/>
  </r>
  <r>
    <x v="63"/>
    <s v="rom_fact_separatist_rhurim"/>
    <n v="0"/>
    <x v="11"/>
    <n v="0"/>
    <n v="4000"/>
    <n v="1750"/>
    <n v="0"/>
    <m/>
    <x v="30"/>
  </r>
  <r>
    <x v="63"/>
    <s v="rom_fact_separatist_mahuds"/>
    <n v="0"/>
    <x v="11"/>
    <n v="0"/>
    <n v="4000"/>
    <n v="1750"/>
    <n v="0"/>
    <m/>
    <x v="30"/>
  </r>
  <r>
    <x v="63"/>
    <s v="rom_fact_separatist_umbar"/>
    <n v="0"/>
    <x v="11"/>
    <n v="0"/>
    <n v="4000"/>
    <n v="1750"/>
    <n v="0"/>
    <m/>
    <x v="30"/>
  </r>
  <r>
    <x v="64"/>
    <s v="rom_fact_mordor"/>
    <n v="233"/>
    <x v="30"/>
    <n v="234.3"/>
    <n v="1186"/>
    <n v="26988"/>
    <n v="1390"/>
    <m/>
    <x v="0"/>
  </r>
  <r>
    <x v="64"/>
    <s v="rom_fact_gondor"/>
    <n v="141"/>
    <x v="11"/>
    <n v="14"/>
    <n v="55717"/>
    <n v="4644"/>
    <n v="0"/>
    <m/>
    <x v="1"/>
  </r>
  <r>
    <x v="64"/>
    <s v="rom_fact_dale"/>
    <n v="170"/>
    <x v="3"/>
    <n v="77.8"/>
    <n v="14960"/>
    <n v="13350"/>
    <n v="264"/>
    <m/>
    <x v="2"/>
  </r>
  <r>
    <x v="64"/>
    <s v="rom_fact_erebor"/>
    <n v="170"/>
    <x v="3"/>
    <n v="34"/>
    <n v="26615"/>
    <n v="11244"/>
    <n v="425"/>
    <m/>
    <x v="3"/>
  </r>
  <r>
    <x v="64"/>
    <s v="rom_fact_rohan"/>
    <n v="158"/>
    <x v="7"/>
    <n v="0"/>
    <n v="7371"/>
    <n v="2880"/>
    <n v="0"/>
    <m/>
    <x v="4"/>
  </r>
  <r>
    <x v="64"/>
    <s v="rom_fact_dol_guldur"/>
    <n v="193"/>
    <x v="4"/>
    <n v="222.7"/>
    <n v="16214"/>
    <n v="28935"/>
    <n v="1239"/>
    <m/>
    <x v="5"/>
  </r>
  <r>
    <x v="64"/>
    <s v="rom_fact_anduin_vale"/>
    <n v="58"/>
    <x v="11"/>
    <n v="0"/>
    <n v="4515"/>
    <n v="2500"/>
    <n v="0"/>
    <m/>
    <x v="6"/>
  </r>
  <r>
    <x v="64"/>
    <s v="rom_fact_isengard"/>
    <n v="218"/>
    <x v="13"/>
    <n v="138.9"/>
    <n v="19516"/>
    <n v="21388"/>
    <n v="942"/>
    <m/>
    <x v="7"/>
  </r>
  <r>
    <x v="64"/>
    <s v="rom_fact_woodland_realm"/>
    <n v="30"/>
    <x v="11"/>
    <n v="0"/>
    <n v="8475"/>
    <n v="2500"/>
    <n v="0"/>
    <m/>
    <x v="8"/>
  </r>
  <r>
    <x v="64"/>
    <s v="rom_fact_lothlorien"/>
    <n v="64"/>
    <x v="11"/>
    <n v="0"/>
    <n v="4721"/>
    <n v="2500"/>
    <n v="0"/>
    <m/>
    <x v="9"/>
  </r>
  <r>
    <x v="64"/>
    <s v="rom_fact_khand"/>
    <n v="0"/>
    <x v="11"/>
    <n v="0"/>
    <n v="4919"/>
    <n v="1750"/>
    <n v="0"/>
    <m/>
    <x v="10"/>
  </r>
  <r>
    <x v="64"/>
    <s v="rom_fact_umbar"/>
    <n v="11"/>
    <x v="12"/>
    <n v="125"/>
    <n v="25632"/>
    <n v="23390"/>
    <n v="1440"/>
    <m/>
    <x v="11"/>
  </r>
  <r>
    <x v="64"/>
    <s v="rom_fact_mahuds"/>
    <n v="4"/>
    <x v="10"/>
    <n v="44"/>
    <n v="6964"/>
    <n v="7281"/>
    <n v="0"/>
    <m/>
    <x v="12"/>
  </r>
  <r>
    <x v="64"/>
    <s v="rom_fact_harad"/>
    <n v="118"/>
    <x v="5"/>
    <n v="109"/>
    <n v="28958"/>
    <n v="13224"/>
    <n v="0"/>
    <m/>
    <x v="13"/>
  </r>
  <r>
    <x v="64"/>
    <s v="rom_fact_dunland"/>
    <n v="138"/>
    <x v="2"/>
    <n v="188"/>
    <n v="33779"/>
    <n v="30507"/>
    <n v="1987"/>
    <m/>
    <x v="14"/>
  </r>
  <r>
    <x v="64"/>
    <s v="rom_fact_haerrim"/>
    <n v="0"/>
    <x v="11"/>
    <n v="0"/>
    <n v="5352"/>
    <n v="1750"/>
    <n v="0"/>
    <m/>
    <x v="15"/>
  </r>
  <r>
    <x v="64"/>
    <s v="rom_fact_goblins"/>
    <n v="310"/>
    <x v="1"/>
    <n v="284.7"/>
    <n v="31410"/>
    <n v="35860"/>
    <n v="3126"/>
    <m/>
    <x v="16"/>
  </r>
  <r>
    <x v="64"/>
    <s v="rom_fact_balchoth"/>
    <n v="0"/>
    <x v="11"/>
    <n v="0"/>
    <n v="4872"/>
    <n v="1750"/>
    <n v="0"/>
    <m/>
    <x v="17"/>
  </r>
  <r>
    <x v="64"/>
    <s v="rom_fact_rhurim"/>
    <n v="216"/>
    <x v="23"/>
    <n v="386.2"/>
    <n v="59449"/>
    <n v="34495"/>
    <n v="0"/>
    <m/>
    <x v="18"/>
  </r>
  <r>
    <x v="64"/>
    <s v="rom_fact_feredrim"/>
    <n v="0"/>
    <x v="11"/>
    <n v="0"/>
    <n v="7360"/>
    <n v="1750"/>
    <n v="0"/>
    <m/>
    <x v="19"/>
  </r>
  <r>
    <x v="64"/>
    <s v="rom_fact_wainriders"/>
    <n v="0"/>
    <x v="11"/>
    <n v="0"/>
    <n v="6395"/>
    <n v="1750"/>
    <n v="0"/>
    <m/>
    <x v="20"/>
  </r>
  <r>
    <x v="64"/>
    <s v="rom_fact_blacklock"/>
    <n v="5"/>
    <x v="3"/>
    <n v="72"/>
    <n v="67359"/>
    <n v="15205"/>
    <n v="0"/>
    <m/>
    <x v="21"/>
  </r>
  <r>
    <x v="64"/>
    <s v="rom_fact_ironfist"/>
    <n v="4"/>
    <x v="10"/>
    <n v="41"/>
    <n v="52385"/>
    <n v="8698"/>
    <n v="0"/>
    <m/>
    <x v="22"/>
  </r>
  <r>
    <x v="64"/>
    <s v="rom_fact_gundabad"/>
    <n v="158"/>
    <x v="16"/>
    <n v="230.3"/>
    <n v="64189"/>
    <n v="28670"/>
    <n v="1210"/>
    <m/>
    <x v="23"/>
  </r>
  <r>
    <x v="64"/>
    <s v="rom_fact_rohan_scouts"/>
    <n v="0"/>
    <x v="11"/>
    <n v="3"/>
    <n v="75744"/>
    <n v="2379"/>
    <n v="0"/>
    <m/>
    <x v="24"/>
  </r>
  <r>
    <x v="64"/>
    <s v="rom_fact_northern_enedwaith"/>
    <n v="6"/>
    <x v="9"/>
    <n v="60"/>
    <n v="77311"/>
    <n v="12215"/>
    <n v="690"/>
    <m/>
    <x v="25"/>
  </r>
  <r>
    <x v="64"/>
    <s v="rom_fact_southern_enedwaith"/>
    <n v="0"/>
    <x v="11"/>
    <n v="0"/>
    <n v="54023"/>
    <n v="1750"/>
    <n v="0"/>
    <m/>
    <x v="26"/>
  </r>
  <r>
    <x v="64"/>
    <s v="rom_fact_druedain"/>
    <n v="0"/>
    <x v="11"/>
    <n v="0"/>
    <n v="32146"/>
    <n v="1750"/>
    <n v="0"/>
    <m/>
    <x v="27"/>
  </r>
  <r>
    <x v="64"/>
    <s v="rom_fact_harondor"/>
    <n v="0"/>
    <x v="11"/>
    <n v="0"/>
    <n v="15146"/>
    <n v="1750"/>
    <n v="0"/>
    <m/>
    <x v="28"/>
  </r>
  <r>
    <x v="64"/>
    <s v="rom_fact_southron_nomads"/>
    <n v="0"/>
    <x v="11"/>
    <n v="0"/>
    <n v="4000"/>
    <n v="1750"/>
    <n v="0"/>
    <m/>
    <x v="29"/>
  </r>
  <r>
    <x v="64"/>
    <s v="rom_fact_separatist_harad"/>
    <n v="0"/>
    <x v="11"/>
    <n v="0"/>
    <n v="4000"/>
    <n v="1750"/>
    <n v="0"/>
    <m/>
    <x v="30"/>
  </r>
  <r>
    <x v="64"/>
    <s v="rom_fact_separatist_khand"/>
    <n v="0"/>
    <x v="11"/>
    <n v="0"/>
    <n v="4000"/>
    <n v="1750"/>
    <n v="0"/>
    <m/>
    <x v="30"/>
  </r>
  <r>
    <x v="64"/>
    <s v="rom_fact_separatist_balchoth"/>
    <n v="0"/>
    <x v="11"/>
    <n v="0"/>
    <n v="4000"/>
    <n v="1750"/>
    <n v="0"/>
    <m/>
    <x v="30"/>
  </r>
  <r>
    <x v="64"/>
    <s v="rom_fact_separatist_feredrim"/>
    <n v="0"/>
    <x v="11"/>
    <n v="0"/>
    <n v="4000"/>
    <n v="1750"/>
    <n v="0"/>
    <m/>
    <x v="30"/>
  </r>
  <r>
    <x v="64"/>
    <s v="rom_fact_separatist_haerrim"/>
    <n v="0"/>
    <x v="11"/>
    <n v="0"/>
    <n v="4000"/>
    <n v="1750"/>
    <n v="0"/>
    <m/>
    <x v="30"/>
  </r>
  <r>
    <x v="64"/>
    <s v="rom_fact_separatist_wainriders"/>
    <n v="0"/>
    <x v="11"/>
    <n v="0"/>
    <n v="4000"/>
    <n v="1750"/>
    <n v="0"/>
    <m/>
    <x v="30"/>
  </r>
  <r>
    <x v="64"/>
    <s v="rom_fact_separatist_rhurim"/>
    <n v="0"/>
    <x v="11"/>
    <n v="0"/>
    <n v="4000"/>
    <n v="1750"/>
    <n v="0"/>
    <m/>
    <x v="30"/>
  </r>
  <r>
    <x v="64"/>
    <s v="rom_fact_separatist_mahuds"/>
    <n v="0"/>
    <x v="11"/>
    <n v="0"/>
    <n v="4000"/>
    <n v="1750"/>
    <n v="0"/>
    <m/>
    <x v="30"/>
  </r>
  <r>
    <x v="64"/>
    <s v="rom_fact_separatist_umbar"/>
    <n v="0"/>
    <x v="11"/>
    <n v="0"/>
    <n v="4000"/>
    <n v="1750"/>
    <n v="0"/>
    <m/>
    <x v="30"/>
  </r>
  <r>
    <x v="65"/>
    <s v="rom_fact_mordor"/>
    <n v="242"/>
    <x v="30"/>
    <n v="245.3"/>
    <n v="9617"/>
    <n v="27708"/>
    <n v="1393"/>
    <m/>
    <x v="0"/>
  </r>
  <r>
    <x v="65"/>
    <s v="rom_fact_gondor"/>
    <n v="146"/>
    <x v="11"/>
    <n v="0"/>
    <n v="55420"/>
    <n v="2500"/>
    <n v="0"/>
    <m/>
    <x v="1"/>
  </r>
  <r>
    <x v="65"/>
    <s v="rom_fact_dale"/>
    <n v="170"/>
    <x v="3"/>
    <n v="82.6"/>
    <n v="12996"/>
    <n v="13211"/>
    <n v="261"/>
    <m/>
    <x v="2"/>
  </r>
  <r>
    <x v="65"/>
    <s v="rom_fact_erebor"/>
    <n v="170"/>
    <x v="3"/>
    <n v="34"/>
    <n v="23148"/>
    <n v="11121"/>
    <n v="422"/>
    <m/>
    <x v="3"/>
  </r>
  <r>
    <x v="65"/>
    <s v="rom_fact_rohan"/>
    <n v="157"/>
    <x v="11"/>
    <n v="0"/>
    <n v="6638"/>
    <n v="2500"/>
    <n v="0"/>
    <m/>
    <x v="4"/>
  </r>
  <r>
    <x v="65"/>
    <s v="rom_fact_dol_guldur"/>
    <n v="198"/>
    <x v="4"/>
    <n v="224.3"/>
    <n v="20442"/>
    <n v="29245"/>
    <n v="1528"/>
    <m/>
    <x v="5"/>
  </r>
  <r>
    <x v="65"/>
    <s v="rom_fact_anduin_vale"/>
    <n v="58"/>
    <x v="11"/>
    <n v="0"/>
    <n v="4515"/>
    <n v="2500"/>
    <n v="0"/>
    <m/>
    <x v="6"/>
  </r>
  <r>
    <x v="65"/>
    <s v="rom_fact_isengard"/>
    <n v="219"/>
    <x v="12"/>
    <n v="137.6"/>
    <n v="19606"/>
    <n v="21879"/>
    <n v="1192"/>
    <m/>
    <x v="7"/>
  </r>
  <r>
    <x v="65"/>
    <s v="rom_fact_woodland_realm"/>
    <n v="30"/>
    <x v="11"/>
    <n v="0"/>
    <n v="8475"/>
    <n v="2500"/>
    <n v="0"/>
    <m/>
    <x v="8"/>
  </r>
  <r>
    <x v="65"/>
    <s v="rom_fact_lothlorien"/>
    <n v="64"/>
    <x v="11"/>
    <n v="0"/>
    <n v="4721"/>
    <n v="2500"/>
    <n v="0"/>
    <m/>
    <x v="9"/>
  </r>
  <r>
    <x v="65"/>
    <s v="rom_fact_khand"/>
    <n v="0"/>
    <x v="11"/>
    <n v="0"/>
    <n v="4919"/>
    <n v="1750"/>
    <n v="0"/>
    <m/>
    <x v="10"/>
  </r>
  <r>
    <x v="65"/>
    <s v="rom_fact_umbar"/>
    <n v="11"/>
    <x v="12"/>
    <n v="129"/>
    <n v="33921"/>
    <n v="24347"/>
    <n v="1659"/>
    <m/>
    <x v="11"/>
  </r>
  <r>
    <x v="65"/>
    <s v="rom_fact_mahuds"/>
    <n v="4"/>
    <x v="10"/>
    <n v="44"/>
    <n v="5802"/>
    <n v="7281"/>
    <n v="0"/>
    <m/>
    <x v="12"/>
  </r>
  <r>
    <x v="65"/>
    <s v="rom_fact_harad"/>
    <n v="118"/>
    <x v="5"/>
    <n v="109"/>
    <n v="32354"/>
    <n v="13552"/>
    <n v="0"/>
    <m/>
    <x v="13"/>
  </r>
  <r>
    <x v="65"/>
    <s v="rom_fact_dunland"/>
    <n v="138"/>
    <x v="2"/>
    <n v="185"/>
    <n v="43514"/>
    <n v="31309"/>
    <n v="2206"/>
    <m/>
    <x v="14"/>
  </r>
  <r>
    <x v="65"/>
    <s v="rom_fact_haerrim"/>
    <n v="0"/>
    <x v="11"/>
    <n v="0"/>
    <n v="5352"/>
    <n v="1750"/>
    <n v="0"/>
    <m/>
    <x v="15"/>
  </r>
  <r>
    <x v="65"/>
    <s v="rom_fact_goblins"/>
    <n v="310"/>
    <x v="1"/>
    <n v="285.7"/>
    <n v="24706"/>
    <n v="36600"/>
    <n v="3130"/>
    <m/>
    <x v="16"/>
  </r>
  <r>
    <x v="65"/>
    <s v="rom_fact_balchoth"/>
    <n v="0"/>
    <x v="11"/>
    <n v="0"/>
    <n v="4872"/>
    <n v="1750"/>
    <n v="0"/>
    <m/>
    <x v="17"/>
  </r>
  <r>
    <x v="65"/>
    <s v="rom_fact_rhurim"/>
    <n v="216"/>
    <x v="23"/>
    <n v="402.8"/>
    <n v="60247"/>
    <n v="36155"/>
    <n v="0"/>
    <m/>
    <x v="18"/>
  </r>
  <r>
    <x v="65"/>
    <s v="rom_fact_feredrim"/>
    <n v="0"/>
    <x v="11"/>
    <n v="0"/>
    <n v="7360"/>
    <n v="1750"/>
    <n v="0"/>
    <m/>
    <x v="19"/>
  </r>
  <r>
    <x v="65"/>
    <s v="rom_fact_wainriders"/>
    <n v="0"/>
    <x v="11"/>
    <n v="0"/>
    <n v="6395"/>
    <n v="1750"/>
    <n v="0"/>
    <m/>
    <x v="20"/>
  </r>
  <r>
    <x v="65"/>
    <s v="rom_fact_blacklock"/>
    <n v="5"/>
    <x v="3"/>
    <n v="72"/>
    <n v="67749"/>
    <n v="15319"/>
    <n v="0"/>
    <m/>
    <x v="21"/>
  </r>
  <r>
    <x v="65"/>
    <s v="rom_fact_ironfist"/>
    <n v="4"/>
    <x v="10"/>
    <n v="41"/>
    <n v="54640"/>
    <n v="7911"/>
    <n v="0"/>
    <m/>
    <x v="22"/>
  </r>
  <r>
    <x v="65"/>
    <s v="rom_fact_gundabad"/>
    <n v="163"/>
    <x v="16"/>
    <n v="231.7"/>
    <n v="57412"/>
    <n v="28136"/>
    <n v="1211"/>
    <m/>
    <x v="23"/>
  </r>
  <r>
    <x v="65"/>
    <s v="rom_fact_rohan_scouts"/>
    <n v="0"/>
    <x v="11"/>
    <n v="3"/>
    <n v="76865"/>
    <n v="2379"/>
    <n v="0"/>
    <m/>
    <x v="24"/>
  </r>
  <r>
    <x v="65"/>
    <s v="rom_fact_northern_enedwaith"/>
    <n v="6"/>
    <x v="9"/>
    <n v="64"/>
    <n v="80739"/>
    <n v="13095"/>
    <n v="691"/>
    <m/>
    <x v="25"/>
  </r>
  <r>
    <x v="65"/>
    <s v="rom_fact_southern_enedwaith"/>
    <n v="0"/>
    <x v="11"/>
    <n v="0"/>
    <n v="54023"/>
    <n v="1750"/>
    <n v="0"/>
    <m/>
    <x v="26"/>
  </r>
  <r>
    <x v="65"/>
    <s v="rom_fact_druedain"/>
    <n v="0"/>
    <x v="11"/>
    <n v="0"/>
    <n v="32146"/>
    <n v="1750"/>
    <n v="0"/>
    <m/>
    <x v="27"/>
  </r>
  <r>
    <x v="65"/>
    <s v="rom_fact_harondor"/>
    <n v="0"/>
    <x v="11"/>
    <n v="0"/>
    <n v="15146"/>
    <n v="1750"/>
    <n v="0"/>
    <m/>
    <x v="28"/>
  </r>
  <r>
    <x v="65"/>
    <s v="rom_fact_southron_nomads"/>
    <n v="0"/>
    <x v="11"/>
    <n v="0"/>
    <n v="4000"/>
    <n v="1750"/>
    <n v="0"/>
    <m/>
    <x v="29"/>
  </r>
  <r>
    <x v="65"/>
    <s v="rom_fact_separatist_harad"/>
    <n v="0"/>
    <x v="11"/>
    <n v="0"/>
    <n v="4000"/>
    <n v="1750"/>
    <n v="0"/>
    <m/>
    <x v="30"/>
  </r>
  <r>
    <x v="65"/>
    <s v="rom_fact_separatist_khand"/>
    <n v="0"/>
    <x v="11"/>
    <n v="0"/>
    <n v="4000"/>
    <n v="1750"/>
    <n v="0"/>
    <m/>
    <x v="30"/>
  </r>
  <r>
    <x v="65"/>
    <s v="rom_fact_separatist_balchoth"/>
    <n v="0"/>
    <x v="11"/>
    <n v="0"/>
    <n v="4000"/>
    <n v="1750"/>
    <n v="0"/>
    <m/>
    <x v="30"/>
  </r>
  <r>
    <x v="65"/>
    <s v="rom_fact_separatist_feredrim"/>
    <n v="0"/>
    <x v="11"/>
    <n v="0"/>
    <n v="4000"/>
    <n v="1750"/>
    <n v="0"/>
    <m/>
    <x v="30"/>
  </r>
  <r>
    <x v="65"/>
    <s v="rom_fact_separatist_haerrim"/>
    <n v="0"/>
    <x v="11"/>
    <n v="0"/>
    <n v="4000"/>
    <n v="1750"/>
    <n v="0"/>
    <m/>
    <x v="30"/>
  </r>
  <r>
    <x v="65"/>
    <s v="rom_fact_separatist_wainriders"/>
    <n v="0"/>
    <x v="11"/>
    <n v="0"/>
    <n v="4000"/>
    <n v="1750"/>
    <n v="0"/>
    <m/>
    <x v="30"/>
  </r>
  <r>
    <x v="65"/>
    <s v="rom_fact_separatist_rhurim"/>
    <n v="0"/>
    <x v="11"/>
    <n v="0"/>
    <n v="4000"/>
    <n v="1750"/>
    <n v="0"/>
    <m/>
    <x v="30"/>
  </r>
  <r>
    <x v="65"/>
    <s v="rom_fact_separatist_mahuds"/>
    <n v="0"/>
    <x v="11"/>
    <n v="0"/>
    <n v="4000"/>
    <n v="1750"/>
    <n v="0"/>
    <m/>
    <x v="30"/>
  </r>
  <r>
    <x v="65"/>
    <s v="rom_fact_separatist_umbar"/>
    <n v="0"/>
    <x v="11"/>
    <n v="0"/>
    <n v="4000"/>
    <n v="1750"/>
    <n v="0"/>
    <m/>
    <x v="30"/>
  </r>
  <r>
    <x v="66"/>
    <s v="rom_fact_mordor"/>
    <n v="246"/>
    <x v="30"/>
    <n v="254.3"/>
    <n v="275"/>
    <n v="28286"/>
    <n v="2053"/>
    <m/>
    <x v="0"/>
  </r>
  <r>
    <x v="66"/>
    <s v="rom_fact_gondor"/>
    <n v="146"/>
    <x v="11"/>
    <n v="0"/>
    <n v="55420"/>
    <n v="2500"/>
    <n v="0"/>
    <m/>
    <x v="1"/>
  </r>
  <r>
    <x v="66"/>
    <s v="rom_fact_dale"/>
    <n v="170"/>
    <x v="3"/>
    <n v="59"/>
    <n v="12487"/>
    <n v="10491"/>
    <n v="265"/>
    <m/>
    <x v="2"/>
  </r>
  <r>
    <x v="66"/>
    <s v="rom_fact_erebor"/>
    <n v="170"/>
    <x v="3"/>
    <n v="32"/>
    <n v="26067"/>
    <n v="13104"/>
    <n v="425"/>
    <m/>
    <x v="3"/>
  </r>
  <r>
    <x v="66"/>
    <s v="rom_fact_rohan"/>
    <n v="157"/>
    <x v="11"/>
    <n v="0"/>
    <n v="6638"/>
    <n v="2500"/>
    <n v="0"/>
    <m/>
    <x v="4"/>
  </r>
  <r>
    <x v="66"/>
    <s v="rom_fact_dol_guldur"/>
    <n v="198"/>
    <x v="4"/>
    <n v="221.9"/>
    <n v="16886"/>
    <n v="29850"/>
    <n v="2158"/>
    <m/>
    <x v="5"/>
  </r>
  <r>
    <x v="66"/>
    <s v="rom_fact_anduin_vale"/>
    <n v="58"/>
    <x v="11"/>
    <n v="0"/>
    <n v="4515"/>
    <n v="2500"/>
    <n v="0"/>
    <m/>
    <x v="6"/>
  </r>
  <r>
    <x v="66"/>
    <s v="rom_fact_isengard"/>
    <n v="228"/>
    <x v="12"/>
    <n v="152.19999999999999"/>
    <n v="18028"/>
    <n v="22051"/>
    <n v="1249"/>
    <m/>
    <x v="7"/>
  </r>
  <r>
    <x v="66"/>
    <s v="rom_fact_woodland_realm"/>
    <n v="30"/>
    <x v="11"/>
    <n v="0"/>
    <n v="8475"/>
    <n v="2500"/>
    <n v="0"/>
    <m/>
    <x v="8"/>
  </r>
  <r>
    <x v="66"/>
    <s v="rom_fact_lothlorien"/>
    <n v="64"/>
    <x v="11"/>
    <n v="0"/>
    <n v="4721"/>
    <n v="2500"/>
    <n v="0"/>
    <m/>
    <x v="9"/>
  </r>
  <r>
    <x v="66"/>
    <s v="rom_fact_khand"/>
    <n v="0"/>
    <x v="11"/>
    <n v="0"/>
    <n v="4919"/>
    <n v="1750"/>
    <n v="0"/>
    <m/>
    <x v="10"/>
  </r>
  <r>
    <x v="66"/>
    <s v="rom_fact_umbar"/>
    <n v="11"/>
    <x v="12"/>
    <n v="132"/>
    <n v="29045"/>
    <n v="26102"/>
    <n v="1670"/>
    <m/>
    <x v="11"/>
  </r>
  <r>
    <x v="66"/>
    <s v="rom_fact_mahuds"/>
    <n v="3"/>
    <x v="7"/>
    <n v="36"/>
    <n v="4693"/>
    <n v="6140"/>
    <n v="0"/>
    <m/>
    <x v="12"/>
  </r>
  <r>
    <x v="66"/>
    <s v="rom_fact_harad"/>
    <n v="119"/>
    <x v="13"/>
    <n v="119"/>
    <n v="34948"/>
    <n v="14674"/>
    <n v="0"/>
    <m/>
    <x v="13"/>
  </r>
  <r>
    <x v="66"/>
    <s v="rom_fact_dunland"/>
    <n v="143"/>
    <x v="2"/>
    <n v="191"/>
    <n v="52836"/>
    <n v="31536"/>
    <n v="2218"/>
    <m/>
    <x v="14"/>
  </r>
  <r>
    <x v="66"/>
    <s v="rom_fact_haerrim"/>
    <n v="0"/>
    <x v="11"/>
    <n v="0"/>
    <n v="5352"/>
    <n v="1750"/>
    <n v="0"/>
    <m/>
    <x v="15"/>
  </r>
  <r>
    <x v="66"/>
    <s v="rom_fact_goblins"/>
    <n v="310"/>
    <x v="1"/>
    <n v="294.7"/>
    <n v="21941"/>
    <n v="37813"/>
    <n v="3255"/>
    <m/>
    <x v="16"/>
  </r>
  <r>
    <x v="66"/>
    <s v="rom_fact_balchoth"/>
    <n v="0"/>
    <x v="11"/>
    <n v="0"/>
    <n v="4872"/>
    <n v="1750"/>
    <n v="0"/>
    <m/>
    <x v="17"/>
  </r>
  <r>
    <x v="66"/>
    <s v="rom_fact_rhurim"/>
    <n v="213"/>
    <x v="22"/>
    <n v="412.2"/>
    <n v="59105"/>
    <n v="37930"/>
    <n v="1030"/>
    <m/>
    <x v="18"/>
  </r>
  <r>
    <x v="66"/>
    <s v="rom_fact_feredrim"/>
    <n v="0"/>
    <x v="11"/>
    <n v="0"/>
    <n v="7360"/>
    <n v="1750"/>
    <n v="0"/>
    <m/>
    <x v="19"/>
  </r>
  <r>
    <x v="66"/>
    <s v="rom_fact_wainriders"/>
    <n v="0"/>
    <x v="11"/>
    <n v="0"/>
    <n v="6395"/>
    <n v="1750"/>
    <n v="0"/>
    <m/>
    <x v="20"/>
  </r>
  <r>
    <x v="66"/>
    <s v="rom_fact_blacklock"/>
    <n v="7"/>
    <x v="9"/>
    <n v="73"/>
    <n v="64756"/>
    <n v="16473"/>
    <n v="0"/>
    <m/>
    <x v="21"/>
  </r>
  <r>
    <x v="66"/>
    <s v="rom_fact_ironfist"/>
    <n v="4"/>
    <x v="10"/>
    <n v="41"/>
    <n v="56895"/>
    <n v="7911"/>
    <n v="0"/>
    <m/>
    <x v="22"/>
  </r>
  <r>
    <x v="66"/>
    <s v="rom_fact_gundabad"/>
    <n v="163"/>
    <x v="16"/>
    <n v="218.6"/>
    <n v="59586"/>
    <n v="31055"/>
    <n v="1214"/>
    <m/>
    <x v="23"/>
  </r>
  <r>
    <x v="66"/>
    <s v="rom_fact_rohan_scouts"/>
    <n v="0"/>
    <x v="11"/>
    <n v="3"/>
    <n v="77986"/>
    <n v="2379"/>
    <n v="0"/>
    <m/>
    <x v="24"/>
  </r>
  <r>
    <x v="66"/>
    <s v="rom_fact_northern_enedwaith"/>
    <n v="6"/>
    <x v="9"/>
    <n v="67"/>
    <n v="83693"/>
    <n v="13570"/>
    <n v="691"/>
    <m/>
    <x v="25"/>
  </r>
  <r>
    <x v="66"/>
    <s v="rom_fact_southern_enedwaith"/>
    <n v="0"/>
    <x v="11"/>
    <n v="0"/>
    <n v="54023"/>
    <n v="1750"/>
    <n v="0"/>
    <m/>
    <x v="26"/>
  </r>
  <r>
    <x v="66"/>
    <s v="rom_fact_druedain"/>
    <n v="0"/>
    <x v="11"/>
    <n v="0"/>
    <n v="32146"/>
    <n v="1750"/>
    <n v="0"/>
    <m/>
    <x v="27"/>
  </r>
  <r>
    <x v="66"/>
    <s v="rom_fact_harondor"/>
    <n v="0"/>
    <x v="11"/>
    <n v="0"/>
    <n v="15146"/>
    <n v="1750"/>
    <n v="0"/>
    <m/>
    <x v="28"/>
  </r>
  <r>
    <x v="66"/>
    <s v="rom_fact_southron_nomads"/>
    <n v="0"/>
    <x v="11"/>
    <n v="0"/>
    <n v="4000"/>
    <n v="1750"/>
    <n v="0"/>
    <m/>
    <x v="29"/>
  </r>
  <r>
    <x v="66"/>
    <s v="rom_fact_separatist_harad"/>
    <n v="0"/>
    <x v="11"/>
    <n v="0"/>
    <n v="4000"/>
    <n v="1750"/>
    <n v="0"/>
    <m/>
    <x v="30"/>
  </r>
  <r>
    <x v="66"/>
    <s v="rom_fact_separatist_khand"/>
    <n v="0"/>
    <x v="11"/>
    <n v="0"/>
    <n v="4000"/>
    <n v="1750"/>
    <n v="0"/>
    <m/>
    <x v="30"/>
  </r>
  <r>
    <x v="66"/>
    <s v="rom_fact_separatist_balchoth"/>
    <n v="0"/>
    <x v="11"/>
    <n v="0"/>
    <n v="4000"/>
    <n v="1750"/>
    <n v="0"/>
    <m/>
    <x v="30"/>
  </r>
  <r>
    <x v="66"/>
    <s v="rom_fact_separatist_feredrim"/>
    <n v="0"/>
    <x v="11"/>
    <n v="0"/>
    <n v="4000"/>
    <n v="1750"/>
    <n v="0"/>
    <m/>
    <x v="30"/>
  </r>
  <r>
    <x v="66"/>
    <s v="rom_fact_separatist_haerrim"/>
    <n v="0"/>
    <x v="11"/>
    <n v="0"/>
    <n v="4000"/>
    <n v="1750"/>
    <n v="0"/>
    <m/>
    <x v="30"/>
  </r>
  <r>
    <x v="66"/>
    <s v="rom_fact_separatist_wainriders"/>
    <n v="0"/>
    <x v="11"/>
    <n v="0"/>
    <n v="4000"/>
    <n v="1750"/>
    <n v="0"/>
    <m/>
    <x v="30"/>
  </r>
  <r>
    <x v="66"/>
    <s v="rom_fact_separatist_rhurim"/>
    <n v="0"/>
    <x v="11"/>
    <n v="0"/>
    <n v="4000"/>
    <n v="1750"/>
    <n v="0"/>
    <m/>
    <x v="30"/>
  </r>
  <r>
    <x v="66"/>
    <s v="rom_fact_separatist_mahuds"/>
    <n v="0"/>
    <x v="11"/>
    <n v="0"/>
    <n v="4000"/>
    <n v="1750"/>
    <n v="0"/>
    <m/>
    <x v="30"/>
  </r>
  <r>
    <x v="66"/>
    <s v="rom_fact_separatist_umbar"/>
    <n v="0"/>
    <x v="11"/>
    <n v="0"/>
    <n v="4000"/>
    <n v="1750"/>
    <n v="0"/>
    <m/>
    <x v="30"/>
  </r>
  <r>
    <x v="67"/>
    <s v="rom_fact_mordor"/>
    <n v="254"/>
    <x v="30"/>
    <n v="257.3"/>
    <n v="931"/>
    <n v="29691"/>
    <n v="2061"/>
    <m/>
    <x v="0"/>
  </r>
  <r>
    <x v="67"/>
    <s v="rom_fact_gondor"/>
    <n v="146"/>
    <x v="11"/>
    <n v="0"/>
    <n v="55420"/>
    <n v="2500"/>
    <n v="0"/>
    <m/>
    <x v="1"/>
  </r>
  <r>
    <x v="67"/>
    <s v="rom_fact_dale"/>
    <n v="170"/>
    <x v="3"/>
    <n v="59"/>
    <n v="14284"/>
    <n v="11325"/>
    <n v="211"/>
    <m/>
    <x v="2"/>
  </r>
  <r>
    <x v="67"/>
    <s v="rom_fact_erebor"/>
    <n v="173"/>
    <x v="7"/>
    <n v="27.6"/>
    <n v="27474"/>
    <n v="9152"/>
    <n v="354"/>
    <m/>
    <x v="3"/>
  </r>
  <r>
    <x v="67"/>
    <s v="rom_fact_rohan"/>
    <n v="157"/>
    <x v="11"/>
    <n v="0"/>
    <n v="6638"/>
    <n v="2500"/>
    <n v="0"/>
    <m/>
    <x v="4"/>
  </r>
  <r>
    <x v="67"/>
    <s v="rom_fact_dol_guldur"/>
    <n v="198"/>
    <x v="4"/>
    <n v="222.9"/>
    <n v="18161"/>
    <n v="29698"/>
    <n v="2160"/>
    <m/>
    <x v="5"/>
  </r>
  <r>
    <x v="67"/>
    <s v="rom_fact_anduin_vale"/>
    <n v="58"/>
    <x v="11"/>
    <n v="0"/>
    <n v="4515"/>
    <n v="2500"/>
    <n v="0"/>
    <m/>
    <x v="6"/>
  </r>
  <r>
    <x v="67"/>
    <s v="rom_fact_isengard"/>
    <n v="228"/>
    <x v="12"/>
    <n v="155.1"/>
    <n v="17129"/>
    <n v="22506"/>
    <n v="1246"/>
    <m/>
    <x v="7"/>
  </r>
  <r>
    <x v="67"/>
    <s v="rom_fact_woodland_realm"/>
    <n v="30"/>
    <x v="11"/>
    <n v="0"/>
    <n v="8475"/>
    <n v="2500"/>
    <n v="0"/>
    <m/>
    <x v="8"/>
  </r>
  <r>
    <x v="67"/>
    <s v="rom_fact_lothlorien"/>
    <n v="64"/>
    <x v="11"/>
    <n v="0"/>
    <n v="4721"/>
    <n v="2500"/>
    <n v="0"/>
    <m/>
    <x v="9"/>
  </r>
  <r>
    <x v="67"/>
    <s v="rom_fact_khand"/>
    <n v="0"/>
    <x v="11"/>
    <n v="0"/>
    <n v="4919"/>
    <n v="1750"/>
    <n v="0"/>
    <m/>
    <x v="10"/>
  </r>
  <r>
    <x v="67"/>
    <s v="rom_fact_umbar"/>
    <n v="11"/>
    <x v="12"/>
    <n v="132"/>
    <n v="27901"/>
    <n v="26328"/>
    <n v="1756"/>
    <m/>
    <x v="11"/>
  </r>
  <r>
    <x v="67"/>
    <s v="rom_fact_mahuds"/>
    <n v="3"/>
    <x v="7"/>
    <n v="34.4"/>
    <n v="6292"/>
    <n v="5505"/>
    <n v="0"/>
    <m/>
    <x v="12"/>
  </r>
  <r>
    <x v="67"/>
    <s v="rom_fact_harad"/>
    <n v="119"/>
    <x v="13"/>
    <n v="120"/>
    <n v="34097"/>
    <n v="14346"/>
    <n v="0"/>
    <m/>
    <x v="13"/>
  </r>
  <r>
    <x v="67"/>
    <s v="rom_fact_dunland"/>
    <n v="143"/>
    <x v="2"/>
    <n v="191"/>
    <n v="62403"/>
    <n v="31684"/>
    <n v="2220"/>
    <m/>
    <x v="14"/>
  </r>
  <r>
    <x v="67"/>
    <s v="rom_fact_haerrim"/>
    <n v="0"/>
    <x v="11"/>
    <n v="0"/>
    <n v="5352"/>
    <n v="1750"/>
    <n v="0"/>
    <m/>
    <x v="15"/>
  </r>
  <r>
    <x v="67"/>
    <s v="rom_fact_goblins"/>
    <n v="314"/>
    <x v="1"/>
    <n v="303.7"/>
    <n v="20768"/>
    <n v="39133"/>
    <n v="3262"/>
    <m/>
    <x v="16"/>
  </r>
  <r>
    <x v="67"/>
    <s v="rom_fact_balchoth"/>
    <n v="0"/>
    <x v="11"/>
    <n v="0"/>
    <n v="4872"/>
    <n v="1750"/>
    <n v="0"/>
    <m/>
    <x v="17"/>
  </r>
  <r>
    <x v="67"/>
    <s v="rom_fact_rhurim"/>
    <n v="218"/>
    <x v="22"/>
    <n v="426.2"/>
    <n v="69190"/>
    <n v="38473"/>
    <n v="1034"/>
    <m/>
    <x v="18"/>
  </r>
  <r>
    <x v="67"/>
    <s v="rom_fact_feredrim"/>
    <n v="0"/>
    <x v="11"/>
    <n v="0"/>
    <n v="7360"/>
    <n v="1750"/>
    <n v="0"/>
    <m/>
    <x v="19"/>
  </r>
  <r>
    <x v="67"/>
    <s v="rom_fact_wainriders"/>
    <n v="0"/>
    <x v="11"/>
    <n v="0"/>
    <n v="6395"/>
    <n v="1750"/>
    <n v="0"/>
    <m/>
    <x v="20"/>
  </r>
  <r>
    <x v="67"/>
    <s v="rom_fact_blacklock"/>
    <n v="7"/>
    <x v="9"/>
    <n v="73"/>
    <n v="60636"/>
    <n v="16590"/>
    <n v="0"/>
    <m/>
    <x v="21"/>
  </r>
  <r>
    <x v="67"/>
    <s v="rom_fact_ironfist"/>
    <n v="4"/>
    <x v="10"/>
    <n v="41"/>
    <n v="59112"/>
    <n v="7873"/>
    <n v="0"/>
    <m/>
    <x v="22"/>
  </r>
  <r>
    <x v="67"/>
    <s v="rom_fact_gundabad"/>
    <n v="169"/>
    <x v="15"/>
    <n v="233.6"/>
    <n v="60486"/>
    <n v="33477"/>
    <n v="1342"/>
    <m/>
    <x v="23"/>
  </r>
  <r>
    <x v="67"/>
    <s v="rom_fact_rohan_scouts"/>
    <n v="0"/>
    <x v="11"/>
    <n v="3"/>
    <n v="79107"/>
    <n v="2379"/>
    <n v="0"/>
    <m/>
    <x v="24"/>
  </r>
  <r>
    <x v="67"/>
    <s v="rom_fact_northern_enedwaith"/>
    <n v="6"/>
    <x v="9"/>
    <n v="68"/>
    <n v="84391"/>
    <n v="13639"/>
    <n v="691"/>
    <m/>
    <x v="25"/>
  </r>
  <r>
    <x v="67"/>
    <s v="rom_fact_southern_enedwaith"/>
    <n v="0"/>
    <x v="11"/>
    <n v="0"/>
    <n v="54023"/>
    <n v="1750"/>
    <n v="0"/>
    <m/>
    <x v="26"/>
  </r>
  <r>
    <x v="67"/>
    <s v="rom_fact_druedain"/>
    <n v="0"/>
    <x v="11"/>
    <n v="0"/>
    <n v="32146"/>
    <n v="1750"/>
    <n v="0"/>
    <m/>
    <x v="27"/>
  </r>
  <r>
    <x v="67"/>
    <s v="rom_fact_harondor"/>
    <n v="0"/>
    <x v="11"/>
    <n v="0"/>
    <n v="15146"/>
    <n v="1750"/>
    <n v="0"/>
    <m/>
    <x v="28"/>
  </r>
  <r>
    <x v="67"/>
    <s v="rom_fact_southron_nomads"/>
    <n v="0"/>
    <x v="11"/>
    <n v="0"/>
    <n v="4000"/>
    <n v="1750"/>
    <n v="0"/>
    <m/>
    <x v="29"/>
  </r>
  <r>
    <x v="67"/>
    <s v="rom_fact_separatist_harad"/>
    <n v="0"/>
    <x v="11"/>
    <n v="0"/>
    <n v="4000"/>
    <n v="1750"/>
    <n v="0"/>
    <m/>
    <x v="30"/>
  </r>
  <r>
    <x v="67"/>
    <s v="rom_fact_separatist_khand"/>
    <n v="0"/>
    <x v="11"/>
    <n v="0"/>
    <n v="4000"/>
    <n v="1750"/>
    <n v="0"/>
    <m/>
    <x v="30"/>
  </r>
  <r>
    <x v="67"/>
    <s v="rom_fact_separatist_balchoth"/>
    <n v="0"/>
    <x v="11"/>
    <n v="0"/>
    <n v="4000"/>
    <n v="1750"/>
    <n v="0"/>
    <m/>
    <x v="30"/>
  </r>
  <r>
    <x v="67"/>
    <s v="rom_fact_separatist_feredrim"/>
    <n v="0"/>
    <x v="11"/>
    <n v="0"/>
    <n v="4000"/>
    <n v="1750"/>
    <n v="0"/>
    <m/>
    <x v="30"/>
  </r>
  <r>
    <x v="67"/>
    <s v="rom_fact_separatist_haerrim"/>
    <n v="0"/>
    <x v="11"/>
    <n v="0"/>
    <n v="4000"/>
    <n v="1750"/>
    <n v="0"/>
    <m/>
    <x v="30"/>
  </r>
  <r>
    <x v="67"/>
    <s v="rom_fact_separatist_wainriders"/>
    <n v="0"/>
    <x v="11"/>
    <n v="0"/>
    <n v="4000"/>
    <n v="1750"/>
    <n v="0"/>
    <m/>
    <x v="30"/>
  </r>
  <r>
    <x v="67"/>
    <s v="rom_fact_separatist_rhurim"/>
    <n v="0"/>
    <x v="11"/>
    <n v="0"/>
    <n v="4000"/>
    <n v="1750"/>
    <n v="0"/>
    <m/>
    <x v="30"/>
  </r>
  <r>
    <x v="67"/>
    <s v="rom_fact_separatist_mahuds"/>
    <n v="0"/>
    <x v="11"/>
    <n v="0"/>
    <n v="4000"/>
    <n v="1750"/>
    <n v="0"/>
    <m/>
    <x v="30"/>
  </r>
  <r>
    <x v="67"/>
    <s v="rom_fact_separatist_umbar"/>
    <n v="0"/>
    <x v="11"/>
    <n v="0"/>
    <n v="4000"/>
    <n v="1750"/>
    <n v="0"/>
    <m/>
    <x v="30"/>
  </r>
  <r>
    <x v="68"/>
    <s v="rom_fact_mordor"/>
    <n v="259"/>
    <x v="30"/>
    <n v="257.3"/>
    <n v="3371"/>
    <n v="30300"/>
    <n v="2078"/>
    <m/>
    <x v="0"/>
  </r>
  <r>
    <x v="68"/>
    <s v="rom_fact_gondor"/>
    <n v="146"/>
    <x v="11"/>
    <n v="0"/>
    <n v="55420"/>
    <n v="2500"/>
    <n v="0"/>
    <m/>
    <x v="1"/>
  </r>
  <r>
    <x v="68"/>
    <s v="rom_fact_dale"/>
    <n v="174"/>
    <x v="10"/>
    <n v="65"/>
    <n v="8378"/>
    <n v="11080"/>
    <n v="166"/>
    <m/>
    <x v="2"/>
  </r>
  <r>
    <x v="68"/>
    <s v="rom_fact_erebor"/>
    <n v="193"/>
    <x v="7"/>
    <n v="35.5"/>
    <n v="25385"/>
    <n v="10889"/>
    <n v="350"/>
    <m/>
    <x v="3"/>
  </r>
  <r>
    <x v="68"/>
    <s v="rom_fact_rohan"/>
    <n v="157"/>
    <x v="11"/>
    <n v="0"/>
    <n v="6638"/>
    <n v="2500"/>
    <n v="0"/>
    <m/>
    <x v="4"/>
  </r>
  <r>
    <x v="68"/>
    <s v="rom_fact_dol_guldur"/>
    <n v="198"/>
    <x v="4"/>
    <n v="221.9"/>
    <n v="23083"/>
    <n v="29658"/>
    <n v="2170"/>
    <m/>
    <x v="5"/>
  </r>
  <r>
    <x v="68"/>
    <s v="rom_fact_anduin_vale"/>
    <n v="58"/>
    <x v="11"/>
    <n v="0"/>
    <n v="4515"/>
    <n v="2500"/>
    <n v="0"/>
    <m/>
    <x v="6"/>
  </r>
  <r>
    <x v="68"/>
    <s v="rom_fact_isengard"/>
    <n v="228"/>
    <x v="12"/>
    <n v="160.1"/>
    <n v="17754"/>
    <n v="21621"/>
    <n v="1245"/>
    <m/>
    <x v="7"/>
  </r>
  <r>
    <x v="68"/>
    <s v="rom_fact_woodland_realm"/>
    <n v="30"/>
    <x v="11"/>
    <n v="0"/>
    <n v="8475"/>
    <n v="2500"/>
    <n v="0"/>
    <m/>
    <x v="8"/>
  </r>
  <r>
    <x v="68"/>
    <s v="rom_fact_lothlorien"/>
    <n v="64"/>
    <x v="11"/>
    <n v="0"/>
    <n v="4721"/>
    <n v="2500"/>
    <n v="0"/>
    <m/>
    <x v="9"/>
  </r>
  <r>
    <x v="68"/>
    <s v="rom_fact_khand"/>
    <n v="0"/>
    <x v="11"/>
    <n v="0"/>
    <n v="4919"/>
    <n v="1750"/>
    <n v="0"/>
    <m/>
    <x v="10"/>
  </r>
  <r>
    <x v="68"/>
    <s v="rom_fact_umbar"/>
    <n v="11"/>
    <x v="12"/>
    <n v="138"/>
    <n v="33335"/>
    <n v="26832"/>
    <n v="2038"/>
    <m/>
    <x v="11"/>
  </r>
  <r>
    <x v="68"/>
    <s v="rom_fact_mahuds"/>
    <n v="3"/>
    <x v="7"/>
    <n v="30.2"/>
    <n v="6033"/>
    <n v="5213"/>
    <n v="0"/>
    <m/>
    <x v="12"/>
  </r>
  <r>
    <x v="68"/>
    <s v="rom_fact_harad"/>
    <n v="124"/>
    <x v="13"/>
    <n v="120"/>
    <n v="22709"/>
    <n v="15984"/>
    <n v="432"/>
    <m/>
    <x v="13"/>
  </r>
  <r>
    <x v="68"/>
    <s v="rom_fact_dunland"/>
    <n v="143"/>
    <x v="2"/>
    <n v="191"/>
    <n v="72457"/>
    <n v="30514"/>
    <n v="2225"/>
    <m/>
    <x v="14"/>
  </r>
  <r>
    <x v="68"/>
    <s v="rom_fact_haerrim"/>
    <n v="0"/>
    <x v="11"/>
    <n v="0"/>
    <n v="5352"/>
    <n v="1750"/>
    <n v="0"/>
    <m/>
    <x v="15"/>
  </r>
  <r>
    <x v="68"/>
    <s v="rom_fact_goblins"/>
    <n v="334"/>
    <x v="1"/>
    <n v="314.7"/>
    <n v="21253"/>
    <n v="40451"/>
    <n v="3270"/>
    <m/>
    <x v="16"/>
  </r>
  <r>
    <x v="68"/>
    <s v="rom_fact_balchoth"/>
    <n v="0"/>
    <x v="11"/>
    <n v="0"/>
    <n v="4872"/>
    <n v="1750"/>
    <n v="0"/>
    <m/>
    <x v="17"/>
  </r>
  <r>
    <x v="68"/>
    <s v="rom_fact_rhurim"/>
    <n v="218"/>
    <x v="22"/>
    <n v="435.2"/>
    <n v="83125"/>
    <n v="39233"/>
    <n v="1037"/>
    <m/>
    <x v="18"/>
  </r>
  <r>
    <x v="68"/>
    <s v="rom_fact_feredrim"/>
    <n v="0"/>
    <x v="11"/>
    <n v="0"/>
    <n v="7360"/>
    <n v="1750"/>
    <n v="0"/>
    <m/>
    <x v="19"/>
  </r>
  <r>
    <x v="68"/>
    <s v="rom_fact_wainriders"/>
    <n v="0"/>
    <x v="11"/>
    <n v="0"/>
    <n v="6395"/>
    <n v="1750"/>
    <n v="0"/>
    <m/>
    <x v="20"/>
  </r>
  <r>
    <x v="68"/>
    <s v="rom_fact_blacklock"/>
    <n v="7"/>
    <x v="9"/>
    <n v="73"/>
    <n v="61934"/>
    <n v="16482"/>
    <n v="0"/>
    <m/>
    <x v="21"/>
  </r>
  <r>
    <x v="68"/>
    <s v="rom_fact_ironfist"/>
    <n v="4"/>
    <x v="10"/>
    <n v="41"/>
    <n v="50529"/>
    <n v="7873"/>
    <n v="0"/>
    <m/>
    <x v="22"/>
  </r>
  <r>
    <x v="68"/>
    <s v="rom_fact_gundabad"/>
    <n v="170"/>
    <x v="14"/>
    <n v="231.6"/>
    <n v="45148"/>
    <n v="36250"/>
    <n v="1796"/>
    <m/>
    <x v="23"/>
  </r>
  <r>
    <x v="68"/>
    <s v="rom_fact_rohan_scouts"/>
    <n v="0"/>
    <x v="11"/>
    <n v="3"/>
    <n v="80228"/>
    <n v="2379"/>
    <n v="0"/>
    <m/>
    <x v="24"/>
  </r>
  <r>
    <x v="68"/>
    <s v="rom_fact_northern_enedwaith"/>
    <n v="6"/>
    <x v="9"/>
    <n v="71"/>
    <n v="86942"/>
    <n v="14128"/>
    <n v="695"/>
    <m/>
    <x v="25"/>
  </r>
  <r>
    <x v="68"/>
    <s v="rom_fact_southern_enedwaith"/>
    <n v="0"/>
    <x v="11"/>
    <n v="0"/>
    <n v="54023"/>
    <n v="1750"/>
    <n v="0"/>
    <m/>
    <x v="26"/>
  </r>
  <r>
    <x v="68"/>
    <s v="rom_fact_druedain"/>
    <n v="0"/>
    <x v="11"/>
    <n v="0"/>
    <n v="32146"/>
    <n v="1750"/>
    <n v="0"/>
    <m/>
    <x v="27"/>
  </r>
  <r>
    <x v="68"/>
    <s v="rom_fact_harondor"/>
    <n v="0"/>
    <x v="11"/>
    <n v="0"/>
    <n v="15146"/>
    <n v="1750"/>
    <n v="0"/>
    <m/>
    <x v="28"/>
  </r>
  <r>
    <x v="68"/>
    <s v="rom_fact_southron_nomads"/>
    <n v="0"/>
    <x v="11"/>
    <n v="0"/>
    <n v="4000"/>
    <n v="1750"/>
    <n v="0"/>
    <m/>
    <x v="29"/>
  </r>
  <r>
    <x v="68"/>
    <s v="rom_fact_separatist_harad"/>
    <n v="0"/>
    <x v="11"/>
    <n v="0"/>
    <n v="4000"/>
    <n v="1750"/>
    <n v="0"/>
    <m/>
    <x v="30"/>
  </r>
  <r>
    <x v="68"/>
    <s v="rom_fact_separatist_khand"/>
    <n v="0"/>
    <x v="11"/>
    <n v="0"/>
    <n v="4000"/>
    <n v="1750"/>
    <n v="0"/>
    <m/>
    <x v="30"/>
  </r>
  <r>
    <x v="68"/>
    <s v="rom_fact_separatist_balchoth"/>
    <n v="0"/>
    <x v="11"/>
    <n v="0"/>
    <n v="4000"/>
    <n v="1750"/>
    <n v="0"/>
    <m/>
    <x v="30"/>
  </r>
  <r>
    <x v="68"/>
    <s v="rom_fact_separatist_feredrim"/>
    <n v="0"/>
    <x v="11"/>
    <n v="0"/>
    <n v="4000"/>
    <n v="1750"/>
    <n v="0"/>
    <m/>
    <x v="30"/>
  </r>
  <r>
    <x v="68"/>
    <s v="rom_fact_separatist_haerrim"/>
    <n v="0"/>
    <x v="11"/>
    <n v="0"/>
    <n v="4000"/>
    <n v="1750"/>
    <n v="0"/>
    <m/>
    <x v="30"/>
  </r>
  <r>
    <x v="68"/>
    <s v="rom_fact_separatist_wainriders"/>
    <n v="0"/>
    <x v="11"/>
    <n v="0"/>
    <n v="4000"/>
    <n v="1750"/>
    <n v="0"/>
    <m/>
    <x v="30"/>
  </r>
  <r>
    <x v="68"/>
    <s v="rom_fact_separatist_rhurim"/>
    <n v="0"/>
    <x v="11"/>
    <n v="0"/>
    <n v="4000"/>
    <n v="1750"/>
    <n v="0"/>
    <m/>
    <x v="30"/>
  </r>
  <r>
    <x v="68"/>
    <s v="rom_fact_separatist_mahuds"/>
    <n v="0"/>
    <x v="11"/>
    <n v="0"/>
    <n v="4000"/>
    <n v="1750"/>
    <n v="0"/>
    <m/>
    <x v="30"/>
  </r>
  <r>
    <x v="68"/>
    <s v="rom_fact_separatist_umbar"/>
    <n v="0"/>
    <x v="11"/>
    <n v="0"/>
    <n v="4000"/>
    <n v="1750"/>
    <n v="0"/>
    <m/>
    <x v="30"/>
  </r>
  <r>
    <x v="69"/>
    <s v="rom_fact_mordor"/>
    <n v="259"/>
    <x v="30"/>
    <n v="258.3"/>
    <n v="3841"/>
    <n v="30286"/>
    <n v="2078"/>
    <m/>
    <x v="0"/>
  </r>
  <r>
    <x v="69"/>
    <s v="rom_fact_gondor"/>
    <n v="146"/>
    <x v="11"/>
    <n v="0"/>
    <n v="55420"/>
    <n v="2500"/>
    <n v="0"/>
    <m/>
    <x v="1"/>
  </r>
  <r>
    <x v="69"/>
    <s v="rom_fact_dale"/>
    <n v="174"/>
    <x v="10"/>
    <n v="69"/>
    <n v="9000"/>
    <n v="11310"/>
    <n v="161"/>
    <m/>
    <x v="2"/>
  </r>
  <r>
    <x v="69"/>
    <s v="rom_fact_erebor"/>
    <n v="193"/>
    <x v="7"/>
    <n v="40"/>
    <n v="27045"/>
    <n v="11858"/>
    <n v="346"/>
    <m/>
    <x v="3"/>
  </r>
  <r>
    <x v="69"/>
    <s v="rom_fact_rohan"/>
    <n v="157"/>
    <x v="11"/>
    <n v="0"/>
    <n v="6638"/>
    <n v="2500"/>
    <n v="0"/>
    <m/>
    <x v="4"/>
  </r>
  <r>
    <x v="69"/>
    <s v="rom_fact_dol_guldur"/>
    <n v="203"/>
    <x v="4"/>
    <n v="221.9"/>
    <n v="24284"/>
    <n v="29503"/>
    <n v="2162"/>
    <m/>
    <x v="5"/>
  </r>
  <r>
    <x v="69"/>
    <s v="rom_fact_anduin_vale"/>
    <n v="58"/>
    <x v="11"/>
    <n v="0"/>
    <n v="4515"/>
    <n v="2500"/>
    <n v="0"/>
    <m/>
    <x v="6"/>
  </r>
  <r>
    <x v="69"/>
    <s v="rom_fact_isengard"/>
    <n v="228"/>
    <x v="12"/>
    <n v="165.1"/>
    <n v="15826"/>
    <n v="22031"/>
    <n v="1247"/>
    <m/>
    <x v="7"/>
  </r>
  <r>
    <x v="69"/>
    <s v="rom_fact_woodland_realm"/>
    <n v="30"/>
    <x v="11"/>
    <n v="0"/>
    <n v="8475"/>
    <n v="2500"/>
    <n v="0"/>
    <m/>
    <x v="8"/>
  </r>
  <r>
    <x v="69"/>
    <s v="rom_fact_lothlorien"/>
    <n v="64"/>
    <x v="11"/>
    <n v="0"/>
    <n v="4721"/>
    <n v="2500"/>
    <n v="0"/>
    <m/>
    <x v="9"/>
  </r>
  <r>
    <x v="69"/>
    <s v="rom_fact_khand"/>
    <n v="0"/>
    <x v="11"/>
    <n v="0"/>
    <n v="4919"/>
    <n v="1750"/>
    <n v="0"/>
    <m/>
    <x v="10"/>
  </r>
  <r>
    <x v="69"/>
    <s v="rom_fact_umbar"/>
    <n v="11"/>
    <x v="12"/>
    <n v="140"/>
    <n v="36459"/>
    <n v="27432"/>
    <n v="2047"/>
    <m/>
    <x v="11"/>
  </r>
  <r>
    <x v="69"/>
    <s v="rom_fact_mahuds"/>
    <n v="3"/>
    <x v="7"/>
    <n v="28"/>
    <n v="6005"/>
    <n v="4657"/>
    <n v="0"/>
    <m/>
    <x v="12"/>
  </r>
  <r>
    <x v="69"/>
    <s v="rom_fact_harad"/>
    <n v="124"/>
    <x v="13"/>
    <n v="130"/>
    <n v="21600"/>
    <n v="15484"/>
    <n v="431"/>
    <m/>
    <x v="13"/>
  </r>
  <r>
    <x v="69"/>
    <s v="rom_fact_dunland"/>
    <n v="143"/>
    <x v="2"/>
    <n v="191"/>
    <n v="80641"/>
    <n v="30734"/>
    <n v="2234"/>
    <m/>
    <x v="14"/>
  </r>
  <r>
    <x v="69"/>
    <s v="rom_fact_haerrim"/>
    <n v="0"/>
    <x v="11"/>
    <n v="0"/>
    <n v="5352"/>
    <n v="1750"/>
    <n v="0"/>
    <m/>
    <x v="15"/>
  </r>
  <r>
    <x v="69"/>
    <s v="rom_fact_goblins"/>
    <n v="358"/>
    <x v="1"/>
    <n v="328.7"/>
    <n v="21388"/>
    <n v="40899"/>
    <n v="3278"/>
    <m/>
    <x v="16"/>
  </r>
  <r>
    <x v="69"/>
    <s v="rom_fact_balchoth"/>
    <n v="0"/>
    <x v="11"/>
    <n v="0"/>
    <n v="4872"/>
    <n v="1750"/>
    <n v="0"/>
    <m/>
    <x v="17"/>
  </r>
  <r>
    <x v="69"/>
    <s v="rom_fact_rhurim"/>
    <n v="218"/>
    <x v="22"/>
    <n v="397"/>
    <n v="99199"/>
    <n v="32233"/>
    <n v="1028"/>
    <m/>
    <x v="18"/>
  </r>
  <r>
    <x v="69"/>
    <s v="rom_fact_feredrim"/>
    <n v="0"/>
    <x v="11"/>
    <n v="0"/>
    <n v="7360"/>
    <n v="1750"/>
    <n v="0"/>
    <m/>
    <x v="19"/>
  </r>
  <r>
    <x v="69"/>
    <s v="rom_fact_wainriders"/>
    <n v="0"/>
    <x v="11"/>
    <n v="0"/>
    <n v="6395"/>
    <n v="1750"/>
    <n v="0"/>
    <m/>
    <x v="20"/>
  </r>
  <r>
    <x v="69"/>
    <s v="rom_fact_blacklock"/>
    <n v="7"/>
    <x v="9"/>
    <n v="73"/>
    <n v="60519"/>
    <n v="16401"/>
    <n v="0"/>
    <m/>
    <x v="21"/>
  </r>
  <r>
    <x v="69"/>
    <s v="rom_fact_ironfist"/>
    <n v="4"/>
    <x v="10"/>
    <n v="41"/>
    <n v="52746"/>
    <n v="7873"/>
    <n v="0"/>
    <m/>
    <x v="22"/>
  </r>
  <r>
    <x v="69"/>
    <s v="rom_fact_gundabad"/>
    <n v="175"/>
    <x v="14"/>
    <n v="229.2"/>
    <n v="37632"/>
    <n v="35088"/>
    <n v="1799"/>
    <m/>
    <x v="23"/>
  </r>
  <r>
    <x v="69"/>
    <s v="rom_fact_rohan_scouts"/>
    <n v="0"/>
    <x v="11"/>
    <n v="3"/>
    <n v="81349"/>
    <n v="2379"/>
    <n v="0"/>
    <m/>
    <x v="24"/>
  </r>
  <r>
    <x v="69"/>
    <s v="rom_fact_northern_enedwaith"/>
    <n v="6"/>
    <x v="9"/>
    <n v="71"/>
    <n v="87693"/>
    <n v="13954"/>
    <n v="695"/>
    <m/>
    <x v="25"/>
  </r>
  <r>
    <x v="69"/>
    <s v="rom_fact_southern_enedwaith"/>
    <n v="0"/>
    <x v="11"/>
    <n v="0"/>
    <n v="54023"/>
    <n v="1750"/>
    <n v="0"/>
    <m/>
    <x v="26"/>
  </r>
  <r>
    <x v="69"/>
    <s v="rom_fact_druedain"/>
    <n v="0"/>
    <x v="11"/>
    <n v="0"/>
    <n v="32146"/>
    <n v="1750"/>
    <n v="0"/>
    <m/>
    <x v="27"/>
  </r>
  <r>
    <x v="69"/>
    <s v="rom_fact_harondor"/>
    <n v="0"/>
    <x v="11"/>
    <n v="0"/>
    <n v="15146"/>
    <n v="1750"/>
    <n v="0"/>
    <m/>
    <x v="28"/>
  </r>
  <r>
    <x v="69"/>
    <s v="rom_fact_southron_nomads"/>
    <n v="0"/>
    <x v="11"/>
    <n v="0"/>
    <n v="4000"/>
    <n v="1750"/>
    <n v="0"/>
    <m/>
    <x v="29"/>
  </r>
  <r>
    <x v="69"/>
    <s v="rom_fact_separatist_harad"/>
    <n v="0"/>
    <x v="11"/>
    <n v="0"/>
    <n v="4000"/>
    <n v="1750"/>
    <n v="0"/>
    <m/>
    <x v="30"/>
  </r>
  <r>
    <x v="69"/>
    <s v="rom_fact_separatist_khand"/>
    <n v="0"/>
    <x v="11"/>
    <n v="0"/>
    <n v="4000"/>
    <n v="1750"/>
    <n v="0"/>
    <m/>
    <x v="30"/>
  </r>
  <r>
    <x v="69"/>
    <s v="rom_fact_separatist_balchoth"/>
    <n v="0"/>
    <x v="11"/>
    <n v="0"/>
    <n v="4000"/>
    <n v="1750"/>
    <n v="0"/>
    <m/>
    <x v="30"/>
  </r>
  <r>
    <x v="69"/>
    <s v="rom_fact_separatist_feredrim"/>
    <n v="0"/>
    <x v="11"/>
    <n v="0"/>
    <n v="4000"/>
    <n v="1750"/>
    <n v="0"/>
    <m/>
    <x v="30"/>
  </r>
  <r>
    <x v="69"/>
    <s v="rom_fact_separatist_haerrim"/>
    <n v="0"/>
    <x v="11"/>
    <n v="0"/>
    <n v="4000"/>
    <n v="1750"/>
    <n v="0"/>
    <m/>
    <x v="30"/>
  </r>
  <r>
    <x v="69"/>
    <s v="rom_fact_separatist_wainriders"/>
    <n v="0"/>
    <x v="11"/>
    <n v="0"/>
    <n v="4000"/>
    <n v="1750"/>
    <n v="0"/>
    <m/>
    <x v="30"/>
  </r>
  <r>
    <x v="69"/>
    <s v="rom_fact_separatist_rhurim"/>
    <n v="0"/>
    <x v="11"/>
    <n v="0"/>
    <n v="4000"/>
    <n v="1750"/>
    <n v="0"/>
    <m/>
    <x v="30"/>
  </r>
  <r>
    <x v="69"/>
    <s v="rom_fact_separatist_mahuds"/>
    <n v="0"/>
    <x v="11"/>
    <n v="0"/>
    <n v="4000"/>
    <n v="1750"/>
    <n v="0"/>
    <m/>
    <x v="30"/>
  </r>
  <r>
    <x v="69"/>
    <s v="rom_fact_separatist_umbar"/>
    <n v="0"/>
    <x v="11"/>
    <n v="0"/>
    <n v="4000"/>
    <n v="1750"/>
    <n v="0"/>
    <m/>
    <x v="30"/>
  </r>
  <r>
    <x v="70"/>
    <s v="rom_fact_mordor"/>
    <n v="259"/>
    <x v="30"/>
    <n v="258.3"/>
    <n v="14051"/>
    <n v="30341"/>
    <n v="2087"/>
    <m/>
    <x v="0"/>
  </r>
  <r>
    <x v="70"/>
    <s v="rom_fact_gondor"/>
    <n v="146"/>
    <x v="11"/>
    <n v="0"/>
    <n v="55420"/>
    <n v="2500"/>
    <n v="0"/>
    <m/>
    <x v="1"/>
  </r>
  <r>
    <x v="70"/>
    <s v="rom_fact_dale"/>
    <n v="175"/>
    <x v="3"/>
    <n v="71"/>
    <n v="8195"/>
    <n v="12542"/>
    <n v="169"/>
    <m/>
    <x v="2"/>
  </r>
  <r>
    <x v="70"/>
    <s v="rom_fact_erebor"/>
    <n v="193"/>
    <x v="7"/>
    <n v="42.8"/>
    <n v="29991"/>
    <n v="12019"/>
    <n v="353"/>
    <m/>
    <x v="3"/>
  </r>
  <r>
    <x v="70"/>
    <s v="rom_fact_rohan"/>
    <n v="157"/>
    <x v="11"/>
    <n v="0"/>
    <n v="6638"/>
    <n v="2500"/>
    <n v="0"/>
    <m/>
    <x v="4"/>
  </r>
  <r>
    <x v="70"/>
    <s v="rom_fact_dol_guldur"/>
    <n v="203"/>
    <x v="4"/>
    <n v="221.9"/>
    <n v="26279"/>
    <n v="30327"/>
    <n v="2170"/>
    <m/>
    <x v="5"/>
  </r>
  <r>
    <x v="70"/>
    <s v="rom_fact_anduin_vale"/>
    <n v="58"/>
    <x v="11"/>
    <n v="0"/>
    <n v="4515"/>
    <n v="2500"/>
    <n v="0"/>
    <m/>
    <x v="6"/>
  </r>
  <r>
    <x v="70"/>
    <s v="rom_fact_isengard"/>
    <n v="228"/>
    <x v="12"/>
    <n v="173.1"/>
    <n v="19335"/>
    <n v="22768"/>
    <n v="1253"/>
    <m/>
    <x v="7"/>
  </r>
  <r>
    <x v="70"/>
    <s v="rom_fact_woodland_realm"/>
    <n v="30"/>
    <x v="11"/>
    <n v="0"/>
    <n v="8475"/>
    <n v="2500"/>
    <n v="0"/>
    <m/>
    <x v="8"/>
  </r>
  <r>
    <x v="70"/>
    <s v="rom_fact_lothlorien"/>
    <n v="64"/>
    <x v="11"/>
    <n v="0"/>
    <n v="4721"/>
    <n v="2500"/>
    <n v="0"/>
    <m/>
    <x v="9"/>
  </r>
  <r>
    <x v="70"/>
    <s v="rom_fact_khand"/>
    <n v="0"/>
    <x v="11"/>
    <n v="0"/>
    <n v="4919"/>
    <n v="1750"/>
    <n v="0"/>
    <m/>
    <x v="10"/>
  </r>
  <r>
    <x v="70"/>
    <s v="rom_fact_umbar"/>
    <n v="11"/>
    <x v="12"/>
    <n v="143"/>
    <n v="36471"/>
    <n v="29227"/>
    <n v="2067"/>
    <m/>
    <x v="11"/>
  </r>
  <r>
    <x v="70"/>
    <s v="rom_fact_mahuds"/>
    <n v="3"/>
    <x v="7"/>
    <n v="27"/>
    <n v="6186"/>
    <n v="4773"/>
    <n v="0"/>
    <m/>
    <x v="12"/>
  </r>
  <r>
    <x v="70"/>
    <s v="rom_fact_harad"/>
    <n v="124"/>
    <x v="13"/>
    <n v="130"/>
    <n v="15100"/>
    <n v="16717"/>
    <n v="438"/>
    <m/>
    <x v="13"/>
  </r>
  <r>
    <x v="70"/>
    <s v="rom_fact_dunland"/>
    <n v="143"/>
    <x v="2"/>
    <n v="191"/>
    <n v="89997"/>
    <n v="30536"/>
    <n v="2242"/>
    <m/>
    <x v="14"/>
  </r>
  <r>
    <x v="70"/>
    <s v="rom_fact_haerrim"/>
    <n v="0"/>
    <x v="11"/>
    <n v="0"/>
    <n v="5352"/>
    <n v="1750"/>
    <n v="0"/>
    <m/>
    <x v="15"/>
  </r>
  <r>
    <x v="70"/>
    <s v="rom_fact_goblins"/>
    <n v="358"/>
    <x v="1"/>
    <n v="331.7"/>
    <n v="23717"/>
    <n v="41662"/>
    <n v="3283"/>
    <m/>
    <x v="16"/>
  </r>
  <r>
    <x v="70"/>
    <s v="rom_fact_balchoth"/>
    <n v="0"/>
    <x v="11"/>
    <n v="0"/>
    <n v="4872"/>
    <n v="1750"/>
    <n v="0"/>
    <m/>
    <x v="17"/>
  </r>
  <r>
    <x v="70"/>
    <s v="rom_fact_rhurim"/>
    <n v="217"/>
    <x v="24"/>
    <n v="384.5"/>
    <n v="144847"/>
    <n v="31149"/>
    <n v="1028"/>
    <m/>
    <x v="18"/>
  </r>
  <r>
    <x v="70"/>
    <s v="rom_fact_feredrim"/>
    <n v="0"/>
    <x v="11"/>
    <n v="0"/>
    <n v="7360"/>
    <n v="1750"/>
    <n v="0"/>
    <m/>
    <x v="19"/>
  </r>
  <r>
    <x v="70"/>
    <s v="rom_fact_wainriders"/>
    <n v="0"/>
    <x v="11"/>
    <n v="0"/>
    <n v="6395"/>
    <n v="1750"/>
    <n v="0"/>
    <m/>
    <x v="20"/>
  </r>
  <r>
    <x v="70"/>
    <s v="rom_fact_blacklock"/>
    <n v="7"/>
    <x v="9"/>
    <n v="73"/>
    <n v="60680"/>
    <n v="16696"/>
    <n v="0"/>
    <m/>
    <x v="21"/>
  </r>
  <r>
    <x v="70"/>
    <s v="rom_fact_ironfist"/>
    <n v="4"/>
    <x v="10"/>
    <n v="41"/>
    <n v="54063"/>
    <n v="7873"/>
    <n v="0"/>
    <m/>
    <x v="22"/>
  </r>
  <r>
    <x v="70"/>
    <s v="rom_fact_gundabad"/>
    <n v="175"/>
    <x v="14"/>
    <n v="221.6"/>
    <n v="36009"/>
    <n v="34301"/>
    <n v="1803"/>
    <m/>
    <x v="23"/>
  </r>
  <r>
    <x v="70"/>
    <s v="rom_fact_rohan_scouts"/>
    <n v="0"/>
    <x v="11"/>
    <n v="3"/>
    <n v="82470"/>
    <n v="2379"/>
    <n v="0"/>
    <m/>
    <x v="24"/>
  </r>
  <r>
    <x v="70"/>
    <s v="rom_fact_northern_enedwaith"/>
    <n v="6"/>
    <x v="9"/>
    <n v="74"/>
    <n v="89724"/>
    <n v="14481"/>
    <n v="695"/>
    <m/>
    <x v="25"/>
  </r>
  <r>
    <x v="70"/>
    <s v="rom_fact_southern_enedwaith"/>
    <n v="0"/>
    <x v="11"/>
    <n v="0"/>
    <n v="54023"/>
    <n v="1750"/>
    <n v="0"/>
    <m/>
    <x v="26"/>
  </r>
  <r>
    <x v="70"/>
    <s v="rom_fact_druedain"/>
    <n v="0"/>
    <x v="11"/>
    <n v="0"/>
    <n v="32146"/>
    <n v="1750"/>
    <n v="0"/>
    <m/>
    <x v="27"/>
  </r>
  <r>
    <x v="70"/>
    <s v="rom_fact_harondor"/>
    <n v="0"/>
    <x v="11"/>
    <n v="0"/>
    <n v="15146"/>
    <n v="1750"/>
    <n v="0"/>
    <m/>
    <x v="28"/>
  </r>
  <r>
    <x v="70"/>
    <s v="rom_fact_southron_nomads"/>
    <n v="0"/>
    <x v="11"/>
    <n v="0"/>
    <n v="4000"/>
    <n v="1750"/>
    <n v="0"/>
    <m/>
    <x v="29"/>
  </r>
  <r>
    <x v="70"/>
    <s v="rom_fact_separatist_harad"/>
    <n v="0"/>
    <x v="11"/>
    <n v="0"/>
    <n v="4000"/>
    <n v="1750"/>
    <n v="0"/>
    <m/>
    <x v="30"/>
  </r>
  <r>
    <x v="70"/>
    <s v="rom_fact_separatist_khand"/>
    <n v="0"/>
    <x v="11"/>
    <n v="0"/>
    <n v="4000"/>
    <n v="1750"/>
    <n v="0"/>
    <m/>
    <x v="30"/>
  </r>
  <r>
    <x v="70"/>
    <s v="rom_fact_separatist_balchoth"/>
    <n v="0"/>
    <x v="11"/>
    <n v="0"/>
    <n v="4000"/>
    <n v="1750"/>
    <n v="0"/>
    <m/>
    <x v="30"/>
  </r>
  <r>
    <x v="70"/>
    <s v="rom_fact_separatist_feredrim"/>
    <n v="0"/>
    <x v="11"/>
    <n v="0"/>
    <n v="4000"/>
    <n v="1750"/>
    <n v="0"/>
    <m/>
    <x v="30"/>
  </r>
  <r>
    <x v="70"/>
    <s v="rom_fact_separatist_haerrim"/>
    <n v="0"/>
    <x v="11"/>
    <n v="0"/>
    <n v="4000"/>
    <n v="1750"/>
    <n v="0"/>
    <m/>
    <x v="30"/>
  </r>
  <r>
    <x v="70"/>
    <s v="rom_fact_separatist_wainriders"/>
    <n v="0"/>
    <x v="11"/>
    <n v="0"/>
    <n v="4000"/>
    <n v="1750"/>
    <n v="0"/>
    <m/>
    <x v="30"/>
  </r>
  <r>
    <x v="70"/>
    <s v="rom_fact_separatist_rhurim"/>
    <n v="0"/>
    <x v="11"/>
    <n v="0"/>
    <n v="4000"/>
    <n v="1750"/>
    <n v="0"/>
    <m/>
    <x v="30"/>
  </r>
  <r>
    <x v="70"/>
    <s v="rom_fact_separatist_mahuds"/>
    <n v="0"/>
    <x v="11"/>
    <n v="0"/>
    <n v="4000"/>
    <n v="1750"/>
    <n v="0"/>
    <m/>
    <x v="30"/>
  </r>
  <r>
    <x v="70"/>
    <s v="rom_fact_separatist_umbar"/>
    <n v="0"/>
    <x v="11"/>
    <n v="0"/>
    <n v="4000"/>
    <n v="1750"/>
    <n v="0"/>
    <m/>
    <x v="30"/>
  </r>
  <r>
    <x v="71"/>
    <s v="rom_fact_mordor"/>
    <n v="268"/>
    <x v="30"/>
    <n v="259.3"/>
    <n v="10464"/>
    <n v="30594"/>
    <n v="2092"/>
    <m/>
    <x v="0"/>
  </r>
  <r>
    <x v="71"/>
    <s v="rom_fact_gondor"/>
    <n v="146"/>
    <x v="11"/>
    <n v="0"/>
    <n v="55420"/>
    <n v="2500"/>
    <n v="0"/>
    <m/>
    <x v="1"/>
  </r>
  <r>
    <x v="71"/>
    <s v="rom_fact_dale"/>
    <n v="175"/>
    <x v="3"/>
    <n v="39"/>
    <n v="12244"/>
    <n v="10723"/>
    <n v="168"/>
    <m/>
    <x v="2"/>
  </r>
  <r>
    <x v="71"/>
    <s v="rom_fact_erebor"/>
    <n v="198"/>
    <x v="7"/>
    <n v="46.4"/>
    <n v="32513"/>
    <n v="11847"/>
    <n v="352"/>
    <m/>
    <x v="3"/>
  </r>
  <r>
    <x v="71"/>
    <s v="rom_fact_rohan"/>
    <n v="157"/>
    <x v="11"/>
    <n v="0"/>
    <n v="6638"/>
    <n v="2500"/>
    <n v="0"/>
    <m/>
    <x v="4"/>
  </r>
  <r>
    <x v="71"/>
    <s v="rom_fact_dol_guldur"/>
    <n v="203"/>
    <x v="4"/>
    <n v="221.9"/>
    <n v="29882"/>
    <n v="29988"/>
    <n v="2185"/>
    <m/>
    <x v="5"/>
  </r>
  <r>
    <x v="71"/>
    <s v="rom_fact_anduin_vale"/>
    <n v="58"/>
    <x v="11"/>
    <n v="0"/>
    <n v="4515"/>
    <n v="2500"/>
    <n v="0"/>
    <m/>
    <x v="6"/>
  </r>
  <r>
    <x v="71"/>
    <s v="rom_fact_isengard"/>
    <n v="237"/>
    <x v="12"/>
    <n v="175.1"/>
    <n v="20643"/>
    <n v="23180"/>
    <n v="1257"/>
    <m/>
    <x v="7"/>
  </r>
  <r>
    <x v="71"/>
    <s v="rom_fact_woodland_realm"/>
    <n v="30"/>
    <x v="11"/>
    <n v="0"/>
    <n v="8475"/>
    <n v="2500"/>
    <n v="0"/>
    <m/>
    <x v="8"/>
  </r>
  <r>
    <x v="71"/>
    <s v="rom_fact_lothlorien"/>
    <n v="64"/>
    <x v="11"/>
    <n v="0"/>
    <n v="4721"/>
    <n v="2500"/>
    <n v="0"/>
    <m/>
    <x v="9"/>
  </r>
  <r>
    <x v="71"/>
    <s v="rom_fact_khand"/>
    <n v="0"/>
    <x v="11"/>
    <n v="0"/>
    <n v="4919"/>
    <n v="1750"/>
    <n v="0"/>
    <m/>
    <x v="10"/>
  </r>
  <r>
    <x v="71"/>
    <s v="rom_fact_umbar"/>
    <n v="11"/>
    <x v="12"/>
    <n v="149.4"/>
    <n v="38491"/>
    <n v="29711"/>
    <n v="2082"/>
    <m/>
    <x v="11"/>
  </r>
  <r>
    <x v="71"/>
    <s v="rom_fact_mahuds"/>
    <n v="0"/>
    <x v="11"/>
    <n v="11"/>
    <n v="6673"/>
    <n v="3013"/>
    <n v="0"/>
    <m/>
    <x v="12"/>
  </r>
  <r>
    <x v="71"/>
    <s v="rom_fact_harad"/>
    <n v="126"/>
    <x v="12"/>
    <n v="146"/>
    <n v="17627"/>
    <n v="17583"/>
    <n v="544"/>
    <m/>
    <x v="13"/>
  </r>
  <r>
    <x v="71"/>
    <s v="rom_fact_dunland"/>
    <n v="148"/>
    <x v="2"/>
    <n v="191"/>
    <n v="97527"/>
    <n v="31358"/>
    <n v="2254"/>
    <m/>
    <x v="14"/>
  </r>
  <r>
    <x v="71"/>
    <s v="rom_fact_haerrim"/>
    <n v="0"/>
    <x v="11"/>
    <n v="0"/>
    <n v="5352"/>
    <n v="1750"/>
    <n v="0"/>
    <m/>
    <x v="15"/>
  </r>
  <r>
    <x v="71"/>
    <s v="rom_fact_goblins"/>
    <n v="358"/>
    <x v="1"/>
    <n v="342.3"/>
    <n v="30098"/>
    <n v="43018"/>
    <n v="3286"/>
    <m/>
    <x v="16"/>
  </r>
  <r>
    <x v="71"/>
    <s v="rom_fact_balchoth"/>
    <n v="0"/>
    <x v="11"/>
    <n v="0"/>
    <n v="4872"/>
    <n v="1750"/>
    <n v="0"/>
    <m/>
    <x v="17"/>
  </r>
  <r>
    <x v="71"/>
    <s v="rom_fact_rhurim"/>
    <n v="220"/>
    <x v="22"/>
    <n v="402.2"/>
    <n v="158001"/>
    <n v="37338"/>
    <n v="1172"/>
    <m/>
    <x v="18"/>
  </r>
  <r>
    <x v="71"/>
    <s v="rom_fact_feredrim"/>
    <n v="0"/>
    <x v="11"/>
    <n v="0"/>
    <n v="7360"/>
    <n v="1750"/>
    <n v="0"/>
    <m/>
    <x v="19"/>
  </r>
  <r>
    <x v="71"/>
    <s v="rom_fact_wainriders"/>
    <n v="0"/>
    <x v="11"/>
    <n v="0"/>
    <n v="6395"/>
    <n v="1750"/>
    <n v="0"/>
    <m/>
    <x v="20"/>
  </r>
  <r>
    <x v="71"/>
    <s v="rom_fact_blacklock"/>
    <n v="5"/>
    <x v="3"/>
    <n v="72"/>
    <n v="61171"/>
    <n v="15196"/>
    <n v="0"/>
    <m/>
    <x v="21"/>
  </r>
  <r>
    <x v="71"/>
    <s v="rom_fact_ironfist"/>
    <n v="4"/>
    <x v="10"/>
    <n v="41"/>
    <n v="45271"/>
    <n v="7889"/>
    <n v="0"/>
    <m/>
    <x v="22"/>
  </r>
  <r>
    <x v="71"/>
    <s v="rom_fact_gundabad"/>
    <n v="175"/>
    <x v="14"/>
    <n v="220.6"/>
    <n v="49960"/>
    <n v="33766"/>
    <n v="1800"/>
    <m/>
    <x v="23"/>
  </r>
  <r>
    <x v="71"/>
    <s v="rom_fact_rohan_scouts"/>
    <n v="0"/>
    <x v="11"/>
    <n v="3"/>
    <n v="83591"/>
    <n v="2379"/>
    <n v="0"/>
    <m/>
    <x v="24"/>
  </r>
  <r>
    <x v="71"/>
    <s v="rom_fact_northern_enedwaith"/>
    <n v="6"/>
    <x v="9"/>
    <n v="74"/>
    <n v="90509"/>
    <n v="14512"/>
    <n v="701"/>
    <m/>
    <x v="25"/>
  </r>
  <r>
    <x v="71"/>
    <s v="rom_fact_southern_enedwaith"/>
    <n v="0"/>
    <x v="11"/>
    <n v="0"/>
    <n v="54023"/>
    <n v="1750"/>
    <n v="0"/>
    <m/>
    <x v="26"/>
  </r>
  <r>
    <x v="71"/>
    <s v="rom_fact_druedain"/>
    <n v="0"/>
    <x v="11"/>
    <n v="0"/>
    <n v="32146"/>
    <n v="1750"/>
    <n v="0"/>
    <m/>
    <x v="27"/>
  </r>
  <r>
    <x v="71"/>
    <s v="rom_fact_harondor"/>
    <n v="0"/>
    <x v="11"/>
    <n v="0"/>
    <n v="15146"/>
    <n v="1750"/>
    <n v="0"/>
    <m/>
    <x v="28"/>
  </r>
  <r>
    <x v="71"/>
    <s v="rom_fact_southron_nomads"/>
    <n v="0"/>
    <x v="11"/>
    <n v="0"/>
    <n v="4000"/>
    <n v="1750"/>
    <n v="0"/>
    <m/>
    <x v="29"/>
  </r>
  <r>
    <x v="71"/>
    <s v="rom_fact_separatist_harad"/>
    <n v="0"/>
    <x v="11"/>
    <n v="0"/>
    <n v="4000"/>
    <n v="1750"/>
    <n v="0"/>
    <m/>
    <x v="30"/>
  </r>
  <r>
    <x v="71"/>
    <s v="rom_fact_separatist_khand"/>
    <n v="0"/>
    <x v="11"/>
    <n v="0"/>
    <n v="4000"/>
    <n v="1750"/>
    <n v="0"/>
    <m/>
    <x v="30"/>
  </r>
  <r>
    <x v="71"/>
    <s v="rom_fact_separatist_balchoth"/>
    <n v="0"/>
    <x v="11"/>
    <n v="0"/>
    <n v="4000"/>
    <n v="1750"/>
    <n v="0"/>
    <m/>
    <x v="30"/>
  </r>
  <r>
    <x v="71"/>
    <s v="rom_fact_separatist_feredrim"/>
    <n v="0"/>
    <x v="11"/>
    <n v="0"/>
    <n v="4000"/>
    <n v="1750"/>
    <n v="0"/>
    <m/>
    <x v="30"/>
  </r>
  <r>
    <x v="71"/>
    <s v="rom_fact_separatist_haerrim"/>
    <n v="0"/>
    <x v="11"/>
    <n v="0"/>
    <n v="4000"/>
    <n v="1750"/>
    <n v="0"/>
    <m/>
    <x v="30"/>
  </r>
  <r>
    <x v="71"/>
    <s v="rom_fact_separatist_wainriders"/>
    <n v="0"/>
    <x v="11"/>
    <n v="0"/>
    <n v="4000"/>
    <n v="1750"/>
    <n v="0"/>
    <m/>
    <x v="30"/>
  </r>
  <r>
    <x v="71"/>
    <s v="rom_fact_separatist_rhurim"/>
    <n v="0"/>
    <x v="11"/>
    <n v="0"/>
    <n v="4000"/>
    <n v="1750"/>
    <n v="0"/>
    <m/>
    <x v="30"/>
  </r>
  <r>
    <x v="71"/>
    <s v="rom_fact_separatist_mahuds"/>
    <n v="0"/>
    <x v="11"/>
    <n v="0"/>
    <n v="4000"/>
    <n v="1750"/>
    <n v="0"/>
    <m/>
    <x v="30"/>
  </r>
  <r>
    <x v="71"/>
    <s v="rom_fact_separatist_umbar"/>
    <n v="0"/>
    <x v="11"/>
    <n v="0"/>
    <n v="4000"/>
    <n v="1750"/>
    <n v="0"/>
    <m/>
    <x v="30"/>
  </r>
  <r>
    <x v="72"/>
    <s v="rom_fact_mordor"/>
    <n v="268"/>
    <x v="30"/>
    <n v="263.3"/>
    <n v="12449"/>
    <n v="30731"/>
    <n v="2102"/>
    <m/>
    <x v="0"/>
  </r>
  <r>
    <x v="72"/>
    <s v="rom_fact_gondor"/>
    <n v="146"/>
    <x v="11"/>
    <n v="0"/>
    <n v="55420"/>
    <n v="2500"/>
    <n v="0"/>
    <m/>
    <x v="1"/>
  </r>
  <r>
    <x v="72"/>
    <s v="rom_fact_dale"/>
    <n v="180"/>
    <x v="3"/>
    <n v="55"/>
    <n v="15708"/>
    <n v="10755"/>
    <n v="0"/>
    <m/>
    <x v="2"/>
  </r>
  <r>
    <x v="72"/>
    <s v="rom_fact_erebor"/>
    <n v="198"/>
    <x v="7"/>
    <n v="21.599999999999898"/>
    <n v="29497"/>
    <n v="7699"/>
    <n v="0"/>
    <m/>
    <x v="3"/>
  </r>
  <r>
    <x v="72"/>
    <s v="rom_fact_rohan"/>
    <n v="157"/>
    <x v="11"/>
    <n v="0"/>
    <n v="6638"/>
    <n v="2500"/>
    <n v="0"/>
    <m/>
    <x v="4"/>
  </r>
  <r>
    <x v="72"/>
    <s v="rom_fact_dol_guldur"/>
    <n v="203"/>
    <x v="4"/>
    <n v="221.9"/>
    <n v="34275"/>
    <n v="30374"/>
    <n v="2291"/>
    <m/>
    <x v="5"/>
  </r>
  <r>
    <x v="72"/>
    <s v="rom_fact_anduin_vale"/>
    <n v="58"/>
    <x v="11"/>
    <n v="0"/>
    <n v="4515"/>
    <n v="2500"/>
    <n v="0"/>
    <m/>
    <x v="6"/>
  </r>
  <r>
    <x v="72"/>
    <s v="rom_fact_isengard"/>
    <n v="237"/>
    <x v="12"/>
    <n v="179"/>
    <n v="21045"/>
    <n v="23580"/>
    <n v="1257"/>
    <m/>
    <x v="7"/>
  </r>
  <r>
    <x v="72"/>
    <s v="rom_fact_woodland_realm"/>
    <n v="30"/>
    <x v="11"/>
    <n v="0"/>
    <n v="8475"/>
    <n v="2500"/>
    <n v="0"/>
    <m/>
    <x v="8"/>
  </r>
  <r>
    <x v="72"/>
    <s v="rom_fact_lothlorien"/>
    <n v="64"/>
    <x v="11"/>
    <n v="0"/>
    <n v="4721"/>
    <n v="2500"/>
    <n v="0"/>
    <m/>
    <x v="9"/>
  </r>
  <r>
    <x v="72"/>
    <s v="rom_fact_khand"/>
    <n v="0"/>
    <x v="11"/>
    <n v="0"/>
    <n v="4919"/>
    <n v="1750"/>
    <n v="0"/>
    <m/>
    <x v="10"/>
  </r>
  <r>
    <x v="72"/>
    <s v="rom_fact_umbar"/>
    <n v="11"/>
    <x v="12"/>
    <n v="153.4"/>
    <n v="42356"/>
    <n v="30373"/>
    <n v="2090"/>
    <m/>
    <x v="11"/>
  </r>
  <r>
    <x v="72"/>
    <s v="rom_fact_mahuds"/>
    <n v="0"/>
    <x v="11"/>
    <n v="8.8000000000000007"/>
    <n v="7542"/>
    <n v="2631"/>
    <n v="0"/>
    <m/>
    <x v="12"/>
  </r>
  <r>
    <x v="72"/>
    <s v="rom_fact_harad"/>
    <n v="131"/>
    <x v="12"/>
    <n v="141"/>
    <n v="14716"/>
    <n v="18572"/>
    <n v="547"/>
    <m/>
    <x v="13"/>
  </r>
  <r>
    <x v="72"/>
    <s v="rom_fact_dunland"/>
    <n v="148"/>
    <x v="2"/>
    <n v="191"/>
    <n v="104075"/>
    <n v="30764"/>
    <n v="2251"/>
    <m/>
    <x v="14"/>
  </r>
  <r>
    <x v="72"/>
    <s v="rom_fact_haerrim"/>
    <n v="0"/>
    <x v="11"/>
    <n v="0"/>
    <n v="5352"/>
    <n v="1750"/>
    <n v="0"/>
    <m/>
    <x v="15"/>
  </r>
  <r>
    <x v="72"/>
    <s v="rom_fact_goblins"/>
    <n v="358"/>
    <x v="1"/>
    <n v="344.6"/>
    <n v="35966"/>
    <n v="43380"/>
    <n v="3286"/>
    <m/>
    <x v="16"/>
  </r>
  <r>
    <x v="72"/>
    <s v="rom_fact_balchoth"/>
    <n v="0"/>
    <x v="11"/>
    <n v="0"/>
    <n v="4872"/>
    <n v="1750"/>
    <n v="0"/>
    <m/>
    <x v="17"/>
  </r>
  <r>
    <x v="72"/>
    <s v="rom_fact_rhurim"/>
    <n v="225"/>
    <x v="22"/>
    <n v="409.5"/>
    <n v="169390"/>
    <n v="38288"/>
    <n v="664"/>
    <m/>
    <x v="18"/>
  </r>
  <r>
    <x v="72"/>
    <s v="rom_fact_feredrim"/>
    <n v="0"/>
    <x v="11"/>
    <n v="0"/>
    <n v="7360"/>
    <n v="1750"/>
    <n v="0"/>
    <m/>
    <x v="19"/>
  </r>
  <r>
    <x v="72"/>
    <s v="rom_fact_wainriders"/>
    <n v="0"/>
    <x v="11"/>
    <n v="0"/>
    <n v="6395"/>
    <n v="1750"/>
    <n v="0"/>
    <m/>
    <x v="20"/>
  </r>
  <r>
    <x v="72"/>
    <s v="rom_fact_blacklock"/>
    <n v="5"/>
    <x v="3"/>
    <n v="72"/>
    <n v="61152"/>
    <n v="14697"/>
    <n v="0"/>
    <m/>
    <x v="21"/>
  </r>
  <r>
    <x v="72"/>
    <s v="rom_fact_ironfist"/>
    <n v="4"/>
    <x v="10"/>
    <n v="41"/>
    <n v="42104"/>
    <n v="7955"/>
    <n v="0"/>
    <m/>
    <x v="22"/>
  </r>
  <r>
    <x v="72"/>
    <s v="rom_fact_gundabad"/>
    <n v="175"/>
    <x v="14"/>
    <n v="226.4"/>
    <n v="68894"/>
    <n v="33237"/>
    <n v="1051"/>
    <m/>
    <x v="23"/>
  </r>
  <r>
    <x v="72"/>
    <s v="rom_fact_rohan_scouts"/>
    <n v="0"/>
    <x v="11"/>
    <n v="3"/>
    <n v="84712"/>
    <n v="2379"/>
    <n v="0"/>
    <m/>
    <x v="24"/>
  </r>
  <r>
    <x v="72"/>
    <s v="rom_fact_northern_enedwaith"/>
    <n v="6"/>
    <x v="9"/>
    <n v="75"/>
    <n v="91677"/>
    <n v="14610"/>
    <n v="702"/>
    <m/>
    <x v="25"/>
  </r>
  <r>
    <x v="72"/>
    <s v="rom_fact_southern_enedwaith"/>
    <n v="0"/>
    <x v="11"/>
    <n v="0"/>
    <n v="54023"/>
    <n v="1750"/>
    <n v="0"/>
    <m/>
    <x v="26"/>
  </r>
  <r>
    <x v="72"/>
    <s v="rom_fact_druedain"/>
    <n v="0"/>
    <x v="11"/>
    <n v="0"/>
    <n v="32146"/>
    <n v="1750"/>
    <n v="0"/>
    <m/>
    <x v="27"/>
  </r>
  <r>
    <x v="72"/>
    <s v="rom_fact_harondor"/>
    <n v="0"/>
    <x v="11"/>
    <n v="0"/>
    <n v="15146"/>
    <n v="1750"/>
    <n v="0"/>
    <m/>
    <x v="28"/>
  </r>
  <r>
    <x v="72"/>
    <s v="rom_fact_southron_nomads"/>
    <n v="0"/>
    <x v="11"/>
    <n v="0"/>
    <n v="4000"/>
    <n v="1750"/>
    <n v="0"/>
    <m/>
    <x v="29"/>
  </r>
  <r>
    <x v="72"/>
    <s v="rom_fact_separatist_harad"/>
    <n v="0"/>
    <x v="11"/>
    <n v="0"/>
    <n v="4000"/>
    <n v="1750"/>
    <n v="0"/>
    <m/>
    <x v="30"/>
  </r>
  <r>
    <x v="72"/>
    <s v="rom_fact_separatist_khand"/>
    <n v="0"/>
    <x v="11"/>
    <n v="0"/>
    <n v="4000"/>
    <n v="1750"/>
    <n v="0"/>
    <m/>
    <x v="30"/>
  </r>
  <r>
    <x v="72"/>
    <s v="rom_fact_separatist_balchoth"/>
    <n v="0"/>
    <x v="11"/>
    <n v="0"/>
    <n v="4000"/>
    <n v="1750"/>
    <n v="0"/>
    <m/>
    <x v="30"/>
  </r>
  <r>
    <x v="72"/>
    <s v="rom_fact_separatist_feredrim"/>
    <n v="0"/>
    <x v="11"/>
    <n v="0"/>
    <n v="4000"/>
    <n v="1750"/>
    <n v="0"/>
    <m/>
    <x v="30"/>
  </r>
  <r>
    <x v="72"/>
    <s v="rom_fact_separatist_haerrim"/>
    <n v="0"/>
    <x v="11"/>
    <n v="0"/>
    <n v="4000"/>
    <n v="1750"/>
    <n v="0"/>
    <m/>
    <x v="30"/>
  </r>
  <r>
    <x v="72"/>
    <s v="rom_fact_separatist_wainriders"/>
    <n v="0"/>
    <x v="11"/>
    <n v="0"/>
    <n v="4000"/>
    <n v="1750"/>
    <n v="0"/>
    <m/>
    <x v="30"/>
  </r>
  <r>
    <x v="72"/>
    <s v="rom_fact_separatist_rhurim"/>
    <n v="0"/>
    <x v="11"/>
    <n v="0"/>
    <n v="4000"/>
    <n v="1750"/>
    <n v="0"/>
    <m/>
    <x v="30"/>
  </r>
  <r>
    <x v="72"/>
    <s v="rom_fact_separatist_mahuds"/>
    <n v="0"/>
    <x v="11"/>
    <n v="0"/>
    <n v="4000"/>
    <n v="1750"/>
    <n v="0"/>
    <m/>
    <x v="30"/>
  </r>
  <r>
    <x v="72"/>
    <s v="rom_fact_separatist_umbar"/>
    <n v="0"/>
    <x v="11"/>
    <n v="0"/>
    <n v="4000"/>
    <n v="1750"/>
    <n v="0"/>
    <m/>
    <x v="30"/>
  </r>
  <r>
    <x v="73"/>
    <s v="rom_fact_mordor"/>
    <n v="268"/>
    <x v="30"/>
    <n v="263.3"/>
    <n v="14402"/>
    <n v="30901"/>
    <n v="2108"/>
    <m/>
    <x v="0"/>
  </r>
  <r>
    <x v="73"/>
    <s v="rom_fact_gondor"/>
    <n v="146"/>
    <x v="11"/>
    <n v="0"/>
    <n v="55420"/>
    <n v="2500"/>
    <n v="0"/>
    <m/>
    <x v="1"/>
  </r>
  <r>
    <x v="73"/>
    <s v="rom_fact_dale"/>
    <n v="177"/>
    <x v="10"/>
    <n v="24.6"/>
    <n v="10220"/>
    <n v="8068"/>
    <n v="0"/>
    <m/>
    <x v="2"/>
  </r>
  <r>
    <x v="73"/>
    <s v="rom_fact_erebor"/>
    <n v="198"/>
    <x v="7"/>
    <n v="16.399999999999999"/>
    <n v="21668"/>
    <n v="6500"/>
    <n v="0"/>
    <m/>
    <x v="3"/>
  </r>
  <r>
    <x v="73"/>
    <s v="rom_fact_rohan"/>
    <n v="157"/>
    <x v="11"/>
    <n v="0"/>
    <n v="6638"/>
    <n v="2500"/>
    <n v="0"/>
    <m/>
    <x v="4"/>
  </r>
  <r>
    <x v="73"/>
    <s v="rom_fact_dol_guldur"/>
    <n v="208"/>
    <x v="4"/>
    <n v="222.9"/>
    <n v="38177"/>
    <n v="30679"/>
    <n v="2298"/>
    <m/>
    <x v="5"/>
  </r>
  <r>
    <x v="73"/>
    <s v="rom_fact_anduin_vale"/>
    <n v="58"/>
    <x v="11"/>
    <n v="0"/>
    <n v="4515"/>
    <n v="2500"/>
    <n v="0"/>
    <m/>
    <x v="6"/>
  </r>
  <r>
    <x v="73"/>
    <s v="rom_fact_isengard"/>
    <n v="237"/>
    <x v="12"/>
    <n v="182"/>
    <n v="24595"/>
    <n v="23875"/>
    <n v="1258"/>
    <m/>
    <x v="7"/>
  </r>
  <r>
    <x v="73"/>
    <s v="rom_fact_woodland_realm"/>
    <n v="30"/>
    <x v="11"/>
    <n v="0"/>
    <n v="8475"/>
    <n v="2500"/>
    <n v="0"/>
    <m/>
    <x v="8"/>
  </r>
  <r>
    <x v="73"/>
    <s v="rom_fact_lothlorien"/>
    <n v="64"/>
    <x v="11"/>
    <n v="0"/>
    <n v="4721"/>
    <n v="2500"/>
    <n v="0"/>
    <m/>
    <x v="9"/>
  </r>
  <r>
    <x v="73"/>
    <s v="rom_fact_khand"/>
    <n v="0"/>
    <x v="11"/>
    <n v="0"/>
    <n v="4919"/>
    <n v="1750"/>
    <n v="0"/>
    <m/>
    <x v="10"/>
  </r>
  <r>
    <x v="73"/>
    <s v="rom_fact_umbar"/>
    <n v="11"/>
    <x v="12"/>
    <n v="156.80000000000001"/>
    <n v="50622"/>
    <n v="30661"/>
    <n v="2091"/>
    <m/>
    <x v="11"/>
  </r>
  <r>
    <x v="73"/>
    <s v="rom_fact_mahuds"/>
    <n v="0"/>
    <x v="11"/>
    <n v="11"/>
    <n v="6962"/>
    <n v="2847"/>
    <n v="0"/>
    <m/>
    <x v="12"/>
  </r>
  <r>
    <x v="73"/>
    <s v="rom_fact_harad"/>
    <n v="131"/>
    <x v="12"/>
    <n v="147"/>
    <n v="13128"/>
    <n v="17141"/>
    <n v="543"/>
    <m/>
    <x v="13"/>
  </r>
  <r>
    <x v="73"/>
    <s v="rom_fact_dunland"/>
    <n v="148"/>
    <x v="2"/>
    <n v="191"/>
    <n v="114429"/>
    <n v="30929"/>
    <n v="2333"/>
    <m/>
    <x v="14"/>
  </r>
  <r>
    <x v="73"/>
    <s v="rom_fact_haerrim"/>
    <n v="0"/>
    <x v="11"/>
    <n v="0"/>
    <n v="5352"/>
    <n v="1750"/>
    <n v="0"/>
    <m/>
    <x v="15"/>
  </r>
  <r>
    <x v="73"/>
    <s v="rom_fact_goblins"/>
    <n v="363"/>
    <x v="1"/>
    <n v="344.6"/>
    <n v="29530"/>
    <n v="43348"/>
    <n v="3294"/>
    <m/>
    <x v="16"/>
  </r>
  <r>
    <x v="73"/>
    <s v="rom_fact_balchoth"/>
    <n v="0"/>
    <x v="11"/>
    <n v="0"/>
    <n v="4872"/>
    <n v="1750"/>
    <n v="0"/>
    <m/>
    <x v="17"/>
  </r>
  <r>
    <x v="73"/>
    <s v="rom_fact_rhurim"/>
    <n v="225"/>
    <x v="22"/>
    <n v="425.6"/>
    <n v="178706"/>
    <n v="38942"/>
    <n v="1509"/>
    <m/>
    <x v="18"/>
  </r>
  <r>
    <x v="73"/>
    <s v="rom_fact_feredrim"/>
    <n v="0"/>
    <x v="11"/>
    <n v="0"/>
    <n v="7360"/>
    <n v="1750"/>
    <n v="0"/>
    <m/>
    <x v="19"/>
  </r>
  <r>
    <x v="73"/>
    <s v="rom_fact_wainriders"/>
    <n v="0"/>
    <x v="11"/>
    <n v="0"/>
    <n v="6395"/>
    <n v="1750"/>
    <n v="0"/>
    <m/>
    <x v="20"/>
  </r>
  <r>
    <x v="73"/>
    <s v="rom_fact_blacklock"/>
    <n v="5"/>
    <x v="3"/>
    <n v="72"/>
    <n v="64341"/>
    <n v="15094"/>
    <n v="0"/>
    <m/>
    <x v="21"/>
  </r>
  <r>
    <x v="73"/>
    <s v="rom_fact_ironfist"/>
    <n v="4"/>
    <x v="10"/>
    <n v="41"/>
    <n v="44403"/>
    <n v="7955"/>
    <n v="0"/>
    <m/>
    <x v="22"/>
  </r>
  <r>
    <x v="73"/>
    <s v="rom_fact_gundabad"/>
    <n v="190"/>
    <x v="20"/>
    <n v="230.2"/>
    <n v="86069"/>
    <n v="35189"/>
    <n v="2088"/>
    <m/>
    <x v="23"/>
  </r>
  <r>
    <x v="73"/>
    <s v="rom_fact_rohan_scouts"/>
    <n v="0"/>
    <x v="11"/>
    <n v="3"/>
    <n v="85833"/>
    <n v="2379"/>
    <n v="0"/>
    <m/>
    <x v="24"/>
  </r>
  <r>
    <x v="73"/>
    <s v="rom_fact_northern_enedwaith"/>
    <n v="6"/>
    <x v="9"/>
    <n v="77"/>
    <n v="93683"/>
    <n v="14945"/>
    <n v="704"/>
    <m/>
    <x v="25"/>
  </r>
  <r>
    <x v="73"/>
    <s v="rom_fact_southern_enedwaith"/>
    <n v="0"/>
    <x v="11"/>
    <n v="0"/>
    <n v="54023"/>
    <n v="1750"/>
    <n v="0"/>
    <m/>
    <x v="26"/>
  </r>
  <r>
    <x v="73"/>
    <s v="rom_fact_druedain"/>
    <n v="0"/>
    <x v="11"/>
    <n v="0"/>
    <n v="32146"/>
    <n v="1750"/>
    <n v="0"/>
    <m/>
    <x v="27"/>
  </r>
  <r>
    <x v="73"/>
    <s v="rom_fact_harondor"/>
    <n v="0"/>
    <x v="11"/>
    <n v="0"/>
    <n v="15146"/>
    <n v="1750"/>
    <n v="0"/>
    <m/>
    <x v="28"/>
  </r>
  <r>
    <x v="73"/>
    <s v="rom_fact_southron_nomads"/>
    <n v="0"/>
    <x v="11"/>
    <n v="0"/>
    <n v="4000"/>
    <n v="1750"/>
    <n v="0"/>
    <m/>
    <x v="29"/>
  </r>
  <r>
    <x v="73"/>
    <s v="rom_fact_separatist_harad"/>
    <n v="0"/>
    <x v="11"/>
    <n v="0"/>
    <n v="4000"/>
    <n v="1750"/>
    <n v="0"/>
    <m/>
    <x v="30"/>
  </r>
  <r>
    <x v="73"/>
    <s v="rom_fact_separatist_khand"/>
    <n v="0"/>
    <x v="11"/>
    <n v="0"/>
    <n v="4000"/>
    <n v="1750"/>
    <n v="0"/>
    <m/>
    <x v="30"/>
  </r>
  <r>
    <x v="73"/>
    <s v="rom_fact_separatist_balchoth"/>
    <n v="0"/>
    <x v="11"/>
    <n v="0"/>
    <n v="4000"/>
    <n v="1750"/>
    <n v="0"/>
    <m/>
    <x v="30"/>
  </r>
  <r>
    <x v="73"/>
    <s v="rom_fact_separatist_feredrim"/>
    <n v="0"/>
    <x v="11"/>
    <n v="0"/>
    <n v="4000"/>
    <n v="1750"/>
    <n v="0"/>
    <m/>
    <x v="30"/>
  </r>
  <r>
    <x v="73"/>
    <s v="rom_fact_separatist_haerrim"/>
    <n v="0"/>
    <x v="11"/>
    <n v="0"/>
    <n v="4000"/>
    <n v="1750"/>
    <n v="0"/>
    <m/>
    <x v="30"/>
  </r>
  <r>
    <x v="73"/>
    <s v="rom_fact_separatist_wainriders"/>
    <n v="0"/>
    <x v="11"/>
    <n v="0"/>
    <n v="4000"/>
    <n v="1750"/>
    <n v="0"/>
    <m/>
    <x v="30"/>
  </r>
  <r>
    <x v="73"/>
    <s v="rom_fact_separatist_rhurim"/>
    <n v="0"/>
    <x v="11"/>
    <n v="0"/>
    <n v="4000"/>
    <n v="1750"/>
    <n v="0"/>
    <m/>
    <x v="30"/>
  </r>
  <r>
    <x v="73"/>
    <s v="rom_fact_separatist_mahuds"/>
    <n v="0"/>
    <x v="11"/>
    <n v="0"/>
    <n v="4000"/>
    <n v="1750"/>
    <n v="0"/>
    <m/>
    <x v="30"/>
  </r>
  <r>
    <x v="73"/>
    <s v="rom_fact_separatist_umbar"/>
    <n v="0"/>
    <x v="11"/>
    <n v="0"/>
    <n v="4000"/>
    <n v="1750"/>
    <n v="0"/>
    <m/>
    <x v="30"/>
  </r>
  <r>
    <x v="74"/>
    <s v="rom_fact_mordor"/>
    <n v="273"/>
    <x v="30"/>
    <n v="263.3"/>
    <n v="11403"/>
    <n v="31062"/>
    <n v="2114"/>
    <m/>
    <x v="0"/>
  </r>
  <r>
    <x v="74"/>
    <s v="rom_fact_gondor"/>
    <n v="146"/>
    <x v="11"/>
    <n v="0"/>
    <n v="55420"/>
    <n v="2500"/>
    <n v="0"/>
    <m/>
    <x v="1"/>
  </r>
  <r>
    <x v="74"/>
    <s v="rom_fact_dale"/>
    <n v="177"/>
    <x v="10"/>
    <n v="24.6"/>
    <n v="10018"/>
    <n v="7586"/>
    <n v="0"/>
    <m/>
    <x v="2"/>
  </r>
  <r>
    <x v="74"/>
    <s v="rom_fact_erebor"/>
    <n v="198"/>
    <x v="7"/>
    <n v="18"/>
    <n v="15655"/>
    <n v="6091"/>
    <n v="0"/>
    <m/>
    <x v="3"/>
  </r>
  <r>
    <x v="74"/>
    <s v="rom_fact_rohan"/>
    <n v="157"/>
    <x v="11"/>
    <n v="0"/>
    <n v="6638"/>
    <n v="2500"/>
    <n v="0"/>
    <m/>
    <x v="4"/>
  </r>
  <r>
    <x v="74"/>
    <s v="rom_fact_dol_guldur"/>
    <n v="208"/>
    <x v="4"/>
    <n v="226.9"/>
    <n v="42854"/>
    <n v="31051"/>
    <n v="2293"/>
    <m/>
    <x v="5"/>
  </r>
  <r>
    <x v="74"/>
    <s v="rom_fact_anduin_vale"/>
    <n v="58"/>
    <x v="11"/>
    <n v="0"/>
    <n v="4515"/>
    <n v="2500"/>
    <n v="0"/>
    <m/>
    <x v="6"/>
  </r>
  <r>
    <x v="74"/>
    <s v="rom_fact_isengard"/>
    <n v="237"/>
    <x v="12"/>
    <n v="184.4"/>
    <n v="27820"/>
    <n v="24621"/>
    <n v="1263"/>
    <m/>
    <x v="7"/>
  </r>
  <r>
    <x v="74"/>
    <s v="rom_fact_woodland_realm"/>
    <n v="30"/>
    <x v="11"/>
    <n v="0"/>
    <n v="8475"/>
    <n v="2500"/>
    <n v="0"/>
    <m/>
    <x v="8"/>
  </r>
  <r>
    <x v="74"/>
    <s v="rom_fact_lothlorien"/>
    <n v="64"/>
    <x v="11"/>
    <n v="0"/>
    <n v="4721"/>
    <n v="2500"/>
    <n v="0"/>
    <m/>
    <x v="9"/>
  </r>
  <r>
    <x v="74"/>
    <s v="rom_fact_khand"/>
    <n v="0"/>
    <x v="11"/>
    <n v="0"/>
    <n v="4919"/>
    <n v="1750"/>
    <n v="0"/>
    <m/>
    <x v="10"/>
  </r>
  <r>
    <x v="74"/>
    <s v="rom_fact_umbar"/>
    <n v="11"/>
    <x v="12"/>
    <n v="157.80000000000001"/>
    <n v="58442"/>
    <n v="30851"/>
    <n v="2103"/>
    <m/>
    <x v="11"/>
  </r>
  <r>
    <x v="74"/>
    <s v="rom_fact_mahuds"/>
    <n v="0"/>
    <x v="11"/>
    <n v="12.1"/>
    <n v="6683"/>
    <n v="2991"/>
    <n v="0"/>
    <m/>
    <x v="12"/>
  </r>
  <r>
    <x v="74"/>
    <s v="rom_fact_harad"/>
    <n v="131"/>
    <x v="12"/>
    <n v="146"/>
    <n v="17984"/>
    <n v="19312"/>
    <n v="551"/>
    <m/>
    <x v="13"/>
  </r>
  <r>
    <x v="74"/>
    <s v="rom_fact_dunland"/>
    <n v="148"/>
    <x v="2"/>
    <n v="191"/>
    <n v="124739"/>
    <n v="30807"/>
    <n v="2339"/>
    <m/>
    <x v="14"/>
  </r>
  <r>
    <x v="74"/>
    <s v="rom_fact_haerrim"/>
    <n v="0"/>
    <x v="11"/>
    <n v="0"/>
    <n v="5352"/>
    <n v="1750"/>
    <n v="0"/>
    <m/>
    <x v="15"/>
  </r>
  <r>
    <x v="74"/>
    <s v="rom_fact_goblins"/>
    <n v="363"/>
    <x v="1"/>
    <n v="346"/>
    <n v="30907"/>
    <n v="43742"/>
    <n v="3300"/>
    <m/>
    <x v="16"/>
  </r>
  <r>
    <x v="74"/>
    <s v="rom_fact_balchoth"/>
    <n v="0"/>
    <x v="11"/>
    <n v="0"/>
    <n v="4872"/>
    <n v="1750"/>
    <n v="0"/>
    <m/>
    <x v="17"/>
  </r>
  <r>
    <x v="74"/>
    <s v="rom_fact_rhurim"/>
    <n v="225"/>
    <x v="22"/>
    <n v="433.3"/>
    <n v="178630"/>
    <n v="37277"/>
    <n v="1575"/>
    <m/>
    <x v="18"/>
  </r>
  <r>
    <x v="74"/>
    <s v="rom_fact_feredrim"/>
    <n v="0"/>
    <x v="11"/>
    <n v="0"/>
    <n v="7360"/>
    <n v="1750"/>
    <n v="0"/>
    <m/>
    <x v="19"/>
  </r>
  <r>
    <x v="74"/>
    <s v="rom_fact_wainriders"/>
    <n v="0"/>
    <x v="11"/>
    <n v="0"/>
    <n v="6395"/>
    <n v="1750"/>
    <n v="0"/>
    <m/>
    <x v="20"/>
  </r>
  <r>
    <x v="74"/>
    <s v="rom_fact_blacklock"/>
    <n v="5"/>
    <x v="3"/>
    <n v="73"/>
    <n v="63208"/>
    <n v="13754"/>
    <n v="0"/>
    <m/>
    <x v="21"/>
  </r>
  <r>
    <x v="74"/>
    <s v="rom_fact_ironfist"/>
    <n v="4"/>
    <x v="10"/>
    <n v="41"/>
    <n v="46702"/>
    <n v="7955"/>
    <n v="0"/>
    <m/>
    <x v="22"/>
  </r>
  <r>
    <x v="74"/>
    <s v="rom_fact_gundabad"/>
    <n v="190"/>
    <x v="20"/>
    <n v="231.3"/>
    <n v="77226"/>
    <n v="35538"/>
    <n v="2084"/>
    <m/>
    <x v="23"/>
  </r>
  <r>
    <x v="74"/>
    <s v="rom_fact_rohan_scouts"/>
    <n v="0"/>
    <x v="11"/>
    <n v="3"/>
    <n v="86954"/>
    <n v="2379"/>
    <n v="0"/>
    <m/>
    <x v="24"/>
  </r>
  <r>
    <x v="74"/>
    <s v="rom_fact_northern_enedwaith"/>
    <n v="6"/>
    <x v="9"/>
    <n v="77"/>
    <n v="94577"/>
    <n v="15412"/>
    <n v="707"/>
    <m/>
    <x v="25"/>
  </r>
  <r>
    <x v="74"/>
    <s v="rom_fact_southern_enedwaith"/>
    <n v="0"/>
    <x v="11"/>
    <n v="0"/>
    <n v="54023"/>
    <n v="1750"/>
    <n v="0"/>
    <m/>
    <x v="26"/>
  </r>
  <r>
    <x v="74"/>
    <s v="rom_fact_druedain"/>
    <n v="0"/>
    <x v="11"/>
    <n v="0"/>
    <n v="32146"/>
    <n v="1750"/>
    <n v="0"/>
    <m/>
    <x v="27"/>
  </r>
  <r>
    <x v="74"/>
    <s v="rom_fact_harondor"/>
    <n v="0"/>
    <x v="11"/>
    <n v="0"/>
    <n v="15146"/>
    <n v="1750"/>
    <n v="0"/>
    <m/>
    <x v="28"/>
  </r>
  <r>
    <x v="74"/>
    <s v="rom_fact_southron_nomads"/>
    <n v="0"/>
    <x v="11"/>
    <n v="0"/>
    <n v="4000"/>
    <n v="1750"/>
    <n v="0"/>
    <m/>
    <x v="29"/>
  </r>
  <r>
    <x v="74"/>
    <s v="rom_fact_separatist_harad"/>
    <n v="0"/>
    <x v="11"/>
    <n v="0"/>
    <n v="4000"/>
    <n v="1750"/>
    <n v="0"/>
    <m/>
    <x v="30"/>
  </r>
  <r>
    <x v="74"/>
    <s v="rom_fact_separatist_khand"/>
    <n v="0"/>
    <x v="11"/>
    <n v="0"/>
    <n v="4000"/>
    <n v="1750"/>
    <n v="0"/>
    <m/>
    <x v="30"/>
  </r>
  <r>
    <x v="74"/>
    <s v="rom_fact_separatist_balchoth"/>
    <n v="0"/>
    <x v="11"/>
    <n v="0"/>
    <n v="4000"/>
    <n v="1750"/>
    <n v="0"/>
    <m/>
    <x v="30"/>
  </r>
  <r>
    <x v="74"/>
    <s v="rom_fact_separatist_feredrim"/>
    <n v="0"/>
    <x v="11"/>
    <n v="0"/>
    <n v="4000"/>
    <n v="1750"/>
    <n v="0"/>
    <m/>
    <x v="30"/>
  </r>
  <r>
    <x v="74"/>
    <s v="rom_fact_separatist_haerrim"/>
    <n v="0"/>
    <x v="11"/>
    <n v="0"/>
    <n v="4000"/>
    <n v="1750"/>
    <n v="0"/>
    <m/>
    <x v="30"/>
  </r>
  <r>
    <x v="74"/>
    <s v="rom_fact_separatist_wainriders"/>
    <n v="0"/>
    <x v="11"/>
    <n v="0"/>
    <n v="4000"/>
    <n v="1750"/>
    <n v="0"/>
    <m/>
    <x v="30"/>
  </r>
  <r>
    <x v="74"/>
    <s v="rom_fact_separatist_rhurim"/>
    <n v="0"/>
    <x v="11"/>
    <n v="0"/>
    <n v="4000"/>
    <n v="1750"/>
    <n v="0"/>
    <m/>
    <x v="30"/>
  </r>
  <r>
    <x v="74"/>
    <s v="rom_fact_separatist_mahuds"/>
    <n v="0"/>
    <x v="11"/>
    <n v="0"/>
    <n v="4000"/>
    <n v="1750"/>
    <n v="0"/>
    <m/>
    <x v="30"/>
  </r>
  <r>
    <x v="74"/>
    <s v="rom_fact_separatist_umbar"/>
    <n v="0"/>
    <x v="11"/>
    <n v="0"/>
    <n v="4000"/>
    <n v="1750"/>
    <n v="0"/>
    <m/>
    <x v="30"/>
  </r>
  <r>
    <x v="75"/>
    <s v="rom_fact_mordor"/>
    <n v="283"/>
    <x v="30"/>
    <n v="263.3"/>
    <n v="8911"/>
    <n v="31278"/>
    <n v="2309"/>
    <m/>
    <x v="0"/>
  </r>
  <r>
    <x v="75"/>
    <s v="rom_fact_gondor"/>
    <n v="146"/>
    <x v="11"/>
    <n v="0"/>
    <n v="55420"/>
    <n v="2500"/>
    <n v="0"/>
    <m/>
    <x v="1"/>
  </r>
  <r>
    <x v="75"/>
    <s v="rom_fact_dale"/>
    <n v="178"/>
    <x v="3"/>
    <n v="25.5"/>
    <n v="10006"/>
    <n v="6969"/>
    <n v="0"/>
    <m/>
    <x v="2"/>
  </r>
  <r>
    <x v="75"/>
    <s v="rom_fact_erebor"/>
    <n v="203"/>
    <x v="7"/>
    <n v="18"/>
    <n v="14834"/>
    <n v="5919"/>
    <n v="0"/>
    <m/>
    <x v="3"/>
  </r>
  <r>
    <x v="75"/>
    <s v="rom_fact_rohan"/>
    <n v="157"/>
    <x v="11"/>
    <n v="0"/>
    <n v="6638"/>
    <n v="2500"/>
    <n v="0"/>
    <m/>
    <x v="4"/>
  </r>
  <r>
    <x v="75"/>
    <s v="rom_fact_dol_guldur"/>
    <n v="208"/>
    <x v="4"/>
    <n v="226.9"/>
    <n v="48106"/>
    <n v="30896"/>
    <n v="2306"/>
    <m/>
    <x v="5"/>
  </r>
  <r>
    <x v="75"/>
    <s v="rom_fact_anduin_vale"/>
    <n v="58"/>
    <x v="11"/>
    <n v="0"/>
    <n v="4515"/>
    <n v="2500"/>
    <n v="0"/>
    <m/>
    <x v="6"/>
  </r>
  <r>
    <x v="75"/>
    <s v="rom_fact_isengard"/>
    <n v="237"/>
    <x v="12"/>
    <n v="185.4"/>
    <n v="31374"/>
    <n v="24717"/>
    <n v="1268"/>
    <m/>
    <x v="7"/>
  </r>
  <r>
    <x v="75"/>
    <s v="rom_fact_woodland_realm"/>
    <n v="30"/>
    <x v="11"/>
    <n v="0"/>
    <n v="8475"/>
    <n v="2500"/>
    <n v="0"/>
    <m/>
    <x v="8"/>
  </r>
  <r>
    <x v="75"/>
    <s v="rom_fact_lothlorien"/>
    <n v="64"/>
    <x v="11"/>
    <n v="0"/>
    <n v="4721"/>
    <n v="2500"/>
    <n v="0"/>
    <m/>
    <x v="9"/>
  </r>
  <r>
    <x v="75"/>
    <s v="rom_fact_khand"/>
    <n v="0"/>
    <x v="11"/>
    <n v="0"/>
    <n v="4919"/>
    <n v="1750"/>
    <n v="0"/>
    <m/>
    <x v="10"/>
  </r>
  <r>
    <x v="75"/>
    <s v="rom_fact_umbar"/>
    <n v="11"/>
    <x v="12"/>
    <n v="156.80000000000001"/>
    <n v="66818"/>
    <n v="30771"/>
    <n v="2100"/>
    <m/>
    <x v="11"/>
  </r>
  <r>
    <x v="75"/>
    <s v="rom_fact_mahuds"/>
    <n v="0"/>
    <x v="11"/>
    <n v="12.1"/>
    <n v="7192"/>
    <n v="2991"/>
    <n v="0"/>
    <m/>
    <x v="12"/>
  </r>
  <r>
    <x v="75"/>
    <s v="rom_fact_harad"/>
    <n v="131"/>
    <x v="12"/>
    <n v="149"/>
    <n v="14585"/>
    <n v="18146"/>
    <n v="545"/>
    <m/>
    <x v="13"/>
  </r>
  <r>
    <x v="75"/>
    <s v="rom_fact_dunland"/>
    <n v="148"/>
    <x v="2"/>
    <n v="191"/>
    <n v="135292"/>
    <n v="31258"/>
    <n v="2348"/>
    <m/>
    <x v="14"/>
  </r>
  <r>
    <x v="75"/>
    <s v="rom_fact_haerrim"/>
    <n v="0"/>
    <x v="11"/>
    <n v="0"/>
    <n v="5352"/>
    <n v="1750"/>
    <n v="0"/>
    <m/>
    <x v="15"/>
  </r>
  <r>
    <x v="75"/>
    <s v="rom_fact_goblins"/>
    <n v="363"/>
    <x v="1"/>
    <n v="350.2"/>
    <n v="24867"/>
    <n v="46961"/>
    <n v="4641"/>
    <m/>
    <x v="16"/>
  </r>
  <r>
    <x v="75"/>
    <s v="rom_fact_balchoth"/>
    <n v="0"/>
    <x v="11"/>
    <n v="0"/>
    <n v="4872"/>
    <n v="1750"/>
    <n v="0"/>
    <m/>
    <x v="17"/>
  </r>
  <r>
    <x v="75"/>
    <s v="rom_fact_rhurim"/>
    <n v="224"/>
    <x v="24"/>
    <n v="431"/>
    <n v="181313"/>
    <n v="40099"/>
    <n v="1545"/>
    <m/>
    <x v="18"/>
  </r>
  <r>
    <x v="75"/>
    <s v="rom_fact_feredrim"/>
    <n v="0"/>
    <x v="11"/>
    <n v="0"/>
    <n v="7360"/>
    <n v="1750"/>
    <n v="0"/>
    <m/>
    <x v="19"/>
  </r>
  <r>
    <x v="75"/>
    <s v="rom_fact_wainriders"/>
    <n v="0"/>
    <x v="11"/>
    <n v="0"/>
    <n v="6395"/>
    <n v="1750"/>
    <n v="0"/>
    <m/>
    <x v="20"/>
  </r>
  <r>
    <x v="75"/>
    <s v="rom_fact_blacklock"/>
    <n v="5"/>
    <x v="3"/>
    <n v="73"/>
    <n v="62169"/>
    <n v="14253"/>
    <n v="0"/>
    <m/>
    <x v="21"/>
  </r>
  <r>
    <x v="75"/>
    <s v="rom_fact_ironfist"/>
    <n v="4"/>
    <x v="10"/>
    <n v="40"/>
    <n v="45401"/>
    <n v="8282"/>
    <n v="0"/>
    <m/>
    <x v="22"/>
  </r>
  <r>
    <x v="75"/>
    <s v="rom_fact_gundabad"/>
    <n v="190"/>
    <x v="20"/>
    <n v="232.3"/>
    <n v="88169"/>
    <n v="35261"/>
    <n v="2100"/>
    <m/>
    <x v="23"/>
  </r>
  <r>
    <x v="75"/>
    <s v="rom_fact_rohan_scouts"/>
    <n v="0"/>
    <x v="11"/>
    <n v="3"/>
    <n v="88075"/>
    <n v="2379"/>
    <n v="0"/>
    <m/>
    <x v="24"/>
  </r>
  <r>
    <x v="75"/>
    <s v="rom_fact_northern_enedwaith"/>
    <n v="6"/>
    <x v="9"/>
    <n v="77"/>
    <n v="96686"/>
    <n v="15414"/>
    <n v="709"/>
    <m/>
    <x v="25"/>
  </r>
  <r>
    <x v="75"/>
    <s v="rom_fact_southern_enedwaith"/>
    <n v="0"/>
    <x v="11"/>
    <n v="0"/>
    <n v="54023"/>
    <n v="1750"/>
    <n v="0"/>
    <m/>
    <x v="26"/>
  </r>
  <r>
    <x v="75"/>
    <s v="rom_fact_druedain"/>
    <n v="0"/>
    <x v="11"/>
    <n v="0"/>
    <n v="32146"/>
    <n v="1750"/>
    <n v="0"/>
    <m/>
    <x v="27"/>
  </r>
  <r>
    <x v="75"/>
    <s v="rom_fact_harondor"/>
    <n v="0"/>
    <x v="11"/>
    <n v="0"/>
    <n v="15146"/>
    <n v="1750"/>
    <n v="0"/>
    <m/>
    <x v="28"/>
  </r>
  <r>
    <x v="75"/>
    <s v="rom_fact_southron_nomads"/>
    <n v="0"/>
    <x v="11"/>
    <n v="0"/>
    <n v="4000"/>
    <n v="1750"/>
    <n v="0"/>
    <m/>
    <x v="29"/>
  </r>
  <r>
    <x v="75"/>
    <s v="rom_fact_separatist_harad"/>
    <n v="0"/>
    <x v="11"/>
    <n v="0"/>
    <n v="4000"/>
    <n v="1750"/>
    <n v="0"/>
    <m/>
    <x v="30"/>
  </r>
  <r>
    <x v="75"/>
    <s v="rom_fact_separatist_khand"/>
    <n v="0"/>
    <x v="11"/>
    <n v="0"/>
    <n v="4000"/>
    <n v="1750"/>
    <n v="0"/>
    <m/>
    <x v="30"/>
  </r>
  <r>
    <x v="75"/>
    <s v="rom_fact_separatist_balchoth"/>
    <n v="0"/>
    <x v="11"/>
    <n v="0"/>
    <n v="4000"/>
    <n v="1750"/>
    <n v="0"/>
    <m/>
    <x v="30"/>
  </r>
  <r>
    <x v="75"/>
    <s v="rom_fact_separatist_feredrim"/>
    <n v="0"/>
    <x v="11"/>
    <n v="0"/>
    <n v="4000"/>
    <n v="1750"/>
    <n v="0"/>
    <m/>
    <x v="30"/>
  </r>
  <r>
    <x v="75"/>
    <s v="rom_fact_separatist_haerrim"/>
    <n v="0"/>
    <x v="11"/>
    <n v="0"/>
    <n v="4000"/>
    <n v="1750"/>
    <n v="0"/>
    <m/>
    <x v="30"/>
  </r>
  <r>
    <x v="75"/>
    <s v="rom_fact_separatist_wainriders"/>
    <n v="0"/>
    <x v="11"/>
    <n v="0"/>
    <n v="4000"/>
    <n v="1750"/>
    <n v="0"/>
    <m/>
    <x v="30"/>
  </r>
  <r>
    <x v="75"/>
    <s v="rom_fact_separatist_rhurim"/>
    <n v="0"/>
    <x v="11"/>
    <n v="0"/>
    <n v="4000"/>
    <n v="1750"/>
    <n v="0"/>
    <m/>
    <x v="30"/>
  </r>
  <r>
    <x v="75"/>
    <s v="rom_fact_separatist_mahuds"/>
    <n v="0"/>
    <x v="11"/>
    <n v="0"/>
    <n v="4000"/>
    <n v="1750"/>
    <n v="0"/>
    <m/>
    <x v="30"/>
  </r>
  <r>
    <x v="75"/>
    <s v="rom_fact_separatist_umbar"/>
    <n v="0"/>
    <x v="11"/>
    <n v="0"/>
    <n v="4000"/>
    <n v="1750"/>
    <n v="0"/>
    <m/>
    <x v="30"/>
  </r>
  <r>
    <x v="76"/>
    <s v="rom_fact_mordor"/>
    <n v="283"/>
    <x v="30"/>
    <n v="263.3"/>
    <n v="12215"/>
    <n v="31359"/>
    <n v="2410"/>
    <m/>
    <x v="0"/>
  </r>
  <r>
    <x v="76"/>
    <s v="rom_fact_gondor"/>
    <n v="146"/>
    <x v="11"/>
    <n v="0"/>
    <n v="55420"/>
    <n v="2500"/>
    <n v="0"/>
    <m/>
    <x v="1"/>
  </r>
  <r>
    <x v="76"/>
    <s v="rom_fact_dale"/>
    <n v="177"/>
    <x v="10"/>
    <n v="25.5"/>
    <n v="9070"/>
    <n v="6507"/>
    <n v="0"/>
    <m/>
    <x v="2"/>
  </r>
  <r>
    <x v="76"/>
    <s v="rom_fact_erebor"/>
    <n v="203"/>
    <x v="7"/>
    <n v="0"/>
    <n v="16701"/>
    <n v="2767"/>
    <n v="0"/>
    <m/>
    <x v="3"/>
  </r>
  <r>
    <x v="76"/>
    <s v="rom_fact_rohan"/>
    <n v="157"/>
    <x v="11"/>
    <n v="0"/>
    <n v="6638"/>
    <n v="2500"/>
    <n v="0"/>
    <m/>
    <x v="4"/>
  </r>
  <r>
    <x v="76"/>
    <s v="rom_fact_dol_guldur"/>
    <n v="208"/>
    <x v="4"/>
    <n v="227.9"/>
    <n v="52386"/>
    <n v="31014"/>
    <n v="2310"/>
    <m/>
    <x v="5"/>
  </r>
  <r>
    <x v="76"/>
    <s v="rom_fact_anduin_vale"/>
    <n v="58"/>
    <x v="11"/>
    <n v="0"/>
    <n v="4515"/>
    <n v="2500"/>
    <n v="0"/>
    <m/>
    <x v="6"/>
  </r>
  <r>
    <x v="76"/>
    <s v="rom_fact_isengard"/>
    <n v="242"/>
    <x v="12"/>
    <n v="189.6"/>
    <n v="32701"/>
    <n v="24763"/>
    <n v="1267"/>
    <m/>
    <x v="7"/>
  </r>
  <r>
    <x v="76"/>
    <s v="rom_fact_woodland_realm"/>
    <n v="30"/>
    <x v="11"/>
    <n v="0"/>
    <n v="8475"/>
    <n v="2500"/>
    <n v="0"/>
    <m/>
    <x v="8"/>
  </r>
  <r>
    <x v="76"/>
    <s v="rom_fact_lothlorien"/>
    <n v="64"/>
    <x v="11"/>
    <n v="0"/>
    <n v="4721"/>
    <n v="2500"/>
    <n v="0"/>
    <m/>
    <x v="9"/>
  </r>
  <r>
    <x v="76"/>
    <s v="rom_fact_khand"/>
    <n v="0"/>
    <x v="11"/>
    <n v="0"/>
    <n v="4919"/>
    <n v="1750"/>
    <n v="0"/>
    <m/>
    <x v="10"/>
  </r>
  <r>
    <x v="76"/>
    <s v="rom_fact_umbar"/>
    <n v="11"/>
    <x v="12"/>
    <n v="157.80000000000001"/>
    <n v="66357"/>
    <n v="30850"/>
    <n v="2111"/>
    <m/>
    <x v="11"/>
  </r>
  <r>
    <x v="76"/>
    <s v="rom_fact_mahuds"/>
    <n v="0"/>
    <x v="11"/>
    <n v="12.1"/>
    <n v="7701"/>
    <n v="2991"/>
    <n v="0"/>
    <m/>
    <x v="12"/>
  </r>
  <r>
    <x v="76"/>
    <s v="rom_fact_harad"/>
    <n v="136"/>
    <x v="12"/>
    <n v="147"/>
    <n v="17495"/>
    <n v="20551"/>
    <n v="554"/>
    <m/>
    <x v="13"/>
  </r>
  <r>
    <x v="76"/>
    <s v="rom_fact_dunland"/>
    <n v="153"/>
    <x v="2"/>
    <n v="191"/>
    <n v="145799"/>
    <n v="31002"/>
    <n v="2346"/>
    <m/>
    <x v="14"/>
  </r>
  <r>
    <x v="76"/>
    <s v="rom_fact_haerrim"/>
    <n v="0"/>
    <x v="11"/>
    <n v="0"/>
    <n v="5352"/>
    <n v="1750"/>
    <n v="0"/>
    <m/>
    <x v="15"/>
  </r>
  <r>
    <x v="76"/>
    <s v="rom_fact_goblins"/>
    <n v="363"/>
    <x v="1"/>
    <n v="353.6"/>
    <n v="31148"/>
    <n v="47250"/>
    <n v="4643"/>
    <m/>
    <x v="16"/>
  </r>
  <r>
    <x v="76"/>
    <s v="rom_fact_balchoth"/>
    <n v="0"/>
    <x v="11"/>
    <n v="0"/>
    <n v="4872"/>
    <n v="1750"/>
    <n v="0"/>
    <m/>
    <x v="17"/>
  </r>
  <r>
    <x v="76"/>
    <s v="rom_fact_rhurim"/>
    <n v="227"/>
    <x v="23"/>
    <n v="433.8"/>
    <n v="193192"/>
    <n v="39791"/>
    <n v="1910"/>
    <m/>
    <x v="18"/>
  </r>
  <r>
    <x v="76"/>
    <s v="rom_fact_feredrim"/>
    <n v="0"/>
    <x v="11"/>
    <n v="0"/>
    <n v="7360"/>
    <n v="1750"/>
    <n v="0"/>
    <m/>
    <x v="19"/>
  </r>
  <r>
    <x v="76"/>
    <s v="rom_fact_wainriders"/>
    <n v="0"/>
    <x v="11"/>
    <n v="0"/>
    <n v="6395"/>
    <n v="1750"/>
    <n v="0"/>
    <m/>
    <x v="20"/>
  </r>
  <r>
    <x v="76"/>
    <s v="rom_fact_blacklock"/>
    <n v="1"/>
    <x v="7"/>
    <n v="38"/>
    <n v="55846"/>
    <n v="7318"/>
    <n v="0"/>
    <m/>
    <x v="21"/>
  </r>
  <r>
    <x v="76"/>
    <s v="rom_fact_ironfist"/>
    <n v="4"/>
    <x v="10"/>
    <n v="40"/>
    <n v="48027"/>
    <n v="8446"/>
    <n v="0"/>
    <m/>
    <x v="22"/>
  </r>
  <r>
    <x v="76"/>
    <s v="rom_fact_gundabad"/>
    <n v="191"/>
    <x v="18"/>
    <n v="241.6"/>
    <n v="88053"/>
    <n v="37662"/>
    <n v="2112"/>
    <m/>
    <x v="23"/>
  </r>
  <r>
    <x v="76"/>
    <s v="rom_fact_rohan_scouts"/>
    <n v="0"/>
    <x v="11"/>
    <n v="3"/>
    <n v="89196"/>
    <n v="2379"/>
    <n v="0"/>
    <m/>
    <x v="24"/>
  </r>
  <r>
    <x v="76"/>
    <s v="rom_fact_northern_enedwaith"/>
    <n v="6"/>
    <x v="9"/>
    <n v="77"/>
    <n v="96298"/>
    <n v="15414"/>
    <n v="709"/>
    <m/>
    <x v="25"/>
  </r>
  <r>
    <x v="76"/>
    <s v="rom_fact_southern_enedwaith"/>
    <n v="0"/>
    <x v="11"/>
    <n v="0"/>
    <n v="54023"/>
    <n v="1750"/>
    <n v="0"/>
    <m/>
    <x v="26"/>
  </r>
  <r>
    <x v="76"/>
    <s v="rom_fact_druedain"/>
    <n v="0"/>
    <x v="11"/>
    <n v="0"/>
    <n v="32146"/>
    <n v="1750"/>
    <n v="0"/>
    <m/>
    <x v="27"/>
  </r>
  <r>
    <x v="76"/>
    <s v="rom_fact_harondor"/>
    <n v="0"/>
    <x v="11"/>
    <n v="0"/>
    <n v="15146"/>
    <n v="1750"/>
    <n v="0"/>
    <m/>
    <x v="28"/>
  </r>
  <r>
    <x v="76"/>
    <s v="rom_fact_southron_nomads"/>
    <n v="0"/>
    <x v="11"/>
    <n v="0"/>
    <n v="4000"/>
    <n v="1750"/>
    <n v="0"/>
    <m/>
    <x v="29"/>
  </r>
  <r>
    <x v="76"/>
    <s v="rom_fact_separatist_harad"/>
    <n v="0"/>
    <x v="11"/>
    <n v="0"/>
    <n v="4000"/>
    <n v="1750"/>
    <n v="0"/>
    <m/>
    <x v="30"/>
  </r>
  <r>
    <x v="76"/>
    <s v="rom_fact_separatist_khand"/>
    <n v="0"/>
    <x v="11"/>
    <n v="0"/>
    <n v="4000"/>
    <n v="1750"/>
    <n v="0"/>
    <m/>
    <x v="30"/>
  </r>
  <r>
    <x v="76"/>
    <s v="rom_fact_separatist_balchoth"/>
    <n v="0"/>
    <x v="11"/>
    <n v="0"/>
    <n v="4000"/>
    <n v="1750"/>
    <n v="0"/>
    <m/>
    <x v="30"/>
  </r>
  <r>
    <x v="76"/>
    <s v="rom_fact_separatist_feredrim"/>
    <n v="0"/>
    <x v="11"/>
    <n v="0"/>
    <n v="4000"/>
    <n v="1750"/>
    <n v="0"/>
    <m/>
    <x v="30"/>
  </r>
  <r>
    <x v="76"/>
    <s v="rom_fact_separatist_haerrim"/>
    <n v="0"/>
    <x v="11"/>
    <n v="0"/>
    <n v="4000"/>
    <n v="1750"/>
    <n v="0"/>
    <m/>
    <x v="30"/>
  </r>
  <r>
    <x v="76"/>
    <s v="rom_fact_separatist_wainriders"/>
    <n v="0"/>
    <x v="11"/>
    <n v="0"/>
    <n v="4000"/>
    <n v="1750"/>
    <n v="0"/>
    <m/>
    <x v="30"/>
  </r>
  <r>
    <x v="76"/>
    <s v="rom_fact_separatist_rhurim"/>
    <n v="0"/>
    <x v="11"/>
    <n v="0"/>
    <n v="4000"/>
    <n v="1750"/>
    <n v="0"/>
    <m/>
    <x v="30"/>
  </r>
  <r>
    <x v="76"/>
    <s v="rom_fact_separatist_mahuds"/>
    <n v="0"/>
    <x v="11"/>
    <n v="0"/>
    <n v="4000"/>
    <n v="1750"/>
    <n v="0"/>
    <m/>
    <x v="30"/>
  </r>
  <r>
    <x v="76"/>
    <s v="rom_fact_separatist_umbar"/>
    <n v="0"/>
    <x v="11"/>
    <n v="0"/>
    <n v="4000"/>
    <n v="1750"/>
    <n v="0"/>
    <m/>
    <x v="30"/>
  </r>
  <r>
    <x v="77"/>
    <s v="rom_fact_mordor"/>
    <n v="288"/>
    <x v="30"/>
    <n v="263.3"/>
    <n v="13271"/>
    <n v="32630"/>
    <n v="2429"/>
    <m/>
    <x v="0"/>
  </r>
  <r>
    <x v="77"/>
    <s v="rom_fact_gondor"/>
    <n v="146"/>
    <x v="11"/>
    <n v="0"/>
    <n v="55420"/>
    <n v="2500"/>
    <n v="0"/>
    <m/>
    <x v="1"/>
  </r>
  <r>
    <x v="77"/>
    <s v="rom_fact_dale"/>
    <n v="181"/>
    <x v="7"/>
    <n v="21.8"/>
    <n v="8298"/>
    <n v="5772"/>
    <n v="0"/>
    <m/>
    <x v="2"/>
  </r>
  <r>
    <x v="77"/>
    <s v="rom_fact_erebor"/>
    <n v="200"/>
    <x v="11"/>
    <n v="1.2"/>
    <n v="10040"/>
    <n v="2792"/>
    <n v="0"/>
    <m/>
    <x v="3"/>
  </r>
  <r>
    <x v="77"/>
    <s v="rom_fact_rohan"/>
    <n v="157"/>
    <x v="11"/>
    <n v="0"/>
    <n v="6638"/>
    <n v="2500"/>
    <n v="0"/>
    <m/>
    <x v="4"/>
  </r>
  <r>
    <x v="77"/>
    <s v="rom_fact_dol_guldur"/>
    <n v="213"/>
    <x v="4"/>
    <n v="227.9"/>
    <n v="48331"/>
    <n v="30553"/>
    <n v="2091"/>
    <m/>
    <x v="5"/>
  </r>
  <r>
    <x v="77"/>
    <s v="rom_fact_anduin_vale"/>
    <n v="58"/>
    <x v="11"/>
    <n v="0"/>
    <n v="4515"/>
    <n v="2500"/>
    <n v="0"/>
    <m/>
    <x v="6"/>
  </r>
  <r>
    <x v="77"/>
    <s v="rom_fact_isengard"/>
    <n v="242"/>
    <x v="12"/>
    <n v="193"/>
    <n v="34996"/>
    <n v="24927"/>
    <n v="1269"/>
    <m/>
    <x v="7"/>
  </r>
  <r>
    <x v="77"/>
    <s v="rom_fact_woodland_realm"/>
    <n v="30"/>
    <x v="11"/>
    <n v="0"/>
    <n v="8475"/>
    <n v="2500"/>
    <n v="0"/>
    <m/>
    <x v="8"/>
  </r>
  <r>
    <x v="77"/>
    <s v="rom_fact_lothlorien"/>
    <n v="64"/>
    <x v="11"/>
    <n v="0"/>
    <n v="4721"/>
    <n v="2500"/>
    <n v="0"/>
    <m/>
    <x v="9"/>
  </r>
  <r>
    <x v="77"/>
    <s v="rom_fact_khand"/>
    <n v="0"/>
    <x v="11"/>
    <n v="0"/>
    <n v="4919"/>
    <n v="1750"/>
    <n v="0"/>
    <m/>
    <x v="10"/>
  </r>
  <r>
    <x v="77"/>
    <s v="rom_fact_umbar"/>
    <n v="11"/>
    <x v="12"/>
    <n v="156.80000000000001"/>
    <n v="74734"/>
    <n v="31312"/>
    <n v="2356"/>
    <m/>
    <x v="11"/>
  </r>
  <r>
    <x v="77"/>
    <s v="rom_fact_mahuds"/>
    <n v="0"/>
    <x v="11"/>
    <n v="12.1"/>
    <n v="8210"/>
    <n v="2991"/>
    <n v="0"/>
    <m/>
    <x v="12"/>
  </r>
  <r>
    <x v="77"/>
    <s v="rom_fact_harad"/>
    <n v="136"/>
    <x v="12"/>
    <n v="150"/>
    <n v="17990"/>
    <n v="19426"/>
    <n v="552"/>
    <m/>
    <x v="13"/>
  </r>
  <r>
    <x v="77"/>
    <s v="rom_fact_dunland"/>
    <n v="153"/>
    <x v="2"/>
    <n v="191"/>
    <n v="149884"/>
    <n v="31091"/>
    <n v="2351"/>
    <m/>
    <x v="14"/>
  </r>
  <r>
    <x v="77"/>
    <s v="rom_fact_haerrim"/>
    <n v="0"/>
    <x v="11"/>
    <n v="0"/>
    <n v="5352"/>
    <n v="1750"/>
    <n v="0"/>
    <m/>
    <x v="15"/>
  </r>
  <r>
    <x v="77"/>
    <s v="rom_fact_goblins"/>
    <n v="368"/>
    <x v="1"/>
    <n v="362.6"/>
    <n v="20630"/>
    <n v="49062"/>
    <n v="4770"/>
    <m/>
    <x v="16"/>
  </r>
  <r>
    <x v="77"/>
    <s v="rom_fact_balchoth"/>
    <n v="0"/>
    <x v="11"/>
    <n v="0"/>
    <n v="4872"/>
    <n v="1750"/>
    <n v="0"/>
    <m/>
    <x v="17"/>
  </r>
  <r>
    <x v="77"/>
    <s v="rom_fact_rhurim"/>
    <n v="229"/>
    <x v="26"/>
    <n v="446.4"/>
    <n v="168266"/>
    <n v="42927"/>
    <n v="900"/>
    <m/>
    <x v="18"/>
  </r>
  <r>
    <x v="77"/>
    <s v="rom_fact_feredrim"/>
    <n v="0"/>
    <x v="11"/>
    <n v="0"/>
    <n v="7360"/>
    <n v="1750"/>
    <n v="0"/>
    <m/>
    <x v="19"/>
  </r>
  <r>
    <x v="77"/>
    <s v="rom_fact_wainriders"/>
    <n v="0"/>
    <x v="11"/>
    <n v="0"/>
    <n v="6395"/>
    <n v="1750"/>
    <n v="0"/>
    <m/>
    <x v="20"/>
  </r>
  <r>
    <x v="77"/>
    <s v="rom_fact_blacklock"/>
    <n v="1"/>
    <x v="7"/>
    <n v="42"/>
    <n v="52101"/>
    <n v="7880"/>
    <n v="0"/>
    <m/>
    <x v="21"/>
  </r>
  <r>
    <x v="77"/>
    <s v="rom_fact_ironfist"/>
    <n v="4"/>
    <x v="10"/>
    <n v="40"/>
    <n v="50464"/>
    <n v="8217"/>
    <n v="0"/>
    <m/>
    <x v="22"/>
  </r>
  <r>
    <x v="77"/>
    <s v="rom_fact_gundabad"/>
    <n v="197"/>
    <x v="1"/>
    <n v="257.39999999999998"/>
    <n v="63552"/>
    <n v="37541"/>
    <n v="740"/>
    <m/>
    <x v="23"/>
  </r>
  <r>
    <x v="77"/>
    <s v="rom_fact_rohan_scouts"/>
    <n v="0"/>
    <x v="11"/>
    <n v="3"/>
    <n v="90317"/>
    <n v="2379"/>
    <n v="0"/>
    <m/>
    <x v="24"/>
  </r>
  <r>
    <x v="77"/>
    <s v="rom_fact_northern_enedwaith"/>
    <n v="6"/>
    <x v="9"/>
    <n v="78"/>
    <n v="98304"/>
    <n v="15527"/>
    <n v="714"/>
    <m/>
    <x v="25"/>
  </r>
  <r>
    <x v="77"/>
    <s v="rom_fact_southern_enedwaith"/>
    <n v="0"/>
    <x v="11"/>
    <n v="0"/>
    <n v="54023"/>
    <n v="1750"/>
    <n v="0"/>
    <m/>
    <x v="26"/>
  </r>
  <r>
    <x v="77"/>
    <s v="rom_fact_druedain"/>
    <n v="0"/>
    <x v="11"/>
    <n v="0"/>
    <n v="32146"/>
    <n v="1750"/>
    <n v="0"/>
    <m/>
    <x v="27"/>
  </r>
  <r>
    <x v="77"/>
    <s v="rom_fact_harondor"/>
    <n v="0"/>
    <x v="11"/>
    <n v="0"/>
    <n v="15146"/>
    <n v="1750"/>
    <n v="0"/>
    <m/>
    <x v="28"/>
  </r>
  <r>
    <x v="77"/>
    <s v="rom_fact_southron_nomads"/>
    <n v="0"/>
    <x v="11"/>
    <n v="0"/>
    <n v="4000"/>
    <n v="1750"/>
    <n v="0"/>
    <m/>
    <x v="29"/>
  </r>
  <r>
    <x v="77"/>
    <s v="rom_fact_separatist_harad"/>
    <n v="0"/>
    <x v="11"/>
    <n v="0"/>
    <n v="4000"/>
    <n v="1750"/>
    <n v="0"/>
    <m/>
    <x v="30"/>
  </r>
  <r>
    <x v="77"/>
    <s v="rom_fact_separatist_khand"/>
    <n v="0"/>
    <x v="11"/>
    <n v="0"/>
    <n v="4000"/>
    <n v="1750"/>
    <n v="0"/>
    <m/>
    <x v="30"/>
  </r>
  <r>
    <x v="77"/>
    <s v="rom_fact_separatist_balchoth"/>
    <n v="0"/>
    <x v="11"/>
    <n v="0"/>
    <n v="4000"/>
    <n v="1750"/>
    <n v="0"/>
    <m/>
    <x v="30"/>
  </r>
  <r>
    <x v="77"/>
    <s v="rom_fact_separatist_feredrim"/>
    <n v="0"/>
    <x v="11"/>
    <n v="0"/>
    <n v="4000"/>
    <n v="1750"/>
    <n v="0"/>
    <m/>
    <x v="30"/>
  </r>
  <r>
    <x v="77"/>
    <s v="rom_fact_separatist_haerrim"/>
    <n v="0"/>
    <x v="11"/>
    <n v="0"/>
    <n v="4000"/>
    <n v="1750"/>
    <n v="0"/>
    <m/>
    <x v="30"/>
  </r>
  <r>
    <x v="77"/>
    <s v="rom_fact_separatist_wainriders"/>
    <n v="0"/>
    <x v="11"/>
    <n v="0"/>
    <n v="4000"/>
    <n v="1750"/>
    <n v="0"/>
    <m/>
    <x v="30"/>
  </r>
  <r>
    <x v="77"/>
    <s v="rom_fact_separatist_rhurim"/>
    <n v="0"/>
    <x v="11"/>
    <n v="0"/>
    <n v="4000"/>
    <n v="1750"/>
    <n v="0"/>
    <m/>
    <x v="30"/>
  </r>
  <r>
    <x v="77"/>
    <s v="rom_fact_separatist_mahuds"/>
    <n v="0"/>
    <x v="11"/>
    <n v="0"/>
    <n v="4000"/>
    <n v="1750"/>
    <n v="0"/>
    <m/>
    <x v="30"/>
  </r>
  <r>
    <x v="77"/>
    <s v="rom_fact_separatist_umbar"/>
    <n v="0"/>
    <x v="11"/>
    <n v="0"/>
    <n v="4000"/>
    <n v="1750"/>
    <n v="0"/>
    <m/>
    <x v="30"/>
  </r>
  <r>
    <x v="78"/>
    <s v="rom_fact_mordor"/>
    <n v="288"/>
    <x v="30"/>
    <n v="263.3"/>
    <n v="7205"/>
    <n v="32519"/>
    <n v="2433"/>
    <m/>
    <x v="0"/>
  </r>
  <r>
    <x v="78"/>
    <s v="rom_fact_gondor"/>
    <n v="146"/>
    <x v="11"/>
    <n v="0"/>
    <n v="55420"/>
    <n v="2500"/>
    <n v="0"/>
    <m/>
    <x v="1"/>
  </r>
  <r>
    <x v="78"/>
    <s v="rom_fact_dale"/>
    <n v="181"/>
    <x v="7"/>
    <n v="28.4"/>
    <n v="475"/>
    <n v="6398"/>
    <n v="0"/>
    <m/>
    <x v="2"/>
  </r>
  <r>
    <x v="78"/>
    <s v="rom_fact_erebor"/>
    <n v="200"/>
    <x v="11"/>
    <n v="0"/>
    <n v="10040"/>
    <n v="2500"/>
    <n v="0"/>
    <m/>
    <x v="3"/>
  </r>
  <r>
    <x v="78"/>
    <s v="rom_fact_rohan"/>
    <n v="157"/>
    <x v="11"/>
    <n v="0"/>
    <n v="6638"/>
    <n v="2500"/>
    <n v="0"/>
    <m/>
    <x v="4"/>
  </r>
  <r>
    <x v="78"/>
    <s v="rom_fact_dol_guldur"/>
    <n v="213"/>
    <x v="4"/>
    <n v="230.9"/>
    <n v="15588"/>
    <n v="31361"/>
    <n v="2103"/>
    <m/>
    <x v="5"/>
  </r>
  <r>
    <x v="78"/>
    <s v="rom_fact_anduin_vale"/>
    <n v="58"/>
    <x v="11"/>
    <n v="0"/>
    <n v="4515"/>
    <n v="2500"/>
    <n v="0"/>
    <m/>
    <x v="6"/>
  </r>
  <r>
    <x v="78"/>
    <s v="rom_fact_isengard"/>
    <n v="242"/>
    <x v="12"/>
    <n v="193"/>
    <n v="38000"/>
    <n v="25320"/>
    <n v="1275"/>
    <m/>
    <x v="7"/>
  </r>
  <r>
    <x v="78"/>
    <s v="rom_fact_woodland_realm"/>
    <n v="30"/>
    <x v="11"/>
    <n v="0"/>
    <n v="8475"/>
    <n v="2500"/>
    <n v="0"/>
    <m/>
    <x v="8"/>
  </r>
  <r>
    <x v="78"/>
    <s v="rom_fact_lothlorien"/>
    <n v="64"/>
    <x v="11"/>
    <n v="0"/>
    <n v="4721"/>
    <n v="2500"/>
    <n v="0"/>
    <m/>
    <x v="9"/>
  </r>
  <r>
    <x v="78"/>
    <s v="rom_fact_khand"/>
    <n v="0"/>
    <x v="11"/>
    <n v="0"/>
    <n v="4919"/>
    <n v="1750"/>
    <n v="0"/>
    <m/>
    <x v="10"/>
  </r>
  <r>
    <x v="78"/>
    <s v="rom_fact_umbar"/>
    <n v="11"/>
    <x v="12"/>
    <n v="157.80000000000001"/>
    <n v="81862"/>
    <n v="31388"/>
    <n v="2364"/>
    <m/>
    <x v="11"/>
  </r>
  <r>
    <x v="78"/>
    <s v="rom_fact_mahuds"/>
    <n v="0"/>
    <x v="11"/>
    <n v="12.1"/>
    <n v="8719"/>
    <n v="2991"/>
    <n v="0"/>
    <m/>
    <x v="12"/>
  </r>
  <r>
    <x v="78"/>
    <s v="rom_fact_harad"/>
    <n v="136"/>
    <x v="12"/>
    <n v="149"/>
    <n v="24401"/>
    <n v="19628"/>
    <n v="557"/>
    <m/>
    <x v="13"/>
  </r>
  <r>
    <x v="78"/>
    <s v="rom_fact_dunland"/>
    <n v="153"/>
    <x v="2"/>
    <n v="191"/>
    <n v="160378"/>
    <n v="30989"/>
    <n v="2353"/>
    <m/>
    <x v="14"/>
  </r>
  <r>
    <x v="78"/>
    <s v="rom_fact_haerrim"/>
    <n v="0"/>
    <x v="11"/>
    <n v="0"/>
    <n v="5352"/>
    <n v="1750"/>
    <n v="0"/>
    <m/>
    <x v="15"/>
  </r>
  <r>
    <x v="78"/>
    <s v="rom_fact_goblins"/>
    <n v="368"/>
    <x v="1"/>
    <n v="365.6"/>
    <n v="20904"/>
    <n v="49641"/>
    <n v="4777"/>
    <m/>
    <x v="16"/>
  </r>
  <r>
    <x v="78"/>
    <s v="rom_fact_balchoth"/>
    <n v="0"/>
    <x v="11"/>
    <n v="0"/>
    <n v="4872"/>
    <n v="1750"/>
    <n v="0"/>
    <m/>
    <x v="17"/>
  </r>
  <r>
    <x v="78"/>
    <s v="rom_fact_rhurim"/>
    <n v="234"/>
    <x v="26"/>
    <n v="432.1"/>
    <n v="163111"/>
    <n v="42759"/>
    <n v="903"/>
    <m/>
    <x v="18"/>
  </r>
  <r>
    <x v="78"/>
    <s v="rom_fact_feredrim"/>
    <n v="0"/>
    <x v="11"/>
    <n v="0"/>
    <n v="7360"/>
    <n v="1750"/>
    <n v="0"/>
    <m/>
    <x v="19"/>
  </r>
  <r>
    <x v="78"/>
    <s v="rom_fact_wainriders"/>
    <n v="0"/>
    <x v="11"/>
    <n v="0"/>
    <n v="6395"/>
    <n v="1750"/>
    <n v="0"/>
    <m/>
    <x v="20"/>
  </r>
  <r>
    <x v="78"/>
    <s v="rom_fact_blacklock"/>
    <n v="1"/>
    <x v="7"/>
    <n v="42"/>
    <n v="51180"/>
    <n v="8156"/>
    <n v="0"/>
    <m/>
    <x v="21"/>
  </r>
  <r>
    <x v="78"/>
    <s v="rom_fact_ironfist"/>
    <n v="4"/>
    <x v="10"/>
    <n v="40"/>
    <n v="53391"/>
    <n v="8583"/>
    <n v="0"/>
    <m/>
    <x v="22"/>
  </r>
  <r>
    <x v="78"/>
    <s v="rom_fact_gundabad"/>
    <n v="197"/>
    <x v="1"/>
    <n v="285.8"/>
    <n v="61441"/>
    <n v="38159"/>
    <n v="740"/>
    <m/>
    <x v="23"/>
  </r>
  <r>
    <x v="78"/>
    <s v="rom_fact_rohan_scouts"/>
    <n v="0"/>
    <x v="11"/>
    <n v="3"/>
    <n v="91438"/>
    <n v="2379"/>
    <n v="0"/>
    <m/>
    <x v="24"/>
  </r>
  <r>
    <x v="78"/>
    <s v="rom_fact_northern_enedwaith"/>
    <n v="6"/>
    <x v="9"/>
    <n v="78"/>
    <n v="99907"/>
    <n v="15669"/>
    <n v="715"/>
    <m/>
    <x v="25"/>
  </r>
  <r>
    <x v="78"/>
    <s v="rom_fact_southern_enedwaith"/>
    <n v="0"/>
    <x v="11"/>
    <n v="0"/>
    <n v="54023"/>
    <n v="1750"/>
    <n v="0"/>
    <m/>
    <x v="26"/>
  </r>
  <r>
    <x v="78"/>
    <s v="rom_fact_druedain"/>
    <n v="0"/>
    <x v="11"/>
    <n v="0"/>
    <n v="32146"/>
    <n v="1750"/>
    <n v="0"/>
    <m/>
    <x v="27"/>
  </r>
  <r>
    <x v="78"/>
    <s v="rom_fact_harondor"/>
    <n v="0"/>
    <x v="11"/>
    <n v="0"/>
    <n v="15146"/>
    <n v="1750"/>
    <n v="0"/>
    <m/>
    <x v="28"/>
  </r>
  <r>
    <x v="78"/>
    <s v="rom_fact_southron_nomads"/>
    <n v="0"/>
    <x v="11"/>
    <n v="0"/>
    <n v="4000"/>
    <n v="1750"/>
    <n v="0"/>
    <m/>
    <x v="29"/>
  </r>
  <r>
    <x v="78"/>
    <s v="rom_fact_separatist_harad"/>
    <n v="0"/>
    <x v="11"/>
    <n v="0"/>
    <n v="4000"/>
    <n v="1750"/>
    <n v="0"/>
    <m/>
    <x v="30"/>
  </r>
  <r>
    <x v="78"/>
    <s v="rom_fact_separatist_khand"/>
    <n v="0"/>
    <x v="11"/>
    <n v="0"/>
    <n v="4000"/>
    <n v="1750"/>
    <n v="0"/>
    <m/>
    <x v="30"/>
  </r>
  <r>
    <x v="78"/>
    <s v="rom_fact_separatist_balchoth"/>
    <n v="0"/>
    <x v="11"/>
    <n v="0"/>
    <n v="4000"/>
    <n v="1750"/>
    <n v="0"/>
    <m/>
    <x v="30"/>
  </r>
  <r>
    <x v="78"/>
    <s v="rom_fact_separatist_feredrim"/>
    <n v="0"/>
    <x v="11"/>
    <n v="0"/>
    <n v="4000"/>
    <n v="1750"/>
    <n v="0"/>
    <m/>
    <x v="30"/>
  </r>
  <r>
    <x v="78"/>
    <s v="rom_fact_separatist_haerrim"/>
    <n v="0"/>
    <x v="11"/>
    <n v="0"/>
    <n v="4000"/>
    <n v="1750"/>
    <n v="0"/>
    <m/>
    <x v="30"/>
  </r>
  <r>
    <x v="78"/>
    <s v="rom_fact_separatist_wainriders"/>
    <n v="0"/>
    <x v="11"/>
    <n v="0"/>
    <n v="4000"/>
    <n v="1750"/>
    <n v="0"/>
    <m/>
    <x v="30"/>
  </r>
  <r>
    <x v="78"/>
    <s v="rom_fact_separatist_rhurim"/>
    <n v="0"/>
    <x v="11"/>
    <n v="0"/>
    <n v="4000"/>
    <n v="1750"/>
    <n v="0"/>
    <m/>
    <x v="30"/>
  </r>
  <r>
    <x v="78"/>
    <s v="rom_fact_separatist_mahuds"/>
    <n v="0"/>
    <x v="11"/>
    <n v="0"/>
    <n v="4000"/>
    <n v="1750"/>
    <n v="0"/>
    <m/>
    <x v="30"/>
  </r>
  <r>
    <x v="78"/>
    <s v="rom_fact_separatist_umbar"/>
    <n v="0"/>
    <x v="11"/>
    <n v="0"/>
    <n v="4000"/>
    <n v="1750"/>
    <n v="0"/>
    <m/>
    <x v="30"/>
  </r>
  <r>
    <x v="79"/>
    <s v="rom_fact_mordor"/>
    <n v="288"/>
    <x v="30"/>
    <n v="263.3"/>
    <n v="12222"/>
    <n v="32271"/>
    <n v="2438"/>
    <m/>
    <x v="0"/>
  </r>
  <r>
    <x v="79"/>
    <s v="rom_fact_gondor"/>
    <n v="146"/>
    <x v="11"/>
    <n v="0"/>
    <n v="55420"/>
    <n v="2500"/>
    <n v="0"/>
    <m/>
    <x v="1"/>
  </r>
  <r>
    <x v="79"/>
    <s v="rom_fact_dale"/>
    <n v="181"/>
    <x v="7"/>
    <n v="19.399999999999999"/>
    <n v="278"/>
    <n v="5901"/>
    <n v="0"/>
    <m/>
    <x v="2"/>
  </r>
  <r>
    <x v="79"/>
    <s v="rom_fact_erebor"/>
    <n v="200"/>
    <x v="11"/>
    <n v="0"/>
    <n v="10040"/>
    <n v="2500"/>
    <n v="0"/>
    <m/>
    <x v="3"/>
  </r>
  <r>
    <x v="79"/>
    <s v="rom_fact_rohan"/>
    <n v="157"/>
    <x v="11"/>
    <n v="0"/>
    <n v="6638"/>
    <n v="2500"/>
    <n v="0"/>
    <m/>
    <x v="4"/>
  </r>
  <r>
    <x v="79"/>
    <s v="rom_fact_dol_guldur"/>
    <n v="214"/>
    <x v="15"/>
    <n v="224.9"/>
    <n v="14081"/>
    <n v="32574"/>
    <n v="2205"/>
    <m/>
    <x v="5"/>
  </r>
  <r>
    <x v="79"/>
    <s v="rom_fact_anduin_vale"/>
    <n v="58"/>
    <x v="11"/>
    <n v="0"/>
    <n v="4515"/>
    <n v="2500"/>
    <n v="0"/>
    <m/>
    <x v="6"/>
  </r>
  <r>
    <x v="79"/>
    <s v="rom_fact_isengard"/>
    <n v="242"/>
    <x v="12"/>
    <n v="194"/>
    <n v="39553"/>
    <n v="25334"/>
    <n v="1275"/>
    <m/>
    <x v="7"/>
  </r>
  <r>
    <x v="79"/>
    <s v="rom_fact_woodland_realm"/>
    <n v="30"/>
    <x v="11"/>
    <n v="0"/>
    <n v="8475"/>
    <n v="2500"/>
    <n v="0"/>
    <m/>
    <x v="8"/>
  </r>
  <r>
    <x v="79"/>
    <s v="rom_fact_lothlorien"/>
    <n v="64"/>
    <x v="11"/>
    <n v="0"/>
    <n v="4721"/>
    <n v="2500"/>
    <n v="0"/>
    <m/>
    <x v="9"/>
  </r>
  <r>
    <x v="79"/>
    <s v="rom_fact_khand"/>
    <n v="0"/>
    <x v="11"/>
    <n v="0"/>
    <n v="4919"/>
    <n v="1750"/>
    <n v="0"/>
    <m/>
    <x v="10"/>
  </r>
  <r>
    <x v="79"/>
    <s v="rom_fact_umbar"/>
    <n v="11"/>
    <x v="12"/>
    <n v="161"/>
    <n v="85301"/>
    <n v="31749"/>
    <n v="2370"/>
    <m/>
    <x v="11"/>
  </r>
  <r>
    <x v="79"/>
    <s v="rom_fact_mahuds"/>
    <n v="0"/>
    <x v="11"/>
    <n v="12.1"/>
    <n v="9228"/>
    <n v="2991"/>
    <n v="0"/>
    <m/>
    <x v="12"/>
  </r>
  <r>
    <x v="79"/>
    <s v="rom_fact_harad"/>
    <n v="136"/>
    <x v="12"/>
    <n v="149"/>
    <n v="24376"/>
    <n v="19582"/>
    <n v="557"/>
    <m/>
    <x v="13"/>
  </r>
  <r>
    <x v="79"/>
    <s v="rom_fact_dunland"/>
    <n v="153"/>
    <x v="2"/>
    <n v="191"/>
    <n v="170939"/>
    <n v="31061"/>
    <n v="2358"/>
    <m/>
    <x v="14"/>
  </r>
  <r>
    <x v="79"/>
    <s v="rom_fact_haerrim"/>
    <n v="0"/>
    <x v="11"/>
    <n v="0"/>
    <n v="5352"/>
    <n v="1750"/>
    <n v="0"/>
    <m/>
    <x v="15"/>
  </r>
  <r>
    <x v="79"/>
    <s v="rom_fact_goblins"/>
    <n v="368"/>
    <x v="1"/>
    <n v="366.79999999999899"/>
    <n v="25373"/>
    <n v="50521"/>
    <n v="5176"/>
    <m/>
    <x v="16"/>
  </r>
  <r>
    <x v="79"/>
    <s v="rom_fact_balchoth"/>
    <n v="0"/>
    <x v="11"/>
    <n v="0"/>
    <n v="4872"/>
    <n v="1750"/>
    <n v="0"/>
    <m/>
    <x v="17"/>
  </r>
  <r>
    <x v="79"/>
    <s v="rom_fact_rhurim"/>
    <n v="242"/>
    <x v="26"/>
    <n v="449.4"/>
    <n v="157662"/>
    <n v="43016"/>
    <n v="933"/>
    <m/>
    <x v="18"/>
  </r>
  <r>
    <x v="79"/>
    <s v="rom_fact_feredrim"/>
    <n v="0"/>
    <x v="11"/>
    <n v="0"/>
    <n v="7360"/>
    <n v="1750"/>
    <n v="0"/>
    <m/>
    <x v="19"/>
  </r>
  <r>
    <x v="79"/>
    <s v="rom_fact_wainriders"/>
    <n v="0"/>
    <x v="11"/>
    <n v="0"/>
    <n v="6395"/>
    <n v="1750"/>
    <n v="0"/>
    <m/>
    <x v="20"/>
  </r>
  <r>
    <x v="79"/>
    <s v="rom_fact_blacklock"/>
    <n v="1"/>
    <x v="7"/>
    <n v="41"/>
    <n v="47370"/>
    <n v="8052"/>
    <n v="0"/>
    <m/>
    <x v="21"/>
  </r>
  <r>
    <x v="79"/>
    <s v="rom_fact_ironfist"/>
    <n v="4"/>
    <x v="10"/>
    <n v="40"/>
    <n v="56318"/>
    <n v="8583"/>
    <n v="0"/>
    <m/>
    <x v="22"/>
  </r>
  <r>
    <x v="79"/>
    <s v="rom_fact_gundabad"/>
    <n v="200"/>
    <x v="18"/>
    <n v="302"/>
    <n v="56756"/>
    <n v="38798"/>
    <n v="702"/>
    <m/>
    <x v="23"/>
  </r>
  <r>
    <x v="79"/>
    <s v="rom_fact_rohan_scouts"/>
    <n v="0"/>
    <x v="11"/>
    <n v="3"/>
    <n v="92559"/>
    <n v="2379"/>
    <n v="0"/>
    <m/>
    <x v="24"/>
  </r>
  <r>
    <x v="79"/>
    <s v="rom_fact_northern_enedwaith"/>
    <n v="6"/>
    <x v="9"/>
    <n v="79"/>
    <n v="101935"/>
    <n v="15767"/>
    <n v="717"/>
    <m/>
    <x v="25"/>
  </r>
  <r>
    <x v="79"/>
    <s v="rom_fact_southern_enedwaith"/>
    <n v="0"/>
    <x v="11"/>
    <n v="0"/>
    <n v="54023"/>
    <n v="1750"/>
    <n v="0"/>
    <m/>
    <x v="26"/>
  </r>
  <r>
    <x v="79"/>
    <s v="rom_fact_druedain"/>
    <n v="0"/>
    <x v="11"/>
    <n v="0"/>
    <n v="32146"/>
    <n v="1750"/>
    <n v="0"/>
    <m/>
    <x v="27"/>
  </r>
  <r>
    <x v="79"/>
    <s v="rom_fact_harondor"/>
    <n v="0"/>
    <x v="11"/>
    <n v="0"/>
    <n v="15146"/>
    <n v="1750"/>
    <n v="0"/>
    <m/>
    <x v="28"/>
  </r>
  <r>
    <x v="79"/>
    <s v="rom_fact_southron_nomads"/>
    <n v="0"/>
    <x v="11"/>
    <n v="0"/>
    <n v="4000"/>
    <n v="1750"/>
    <n v="0"/>
    <m/>
    <x v="29"/>
  </r>
  <r>
    <x v="79"/>
    <s v="rom_fact_separatist_harad"/>
    <n v="0"/>
    <x v="11"/>
    <n v="0"/>
    <n v="4000"/>
    <n v="1750"/>
    <n v="0"/>
    <m/>
    <x v="30"/>
  </r>
  <r>
    <x v="79"/>
    <s v="rom_fact_separatist_khand"/>
    <n v="0"/>
    <x v="11"/>
    <n v="0"/>
    <n v="4000"/>
    <n v="1750"/>
    <n v="0"/>
    <m/>
    <x v="30"/>
  </r>
  <r>
    <x v="79"/>
    <s v="rom_fact_separatist_balchoth"/>
    <n v="0"/>
    <x v="11"/>
    <n v="0"/>
    <n v="4000"/>
    <n v="1750"/>
    <n v="0"/>
    <m/>
    <x v="30"/>
  </r>
  <r>
    <x v="79"/>
    <s v="rom_fact_separatist_feredrim"/>
    <n v="0"/>
    <x v="11"/>
    <n v="0"/>
    <n v="4000"/>
    <n v="1750"/>
    <n v="0"/>
    <m/>
    <x v="30"/>
  </r>
  <r>
    <x v="79"/>
    <s v="rom_fact_separatist_haerrim"/>
    <n v="0"/>
    <x v="11"/>
    <n v="0"/>
    <n v="4000"/>
    <n v="1750"/>
    <n v="0"/>
    <m/>
    <x v="30"/>
  </r>
  <r>
    <x v="79"/>
    <s v="rom_fact_separatist_wainriders"/>
    <n v="0"/>
    <x v="11"/>
    <n v="0"/>
    <n v="4000"/>
    <n v="1750"/>
    <n v="0"/>
    <m/>
    <x v="30"/>
  </r>
  <r>
    <x v="79"/>
    <s v="rom_fact_separatist_rhurim"/>
    <n v="0"/>
    <x v="11"/>
    <n v="0"/>
    <n v="4000"/>
    <n v="1750"/>
    <n v="0"/>
    <m/>
    <x v="30"/>
  </r>
  <r>
    <x v="79"/>
    <s v="rom_fact_separatist_mahuds"/>
    <n v="0"/>
    <x v="11"/>
    <n v="0"/>
    <n v="4000"/>
    <n v="1750"/>
    <n v="0"/>
    <m/>
    <x v="30"/>
  </r>
  <r>
    <x v="79"/>
    <s v="rom_fact_separatist_umbar"/>
    <n v="0"/>
    <x v="11"/>
    <n v="0"/>
    <n v="4000"/>
    <n v="1750"/>
    <n v="0"/>
    <m/>
    <x v="30"/>
  </r>
  <r>
    <x v="80"/>
    <s v="rom_fact_mordor"/>
    <n v="301"/>
    <x v="30"/>
    <n v="288.3"/>
    <n v="13722"/>
    <n v="37553"/>
    <n v="2707"/>
    <m/>
    <x v="0"/>
  </r>
  <r>
    <x v="80"/>
    <s v="rom_fact_gondor"/>
    <n v="146"/>
    <x v="11"/>
    <n v="0"/>
    <n v="55420"/>
    <n v="2500"/>
    <n v="0"/>
    <m/>
    <x v="1"/>
  </r>
  <r>
    <x v="80"/>
    <s v="rom_fact_dale"/>
    <n v="181"/>
    <x v="7"/>
    <n v="17"/>
    <n v="47"/>
    <n v="5510"/>
    <n v="0"/>
    <m/>
    <x v="2"/>
  </r>
  <r>
    <x v="80"/>
    <s v="rom_fact_erebor"/>
    <n v="200"/>
    <x v="11"/>
    <n v="0"/>
    <n v="10040"/>
    <n v="2500"/>
    <n v="0"/>
    <m/>
    <x v="3"/>
  </r>
  <r>
    <x v="80"/>
    <s v="rom_fact_rohan"/>
    <n v="157"/>
    <x v="11"/>
    <n v="0"/>
    <n v="6638"/>
    <n v="2500"/>
    <n v="0"/>
    <m/>
    <x v="4"/>
  </r>
  <r>
    <x v="80"/>
    <s v="rom_fact_dol_guldur"/>
    <n v="223"/>
    <x v="14"/>
    <n v="229.4"/>
    <n v="19222"/>
    <n v="31918"/>
    <n v="2316"/>
    <m/>
    <x v="5"/>
  </r>
  <r>
    <x v="80"/>
    <s v="rom_fact_anduin_vale"/>
    <n v="58"/>
    <x v="11"/>
    <n v="0"/>
    <n v="4515"/>
    <n v="2500"/>
    <n v="0"/>
    <m/>
    <x v="6"/>
  </r>
  <r>
    <x v="80"/>
    <s v="rom_fact_isengard"/>
    <n v="242"/>
    <x v="12"/>
    <n v="194"/>
    <n v="43183"/>
    <n v="25525"/>
    <n v="1280"/>
    <m/>
    <x v="7"/>
  </r>
  <r>
    <x v="80"/>
    <s v="rom_fact_woodland_realm"/>
    <n v="30"/>
    <x v="11"/>
    <n v="0"/>
    <n v="8475"/>
    <n v="2500"/>
    <n v="0"/>
    <m/>
    <x v="8"/>
  </r>
  <r>
    <x v="80"/>
    <s v="rom_fact_lothlorien"/>
    <n v="64"/>
    <x v="11"/>
    <n v="0"/>
    <n v="4721"/>
    <n v="2500"/>
    <n v="0"/>
    <m/>
    <x v="9"/>
  </r>
  <r>
    <x v="80"/>
    <s v="rom_fact_khand"/>
    <n v="0"/>
    <x v="11"/>
    <n v="0"/>
    <n v="4919"/>
    <n v="1750"/>
    <n v="0"/>
    <m/>
    <x v="10"/>
  </r>
  <r>
    <x v="80"/>
    <s v="rom_fact_umbar"/>
    <n v="11"/>
    <x v="12"/>
    <n v="163"/>
    <n v="90694"/>
    <n v="32235"/>
    <n v="2382"/>
    <m/>
    <x v="11"/>
  </r>
  <r>
    <x v="80"/>
    <s v="rom_fact_mahuds"/>
    <n v="0"/>
    <x v="11"/>
    <n v="0"/>
    <n v="9228"/>
    <n v="1750"/>
    <n v="0"/>
    <m/>
    <x v="12"/>
  </r>
  <r>
    <x v="80"/>
    <s v="rom_fact_harad"/>
    <n v="141"/>
    <x v="12"/>
    <n v="154"/>
    <n v="17528"/>
    <n v="21233"/>
    <n v="558"/>
    <m/>
    <x v="13"/>
  </r>
  <r>
    <x v="80"/>
    <s v="rom_fact_dunland"/>
    <n v="153"/>
    <x v="2"/>
    <n v="191"/>
    <n v="181617"/>
    <n v="31180"/>
    <n v="2372"/>
    <m/>
    <x v="14"/>
  </r>
  <r>
    <x v="80"/>
    <s v="rom_fact_haerrim"/>
    <n v="0"/>
    <x v="11"/>
    <n v="0"/>
    <n v="5352"/>
    <n v="1750"/>
    <n v="0"/>
    <m/>
    <x v="15"/>
  </r>
  <r>
    <x v="80"/>
    <s v="rom_fact_goblins"/>
    <n v="388"/>
    <x v="1"/>
    <n v="372.2"/>
    <n v="21586"/>
    <n v="51971"/>
    <n v="5315"/>
    <m/>
    <x v="16"/>
  </r>
  <r>
    <x v="80"/>
    <s v="rom_fact_balchoth"/>
    <n v="0"/>
    <x v="11"/>
    <n v="0"/>
    <n v="4872"/>
    <n v="1750"/>
    <n v="0"/>
    <m/>
    <x v="17"/>
  </r>
  <r>
    <x v="80"/>
    <s v="rom_fact_rhurim"/>
    <n v="242"/>
    <x v="26"/>
    <n v="456"/>
    <n v="156962"/>
    <n v="44139"/>
    <n v="1237"/>
    <m/>
    <x v="18"/>
  </r>
  <r>
    <x v="80"/>
    <s v="rom_fact_feredrim"/>
    <n v="0"/>
    <x v="11"/>
    <n v="0"/>
    <n v="7360"/>
    <n v="1750"/>
    <n v="0"/>
    <m/>
    <x v="19"/>
  </r>
  <r>
    <x v="80"/>
    <s v="rom_fact_wainriders"/>
    <n v="0"/>
    <x v="11"/>
    <n v="0"/>
    <n v="6395"/>
    <n v="1750"/>
    <n v="0"/>
    <m/>
    <x v="20"/>
  </r>
  <r>
    <x v="80"/>
    <s v="rom_fact_blacklock"/>
    <n v="1"/>
    <x v="7"/>
    <n v="44"/>
    <n v="44651"/>
    <n v="8137"/>
    <n v="0"/>
    <m/>
    <x v="21"/>
  </r>
  <r>
    <x v="80"/>
    <s v="rom_fact_ironfist"/>
    <n v="4"/>
    <x v="10"/>
    <n v="40"/>
    <n v="59245"/>
    <n v="8583"/>
    <n v="0"/>
    <m/>
    <x v="22"/>
  </r>
  <r>
    <x v="80"/>
    <s v="rom_fact_gundabad"/>
    <n v="199"/>
    <x v="20"/>
    <n v="307"/>
    <n v="61169"/>
    <n v="39832"/>
    <n v="635"/>
    <m/>
    <x v="23"/>
  </r>
  <r>
    <x v="80"/>
    <s v="rom_fact_rohan_scouts"/>
    <n v="0"/>
    <x v="11"/>
    <n v="3"/>
    <n v="93680"/>
    <n v="2379"/>
    <n v="0"/>
    <m/>
    <x v="24"/>
  </r>
  <r>
    <x v="80"/>
    <s v="rom_fact_northern_enedwaith"/>
    <n v="6"/>
    <x v="9"/>
    <n v="79"/>
    <n v="103482"/>
    <n v="15775"/>
    <n v="725"/>
    <m/>
    <x v="25"/>
  </r>
  <r>
    <x v="80"/>
    <s v="rom_fact_southern_enedwaith"/>
    <n v="0"/>
    <x v="11"/>
    <n v="0"/>
    <n v="54023"/>
    <n v="1750"/>
    <n v="0"/>
    <m/>
    <x v="26"/>
  </r>
  <r>
    <x v="80"/>
    <s v="rom_fact_druedain"/>
    <n v="0"/>
    <x v="11"/>
    <n v="0"/>
    <n v="32146"/>
    <n v="1750"/>
    <n v="0"/>
    <m/>
    <x v="27"/>
  </r>
  <r>
    <x v="80"/>
    <s v="rom_fact_harondor"/>
    <n v="0"/>
    <x v="11"/>
    <n v="0"/>
    <n v="15146"/>
    <n v="1750"/>
    <n v="0"/>
    <m/>
    <x v="28"/>
  </r>
  <r>
    <x v="80"/>
    <s v="rom_fact_southron_nomads"/>
    <n v="0"/>
    <x v="11"/>
    <n v="0"/>
    <n v="4000"/>
    <n v="1750"/>
    <n v="0"/>
    <m/>
    <x v="29"/>
  </r>
  <r>
    <x v="80"/>
    <s v="rom_fact_separatist_harad"/>
    <n v="0"/>
    <x v="11"/>
    <n v="0"/>
    <n v="4000"/>
    <n v="1750"/>
    <n v="0"/>
    <m/>
    <x v="30"/>
  </r>
  <r>
    <x v="80"/>
    <s v="rom_fact_separatist_khand"/>
    <n v="0"/>
    <x v="11"/>
    <n v="0"/>
    <n v="4000"/>
    <n v="1750"/>
    <n v="0"/>
    <m/>
    <x v="30"/>
  </r>
  <r>
    <x v="80"/>
    <s v="rom_fact_separatist_balchoth"/>
    <n v="0"/>
    <x v="11"/>
    <n v="0"/>
    <n v="4000"/>
    <n v="1750"/>
    <n v="0"/>
    <m/>
    <x v="30"/>
  </r>
  <r>
    <x v="80"/>
    <s v="rom_fact_separatist_feredrim"/>
    <n v="0"/>
    <x v="11"/>
    <n v="0"/>
    <n v="4000"/>
    <n v="1750"/>
    <n v="0"/>
    <m/>
    <x v="30"/>
  </r>
  <r>
    <x v="80"/>
    <s v="rom_fact_separatist_haerrim"/>
    <n v="0"/>
    <x v="11"/>
    <n v="0"/>
    <n v="4000"/>
    <n v="1750"/>
    <n v="0"/>
    <m/>
    <x v="30"/>
  </r>
  <r>
    <x v="80"/>
    <s v="rom_fact_separatist_wainriders"/>
    <n v="0"/>
    <x v="11"/>
    <n v="0"/>
    <n v="4000"/>
    <n v="1750"/>
    <n v="0"/>
    <m/>
    <x v="30"/>
  </r>
  <r>
    <x v="80"/>
    <s v="rom_fact_separatist_rhurim"/>
    <n v="0"/>
    <x v="11"/>
    <n v="0"/>
    <n v="4000"/>
    <n v="1750"/>
    <n v="0"/>
    <m/>
    <x v="30"/>
  </r>
  <r>
    <x v="80"/>
    <s v="rom_fact_separatist_mahuds"/>
    <n v="0"/>
    <x v="11"/>
    <n v="0"/>
    <n v="4000"/>
    <n v="1750"/>
    <n v="0"/>
    <m/>
    <x v="30"/>
  </r>
  <r>
    <x v="80"/>
    <s v="rom_fact_separatist_umbar"/>
    <n v="0"/>
    <x v="11"/>
    <n v="0"/>
    <n v="4000"/>
    <n v="1750"/>
    <n v="0"/>
    <m/>
    <x v="30"/>
  </r>
  <r>
    <x v="81"/>
    <s v="rom_fact_mordor"/>
    <n v="309"/>
    <x v="30"/>
    <n v="292.89999999999998"/>
    <n v="9283"/>
    <n v="39662"/>
    <n v="2721"/>
    <m/>
    <x v="0"/>
  </r>
  <r>
    <x v="81"/>
    <s v="rom_fact_gondor"/>
    <n v="146"/>
    <x v="11"/>
    <n v="0"/>
    <n v="55420"/>
    <n v="2500"/>
    <n v="0"/>
    <m/>
    <x v="1"/>
  </r>
  <r>
    <x v="81"/>
    <s v="rom_fact_dale"/>
    <n v="181"/>
    <x v="7"/>
    <n v="19.600000000000001"/>
    <n v="351"/>
    <n v="5182"/>
    <n v="0"/>
    <m/>
    <x v="2"/>
  </r>
  <r>
    <x v="81"/>
    <s v="rom_fact_erebor"/>
    <n v="200"/>
    <x v="11"/>
    <n v="0"/>
    <n v="10040"/>
    <n v="2500"/>
    <n v="0"/>
    <m/>
    <x v="3"/>
  </r>
  <r>
    <x v="81"/>
    <s v="rom_fact_rohan"/>
    <n v="157"/>
    <x v="11"/>
    <n v="0"/>
    <n v="6638"/>
    <n v="2500"/>
    <n v="0"/>
    <m/>
    <x v="4"/>
  </r>
  <r>
    <x v="81"/>
    <s v="rom_fact_dol_guldur"/>
    <n v="252"/>
    <x v="14"/>
    <n v="254.1"/>
    <n v="17914"/>
    <n v="33986"/>
    <n v="2332"/>
    <m/>
    <x v="5"/>
  </r>
  <r>
    <x v="81"/>
    <s v="rom_fact_anduin_vale"/>
    <n v="58"/>
    <x v="11"/>
    <n v="0"/>
    <n v="4515"/>
    <n v="2500"/>
    <n v="0"/>
    <m/>
    <x v="6"/>
  </r>
  <r>
    <x v="81"/>
    <s v="rom_fact_isengard"/>
    <n v="247"/>
    <x v="12"/>
    <n v="194"/>
    <n v="46758"/>
    <n v="25542"/>
    <n v="1278"/>
    <m/>
    <x v="7"/>
  </r>
  <r>
    <x v="81"/>
    <s v="rom_fact_woodland_realm"/>
    <n v="30"/>
    <x v="11"/>
    <n v="0"/>
    <n v="8475"/>
    <n v="2500"/>
    <n v="0"/>
    <m/>
    <x v="8"/>
  </r>
  <r>
    <x v="81"/>
    <s v="rom_fact_lothlorien"/>
    <n v="64"/>
    <x v="11"/>
    <n v="0"/>
    <n v="4721"/>
    <n v="2500"/>
    <n v="0"/>
    <m/>
    <x v="9"/>
  </r>
  <r>
    <x v="81"/>
    <s v="rom_fact_khand"/>
    <n v="0"/>
    <x v="11"/>
    <n v="0"/>
    <n v="4919"/>
    <n v="1750"/>
    <n v="0"/>
    <m/>
    <x v="10"/>
  </r>
  <r>
    <x v="81"/>
    <s v="rom_fact_umbar"/>
    <n v="11"/>
    <x v="12"/>
    <n v="162"/>
    <n v="92961"/>
    <n v="31765"/>
    <n v="2383"/>
    <m/>
    <x v="11"/>
  </r>
  <r>
    <x v="81"/>
    <s v="rom_fact_mahuds"/>
    <n v="0"/>
    <x v="11"/>
    <n v="0"/>
    <n v="9228"/>
    <n v="1750"/>
    <n v="0"/>
    <m/>
    <x v="12"/>
  </r>
  <r>
    <x v="81"/>
    <s v="rom_fact_harad"/>
    <n v="141"/>
    <x v="12"/>
    <n v="162"/>
    <n v="15591"/>
    <n v="22613"/>
    <n v="557"/>
    <m/>
    <x v="13"/>
  </r>
  <r>
    <x v="81"/>
    <s v="rom_fact_dunland"/>
    <n v="158"/>
    <x v="2"/>
    <n v="191"/>
    <n v="192178"/>
    <n v="30872"/>
    <n v="2366"/>
    <m/>
    <x v="14"/>
  </r>
  <r>
    <x v="81"/>
    <s v="rom_fact_haerrim"/>
    <n v="0"/>
    <x v="11"/>
    <n v="0"/>
    <n v="5352"/>
    <n v="1750"/>
    <n v="0"/>
    <m/>
    <x v="15"/>
  </r>
  <r>
    <x v="81"/>
    <s v="rom_fact_goblins"/>
    <n v="393"/>
    <x v="1"/>
    <n v="373.4"/>
    <n v="19002"/>
    <n v="49905"/>
    <n v="5298"/>
    <m/>
    <x v="16"/>
  </r>
  <r>
    <x v="81"/>
    <s v="rom_fact_balchoth"/>
    <n v="0"/>
    <x v="11"/>
    <n v="0"/>
    <n v="4872"/>
    <n v="1750"/>
    <n v="0"/>
    <m/>
    <x v="17"/>
  </r>
  <r>
    <x v="81"/>
    <s v="rom_fact_rhurim"/>
    <n v="242"/>
    <x v="26"/>
    <n v="440.1"/>
    <n v="142849"/>
    <n v="45493"/>
    <n v="2531"/>
    <m/>
    <x v="18"/>
  </r>
  <r>
    <x v="81"/>
    <s v="rom_fact_feredrim"/>
    <n v="0"/>
    <x v="11"/>
    <n v="0"/>
    <n v="7360"/>
    <n v="1750"/>
    <n v="0"/>
    <m/>
    <x v="19"/>
  </r>
  <r>
    <x v="81"/>
    <s v="rom_fact_wainriders"/>
    <n v="0"/>
    <x v="11"/>
    <n v="0"/>
    <n v="6395"/>
    <n v="1750"/>
    <n v="0"/>
    <m/>
    <x v="20"/>
  </r>
  <r>
    <x v="81"/>
    <s v="rom_fact_blacklock"/>
    <n v="1"/>
    <x v="7"/>
    <n v="37.700000000000003"/>
    <n v="42260"/>
    <n v="7738"/>
    <n v="0"/>
    <m/>
    <x v="21"/>
  </r>
  <r>
    <x v="81"/>
    <s v="rom_fact_ironfist"/>
    <n v="4"/>
    <x v="10"/>
    <n v="40"/>
    <n v="58572"/>
    <n v="8583"/>
    <n v="0"/>
    <m/>
    <x v="22"/>
  </r>
  <r>
    <x v="81"/>
    <s v="rom_fact_gundabad"/>
    <n v="228"/>
    <x v="20"/>
    <n v="320.2"/>
    <n v="48293"/>
    <n v="41656"/>
    <n v="1682"/>
    <m/>
    <x v="23"/>
  </r>
  <r>
    <x v="81"/>
    <s v="rom_fact_rohan_scouts"/>
    <n v="0"/>
    <x v="11"/>
    <n v="3"/>
    <n v="94801"/>
    <n v="2379"/>
    <n v="0"/>
    <m/>
    <x v="24"/>
  </r>
  <r>
    <x v="81"/>
    <s v="rom_fact_northern_enedwaith"/>
    <n v="6"/>
    <x v="9"/>
    <n v="80"/>
    <n v="86211"/>
    <n v="16039"/>
    <n v="728"/>
    <m/>
    <x v="25"/>
  </r>
  <r>
    <x v="81"/>
    <s v="rom_fact_southern_enedwaith"/>
    <n v="0"/>
    <x v="11"/>
    <n v="0"/>
    <n v="54023"/>
    <n v="1750"/>
    <n v="0"/>
    <m/>
    <x v="26"/>
  </r>
  <r>
    <x v="81"/>
    <s v="rom_fact_druedain"/>
    <n v="0"/>
    <x v="11"/>
    <n v="0"/>
    <n v="32146"/>
    <n v="1750"/>
    <n v="0"/>
    <m/>
    <x v="27"/>
  </r>
  <r>
    <x v="81"/>
    <s v="rom_fact_harondor"/>
    <n v="0"/>
    <x v="11"/>
    <n v="0"/>
    <n v="15146"/>
    <n v="1750"/>
    <n v="0"/>
    <m/>
    <x v="28"/>
  </r>
  <r>
    <x v="81"/>
    <s v="rom_fact_southron_nomads"/>
    <n v="0"/>
    <x v="11"/>
    <n v="0"/>
    <n v="4000"/>
    <n v="1750"/>
    <n v="0"/>
    <m/>
    <x v="29"/>
  </r>
  <r>
    <x v="81"/>
    <s v="rom_fact_separatist_harad"/>
    <n v="0"/>
    <x v="11"/>
    <n v="0"/>
    <n v="4000"/>
    <n v="1750"/>
    <n v="0"/>
    <m/>
    <x v="30"/>
  </r>
  <r>
    <x v="81"/>
    <s v="rom_fact_separatist_khand"/>
    <n v="0"/>
    <x v="11"/>
    <n v="0"/>
    <n v="4000"/>
    <n v="1750"/>
    <n v="0"/>
    <m/>
    <x v="30"/>
  </r>
  <r>
    <x v="81"/>
    <s v="rom_fact_separatist_balchoth"/>
    <n v="0"/>
    <x v="11"/>
    <n v="0"/>
    <n v="4000"/>
    <n v="1750"/>
    <n v="0"/>
    <m/>
    <x v="30"/>
  </r>
  <r>
    <x v="81"/>
    <s v="rom_fact_separatist_feredrim"/>
    <n v="0"/>
    <x v="11"/>
    <n v="0"/>
    <n v="4000"/>
    <n v="1750"/>
    <n v="0"/>
    <m/>
    <x v="30"/>
  </r>
  <r>
    <x v="81"/>
    <s v="rom_fact_separatist_haerrim"/>
    <n v="0"/>
    <x v="11"/>
    <n v="0"/>
    <n v="4000"/>
    <n v="1750"/>
    <n v="0"/>
    <m/>
    <x v="30"/>
  </r>
  <r>
    <x v="81"/>
    <s v="rom_fact_separatist_wainriders"/>
    <n v="0"/>
    <x v="11"/>
    <n v="0"/>
    <n v="4000"/>
    <n v="1750"/>
    <n v="0"/>
    <m/>
    <x v="30"/>
  </r>
  <r>
    <x v="81"/>
    <s v="rom_fact_separatist_rhurim"/>
    <n v="0"/>
    <x v="11"/>
    <n v="0"/>
    <n v="4000"/>
    <n v="1750"/>
    <n v="0"/>
    <m/>
    <x v="30"/>
  </r>
  <r>
    <x v="81"/>
    <s v="rom_fact_separatist_mahuds"/>
    <n v="0"/>
    <x v="11"/>
    <n v="0"/>
    <n v="4000"/>
    <n v="1750"/>
    <n v="0"/>
    <m/>
    <x v="30"/>
  </r>
  <r>
    <x v="81"/>
    <s v="rom_fact_separatist_umbar"/>
    <n v="0"/>
    <x v="11"/>
    <n v="0"/>
    <n v="4000"/>
    <n v="1750"/>
    <n v="0"/>
    <m/>
    <x v="30"/>
  </r>
  <r>
    <x v="82"/>
    <s v="rom_fact_mordor"/>
    <n v="309"/>
    <x v="30"/>
    <n v="295.10000000000002"/>
    <n v="7970"/>
    <n v="40566"/>
    <n v="2838"/>
    <m/>
    <x v="0"/>
  </r>
  <r>
    <x v="82"/>
    <s v="rom_fact_gondor"/>
    <n v="146"/>
    <x v="11"/>
    <n v="0"/>
    <n v="55420"/>
    <n v="2500"/>
    <n v="0"/>
    <m/>
    <x v="1"/>
  </r>
  <r>
    <x v="82"/>
    <s v="rom_fact_dale"/>
    <n v="186"/>
    <x v="7"/>
    <n v="14.6"/>
    <n v="809"/>
    <n v="4939"/>
    <n v="0"/>
    <m/>
    <x v="2"/>
  </r>
  <r>
    <x v="82"/>
    <s v="rom_fact_erebor"/>
    <n v="200"/>
    <x v="11"/>
    <n v="0"/>
    <n v="10040"/>
    <n v="2500"/>
    <n v="0"/>
    <m/>
    <x v="3"/>
  </r>
  <r>
    <x v="82"/>
    <s v="rom_fact_rohan"/>
    <n v="157"/>
    <x v="11"/>
    <n v="0"/>
    <n v="6638"/>
    <n v="2500"/>
    <n v="0"/>
    <m/>
    <x v="4"/>
  </r>
  <r>
    <x v="82"/>
    <s v="rom_fact_dol_guldur"/>
    <n v="252"/>
    <x v="14"/>
    <n v="245.1"/>
    <n v="17850"/>
    <n v="34347"/>
    <n v="2442"/>
    <m/>
    <x v="5"/>
  </r>
  <r>
    <x v="82"/>
    <s v="rom_fact_anduin_vale"/>
    <n v="58"/>
    <x v="11"/>
    <n v="0"/>
    <n v="4515"/>
    <n v="2500"/>
    <n v="0"/>
    <m/>
    <x v="6"/>
  </r>
  <r>
    <x v="82"/>
    <s v="rom_fact_isengard"/>
    <n v="247"/>
    <x v="12"/>
    <n v="194"/>
    <n v="50370"/>
    <n v="25521"/>
    <n v="1286"/>
    <m/>
    <x v="7"/>
  </r>
  <r>
    <x v="82"/>
    <s v="rom_fact_woodland_realm"/>
    <n v="30"/>
    <x v="11"/>
    <n v="0"/>
    <n v="8475"/>
    <n v="2500"/>
    <n v="0"/>
    <m/>
    <x v="8"/>
  </r>
  <r>
    <x v="82"/>
    <s v="rom_fact_lothlorien"/>
    <n v="64"/>
    <x v="11"/>
    <n v="0"/>
    <n v="4721"/>
    <n v="2500"/>
    <n v="0"/>
    <m/>
    <x v="9"/>
  </r>
  <r>
    <x v="82"/>
    <s v="rom_fact_khand"/>
    <n v="0"/>
    <x v="11"/>
    <n v="0"/>
    <n v="4919"/>
    <n v="1750"/>
    <n v="0"/>
    <m/>
    <x v="10"/>
  </r>
  <r>
    <x v="82"/>
    <s v="rom_fact_umbar"/>
    <n v="11"/>
    <x v="12"/>
    <n v="163"/>
    <n v="99592"/>
    <n v="32731"/>
    <n v="2397"/>
    <m/>
    <x v="11"/>
  </r>
  <r>
    <x v="82"/>
    <s v="rom_fact_mahuds"/>
    <n v="0"/>
    <x v="11"/>
    <n v="0"/>
    <n v="9228"/>
    <n v="1750"/>
    <n v="0"/>
    <m/>
    <x v="12"/>
  </r>
  <r>
    <x v="82"/>
    <s v="rom_fact_harad"/>
    <n v="141"/>
    <x v="12"/>
    <n v="168"/>
    <n v="16515"/>
    <n v="22445"/>
    <n v="560"/>
    <m/>
    <x v="13"/>
  </r>
  <r>
    <x v="82"/>
    <s v="rom_fact_dunland"/>
    <n v="158"/>
    <x v="2"/>
    <n v="191"/>
    <n v="202985"/>
    <n v="31120"/>
    <n v="2383"/>
    <m/>
    <x v="14"/>
  </r>
  <r>
    <x v="82"/>
    <s v="rom_fact_haerrim"/>
    <n v="0"/>
    <x v="11"/>
    <n v="0"/>
    <n v="5352"/>
    <n v="1750"/>
    <n v="0"/>
    <m/>
    <x v="15"/>
  </r>
  <r>
    <x v="82"/>
    <s v="rom_fact_goblins"/>
    <n v="393"/>
    <x v="1"/>
    <n v="376.4"/>
    <n v="20065"/>
    <n v="52894"/>
    <n v="5344"/>
    <m/>
    <x v="16"/>
  </r>
  <r>
    <x v="82"/>
    <s v="rom_fact_balchoth"/>
    <n v="0"/>
    <x v="11"/>
    <n v="0"/>
    <n v="4872"/>
    <n v="1750"/>
    <n v="0"/>
    <m/>
    <x v="17"/>
  </r>
  <r>
    <x v="82"/>
    <s v="rom_fact_rhurim"/>
    <n v="247"/>
    <x v="26"/>
    <n v="461.9"/>
    <n v="133335"/>
    <n v="46722"/>
    <n v="2535"/>
    <m/>
    <x v="18"/>
  </r>
  <r>
    <x v="82"/>
    <s v="rom_fact_feredrim"/>
    <n v="0"/>
    <x v="11"/>
    <n v="0"/>
    <n v="7360"/>
    <n v="1750"/>
    <n v="0"/>
    <m/>
    <x v="19"/>
  </r>
  <r>
    <x v="82"/>
    <s v="rom_fact_wainriders"/>
    <n v="0"/>
    <x v="11"/>
    <n v="0"/>
    <n v="6395"/>
    <n v="1750"/>
    <n v="0"/>
    <m/>
    <x v="20"/>
  </r>
  <r>
    <x v="82"/>
    <s v="rom_fact_blacklock"/>
    <n v="1"/>
    <x v="7"/>
    <n v="38.700000000000003"/>
    <n v="38999"/>
    <n v="6882"/>
    <n v="0"/>
    <m/>
    <x v="21"/>
  </r>
  <r>
    <x v="82"/>
    <s v="rom_fact_ironfist"/>
    <n v="4"/>
    <x v="10"/>
    <n v="40"/>
    <n v="61499"/>
    <n v="8583"/>
    <n v="0"/>
    <m/>
    <x v="22"/>
  </r>
  <r>
    <x v="82"/>
    <s v="rom_fact_gundabad"/>
    <n v="228"/>
    <x v="20"/>
    <n v="319"/>
    <n v="47175"/>
    <n v="43393"/>
    <n v="1975"/>
    <m/>
    <x v="23"/>
  </r>
  <r>
    <x v="82"/>
    <s v="rom_fact_rohan_scouts"/>
    <n v="0"/>
    <x v="11"/>
    <n v="3"/>
    <n v="95922"/>
    <n v="2379"/>
    <n v="0"/>
    <m/>
    <x v="24"/>
  </r>
  <r>
    <x v="82"/>
    <s v="rom_fact_northern_enedwaith"/>
    <n v="6"/>
    <x v="9"/>
    <n v="81"/>
    <n v="88088"/>
    <n v="16183"/>
    <n v="730"/>
    <m/>
    <x v="25"/>
  </r>
  <r>
    <x v="82"/>
    <s v="rom_fact_southern_enedwaith"/>
    <n v="0"/>
    <x v="11"/>
    <n v="0"/>
    <n v="54023"/>
    <n v="1750"/>
    <n v="0"/>
    <m/>
    <x v="26"/>
  </r>
  <r>
    <x v="82"/>
    <s v="rom_fact_druedain"/>
    <n v="0"/>
    <x v="11"/>
    <n v="0"/>
    <n v="32146"/>
    <n v="1750"/>
    <n v="0"/>
    <m/>
    <x v="27"/>
  </r>
  <r>
    <x v="82"/>
    <s v="rom_fact_harondor"/>
    <n v="0"/>
    <x v="11"/>
    <n v="0"/>
    <n v="15146"/>
    <n v="1750"/>
    <n v="0"/>
    <m/>
    <x v="28"/>
  </r>
  <r>
    <x v="82"/>
    <s v="rom_fact_southron_nomads"/>
    <n v="0"/>
    <x v="11"/>
    <n v="0"/>
    <n v="4000"/>
    <n v="1750"/>
    <n v="0"/>
    <m/>
    <x v="29"/>
  </r>
  <r>
    <x v="82"/>
    <s v="rom_fact_separatist_harad"/>
    <n v="0"/>
    <x v="11"/>
    <n v="0"/>
    <n v="4000"/>
    <n v="1750"/>
    <n v="0"/>
    <m/>
    <x v="30"/>
  </r>
  <r>
    <x v="82"/>
    <s v="rom_fact_separatist_khand"/>
    <n v="0"/>
    <x v="11"/>
    <n v="0"/>
    <n v="4000"/>
    <n v="1750"/>
    <n v="0"/>
    <m/>
    <x v="30"/>
  </r>
  <r>
    <x v="82"/>
    <s v="rom_fact_separatist_balchoth"/>
    <n v="0"/>
    <x v="11"/>
    <n v="0"/>
    <n v="4000"/>
    <n v="1750"/>
    <n v="0"/>
    <m/>
    <x v="30"/>
  </r>
  <r>
    <x v="82"/>
    <s v="rom_fact_separatist_feredrim"/>
    <n v="0"/>
    <x v="11"/>
    <n v="0"/>
    <n v="4000"/>
    <n v="1750"/>
    <n v="0"/>
    <m/>
    <x v="30"/>
  </r>
  <r>
    <x v="82"/>
    <s v="rom_fact_separatist_haerrim"/>
    <n v="0"/>
    <x v="11"/>
    <n v="0"/>
    <n v="4000"/>
    <n v="1750"/>
    <n v="0"/>
    <m/>
    <x v="30"/>
  </r>
  <r>
    <x v="82"/>
    <s v="rom_fact_separatist_wainriders"/>
    <n v="0"/>
    <x v="11"/>
    <n v="0"/>
    <n v="4000"/>
    <n v="1750"/>
    <n v="0"/>
    <m/>
    <x v="30"/>
  </r>
  <r>
    <x v="82"/>
    <s v="rom_fact_separatist_rhurim"/>
    <n v="0"/>
    <x v="11"/>
    <n v="0"/>
    <n v="4000"/>
    <n v="1750"/>
    <n v="0"/>
    <m/>
    <x v="30"/>
  </r>
  <r>
    <x v="82"/>
    <s v="rom_fact_separatist_mahuds"/>
    <n v="0"/>
    <x v="11"/>
    <n v="0"/>
    <n v="4000"/>
    <n v="1750"/>
    <n v="0"/>
    <m/>
    <x v="30"/>
  </r>
  <r>
    <x v="82"/>
    <s v="rom_fact_separatist_umbar"/>
    <n v="0"/>
    <x v="11"/>
    <n v="0"/>
    <n v="4000"/>
    <n v="1750"/>
    <n v="0"/>
    <m/>
    <x v="30"/>
  </r>
  <r>
    <x v="83"/>
    <s v="rom_fact_mordor"/>
    <n v="314"/>
    <x v="30"/>
    <n v="295.10000000000002"/>
    <n v="9467"/>
    <n v="40501"/>
    <n v="2636"/>
    <m/>
    <x v="0"/>
  </r>
  <r>
    <x v="83"/>
    <s v="rom_fact_gondor"/>
    <n v="146"/>
    <x v="11"/>
    <n v="0"/>
    <n v="55420"/>
    <n v="2500"/>
    <n v="0"/>
    <m/>
    <x v="1"/>
  </r>
  <r>
    <x v="83"/>
    <s v="rom_fact_dale"/>
    <n v="186"/>
    <x v="7"/>
    <n v="14.6"/>
    <n v="951"/>
    <n v="4939"/>
    <n v="0"/>
    <m/>
    <x v="2"/>
  </r>
  <r>
    <x v="83"/>
    <s v="rom_fact_erebor"/>
    <n v="200"/>
    <x v="11"/>
    <n v="0"/>
    <n v="10040"/>
    <n v="2500"/>
    <n v="0"/>
    <m/>
    <x v="3"/>
  </r>
  <r>
    <x v="83"/>
    <s v="rom_fact_rohan"/>
    <n v="157"/>
    <x v="11"/>
    <n v="0"/>
    <n v="6638"/>
    <n v="2500"/>
    <n v="0"/>
    <m/>
    <x v="4"/>
  </r>
  <r>
    <x v="83"/>
    <s v="rom_fact_dol_guldur"/>
    <n v="252"/>
    <x v="14"/>
    <n v="249.1"/>
    <n v="18870"/>
    <n v="33629"/>
    <n v="2380"/>
    <m/>
    <x v="5"/>
  </r>
  <r>
    <x v="83"/>
    <s v="rom_fact_anduin_vale"/>
    <n v="58"/>
    <x v="11"/>
    <n v="0"/>
    <n v="4515"/>
    <n v="2500"/>
    <n v="0"/>
    <m/>
    <x v="6"/>
  </r>
  <r>
    <x v="83"/>
    <s v="rom_fact_isengard"/>
    <n v="247"/>
    <x v="12"/>
    <n v="194"/>
    <n v="53981"/>
    <n v="25522"/>
    <n v="1287"/>
    <m/>
    <x v="7"/>
  </r>
  <r>
    <x v="83"/>
    <s v="rom_fact_woodland_realm"/>
    <n v="30"/>
    <x v="11"/>
    <n v="0"/>
    <n v="8475"/>
    <n v="2500"/>
    <n v="0"/>
    <m/>
    <x v="8"/>
  </r>
  <r>
    <x v="83"/>
    <s v="rom_fact_lothlorien"/>
    <n v="64"/>
    <x v="11"/>
    <n v="0"/>
    <n v="4721"/>
    <n v="2500"/>
    <n v="0"/>
    <m/>
    <x v="9"/>
  </r>
  <r>
    <x v="83"/>
    <s v="rom_fact_khand"/>
    <n v="0"/>
    <x v="11"/>
    <n v="0"/>
    <n v="4919"/>
    <n v="1750"/>
    <n v="0"/>
    <m/>
    <x v="10"/>
  </r>
  <r>
    <x v="83"/>
    <s v="rom_fact_umbar"/>
    <n v="11"/>
    <x v="12"/>
    <n v="162"/>
    <n v="90295"/>
    <n v="32185"/>
    <n v="2396"/>
    <m/>
    <x v="11"/>
  </r>
  <r>
    <x v="83"/>
    <s v="rom_fact_mahuds"/>
    <n v="0"/>
    <x v="11"/>
    <n v="0"/>
    <n v="9228"/>
    <n v="1750"/>
    <n v="0"/>
    <m/>
    <x v="12"/>
  </r>
  <r>
    <x v="83"/>
    <s v="rom_fact_harad"/>
    <n v="141"/>
    <x v="12"/>
    <n v="173"/>
    <n v="17111"/>
    <n v="22722"/>
    <n v="558"/>
    <m/>
    <x v="13"/>
  </r>
  <r>
    <x v="83"/>
    <s v="rom_fact_dunland"/>
    <n v="158"/>
    <x v="2"/>
    <n v="191"/>
    <n v="212528"/>
    <n v="31080"/>
    <n v="2385"/>
    <m/>
    <x v="14"/>
  </r>
  <r>
    <x v="83"/>
    <s v="rom_fact_haerrim"/>
    <n v="0"/>
    <x v="11"/>
    <n v="0"/>
    <n v="5352"/>
    <n v="1750"/>
    <n v="0"/>
    <m/>
    <x v="15"/>
  </r>
  <r>
    <x v="83"/>
    <s v="rom_fact_goblins"/>
    <n v="393"/>
    <x v="1"/>
    <n v="386.4"/>
    <n v="23271"/>
    <n v="54381"/>
    <n v="5358"/>
    <m/>
    <x v="16"/>
  </r>
  <r>
    <x v="83"/>
    <s v="rom_fact_balchoth"/>
    <n v="0"/>
    <x v="11"/>
    <n v="0"/>
    <n v="4872"/>
    <n v="1750"/>
    <n v="0"/>
    <m/>
    <x v="17"/>
  </r>
  <r>
    <x v="83"/>
    <s v="rom_fact_rhurim"/>
    <n v="255"/>
    <x v="26"/>
    <n v="477.5"/>
    <n v="135034"/>
    <n v="47258"/>
    <n v="2537"/>
    <m/>
    <x v="18"/>
  </r>
  <r>
    <x v="83"/>
    <s v="rom_fact_feredrim"/>
    <n v="0"/>
    <x v="11"/>
    <n v="0"/>
    <n v="7360"/>
    <n v="1750"/>
    <n v="0"/>
    <m/>
    <x v="19"/>
  </r>
  <r>
    <x v="83"/>
    <s v="rom_fact_wainriders"/>
    <n v="0"/>
    <x v="11"/>
    <n v="0"/>
    <n v="6395"/>
    <n v="1750"/>
    <n v="0"/>
    <m/>
    <x v="20"/>
  </r>
  <r>
    <x v="83"/>
    <s v="rom_fact_blacklock"/>
    <n v="1"/>
    <x v="7"/>
    <n v="40.700000000000003"/>
    <n v="36411"/>
    <n v="6822"/>
    <n v="0"/>
    <m/>
    <x v="21"/>
  </r>
  <r>
    <x v="83"/>
    <s v="rom_fact_ironfist"/>
    <n v="4"/>
    <x v="10"/>
    <n v="42"/>
    <n v="63526"/>
    <n v="8583"/>
    <n v="0"/>
    <m/>
    <x v="22"/>
  </r>
  <r>
    <x v="83"/>
    <s v="rom_fact_gundabad"/>
    <n v="228"/>
    <x v="20"/>
    <n v="259.2"/>
    <n v="49853"/>
    <n v="35843"/>
    <n v="1982"/>
    <m/>
    <x v="23"/>
  </r>
  <r>
    <x v="83"/>
    <s v="rom_fact_rohan_scouts"/>
    <n v="0"/>
    <x v="11"/>
    <n v="3"/>
    <n v="97043"/>
    <n v="2379"/>
    <n v="0"/>
    <m/>
    <x v="24"/>
  </r>
  <r>
    <x v="83"/>
    <s v="rom_fact_northern_enedwaith"/>
    <n v="6"/>
    <x v="9"/>
    <n v="81"/>
    <n v="89967"/>
    <n v="16184"/>
    <n v="731"/>
    <m/>
    <x v="25"/>
  </r>
  <r>
    <x v="83"/>
    <s v="rom_fact_southern_enedwaith"/>
    <n v="0"/>
    <x v="11"/>
    <n v="0"/>
    <n v="54023"/>
    <n v="1750"/>
    <n v="0"/>
    <m/>
    <x v="26"/>
  </r>
  <r>
    <x v="83"/>
    <s v="rom_fact_druedain"/>
    <n v="0"/>
    <x v="11"/>
    <n v="0"/>
    <n v="32146"/>
    <n v="1750"/>
    <n v="0"/>
    <m/>
    <x v="27"/>
  </r>
  <r>
    <x v="83"/>
    <s v="rom_fact_harondor"/>
    <n v="0"/>
    <x v="11"/>
    <n v="0"/>
    <n v="15146"/>
    <n v="1750"/>
    <n v="0"/>
    <m/>
    <x v="28"/>
  </r>
  <r>
    <x v="83"/>
    <s v="rom_fact_southron_nomads"/>
    <n v="0"/>
    <x v="11"/>
    <n v="0"/>
    <n v="4000"/>
    <n v="1750"/>
    <n v="0"/>
    <m/>
    <x v="29"/>
  </r>
  <r>
    <x v="83"/>
    <s v="rom_fact_separatist_harad"/>
    <n v="0"/>
    <x v="11"/>
    <n v="0"/>
    <n v="4000"/>
    <n v="1750"/>
    <n v="0"/>
    <m/>
    <x v="30"/>
  </r>
  <r>
    <x v="83"/>
    <s v="rom_fact_separatist_khand"/>
    <n v="0"/>
    <x v="11"/>
    <n v="0"/>
    <n v="4000"/>
    <n v="1750"/>
    <n v="0"/>
    <m/>
    <x v="30"/>
  </r>
  <r>
    <x v="83"/>
    <s v="rom_fact_separatist_balchoth"/>
    <n v="0"/>
    <x v="11"/>
    <n v="0"/>
    <n v="4000"/>
    <n v="1750"/>
    <n v="0"/>
    <m/>
    <x v="30"/>
  </r>
  <r>
    <x v="83"/>
    <s v="rom_fact_separatist_feredrim"/>
    <n v="0"/>
    <x v="11"/>
    <n v="0"/>
    <n v="4000"/>
    <n v="1750"/>
    <n v="0"/>
    <m/>
    <x v="30"/>
  </r>
  <r>
    <x v="83"/>
    <s v="rom_fact_separatist_haerrim"/>
    <n v="0"/>
    <x v="11"/>
    <n v="0"/>
    <n v="4000"/>
    <n v="1750"/>
    <n v="0"/>
    <m/>
    <x v="30"/>
  </r>
  <r>
    <x v="83"/>
    <s v="rom_fact_separatist_wainriders"/>
    <n v="0"/>
    <x v="11"/>
    <n v="0"/>
    <n v="4000"/>
    <n v="1750"/>
    <n v="0"/>
    <m/>
    <x v="30"/>
  </r>
  <r>
    <x v="83"/>
    <s v="rom_fact_separatist_rhurim"/>
    <n v="0"/>
    <x v="11"/>
    <n v="0"/>
    <n v="4000"/>
    <n v="1750"/>
    <n v="0"/>
    <m/>
    <x v="30"/>
  </r>
  <r>
    <x v="83"/>
    <s v="rom_fact_separatist_mahuds"/>
    <n v="0"/>
    <x v="11"/>
    <n v="0"/>
    <n v="4000"/>
    <n v="1750"/>
    <n v="0"/>
    <m/>
    <x v="30"/>
  </r>
  <r>
    <x v="83"/>
    <s v="rom_fact_separatist_umbar"/>
    <n v="0"/>
    <x v="11"/>
    <n v="0"/>
    <n v="4000"/>
    <n v="1750"/>
    <n v="0"/>
    <m/>
    <x v="30"/>
  </r>
  <r>
    <x v="84"/>
    <s v="rom_fact_mordor"/>
    <n v="339"/>
    <x v="30"/>
    <n v="295.10000000000002"/>
    <n v="1480"/>
    <n v="40397"/>
    <n v="2414"/>
    <m/>
    <x v="0"/>
  </r>
  <r>
    <x v="84"/>
    <s v="rom_fact_gondor"/>
    <n v="146"/>
    <x v="11"/>
    <n v="0"/>
    <n v="55420"/>
    <n v="2500"/>
    <n v="0"/>
    <m/>
    <x v="1"/>
  </r>
  <r>
    <x v="84"/>
    <s v="rom_fact_dale"/>
    <n v="186"/>
    <x v="7"/>
    <n v="14.6"/>
    <n v="1154"/>
    <n v="4939"/>
    <n v="0"/>
    <m/>
    <x v="2"/>
  </r>
  <r>
    <x v="84"/>
    <s v="rom_fact_erebor"/>
    <n v="200"/>
    <x v="11"/>
    <n v="0"/>
    <n v="10040"/>
    <n v="2500"/>
    <n v="0"/>
    <m/>
    <x v="3"/>
  </r>
  <r>
    <x v="84"/>
    <s v="rom_fact_rohan"/>
    <n v="157"/>
    <x v="11"/>
    <n v="0"/>
    <n v="6638"/>
    <n v="2500"/>
    <n v="0"/>
    <m/>
    <x v="4"/>
  </r>
  <r>
    <x v="84"/>
    <s v="rom_fact_dol_guldur"/>
    <n v="263"/>
    <x v="15"/>
    <n v="249.8"/>
    <n v="24602"/>
    <n v="34207"/>
    <n v="2389"/>
    <m/>
    <x v="5"/>
  </r>
  <r>
    <x v="84"/>
    <s v="rom_fact_anduin_vale"/>
    <n v="58"/>
    <x v="11"/>
    <n v="0"/>
    <n v="4515"/>
    <n v="2500"/>
    <n v="0"/>
    <m/>
    <x v="6"/>
  </r>
  <r>
    <x v="84"/>
    <s v="rom_fact_isengard"/>
    <n v="247"/>
    <x v="12"/>
    <n v="194"/>
    <n v="58565"/>
    <n v="25599"/>
    <n v="1292"/>
    <m/>
    <x v="7"/>
  </r>
  <r>
    <x v="84"/>
    <s v="rom_fact_woodland_realm"/>
    <n v="30"/>
    <x v="11"/>
    <n v="0"/>
    <n v="8475"/>
    <n v="2500"/>
    <n v="0"/>
    <m/>
    <x v="8"/>
  </r>
  <r>
    <x v="84"/>
    <s v="rom_fact_lothlorien"/>
    <n v="64"/>
    <x v="11"/>
    <n v="0"/>
    <n v="4721"/>
    <n v="2500"/>
    <n v="0"/>
    <m/>
    <x v="9"/>
  </r>
  <r>
    <x v="84"/>
    <s v="rom_fact_khand"/>
    <n v="0"/>
    <x v="11"/>
    <n v="0"/>
    <n v="4919"/>
    <n v="1750"/>
    <n v="0"/>
    <m/>
    <x v="10"/>
  </r>
  <r>
    <x v="84"/>
    <s v="rom_fact_umbar"/>
    <n v="11"/>
    <x v="12"/>
    <n v="163"/>
    <n v="68161"/>
    <n v="32231"/>
    <n v="2409"/>
    <m/>
    <x v="11"/>
  </r>
  <r>
    <x v="84"/>
    <s v="rom_fact_mahuds"/>
    <n v="0"/>
    <x v="11"/>
    <n v="0"/>
    <n v="9228"/>
    <n v="1750"/>
    <n v="0"/>
    <m/>
    <x v="12"/>
  </r>
  <r>
    <x v="84"/>
    <s v="rom_fact_harad"/>
    <n v="147"/>
    <x v="6"/>
    <n v="175"/>
    <n v="21003"/>
    <n v="22924"/>
    <n v="612"/>
    <m/>
    <x v="13"/>
  </r>
  <r>
    <x v="84"/>
    <s v="rom_fact_dunland"/>
    <n v="163"/>
    <x v="2"/>
    <n v="207"/>
    <n v="215542"/>
    <n v="33606"/>
    <n v="2399"/>
    <m/>
    <x v="14"/>
  </r>
  <r>
    <x v="84"/>
    <s v="rom_fact_haerrim"/>
    <n v="0"/>
    <x v="11"/>
    <n v="0"/>
    <n v="5352"/>
    <n v="1750"/>
    <n v="0"/>
    <m/>
    <x v="15"/>
  </r>
  <r>
    <x v="84"/>
    <s v="rom_fact_goblins"/>
    <n v="393"/>
    <x v="1"/>
    <n v="397.2"/>
    <n v="32275"/>
    <n v="56140"/>
    <n v="5381"/>
    <m/>
    <x v="16"/>
  </r>
  <r>
    <x v="84"/>
    <s v="rom_fact_balchoth"/>
    <n v="0"/>
    <x v="11"/>
    <n v="0"/>
    <n v="4872"/>
    <n v="1750"/>
    <n v="0"/>
    <m/>
    <x v="17"/>
  </r>
  <r>
    <x v="84"/>
    <s v="rom_fact_rhurim"/>
    <n v="254"/>
    <x v="23"/>
    <n v="490.9"/>
    <n v="105622"/>
    <n v="50399"/>
    <n v="2445"/>
    <m/>
    <x v="18"/>
  </r>
  <r>
    <x v="84"/>
    <s v="rom_fact_feredrim"/>
    <n v="0"/>
    <x v="11"/>
    <n v="0"/>
    <n v="7360"/>
    <n v="1750"/>
    <n v="0"/>
    <m/>
    <x v="19"/>
  </r>
  <r>
    <x v="84"/>
    <s v="rom_fact_wainriders"/>
    <n v="0"/>
    <x v="11"/>
    <n v="0"/>
    <n v="6395"/>
    <n v="1750"/>
    <n v="0"/>
    <m/>
    <x v="20"/>
  </r>
  <r>
    <x v="84"/>
    <s v="rom_fact_blacklock"/>
    <n v="1"/>
    <x v="7"/>
    <n v="34.200000000000003"/>
    <n v="28404"/>
    <n v="5789"/>
    <n v="0"/>
    <m/>
    <x v="21"/>
  </r>
  <r>
    <x v="84"/>
    <s v="rom_fact_ironfist"/>
    <n v="4"/>
    <x v="10"/>
    <n v="42"/>
    <n v="67511"/>
    <n v="8821"/>
    <n v="0"/>
    <m/>
    <x v="22"/>
  </r>
  <r>
    <x v="84"/>
    <s v="rom_fact_gundabad"/>
    <n v="234"/>
    <x v="18"/>
    <n v="270.60000000000002"/>
    <n v="49405"/>
    <n v="35602"/>
    <n v="1994"/>
    <m/>
    <x v="23"/>
  </r>
  <r>
    <x v="84"/>
    <s v="rom_fact_rohan_scouts"/>
    <n v="0"/>
    <x v="11"/>
    <n v="3"/>
    <n v="99285"/>
    <n v="2379"/>
    <n v="0"/>
    <m/>
    <x v="24"/>
  </r>
  <r>
    <x v="84"/>
    <s v="rom_fact_northern_enedwaith"/>
    <n v="6"/>
    <x v="9"/>
    <n v="81"/>
    <n v="91452"/>
    <n v="17367"/>
    <n v="743"/>
    <m/>
    <x v="25"/>
  </r>
  <r>
    <x v="84"/>
    <s v="rom_fact_southern_enedwaith"/>
    <n v="0"/>
    <x v="11"/>
    <n v="0"/>
    <n v="54023"/>
    <n v="1750"/>
    <n v="0"/>
    <m/>
    <x v="26"/>
  </r>
  <r>
    <x v="84"/>
    <s v="rom_fact_druedain"/>
    <n v="0"/>
    <x v="11"/>
    <n v="0"/>
    <n v="32146"/>
    <n v="1750"/>
    <n v="0"/>
    <m/>
    <x v="27"/>
  </r>
  <r>
    <x v="84"/>
    <s v="rom_fact_harondor"/>
    <n v="0"/>
    <x v="11"/>
    <n v="0"/>
    <n v="15146"/>
    <n v="1750"/>
    <n v="0"/>
    <m/>
    <x v="28"/>
  </r>
  <r>
    <x v="84"/>
    <s v="rom_fact_southron_nomads"/>
    <n v="0"/>
    <x v="11"/>
    <n v="0"/>
    <n v="4000"/>
    <n v="1750"/>
    <n v="0"/>
    <m/>
    <x v="29"/>
  </r>
  <r>
    <x v="84"/>
    <s v="rom_fact_separatist_harad"/>
    <n v="0"/>
    <x v="11"/>
    <n v="0"/>
    <n v="4000"/>
    <n v="1750"/>
    <n v="0"/>
    <m/>
    <x v="30"/>
  </r>
  <r>
    <x v="84"/>
    <s v="rom_fact_separatist_khand"/>
    <n v="0"/>
    <x v="11"/>
    <n v="0"/>
    <n v="4000"/>
    <n v="1750"/>
    <n v="0"/>
    <m/>
    <x v="30"/>
  </r>
  <r>
    <x v="84"/>
    <s v="rom_fact_separatist_balchoth"/>
    <n v="0"/>
    <x v="11"/>
    <n v="0"/>
    <n v="4000"/>
    <n v="1750"/>
    <n v="0"/>
    <m/>
    <x v="30"/>
  </r>
  <r>
    <x v="84"/>
    <s v="rom_fact_separatist_feredrim"/>
    <n v="0"/>
    <x v="11"/>
    <n v="0"/>
    <n v="4000"/>
    <n v="1750"/>
    <n v="0"/>
    <m/>
    <x v="30"/>
  </r>
  <r>
    <x v="84"/>
    <s v="rom_fact_separatist_haerrim"/>
    <n v="0"/>
    <x v="11"/>
    <n v="0"/>
    <n v="4000"/>
    <n v="1750"/>
    <n v="0"/>
    <m/>
    <x v="30"/>
  </r>
  <r>
    <x v="84"/>
    <s v="rom_fact_separatist_wainriders"/>
    <n v="0"/>
    <x v="11"/>
    <n v="0"/>
    <n v="4000"/>
    <n v="1750"/>
    <n v="0"/>
    <m/>
    <x v="30"/>
  </r>
  <r>
    <x v="84"/>
    <s v="rom_fact_separatist_rhurim"/>
    <n v="0"/>
    <x v="11"/>
    <n v="0"/>
    <n v="4000"/>
    <n v="1750"/>
    <n v="0"/>
    <m/>
    <x v="30"/>
  </r>
  <r>
    <x v="84"/>
    <s v="rom_fact_separatist_mahuds"/>
    <n v="0"/>
    <x v="11"/>
    <n v="0"/>
    <n v="4000"/>
    <n v="1750"/>
    <n v="0"/>
    <m/>
    <x v="30"/>
  </r>
  <r>
    <x v="84"/>
    <s v="rom_fact_separatist_umbar"/>
    <n v="0"/>
    <x v="11"/>
    <n v="0"/>
    <n v="4000"/>
    <n v="1750"/>
    <n v="0"/>
    <m/>
    <x v="30"/>
  </r>
  <r>
    <x v="85"/>
    <s v="rom_fact_mordor"/>
    <n v="344"/>
    <x v="30"/>
    <n v="295.10000000000002"/>
    <n v="9545"/>
    <n v="41224"/>
    <n v="2661"/>
    <m/>
    <x v="0"/>
  </r>
  <r>
    <x v="85"/>
    <s v="rom_fact_gondor"/>
    <n v="146"/>
    <x v="11"/>
    <n v="0"/>
    <n v="55420"/>
    <n v="2500"/>
    <n v="0"/>
    <m/>
    <x v="1"/>
  </r>
  <r>
    <x v="85"/>
    <s v="rom_fact_dale"/>
    <n v="186"/>
    <x v="7"/>
    <n v="14.6"/>
    <n v="1215"/>
    <n v="4939"/>
    <n v="0"/>
    <m/>
    <x v="2"/>
  </r>
  <r>
    <x v="85"/>
    <s v="rom_fact_erebor"/>
    <n v="200"/>
    <x v="11"/>
    <n v="0"/>
    <n v="10040"/>
    <n v="2500"/>
    <n v="0"/>
    <m/>
    <x v="3"/>
  </r>
  <r>
    <x v="85"/>
    <s v="rom_fact_rohan"/>
    <n v="157"/>
    <x v="11"/>
    <n v="0"/>
    <n v="6638"/>
    <n v="2500"/>
    <n v="0"/>
    <m/>
    <x v="4"/>
  </r>
  <r>
    <x v="85"/>
    <s v="rom_fact_dol_guldur"/>
    <n v="264"/>
    <x v="14"/>
    <n v="234.4"/>
    <n v="34199"/>
    <n v="32508"/>
    <n v="2439"/>
    <m/>
    <x v="5"/>
  </r>
  <r>
    <x v="85"/>
    <s v="rom_fact_anduin_vale"/>
    <n v="58"/>
    <x v="11"/>
    <n v="0"/>
    <n v="4515"/>
    <n v="2500"/>
    <n v="0"/>
    <m/>
    <x v="6"/>
  </r>
  <r>
    <x v="85"/>
    <s v="rom_fact_isengard"/>
    <n v="252"/>
    <x v="12"/>
    <n v="194"/>
    <n v="62259"/>
    <n v="25628"/>
    <n v="1295"/>
    <m/>
    <x v="7"/>
  </r>
  <r>
    <x v="85"/>
    <s v="rom_fact_woodland_realm"/>
    <n v="30"/>
    <x v="11"/>
    <n v="0"/>
    <n v="8475"/>
    <n v="2500"/>
    <n v="0"/>
    <m/>
    <x v="8"/>
  </r>
  <r>
    <x v="85"/>
    <s v="rom_fact_lothlorien"/>
    <n v="64"/>
    <x v="11"/>
    <n v="0"/>
    <n v="4721"/>
    <n v="2500"/>
    <n v="0"/>
    <m/>
    <x v="9"/>
  </r>
  <r>
    <x v="85"/>
    <s v="rom_fact_khand"/>
    <n v="0"/>
    <x v="11"/>
    <n v="0"/>
    <n v="4919"/>
    <n v="1750"/>
    <n v="0"/>
    <m/>
    <x v="10"/>
  </r>
  <r>
    <x v="85"/>
    <s v="rom_fact_umbar"/>
    <n v="11"/>
    <x v="12"/>
    <n v="162"/>
    <n v="60312"/>
    <n v="32136"/>
    <n v="2414"/>
    <m/>
    <x v="11"/>
  </r>
  <r>
    <x v="85"/>
    <s v="rom_fact_mahuds"/>
    <n v="0"/>
    <x v="11"/>
    <n v="0"/>
    <n v="9228"/>
    <n v="1750"/>
    <n v="0"/>
    <m/>
    <x v="12"/>
  </r>
  <r>
    <x v="85"/>
    <s v="rom_fact_harad"/>
    <n v="148"/>
    <x v="17"/>
    <n v="177"/>
    <n v="18975"/>
    <n v="24592"/>
    <n v="614"/>
    <m/>
    <x v="13"/>
  </r>
  <r>
    <x v="85"/>
    <s v="rom_fact_dunland"/>
    <n v="163"/>
    <x v="2"/>
    <n v="213"/>
    <n v="214673"/>
    <n v="34912"/>
    <n v="2407"/>
    <m/>
    <x v="14"/>
  </r>
  <r>
    <x v="85"/>
    <s v="rom_fact_haerrim"/>
    <n v="0"/>
    <x v="11"/>
    <n v="0"/>
    <n v="5352"/>
    <n v="1750"/>
    <n v="0"/>
    <m/>
    <x v="15"/>
  </r>
  <r>
    <x v="85"/>
    <s v="rom_fact_goblins"/>
    <n v="398"/>
    <x v="1"/>
    <n v="400.2"/>
    <n v="36853"/>
    <n v="56083"/>
    <n v="5023"/>
    <m/>
    <x v="16"/>
  </r>
  <r>
    <x v="85"/>
    <s v="rom_fact_balchoth"/>
    <n v="0"/>
    <x v="11"/>
    <n v="0"/>
    <n v="4872"/>
    <n v="1750"/>
    <n v="0"/>
    <m/>
    <x v="17"/>
  </r>
  <r>
    <x v="85"/>
    <s v="rom_fact_rhurim"/>
    <n v="259"/>
    <x v="23"/>
    <n v="496.79999999999899"/>
    <n v="81153"/>
    <n v="51089"/>
    <n v="2441"/>
    <m/>
    <x v="18"/>
  </r>
  <r>
    <x v="85"/>
    <s v="rom_fact_feredrim"/>
    <n v="0"/>
    <x v="11"/>
    <n v="0"/>
    <n v="7360"/>
    <n v="1750"/>
    <n v="0"/>
    <m/>
    <x v="19"/>
  </r>
  <r>
    <x v="85"/>
    <s v="rom_fact_wainriders"/>
    <n v="0"/>
    <x v="11"/>
    <n v="0"/>
    <n v="6395"/>
    <n v="1750"/>
    <n v="0"/>
    <m/>
    <x v="20"/>
  </r>
  <r>
    <x v="85"/>
    <s v="rom_fact_blacklock"/>
    <n v="1"/>
    <x v="7"/>
    <n v="31.2"/>
    <n v="27310"/>
    <n v="5368"/>
    <n v="0"/>
    <m/>
    <x v="21"/>
  </r>
  <r>
    <x v="85"/>
    <s v="rom_fact_ironfist"/>
    <n v="4"/>
    <x v="10"/>
    <n v="43"/>
    <n v="70702"/>
    <n v="8847"/>
    <n v="0"/>
    <m/>
    <x v="22"/>
  </r>
  <r>
    <x v="85"/>
    <s v="rom_fact_gundabad"/>
    <n v="238"/>
    <x v="20"/>
    <n v="276.60000000000002"/>
    <n v="41789"/>
    <n v="35613"/>
    <n v="1702"/>
    <m/>
    <x v="23"/>
  </r>
  <r>
    <x v="85"/>
    <s v="rom_fact_rohan_scouts"/>
    <n v="0"/>
    <x v="11"/>
    <n v="3"/>
    <n v="100406"/>
    <n v="2379"/>
    <n v="0"/>
    <m/>
    <x v="24"/>
  </r>
  <r>
    <x v="85"/>
    <s v="rom_fact_northern_enedwaith"/>
    <n v="6"/>
    <x v="9"/>
    <n v="81"/>
    <n v="85014"/>
    <n v="17602"/>
    <n v="748"/>
    <m/>
    <x v="25"/>
  </r>
  <r>
    <x v="85"/>
    <s v="rom_fact_southern_enedwaith"/>
    <n v="0"/>
    <x v="11"/>
    <n v="0"/>
    <n v="54023"/>
    <n v="1750"/>
    <n v="0"/>
    <m/>
    <x v="26"/>
  </r>
  <r>
    <x v="85"/>
    <s v="rom_fact_druedain"/>
    <n v="0"/>
    <x v="11"/>
    <n v="0"/>
    <n v="32146"/>
    <n v="1750"/>
    <n v="0"/>
    <m/>
    <x v="27"/>
  </r>
  <r>
    <x v="85"/>
    <s v="rom_fact_harondor"/>
    <n v="0"/>
    <x v="11"/>
    <n v="0"/>
    <n v="15146"/>
    <n v="1750"/>
    <n v="0"/>
    <m/>
    <x v="28"/>
  </r>
  <r>
    <x v="85"/>
    <s v="rom_fact_southron_nomads"/>
    <n v="0"/>
    <x v="11"/>
    <n v="0"/>
    <n v="4000"/>
    <n v="1750"/>
    <n v="0"/>
    <m/>
    <x v="29"/>
  </r>
  <r>
    <x v="85"/>
    <s v="rom_fact_separatist_harad"/>
    <n v="0"/>
    <x v="11"/>
    <n v="0"/>
    <n v="4000"/>
    <n v="1750"/>
    <n v="0"/>
    <m/>
    <x v="30"/>
  </r>
  <r>
    <x v="85"/>
    <s v="rom_fact_separatist_khand"/>
    <n v="0"/>
    <x v="11"/>
    <n v="0"/>
    <n v="4000"/>
    <n v="1750"/>
    <n v="0"/>
    <m/>
    <x v="30"/>
  </r>
  <r>
    <x v="85"/>
    <s v="rom_fact_separatist_balchoth"/>
    <n v="0"/>
    <x v="11"/>
    <n v="0"/>
    <n v="4000"/>
    <n v="1750"/>
    <n v="0"/>
    <m/>
    <x v="30"/>
  </r>
  <r>
    <x v="85"/>
    <s v="rom_fact_separatist_feredrim"/>
    <n v="0"/>
    <x v="11"/>
    <n v="0"/>
    <n v="4000"/>
    <n v="1750"/>
    <n v="0"/>
    <m/>
    <x v="30"/>
  </r>
  <r>
    <x v="85"/>
    <s v="rom_fact_separatist_haerrim"/>
    <n v="0"/>
    <x v="11"/>
    <n v="0"/>
    <n v="4000"/>
    <n v="1750"/>
    <n v="0"/>
    <m/>
    <x v="30"/>
  </r>
  <r>
    <x v="85"/>
    <s v="rom_fact_separatist_wainriders"/>
    <n v="0"/>
    <x v="11"/>
    <n v="0"/>
    <n v="4000"/>
    <n v="1750"/>
    <n v="0"/>
    <m/>
    <x v="30"/>
  </r>
  <r>
    <x v="85"/>
    <s v="rom_fact_separatist_rhurim"/>
    <n v="0"/>
    <x v="11"/>
    <n v="0"/>
    <n v="4000"/>
    <n v="1750"/>
    <n v="0"/>
    <m/>
    <x v="30"/>
  </r>
  <r>
    <x v="85"/>
    <s v="rom_fact_separatist_mahuds"/>
    <n v="0"/>
    <x v="11"/>
    <n v="0"/>
    <n v="4000"/>
    <n v="1750"/>
    <n v="0"/>
    <m/>
    <x v="30"/>
  </r>
  <r>
    <x v="85"/>
    <s v="rom_fact_separatist_umbar"/>
    <n v="0"/>
    <x v="11"/>
    <n v="0"/>
    <n v="4000"/>
    <n v="1750"/>
    <n v="0"/>
    <m/>
    <x v="30"/>
  </r>
  <r>
    <x v="86"/>
    <s v="rom_fact_mordor"/>
    <n v="344"/>
    <x v="30"/>
    <n v="295.10000000000002"/>
    <n v="9683"/>
    <n v="41413"/>
    <n v="2666"/>
    <m/>
    <x v="0"/>
  </r>
  <r>
    <x v="86"/>
    <s v="rom_fact_gondor"/>
    <n v="146"/>
    <x v="11"/>
    <n v="0"/>
    <n v="55420"/>
    <n v="2500"/>
    <n v="0"/>
    <m/>
    <x v="1"/>
  </r>
  <r>
    <x v="86"/>
    <s v="rom_fact_dale"/>
    <n v="191"/>
    <x v="7"/>
    <n v="14.6"/>
    <n v="376"/>
    <n v="4939"/>
    <n v="0"/>
    <m/>
    <x v="2"/>
  </r>
  <r>
    <x v="86"/>
    <s v="rom_fact_erebor"/>
    <n v="200"/>
    <x v="11"/>
    <n v="0"/>
    <n v="10040"/>
    <n v="2500"/>
    <n v="0"/>
    <m/>
    <x v="3"/>
  </r>
  <r>
    <x v="86"/>
    <s v="rom_fact_rohan"/>
    <n v="157"/>
    <x v="11"/>
    <n v="0"/>
    <n v="6638"/>
    <n v="2500"/>
    <n v="0"/>
    <m/>
    <x v="4"/>
  </r>
  <r>
    <x v="86"/>
    <s v="rom_fact_dol_guldur"/>
    <n v="264"/>
    <x v="14"/>
    <n v="234.2"/>
    <n v="24607"/>
    <n v="32831"/>
    <n v="2436"/>
    <m/>
    <x v="5"/>
  </r>
  <r>
    <x v="86"/>
    <s v="rom_fact_anduin_vale"/>
    <n v="58"/>
    <x v="11"/>
    <n v="0"/>
    <n v="4515"/>
    <n v="2500"/>
    <n v="0"/>
    <m/>
    <x v="6"/>
  </r>
  <r>
    <x v="86"/>
    <s v="rom_fact_isengard"/>
    <n v="257"/>
    <x v="12"/>
    <n v="194"/>
    <n v="65081"/>
    <n v="25851"/>
    <n v="1296"/>
    <m/>
    <x v="7"/>
  </r>
  <r>
    <x v="86"/>
    <s v="rom_fact_woodland_realm"/>
    <n v="30"/>
    <x v="11"/>
    <n v="0"/>
    <n v="8475"/>
    <n v="2500"/>
    <n v="0"/>
    <m/>
    <x v="8"/>
  </r>
  <r>
    <x v="86"/>
    <s v="rom_fact_lothlorien"/>
    <n v="64"/>
    <x v="11"/>
    <n v="0"/>
    <n v="4721"/>
    <n v="2500"/>
    <n v="0"/>
    <m/>
    <x v="9"/>
  </r>
  <r>
    <x v="86"/>
    <s v="rom_fact_khand"/>
    <n v="0"/>
    <x v="11"/>
    <n v="0"/>
    <n v="4919"/>
    <n v="1750"/>
    <n v="0"/>
    <m/>
    <x v="10"/>
  </r>
  <r>
    <x v="86"/>
    <s v="rom_fact_umbar"/>
    <n v="11"/>
    <x v="12"/>
    <n v="163"/>
    <n v="67790"/>
    <n v="32343"/>
    <n v="2422"/>
    <m/>
    <x v="11"/>
  </r>
  <r>
    <x v="86"/>
    <s v="rom_fact_mahuds"/>
    <n v="0"/>
    <x v="11"/>
    <n v="0"/>
    <n v="9228"/>
    <n v="1750"/>
    <n v="0"/>
    <m/>
    <x v="12"/>
  </r>
  <r>
    <x v="86"/>
    <s v="rom_fact_harad"/>
    <n v="148"/>
    <x v="17"/>
    <n v="177"/>
    <n v="20214"/>
    <n v="26337"/>
    <n v="668"/>
    <m/>
    <x v="13"/>
  </r>
  <r>
    <x v="86"/>
    <s v="rom_fact_dunland"/>
    <n v="163"/>
    <x v="2"/>
    <n v="225"/>
    <n v="210236"/>
    <n v="36720"/>
    <n v="2408"/>
    <m/>
    <x v="14"/>
  </r>
  <r>
    <x v="86"/>
    <s v="rom_fact_haerrim"/>
    <n v="0"/>
    <x v="11"/>
    <n v="0"/>
    <n v="5352"/>
    <n v="1750"/>
    <n v="0"/>
    <m/>
    <x v="15"/>
  </r>
  <r>
    <x v="86"/>
    <s v="rom_fact_goblins"/>
    <n v="398"/>
    <x v="1"/>
    <n v="404.2"/>
    <n v="47986"/>
    <n v="57184"/>
    <n v="5022"/>
    <m/>
    <x v="16"/>
  </r>
  <r>
    <x v="86"/>
    <s v="rom_fact_balchoth"/>
    <n v="0"/>
    <x v="11"/>
    <n v="0"/>
    <n v="4872"/>
    <n v="1750"/>
    <n v="0"/>
    <m/>
    <x v="17"/>
  </r>
  <r>
    <x v="86"/>
    <s v="rom_fact_rhurim"/>
    <n v="259"/>
    <x v="23"/>
    <n v="498.79999999999899"/>
    <n v="65550"/>
    <n v="50009"/>
    <n v="2438"/>
    <m/>
    <x v="18"/>
  </r>
  <r>
    <x v="86"/>
    <s v="rom_fact_feredrim"/>
    <n v="0"/>
    <x v="11"/>
    <n v="0"/>
    <n v="7360"/>
    <n v="1750"/>
    <n v="0"/>
    <m/>
    <x v="19"/>
  </r>
  <r>
    <x v="86"/>
    <s v="rom_fact_wainriders"/>
    <n v="0"/>
    <x v="11"/>
    <n v="0"/>
    <n v="6395"/>
    <n v="1750"/>
    <n v="0"/>
    <m/>
    <x v="20"/>
  </r>
  <r>
    <x v="86"/>
    <s v="rom_fact_blacklock"/>
    <n v="1"/>
    <x v="7"/>
    <n v="30.2"/>
    <n v="25268"/>
    <n v="5294"/>
    <n v="0"/>
    <m/>
    <x v="21"/>
  </r>
  <r>
    <x v="86"/>
    <s v="rom_fact_ironfist"/>
    <n v="4"/>
    <x v="10"/>
    <n v="43"/>
    <n v="70293"/>
    <n v="8847"/>
    <n v="0"/>
    <m/>
    <x v="22"/>
  </r>
  <r>
    <x v="86"/>
    <s v="rom_fact_gundabad"/>
    <n v="238"/>
    <x v="20"/>
    <n v="267.8"/>
    <n v="34733"/>
    <n v="33468"/>
    <n v="1701"/>
    <m/>
    <x v="23"/>
  </r>
  <r>
    <x v="86"/>
    <s v="rom_fact_rohan_scouts"/>
    <n v="0"/>
    <x v="11"/>
    <n v="3"/>
    <n v="101527"/>
    <n v="2379"/>
    <n v="0"/>
    <m/>
    <x v="24"/>
  </r>
  <r>
    <x v="86"/>
    <s v="rom_fact_northern_enedwaith"/>
    <n v="6"/>
    <x v="9"/>
    <n v="81"/>
    <n v="88239"/>
    <n v="17604"/>
    <n v="750"/>
    <m/>
    <x v="25"/>
  </r>
  <r>
    <x v="86"/>
    <s v="rom_fact_southern_enedwaith"/>
    <n v="0"/>
    <x v="11"/>
    <n v="0"/>
    <n v="54023"/>
    <n v="1750"/>
    <n v="0"/>
    <m/>
    <x v="26"/>
  </r>
  <r>
    <x v="86"/>
    <s v="rom_fact_druedain"/>
    <n v="0"/>
    <x v="11"/>
    <n v="0"/>
    <n v="32146"/>
    <n v="1750"/>
    <n v="0"/>
    <m/>
    <x v="27"/>
  </r>
  <r>
    <x v="86"/>
    <s v="rom_fact_harondor"/>
    <n v="0"/>
    <x v="11"/>
    <n v="0"/>
    <n v="15146"/>
    <n v="1750"/>
    <n v="0"/>
    <m/>
    <x v="28"/>
  </r>
  <r>
    <x v="86"/>
    <s v="rom_fact_southron_nomads"/>
    <n v="0"/>
    <x v="11"/>
    <n v="0"/>
    <n v="4000"/>
    <n v="1750"/>
    <n v="0"/>
    <m/>
    <x v="29"/>
  </r>
  <r>
    <x v="86"/>
    <s v="rom_fact_separatist_harad"/>
    <n v="0"/>
    <x v="11"/>
    <n v="0"/>
    <n v="4000"/>
    <n v="1750"/>
    <n v="0"/>
    <m/>
    <x v="30"/>
  </r>
  <r>
    <x v="86"/>
    <s v="rom_fact_separatist_khand"/>
    <n v="0"/>
    <x v="11"/>
    <n v="0"/>
    <n v="4000"/>
    <n v="1750"/>
    <n v="0"/>
    <m/>
    <x v="30"/>
  </r>
  <r>
    <x v="86"/>
    <s v="rom_fact_separatist_balchoth"/>
    <n v="0"/>
    <x v="11"/>
    <n v="0"/>
    <n v="4000"/>
    <n v="1750"/>
    <n v="0"/>
    <m/>
    <x v="30"/>
  </r>
  <r>
    <x v="86"/>
    <s v="rom_fact_separatist_feredrim"/>
    <n v="0"/>
    <x v="11"/>
    <n v="0"/>
    <n v="4000"/>
    <n v="1750"/>
    <n v="0"/>
    <m/>
    <x v="30"/>
  </r>
  <r>
    <x v="86"/>
    <s v="rom_fact_separatist_haerrim"/>
    <n v="0"/>
    <x v="11"/>
    <n v="0"/>
    <n v="4000"/>
    <n v="1750"/>
    <n v="0"/>
    <m/>
    <x v="30"/>
  </r>
  <r>
    <x v="86"/>
    <s v="rom_fact_separatist_wainriders"/>
    <n v="0"/>
    <x v="11"/>
    <n v="0"/>
    <n v="4000"/>
    <n v="1750"/>
    <n v="0"/>
    <m/>
    <x v="30"/>
  </r>
  <r>
    <x v="86"/>
    <s v="rom_fact_separatist_rhurim"/>
    <n v="0"/>
    <x v="11"/>
    <n v="0"/>
    <n v="4000"/>
    <n v="1750"/>
    <n v="0"/>
    <m/>
    <x v="30"/>
  </r>
  <r>
    <x v="86"/>
    <s v="rom_fact_separatist_mahuds"/>
    <n v="0"/>
    <x v="11"/>
    <n v="0"/>
    <n v="4000"/>
    <n v="1750"/>
    <n v="0"/>
    <m/>
    <x v="30"/>
  </r>
  <r>
    <x v="86"/>
    <s v="rom_fact_separatist_umbar"/>
    <n v="0"/>
    <x v="11"/>
    <n v="0"/>
    <n v="4000"/>
    <n v="1750"/>
    <n v="0"/>
    <m/>
    <x v="30"/>
  </r>
  <r>
    <x v="87"/>
    <s v="rom_fact_mordor"/>
    <n v="373"/>
    <x v="30"/>
    <n v="297.10000000000002"/>
    <n v="8722"/>
    <n v="41642"/>
    <n v="2439"/>
    <m/>
    <x v="0"/>
  </r>
  <r>
    <x v="87"/>
    <s v="rom_fact_gondor"/>
    <n v="146"/>
    <x v="11"/>
    <n v="0"/>
    <n v="55420"/>
    <n v="2500"/>
    <n v="0"/>
    <m/>
    <x v="1"/>
  </r>
  <r>
    <x v="87"/>
    <s v="rom_fact_dale"/>
    <n v="191"/>
    <x v="7"/>
    <n v="14.6"/>
    <n v="515"/>
    <n v="4939"/>
    <n v="0"/>
    <m/>
    <x v="2"/>
  </r>
  <r>
    <x v="87"/>
    <s v="rom_fact_erebor"/>
    <n v="200"/>
    <x v="11"/>
    <n v="0"/>
    <n v="10040"/>
    <n v="2500"/>
    <n v="0"/>
    <m/>
    <x v="3"/>
  </r>
  <r>
    <x v="87"/>
    <s v="rom_fact_rohan"/>
    <n v="157"/>
    <x v="11"/>
    <n v="0"/>
    <n v="6638"/>
    <n v="2500"/>
    <n v="0"/>
    <m/>
    <x v="4"/>
  </r>
  <r>
    <x v="87"/>
    <s v="rom_fact_dol_guldur"/>
    <n v="271"/>
    <x v="15"/>
    <n v="250.4"/>
    <n v="27629"/>
    <n v="35683"/>
    <n v="2645"/>
    <m/>
    <x v="5"/>
  </r>
  <r>
    <x v="87"/>
    <s v="rom_fact_anduin_vale"/>
    <n v="58"/>
    <x v="11"/>
    <n v="0"/>
    <n v="4515"/>
    <n v="2500"/>
    <n v="0"/>
    <m/>
    <x v="6"/>
  </r>
  <r>
    <x v="87"/>
    <s v="rom_fact_isengard"/>
    <n v="257"/>
    <x v="12"/>
    <n v="195.4"/>
    <n v="68060"/>
    <n v="26078"/>
    <n v="1299"/>
    <m/>
    <x v="7"/>
  </r>
  <r>
    <x v="87"/>
    <s v="rom_fact_woodland_realm"/>
    <n v="30"/>
    <x v="11"/>
    <n v="0"/>
    <n v="8475"/>
    <n v="2500"/>
    <n v="0"/>
    <m/>
    <x v="8"/>
  </r>
  <r>
    <x v="87"/>
    <s v="rom_fact_lothlorien"/>
    <n v="64"/>
    <x v="11"/>
    <n v="0"/>
    <n v="4721"/>
    <n v="2500"/>
    <n v="0"/>
    <m/>
    <x v="9"/>
  </r>
  <r>
    <x v="87"/>
    <s v="rom_fact_khand"/>
    <n v="0"/>
    <x v="11"/>
    <n v="0"/>
    <n v="4919"/>
    <n v="1750"/>
    <n v="0"/>
    <m/>
    <x v="10"/>
  </r>
  <r>
    <x v="87"/>
    <s v="rom_fact_umbar"/>
    <n v="11"/>
    <x v="12"/>
    <n v="162"/>
    <n v="64879"/>
    <n v="32920"/>
    <n v="2439"/>
    <m/>
    <x v="11"/>
  </r>
  <r>
    <x v="87"/>
    <s v="rom_fact_mahuds"/>
    <n v="0"/>
    <x v="11"/>
    <n v="0"/>
    <n v="9228"/>
    <n v="1750"/>
    <n v="0"/>
    <m/>
    <x v="12"/>
  </r>
  <r>
    <x v="87"/>
    <s v="rom_fact_harad"/>
    <n v="154"/>
    <x v="0"/>
    <n v="190"/>
    <n v="19323"/>
    <n v="28039"/>
    <n v="673"/>
    <m/>
    <x v="13"/>
  </r>
  <r>
    <x v="87"/>
    <s v="rom_fact_dunland"/>
    <n v="163"/>
    <x v="2"/>
    <n v="230"/>
    <n v="214110"/>
    <n v="38115"/>
    <n v="2418"/>
    <m/>
    <x v="14"/>
  </r>
  <r>
    <x v="87"/>
    <s v="rom_fact_haerrim"/>
    <n v="0"/>
    <x v="11"/>
    <n v="0"/>
    <n v="5352"/>
    <n v="1750"/>
    <n v="0"/>
    <m/>
    <x v="15"/>
  </r>
  <r>
    <x v="87"/>
    <s v="rom_fact_goblins"/>
    <n v="398"/>
    <x v="1"/>
    <n v="404.2"/>
    <n v="58532"/>
    <n v="56986"/>
    <n v="5023"/>
    <m/>
    <x v="16"/>
  </r>
  <r>
    <x v="87"/>
    <s v="rom_fact_balchoth"/>
    <n v="0"/>
    <x v="11"/>
    <n v="0"/>
    <n v="4872"/>
    <n v="1750"/>
    <n v="0"/>
    <m/>
    <x v="17"/>
  </r>
  <r>
    <x v="87"/>
    <s v="rom_fact_rhurim"/>
    <n v="281"/>
    <x v="22"/>
    <n v="492.79999999999899"/>
    <n v="57709"/>
    <n v="51319"/>
    <n v="2446"/>
    <m/>
    <x v="18"/>
  </r>
  <r>
    <x v="87"/>
    <s v="rom_fact_feredrim"/>
    <n v="0"/>
    <x v="11"/>
    <n v="0"/>
    <n v="7360"/>
    <n v="1750"/>
    <n v="0"/>
    <m/>
    <x v="19"/>
  </r>
  <r>
    <x v="87"/>
    <s v="rom_fact_wainriders"/>
    <n v="0"/>
    <x v="11"/>
    <n v="0"/>
    <n v="6395"/>
    <n v="1750"/>
    <n v="0"/>
    <m/>
    <x v="20"/>
  </r>
  <r>
    <x v="87"/>
    <s v="rom_fact_blacklock"/>
    <n v="1"/>
    <x v="7"/>
    <n v="25.2"/>
    <n v="23140"/>
    <n v="4999"/>
    <n v="0"/>
    <m/>
    <x v="21"/>
  </r>
  <r>
    <x v="87"/>
    <s v="rom_fact_ironfist"/>
    <n v="4"/>
    <x v="10"/>
    <n v="43"/>
    <n v="73484"/>
    <n v="8847"/>
    <n v="0"/>
    <m/>
    <x v="22"/>
  </r>
  <r>
    <x v="87"/>
    <s v="rom_fact_gundabad"/>
    <n v="239"/>
    <x v="18"/>
    <n v="264.60000000000002"/>
    <n v="30752"/>
    <n v="32693"/>
    <n v="1705"/>
    <m/>
    <x v="23"/>
  </r>
  <r>
    <x v="87"/>
    <s v="rom_fact_rohan_scouts"/>
    <n v="0"/>
    <x v="11"/>
    <n v="3"/>
    <n v="102648"/>
    <n v="2379"/>
    <n v="0"/>
    <m/>
    <x v="24"/>
  </r>
  <r>
    <x v="87"/>
    <s v="rom_fact_northern_enedwaith"/>
    <n v="6"/>
    <x v="9"/>
    <n v="81"/>
    <n v="86487"/>
    <n v="17760"/>
    <n v="853"/>
    <m/>
    <x v="25"/>
  </r>
  <r>
    <x v="87"/>
    <s v="rom_fact_southern_enedwaith"/>
    <n v="0"/>
    <x v="11"/>
    <n v="0"/>
    <n v="54023"/>
    <n v="1750"/>
    <n v="0"/>
    <m/>
    <x v="26"/>
  </r>
  <r>
    <x v="87"/>
    <s v="rom_fact_druedain"/>
    <n v="0"/>
    <x v="11"/>
    <n v="0"/>
    <n v="32146"/>
    <n v="1750"/>
    <n v="0"/>
    <m/>
    <x v="27"/>
  </r>
  <r>
    <x v="87"/>
    <s v="rom_fact_harondor"/>
    <n v="0"/>
    <x v="11"/>
    <n v="0"/>
    <n v="15146"/>
    <n v="1750"/>
    <n v="0"/>
    <m/>
    <x v="28"/>
  </r>
  <r>
    <x v="87"/>
    <s v="rom_fact_southron_nomads"/>
    <n v="0"/>
    <x v="11"/>
    <n v="0"/>
    <n v="4000"/>
    <n v="1750"/>
    <n v="0"/>
    <m/>
    <x v="29"/>
  </r>
  <r>
    <x v="87"/>
    <s v="rom_fact_separatist_harad"/>
    <n v="0"/>
    <x v="11"/>
    <n v="0"/>
    <n v="4000"/>
    <n v="1750"/>
    <n v="0"/>
    <m/>
    <x v="30"/>
  </r>
  <r>
    <x v="87"/>
    <s v="rom_fact_separatist_khand"/>
    <n v="0"/>
    <x v="11"/>
    <n v="0"/>
    <n v="4000"/>
    <n v="1750"/>
    <n v="0"/>
    <m/>
    <x v="30"/>
  </r>
  <r>
    <x v="87"/>
    <s v="rom_fact_separatist_balchoth"/>
    <n v="0"/>
    <x v="11"/>
    <n v="0"/>
    <n v="4000"/>
    <n v="1750"/>
    <n v="0"/>
    <m/>
    <x v="30"/>
  </r>
  <r>
    <x v="87"/>
    <s v="rom_fact_separatist_feredrim"/>
    <n v="0"/>
    <x v="11"/>
    <n v="0"/>
    <n v="4000"/>
    <n v="1750"/>
    <n v="0"/>
    <m/>
    <x v="30"/>
  </r>
  <r>
    <x v="87"/>
    <s v="rom_fact_separatist_haerrim"/>
    <n v="0"/>
    <x v="11"/>
    <n v="0"/>
    <n v="4000"/>
    <n v="1750"/>
    <n v="0"/>
    <m/>
    <x v="30"/>
  </r>
  <r>
    <x v="87"/>
    <s v="rom_fact_separatist_wainriders"/>
    <n v="0"/>
    <x v="11"/>
    <n v="0"/>
    <n v="4000"/>
    <n v="1750"/>
    <n v="0"/>
    <m/>
    <x v="30"/>
  </r>
  <r>
    <x v="87"/>
    <s v="rom_fact_separatist_rhurim"/>
    <n v="0"/>
    <x v="11"/>
    <n v="0"/>
    <n v="4000"/>
    <n v="1750"/>
    <n v="0"/>
    <m/>
    <x v="30"/>
  </r>
  <r>
    <x v="87"/>
    <s v="rom_fact_separatist_mahuds"/>
    <n v="0"/>
    <x v="11"/>
    <n v="0"/>
    <n v="4000"/>
    <n v="1750"/>
    <n v="0"/>
    <m/>
    <x v="30"/>
  </r>
  <r>
    <x v="87"/>
    <s v="rom_fact_separatist_umbar"/>
    <n v="0"/>
    <x v="11"/>
    <n v="0"/>
    <n v="4000"/>
    <n v="1750"/>
    <n v="0"/>
    <m/>
    <x v="30"/>
  </r>
  <r>
    <x v="88"/>
    <s v="rom_fact_mordor"/>
    <n v="388"/>
    <x v="30"/>
    <n v="300.10000000000002"/>
    <n v="1596"/>
    <n v="42589"/>
    <n v="2452"/>
    <m/>
    <x v="0"/>
  </r>
  <r>
    <x v="88"/>
    <s v="rom_fact_gondor"/>
    <n v="146"/>
    <x v="11"/>
    <n v="0"/>
    <n v="55420"/>
    <n v="2500"/>
    <n v="0"/>
    <m/>
    <x v="1"/>
  </r>
  <r>
    <x v="88"/>
    <s v="rom_fact_dale"/>
    <n v="191"/>
    <x v="7"/>
    <n v="14.6"/>
    <n v="576"/>
    <n v="4939"/>
    <n v="0"/>
    <m/>
    <x v="2"/>
  </r>
  <r>
    <x v="88"/>
    <s v="rom_fact_erebor"/>
    <n v="200"/>
    <x v="11"/>
    <n v="0"/>
    <n v="10040"/>
    <n v="2500"/>
    <n v="0"/>
    <m/>
    <x v="3"/>
  </r>
  <r>
    <x v="88"/>
    <s v="rom_fact_rohan"/>
    <n v="157"/>
    <x v="11"/>
    <n v="0"/>
    <n v="6638"/>
    <n v="2500"/>
    <n v="0"/>
    <m/>
    <x v="4"/>
  </r>
  <r>
    <x v="88"/>
    <s v="rom_fact_dol_guldur"/>
    <n v="284"/>
    <x v="15"/>
    <n v="243.4"/>
    <n v="33253"/>
    <n v="34539"/>
    <n v="2651"/>
    <m/>
    <x v="5"/>
  </r>
  <r>
    <x v="88"/>
    <s v="rom_fact_anduin_vale"/>
    <n v="58"/>
    <x v="11"/>
    <n v="0"/>
    <n v="4515"/>
    <n v="2500"/>
    <n v="0"/>
    <m/>
    <x v="6"/>
  </r>
  <r>
    <x v="88"/>
    <s v="rom_fact_isengard"/>
    <n v="257"/>
    <x v="12"/>
    <n v="195.4"/>
    <n v="71753"/>
    <n v="26080"/>
    <n v="1301"/>
    <m/>
    <x v="7"/>
  </r>
  <r>
    <x v="88"/>
    <s v="rom_fact_woodland_realm"/>
    <n v="30"/>
    <x v="11"/>
    <n v="0"/>
    <n v="8475"/>
    <n v="2500"/>
    <n v="0"/>
    <m/>
    <x v="8"/>
  </r>
  <r>
    <x v="88"/>
    <s v="rom_fact_lothlorien"/>
    <n v="64"/>
    <x v="11"/>
    <n v="0"/>
    <n v="4721"/>
    <n v="2500"/>
    <n v="0"/>
    <m/>
    <x v="9"/>
  </r>
  <r>
    <x v="88"/>
    <s v="rom_fact_khand"/>
    <n v="0"/>
    <x v="11"/>
    <n v="0"/>
    <n v="4919"/>
    <n v="1750"/>
    <n v="0"/>
    <m/>
    <x v="10"/>
  </r>
  <r>
    <x v="88"/>
    <s v="rom_fact_umbar"/>
    <n v="11"/>
    <x v="12"/>
    <n v="161"/>
    <n v="73131"/>
    <n v="34553"/>
    <n v="2862"/>
    <m/>
    <x v="11"/>
  </r>
  <r>
    <x v="88"/>
    <s v="rom_fact_mahuds"/>
    <n v="0"/>
    <x v="11"/>
    <n v="0"/>
    <n v="9228"/>
    <n v="1750"/>
    <n v="0"/>
    <m/>
    <x v="12"/>
  </r>
  <r>
    <x v="88"/>
    <s v="rom_fact_harad"/>
    <n v="154"/>
    <x v="0"/>
    <n v="198"/>
    <n v="28008"/>
    <n v="28069"/>
    <n v="678"/>
    <m/>
    <x v="13"/>
  </r>
  <r>
    <x v="88"/>
    <s v="rom_fact_dunland"/>
    <n v="168"/>
    <x v="2"/>
    <n v="234"/>
    <n v="212413"/>
    <n v="39076"/>
    <n v="2428"/>
    <m/>
    <x v="14"/>
  </r>
  <r>
    <x v="88"/>
    <s v="rom_fact_haerrim"/>
    <n v="0"/>
    <x v="11"/>
    <n v="0"/>
    <n v="5352"/>
    <n v="1750"/>
    <n v="0"/>
    <m/>
    <x v="15"/>
  </r>
  <r>
    <x v="88"/>
    <s v="rom_fact_goblins"/>
    <n v="398"/>
    <x v="1"/>
    <n v="404.2"/>
    <n v="52816"/>
    <n v="55277"/>
    <n v="5026"/>
    <m/>
    <x v="16"/>
  </r>
  <r>
    <x v="88"/>
    <s v="rom_fact_balchoth"/>
    <n v="0"/>
    <x v="11"/>
    <n v="0"/>
    <n v="4872"/>
    <n v="1750"/>
    <n v="0"/>
    <m/>
    <x v="17"/>
  </r>
  <r>
    <x v="88"/>
    <s v="rom_fact_rhurim"/>
    <n v="325"/>
    <x v="22"/>
    <n v="493.79999999999899"/>
    <n v="48075"/>
    <n v="50892"/>
    <n v="2682"/>
    <m/>
    <x v="18"/>
  </r>
  <r>
    <x v="88"/>
    <s v="rom_fact_feredrim"/>
    <n v="0"/>
    <x v="11"/>
    <n v="0"/>
    <n v="7360"/>
    <n v="1750"/>
    <n v="0"/>
    <m/>
    <x v="19"/>
  </r>
  <r>
    <x v="88"/>
    <s v="rom_fact_wainriders"/>
    <n v="0"/>
    <x v="11"/>
    <n v="0"/>
    <n v="6395"/>
    <n v="1750"/>
    <n v="0"/>
    <m/>
    <x v="20"/>
  </r>
  <r>
    <x v="88"/>
    <s v="rom_fact_blacklock"/>
    <n v="1"/>
    <x v="7"/>
    <n v="23.2"/>
    <n v="21887"/>
    <n v="4783"/>
    <n v="0"/>
    <m/>
    <x v="21"/>
  </r>
  <r>
    <x v="88"/>
    <s v="rom_fact_ironfist"/>
    <n v="4"/>
    <x v="10"/>
    <n v="43"/>
    <n v="76675"/>
    <n v="8847"/>
    <n v="0"/>
    <m/>
    <x v="22"/>
  </r>
  <r>
    <x v="88"/>
    <s v="rom_fact_gundabad"/>
    <n v="249"/>
    <x v="18"/>
    <n v="221.2"/>
    <n v="25839"/>
    <n v="28312"/>
    <n v="1651"/>
    <m/>
    <x v="23"/>
  </r>
  <r>
    <x v="88"/>
    <s v="rom_fact_rohan_scouts"/>
    <n v="0"/>
    <x v="11"/>
    <n v="3"/>
    <n v="103769"/>
    <n v="2379"/>
    <n v="0"/>
    <m/>
    <x v="24"/>
  </r>
  <r>
    <x v="88"/>
    <s v="rom_fact_northern_enedwaith"/>
    <n v="6"/>
    <x v="9"/>
    <n v="81"/>
    <n v="89871"/>
    <n v="17763"/>
    <n v="856"/>
    <m/>
    <x v="25"/>
  </r>
  <r>
    <x v="88"/>
    <s v="rom_fact_southern_enedwaith"/>
    <n v="0"/>
    <x v="11"/>
    <n v="0"/>
    <n v="54023"/>
    <n v="1750"/>
    <n v="0"/>
    <m/>
    <x v="26"/>
  </r>
  <r>
    <x v="88"/>
    <s v="rom_fact_druedain"/>
    <n v="0"/>
    <x v="11"/>
    <n v="0"/>
    <n v="32146"/>
    <n v="1750"/>
    <n v="0"/>
    <m/>
    <x v="27"/>
  </r>
  <r>
    <x v="88"/>
    <s v="rom_fact_harondor"/>
    <n v="0"/>
    <x v="11"/>
    <n v="0"/>
    <n v="15146"/>
    <n v="1750"/>
    <n v="0"/>
    <m/>
    <x v="28"/>
  </r>
  <r>
    <x v="88"/>
    <s v="rom_fact_southron_nomads"/>
    <n v="0"/>
    <x v="11"/>
    <n v="0"/>
    <n v="4000"/>
    <n v="1750"/>
    <n v="0"/>
    <m/>
    <x v="29"/>
  </r>
  <r>
    <x v="88"/>
    <s v="rom_fact_separatist_harad"/>
    <n v="0"/>
    <x v="11"/>
    <n v="0"/>
    <n v="4000"/>
    <n v="1750"/>
    <n v="0"/>
    <m/>
    <x v="30"/>
  </r>
  <r>
    <x v="88"/>
    <s v="rom_fact_separatist_khand"/>
    <n v="0"/>
    <x v="11"/>
    <n v="0"/>
    <n v="4000"/>
    <n v="1750"/>
    <n v="0"/>
    <m/>
    <x v="30"/>
  </r>
  <r>
    <x v="88"/>
    <s v="rom_fact_separatist_balchoth"/>
    <n v="0"/>
    <x v="11"/>
    <n v="0"/>
    <n v="4000"/>
    <n v="1750"/>
    <n v="0"/>
    <m/>
    <x v="30"/>
  </r>
  <r>
    <x v="88"/>
    <s v="rom_fact_separatist_feredrim"/>
    <n v="0"/>
    <x v="11"/>
    <n v="0"/>
    <n v="4000"/>
    <n v="1750"/>
    <n v="0"/>
    <m/>
    <x v="30"/>
  </r>
  <r>
    <x v="88"/>
    <s v="rom_fact_separatist_haerrim"/>
    <n v="0"/>
    <x v="11"/>
    <n v="0"/>
    <n v="4000"/>
    <n v="1750"/>
    <n v="0"/>
    <m/>
    <x v="30"/>
  </r>
  <r>
    <x v="88"/>
    <s v="rom_fact_separatist_wainriders"/>
    <n v="0"/>
    <x v="11"/>
    <n v="0"/>
    <n v="4000"/>
    <n v="1750"/>
    <n v="0"/>
    <m/>
    <x v="30"/>
  </r>
  <r>
    <x v="88"/>
    <s v="rom_fact_separatist_rhurim"/>
    <n v="0"/>
    <x v="11"/>
    <n v="0"/>
    <n v="4000"/>
    <n v="1750"/>
    <n v="0"/>
    <m/>
    <x v="30"/>
  </r>
  <r>
    <x v="88"/>
    <s v="rom_fact_separatist_mahuds"/>
    <n v="0"/>
    <x v="11"/>
    <n v="0"/>
    <n v="4000"/>
    <n v="1750"/>
    <n v="0"/>
    <m/>
    <x v="30"/>
  </r>
  <r>
    <x v="88"/>
    <s v="rom_fact_separatist_umbar"/>
    <n v="0"/>
    <x v="11"/>
    <n v="0"/>
    <n v="4000"/>
    <n v="1750"/>
    <n v="0"/>
    <m/>
    <x v="30"/>
  </r>
  <r>
    <x v="89"/>
    <s v="rom_fact_mordor"/>
    <n v="393"/>
    <x v="30"/>
    <n v="300.10000000000002"/>
    <n v="655"/>
    <n v="42301"/>
    <n v="2454"/>
    <m/>
    <x v="0"/>
  </r>
  <r>
    <x v="89"/>
    <s v="rom_fact_gondor"/>
    <n v="146"/>
    <x v="11"/>
    <n v="0"/>
    <n v="55420"/>
    <n v="2500"/>
    <n v="0"/>
    <m/>
    <x v="1"/>
  </r>
  <r>
    <x v="89"/>
    <s v="rom_fact_dale"/>
    <n v="191"/>
    <x v="7"/>
    <n v="14.6"/>
    <n v="723"/>
    <n v="4939"/>
    <n v="0"/>
    <m/>
    <x v="2"/>
  </r>
  <r>
    <x v="89"/>
    <s v="rom_fact_erebor"/>
    <n v="200"/>
    <x v="11"/>
    <n v="0"/>
    <n v="10040"/>
    <n v="2500"/>
    <n v="0"/>
    <m/>
    <x v="3"/>
  </r>
  <r>
    <x v="89"/>
    <s v="rom_fact_rohan"/>
    <n v="157"/>
    <x v="11"/>
    <n v="0"/>
    <n v="6638"/>
    <n v="2500"/>
    <n v="0"/>
    <m/>
    <x v="4"/>
  </r>
  <r>
    <x v="89"/>
    <s v="rom_fact_dol_guldur"/>
    <n v="292"/>
    <x v="15"/>
    <n v="222.4"/>
    <n v="36094"/>
    <n v="32416"/>
    <n v="2661"/>
    <m/>
    <x v="5"/>
  </r>
  <r>
    <x v="89"/>
    <s v="rom_fact_anduin_vale"/>
    <n v="58"/>
    <x v="11"/>
    <n v="0"/>
    <n v="4515"/>
    <n v="2500"/>
    <n v="0"/>
    <m/>
    <x v="6"/>
  </r>
  <r>
    <x v="89"/>
    <s v="rom_fact_isengard"/>
    <n v="257"/>
    <x v="12"/>
    <n v="196.7"/>
    <n v="75510"/>
    <n v="26196"/>
    <n v="1308"/>
    <m/>
    <x v="7"/>
  </r>
  <r>
    <x v="89"/>
    <s v="rom_fact_woodland_realm"/>
    <n v="30"/>
    <x v="11"/>
    <n v="0"/>
    <n v="8475"/>
    <n v="2500"/>
    <n v="0"/>
    <m/>
    <x v="8"/>
  </r>
  <r>
    <x v="89"/>
    <s v="rom_fact_lothlorien"/>
    <n v="64"/>
    <x v="11"/>
    <n v="0"/>
    <n v="4721"/>
    <n v="2500"/>
    <n v="0"/>
    <m/>
    <x v="9"/>
  </r>
  <r>
    <x v="89"/>
    <s v="rom_fact_khand"/>
    <n v="0"/>
    <x v="11"/>
    <n v="0"/>
    <n v="4919"/>
    <n v="1750"/>
    <n v="0"/>
    <m/>
    <x v="10"/>
  </r>
  <r>
    <x v="89"/>
    <s v="rom_fact_umbar"/>
    <n v="11"/>
    <x v="12"/>
    <n v="161"/>
    <n v="82680"/>
    <n v="34182"/>
    <n v="2865"/>
    <m/>
    <x v="11"/>
  </r>
  <r>
    <x v="89"/>
    <s v="rom_fact_mahuds"/>
    <n v="0"/>
    <x v="11"/>
    <n v="0"/>
    <n v="9228"/>
    <n v="1750"/>
    <n v="0"/>
    <m/>
    <x v="12"/>
  </r>
  <r>
    <x v="89"/>
    <s v="rom_fact_harad"/>
    <n v="154"/>
    <x v="0"/>
    <n v="209"/>
    <n v="23820"/>
    <n v="29151"/>
    <n v="676"/>
    <m/>
    <x v="13"/>
  </r>
  <r>
    <x v="89"/>
    <s v="rom_fact_dunland"/>
    <n v="168"/>
    <x v="2"/>
    <n v="238"/>
    <n v="216142"/>
    <n v="39611"/>
    <n v="2433"/>
    <m/>
    <x v="14"/>
  </r>
  <r>
    <x v="89"/>
    <s v="rom_fact_haerrim"/>
    <n v="0"/>
    <x v="11"/>
    <n v="0"/>
    <n v="5352"/>
    <n v="1750"/>
    <n v="0"/>
    <m/>
    <x v="15"/>
  </r>
  <r>
    <x v="89"/>
    <s v="rom_fact_goblins"/>
    <n v="401"/>
    <x v="27"/>
    <n v="420.9"/>
    <n v="57852"/>
    <n v="56181"/>
    <n v="5263"/>
    <m/>
    <x v="16"/>
  </r>
  <r>
    <x v="89"/>
    <s v="rom_fact_balchoth"/>
    <n v="0"/>
    <x v="11"/>
    <n v="0"/>
    <n v="4872"/>
    <n v="1750"/>
    <n v="0"/>
    <m/>
    <x v="17"/>
  </r>
  <r>
    <x v="89"/>
    <s v="rom_fact_rhurim"/>
    <n v="346"/>
    <x v="22"/>
    <n v="504.79999999999899"/>
    <n v="40759"/>
    <n v="51315"/>
    <n v="2680"/>
    <m/>
    <x v="18"/>
  </r>
  <r>
    <x v="89"/>
    <s v="rom_fact_feredrim"/>
    <n v="0"/>
    <x v="11"/>
    <n v="0"/>
    <n v="7360"/>
    <n v="1750"/>
    <n v="0"/>
    <m/>
    <x v="19"/>
  </r>
  <r>
    <x v="89"/>
    <s v="rom_fact_wainriders"/>
    <n v="0"/>
    <x v="11"/>
    <n v="0"/>
    <n v="6395"/>
    <n v="1750"/>
    <n v="0"/>
    <m/>
    <x v="20"/>
  </r>
  <r>
    <x v="89"/>
    <s v="rom_fact_blacklock"/>
    <n v="1"/>
    <x v="7"/>
    <n v="22.2"/>
    <n v="20712"/>
    <n v="4675"/>
    <n v="0"/>
    <m/>
    <x v="21"/>
  </r>
  <r>
    <x v="89"/>
    <s v="rom_fact_ironfist"/>
    <n v="4"/>
    <x v="10"/>
    <n v="43"/>
    <n v="76240"/>
    <n v="8821"/>
    <n v="0"/>
    <m/>
    <x v="22"/>
  </r>
  <r>
    <x v="89"/>
    <s v="rom_fact_gundabad"/>
    <n v="251"/>
    <x v="14"/>
    <n v="202.8"/>
    <n v="28790"/>
    <n v="26329"/>
    <n v="1537"/>
    <m/>
    <x v="23"/>
  </r>
  <r>
    <x v="89"/>
    <s v="rom_fact_rohan_scouts"/>
    <n v="0"/>
    <x v="11"/>
    <n v="3"/>
    <n v="104890"/>
    <n v="2379"/>
    <n v="0"/>
    <m/>
    <x v="24"/>
  </r>
  <r>
    <x v="89"/>
    <s v="rom_fact_northern_enedwaith"/>
    <n v="6"/>
    <x v="9"/>
    <n v="83"/>
    <n v="88106"/>
    <n v="18098"/>
    <n v="858"/>
    <m/>
    <x v="25"/>
  </r>
  <r>
    <x v="89"/>
    <s v="rom_fact_southern_enedwaith"/>
    <n v="0"/>
    <x v="11"/>
    <n v="0"/>
    <n v="54023"/>
    <n v="1750"/>
    <n v="0"/>
    <m/>
    <x v="26"/>
  </r>
  <r>
    <x v="89"/>
    <s v="rom_fact_druedain"/>
    <n v="0"/>
    <x v="11"/>
    <n v="0"/>
    <n v="32146"/>
    <n v="1750"/>
    <n v="0"/>
    <m/>
    <x v="27"/>
  </r>
  <r>
    <x v="89"/>
    <s v="rom_fact_harondor"/>
    <n v="0"/>
    <x v="11"/>
    <n v="0"/>
    <n v="15146"/>
    <n v="1750"/>
    <n v="0"/>
    <m/>
    <x v="28"/>
  </r>
  <r>
    <x v="89"/>
    <s v="rom_fact_southron_nomads"/>
    <n v="0"/>
    <x v="11"/>
    <n v="0"/>
    <n v="4000"/>
    <n v="1750"/>
    <n v="0"/>
    <m/>
    <x v="29"/>
  </r>
  <r>
    <x v="89"/>
    <s v="rom_fact_separatist_harad"/>
    <n v="0"/>
    <x v="11"/>
    <n v="0"/>
    <n v="4000"/>
    <n v="1750"/>
    <n v="0"/>
    <m/>
    <x v="30"/>
  </r>
  <r>
    <x v="89"/>
    <s v="rom_fact_separatist_khand"/>
    <n v="0"/>
    <x v="11"/>
    <n v="0"/>
    <n v="4000"/>
    <n v="1750"/>
    <n v="0"/>
    <m/>
    <x v="30"/>
  </r>
  <r>
    <x v="89"/>
    <s v="rom_fact_separatist_balchoth"/>
    <n v="0"/>
    <x v="11"/>
    <n v="0"/>
    <n v="4000"/>
    <n v="1750"/>
    <n v="0"/>
    <m/>
    <x v="30"/>
  </r>
  <r>
    <x v="89"/>
    <s v="rom_fact_separatist_feredrim"/>
    <n v="0"/>
    <x v="11"/>
    <n v="0"/>
    <n v="4000"/>
    <n v="1750"/>
    <n v="0"/>
    <m/>
    <x v="30"/>
  </r>
  <r>
    <x v="89"/>
    <s v="rom_fact_separatist_haerrim"/>
    <n v="0"/>
    <x v="11"/>
    <n v="0"/>
    <n v="4000"/>
    <n v="1750"/>
    <n v="0"/>
    <m/>
    <x v="30"/>
  </r>
  <r>
    <x v="89"/>
    <s v="rom_fact_separatist_wainriders"/>
    <n v="0"/>
    <x v="11"/>
    <n v="0"/>
    <n v="4000"/>
    <n v="1750"/>
    <n v="0"/>
    <m/>
    <x v="30"/>
  </r>
  <r>
    <x v="89"/>
    <s v="rom_fact_separatist_rhurim"/>
    <n v="0"/>
    <x v="11"/>
    <n v="0"/>
    <n v="4000"/>
    <n v="1750"/>
    <n v="0"/>
    <m/>
    <x v="30"/>
  </r>
  <r>
    <x v="89"/>
    <s v="rom_fact_separatist_mahuds"/>
    <n v="0"/>
    <x v="11"/>
    <n v="0"/>
    <n v="4000"/>
    <n v="1750"/>
    <n v="0"/>
    <m/>
    <x v="30"/>
  </r>
  <r>
    <x v="89"/>
    <s v="rom_fact_separatist_umbar"/>
    <n v="0"/>
    <x v="11"/>
    <n v="0"/>
    <n v="4000"/>
    <n v="1750"/>
    <n v="0"/>
    <m/>
    <x v="30"/>
  </r>
  <r>
    <x v="90"/>
    <s v="rom_fact_mordor"/>
    <n v="400"/>
    <x v="31"/>
    <n v="312.10000000000002"/>
    <n v="1504"/>
    <n v="42588"/>
    <n v="2699"/>
    <m/>
    <x v="0"/>
  </r>
  <r>
    <x v="90"/>
    <s v="rom_fact_gondor"/>
    <n v="146"/>
    <x v="11"/>
    <n v="0"/>
    <n v="55420"/>
    <n v="2500"/>
    <n v="0"/>
    <m/>
    <x v="1"/>
  </r>
  <r>
    <x v="90"/>
    <s v="rom_fact_dale"/>
    <n v="189"/>
    <x v="11"/>
    <n v="14.6"/>
    <n v="784"/>
    <n v="4939"/>
    <n v="0"/>
    <m/>
    <x v="2"/>
  </r>
  <r>
    <x v="90"/>
    <s v="rom_fact_erebor"/>
    <n v="200"/>
    <x v="11"/>
    <n v="0"/>
    <n v="10040"/>
    <n v="2500"/>
    <n v="0"/>
    <m/>
    <x v="3"/>
  </r>
  <r>
    <x v="90"/>
    <s v="rom_fact_rohan"/>
    <n v="157"/>
    <x v="11"/>
    <n v="0"/>
    <n v="6638"/>
    <n v="2500"/>
    <n v="0"/>
    <m/>
    <x v="4"/>
  </r>
  <r>
    <x v="90"/>
    <s v="rom_fact_dol_guldur"/>
    <n v="298"/>
    <x v="20"/>
    <n v="245.4"/>
    <n v="34950"/>
    <n v="34251"/>
    <n v="2818"/>
    <m/>
    <x v="5"/>
  </r>
  <r>
    <x v="90"/>
    <s v="rom_fact_anduin_vale"/>
    <n v="58"/>
    <x v="11"/>
    <n v="0"/>
    <n v="4515"/>
    <n v="2500"/>
    <n v="0"/>
    <m/>
    <x v="6"/>
  </r>
  <r>
    <x v="90"/>
    <s v="rom_fact_isengard"/>
    <n v="262"/>
    <x v="12"/>
    <n v="196.7"/>
    <n v="77085"/>
    <n v="25799"/>
    <n v="1308"/>
    <m/>
    <x v="7"/>
  </r>
  <r>
    <x v="90"/>
    <s v="rom_fact_woodland_realm"/>
    <n v="30"/>
    <x v="11"/>
    <n v="0"/>
    <n v="8475"/>
    <n v="2500"/>
    <n v="0"/>
    <m/>
    <x v="8"/>
  </r>
  <r>
    <x v="90"/>
    <s v="rom_fact_lothlorien"/>
    <n v="64"/>
    <x v="11"/>
    <n v="0"/>
    <n v="4721"/>
    <n v="2500"/>
    <n v="0"/>
    <m/>
    <x v="9"/>
  </r>
  <r>
    <x v="90"/>
    <s v="rom_fact_khand"/>
    <n v="0"/>
    <x v="11"/>
    <n v="0"/>
    <n v="4919"/>
    <n v="1750"/>
    <n v="0"/>
    <m/>
    <x v="10"/>
  </r>
  <r>
    <x v="90"/>
    <s v="rom_fact_umbar"/>
    <n v="11"/>
    <x v="12"/>
    <n v="162"/>
    <n v="85822"/>
    <n v="31617"/>
    <n v="2846"/>
    <m/>
    <x v="11"/>
  </r>
  <r>
    <x v="90"/>
    <s v="rom_fact_mahuds"/>
    <n v="0"/>
    <x v="11"/>
    <n v="0"/>
    <n v="9228"/>
    <n v="1750"/>
    <n v="0"/>
    <m/>
    <x v="12"/>
  </r>
  <r>
    <x v="90"/>
    <s v="rom_fact_harad"/>
    <n v="158"/>
    <x v="17"/>
    <n v="201.9"/>
    <n v="25908"/>
    <n v="26580"/>
    <n v="561"/>
    <m/>
    <x v="13"/>
  </r>
  <r>
    <x v="90"/>
    <s v="rom_fact_dunland"/>
    <n v="168"/>
    <x v="2"/>
    <n v="240"/>
    <n v="214081"/>
    <n v="40098"/>
    <n v="2507"/>
    <m/>
    <x v="14"/>
  </r>
  <r>
    <x v="90"/>
    <s v="rom_fact_haerrim"/>
    <n v="0"/>
    <x v="11"/>
    <n v="0"/>
    <n v="5352"/>
    <n v="1750"/>
    <n v="0"/>
    <m/>
    <x v="15"/>
  </r>
  <r>
    <x v="90"/>
    <s v="rom_fact_goblins"/>
    <n v="406"/>
    <x v="27"/>
    <n v="415.9"/>
    <n v="58757"/>
    <n v="57201"/>
    <n v="5461"/>
    <m/>
    <x v="16"/>
  </r>
  <r>
    <x v="90"/>
    <s v="rom_fact_balchoth"/>
    <n v="0"/>
    <x v="11"/>
    <n v="0"/>
    <n v="4872"/>
    <n v="1750"/>
    <n v="0"/>
    <m/>
    <x v="17"/>
  </r>
  <r>
    <x v="90"/>
    <s v="rom_fact_rhurim"/>
    <n v="371"/>
    <x v="23"/>
    <n v="441.6"/>
    <n v="97764"/>
    <n v="40009"/>
    <n v="2615"/>
    <m/>
    <x v="18"/>
  </r>
  <r>
    <x v="90"/>
    <s v="rom_fact_feredrim"/>
    <n v="0"/>
    <x v="11"/>
    <n v="0"/>
    <n v="7360"/>
    <n v="1750"/>
    <n v="0"/>
    <m/>
    <x v="19"/>
  </r>
  <r>
    <x v="90"/>
    <s v="rom_fact_wainriders"/>
    <n v="0"/>
    <x v="11"/>
    <n v="0"/>
    <n v="6395"/>
    <n v="1750"/>
    <n v="0"/>
    <m/>
    <x v="20"/>
  </r>
  <r>
    <x v="90"/>
    <s v="rom_fact_blacklock"/>
    <n v="1"/>
    <x v="7"/>
    <n v="21.2"/>
    <n v="19674"/>
    <n v="4567"/>
    <n v="0"/>
    <m/>
    <x v="21"/>
  </r>
  <r>
    <x v="90"/>
    <s v="rom_fact_ironfist"/>
    <n v="4"/>
    <x v="10"/>
    <n v="42"/>
    <n v="79050"/>
    <n v="9253"/>
    <n v="0"/>
    <m/>
    <x v="22"/>
  </r>
  <r>
    <x v="90"/>
    <s v="rom_fact_gundabad"/>
    <n v="247"/>
    <x v="16"/>
    <n v="141.19999999999999"/>
    <n v="30168"/>
    <n v="21524"/>
    <n v="1296"/>
    <m/>
    <x v="23"/>
  </r>
  <r>
    <x v="90"/>
    <s v="rom_fact_rohan_scouts"/>
    <n v="0"/>
    <x v="11"/>
    <n v="3"/>
    <n v="106011"/>
    <n v="2379"/>
    <n v="0"/>
    <m/>
    <x v="24"/>
  </r>
  <r>
    <x v="90"/>
    <s v="rom_fact_northern_enedwaith"/>
    <n v="6"/>
    <x v="9"/>
    <n v="83"/>
    <n v="91629"/>
    <n v="17899"/>
    <n v="859"/>
    <m/>
    <x v="25"/>
  </r>
  <r>
    <x v="90"/>
    <s v="rom_fact_southern_enedwaith"/>
    <n v="0"/>
    <x v="11"/>
    <n v="0"/>
    <n v="54023"/>
    <n v="1750"/>
    <n v="0"/>
    <m/>
    <x v="26"/>
  </r>
  <r>
    <x v="90"/>
    <s v="rom_fact_druedain"/>
    <n v="0"/>
    <x v="11"/>
    <n v="0"/>
    <n v="32146"/>
    <n v="1750"/>
    <n v="0"/>
    <m/>
    <x v="27"/>
  </r>
  <r>
    <x v="90"/>
    <s v="rom_fact_harondor"/>
    <n v="0"/>
    <x v="11"/>
    <n v="0"/>
    <n v="15146"/>
    <n v="1750"/>
    <n v="0"/>
    <m/>
    <x v="28"/>
  </r>
  <r>
    <x v="90"/>
    <s v="rom_fact_southron_nomads"/>
    <n v="0"/>
    <x v="11"/>
    <n v="0"/>
    <n v="4000"/>
    <n v="1750"/>
    <n v="0"/>
    <m/>
    <x v="29"/>
  </r>
  <r>
    <x v="90"/>
    <s v="rom_fact_separatist_harad"/>
    <n v="0"/>
    <x v="11"/>
    <n v="0"/>
    <n v="4000"/>
    <n v="1750"/>
    <n v="0"/>
    <m/>
    <x v="30"/>
  </r>
  <r>
    <x v="90"/>
    <s v="rom_fact_separatist_khand"/>
    <n v="0"/>
    <x v="11"/>
    <n v="0"/>
    <n v="4000"/>
    <n v="1750"/>
    <n v="0"/>
    <m/>
    <x v="30"/>
  </r>
  <r>
    <x v="90"/>
    <s v="rom_fact_separatist_balchoth"/>
    <n v="0"/>
    <x v="11"/>
    <n v="0"/>
    <n v="4000"/>
    <n v="1750"/>
    <n v="0"/>
    <m/>
    <x v="30"/>
  </r>
  <r>
    <x v="90"/>
    <s v="rom_fact_separatist_feredrim"/>
    <n v="0"/>
    <x v="11"/>
    <n v="0"/>
    <n v="4000"/>
    <n v="1750"/>
    <n v="0"/>
    <m/>
    <x v="30"/>
  </r>
  <r>
    <x v="90"/>
    <s v="rom_fact_separatist_haerrim"/>
    <n v="0"/>
    <x v="11"/>
    <n v="0"/>
    <n v="4000"/>
    <n v="1750"/>
    <n v="0"/>
    <m/>
    <x v="30"/>
  </r>
  <r>
    <x v="90"/>
    <s v="rom_fact_separatist_wainriders"/>
    <n v="0"/>
    <x v="11"/>
    <n v="0"/>
    <n v="4000"/>
    <n v="1750"/>
    <n v="0"/>
    <m/>
    <x v="30"/>
  </r>
  <r>
    <x v="90"/>
    <s v="rom_fact_separatist_rhurim"/>
    <n v="0"/>
    <x v="11"/>
    <n v="0"/>
    <n v="4000"/>
    <n v="1750"/>
    <n v="0"/>
    <m/>
    <x v="30"/>
  </r>
  <r>
    <x v="90"/>
    <s v="rom_fact_separatist_mahuds"/>
    <n v="0"/>
    <x v="11"/>
    <n v="0"/>
    <n v="4000"/>
    <n v="1750"/>
    <n v="0"/>
    <m/>
    <x v="30"/>
  </r>
  <r>
    <x v="90"/>
    <s v="rom_fact_separatist_umbar"/>
    <n v="0"/>
    <x v="11"/>
    <n v="0"/>
    <n v="4000"/>
    <n v="1750"/>
    <n v="0"/>
    <m/>
    <x v="30"/>
  </r>
  <r>
    <x v="91"/>
    <s v="rom_fact_mordor"/>
    <n v="414"/>
    <x v="32"/>
    <n v="303.10000000000002"/>
    <n v="1605"/>
    <n v="43002"/>
    <n v="2705"/>
    <m/>
    <x v="0"/>
  </r>
  <r>
    <x v="91"/>
    <s v="rom_fact_gondor"/>
    <n v="146"/>
    <x v="11"/>
    <n v="0"/>
    <n v="55420"/>
    <n v="2500"/>
    <n v="0"/>
    <m/>
    <x v="1"/>
  </r>
  <r>
    <x v="91"/>
    <s v="rom_fact_dale"/>
    <n v="195"/>
    <x v="7"/>
    <n v="14.6"/>
    <n v="1669"/>
    <n v="5207"/>
    <n v="0"/>
    <m/>
    <x v="2"/>
  </r>
  <r>
    <x v="91"/>
    <s v="rom_fact_erebor"/>
    <n v="200"/>
    <x v="11"/>
    <n v="0"/>
    <n v="10040"/>
    <n v="2500"/>
    <n v="0"/>
    <m/>
    <x v="3"/>
  </r>
  <r>
    <x v="91"/>
    <s v="rom_fact_rohan"/>
    <n v="157"/>
    <x v="11"/>
    <n v="0"/>
    <n v="6638"/>
    <n v="2500"/>
    <n v="0"/>
    <m/>
    <x v="4"/>
  </r>
  <r>
    <x v="91"/>
    <s v="rom_fact_dol_guldur"/>
    <n v="300"/>
    <x v="18"/>
    <n v="250.4"/>
    <n v="41226"/>
    <n v="34248"/>
    <n v="2824"/>
    <m/>
    <x v="5"/>
  </r>
  <r>
    <x v="91"/>
    <s v="rom_fact_anduin_vale"/>
    <n v="58"/>
    <x v="11"/>
    <n v="0"/>
    <n v="4515"/>
    <n v="2500"/>
    <n v="0"/>
    <m/>
    <x v="6"/>
  </r>
  <r>
    <x v="91"/>
    <s v="rom_fact_isengard"/>
    <n v="262"/>
    <x v="12"/>
    <n v="196.7"/>
    <n v="79807"/>
    <n v="26150"/>
    <n v="1306"/>
    <m/>
    <x v="7"/>
  </r>
  <r>
    <x v="91"/>
    <s v="rom_fact_woodland_realm"/>
    <n v="30"/>
    <x v="11"/>
    <n v="0"/>
    <n v="8475"/>
    <n v="2500"/>
    <n v="0"/>
    <m/>
    <x v="8"/>
  </r>
  <r>
    <x v="91"/>
    <s v="rom_fact_lothlorien"/>
    <n v="64"/>
    <x v="11"/>
    <n v="0"/>
    <n v="4721"/>
    <n v="2500"/>
    <n v="0"/>
    <m/>
    <x v="9"/>
  </r>
  <r>
    <x v="91"/>
    <s v="rom_fact_khand"/>
    <n v="0"/>
    <x v="11"/>
    <n v="0"/>
    <n v="4919"/>
    <n v="1750"/>
    <n v="0"/>
    <m/>
    <x v="10"/>
  </r>
  <r>
    <x v="91"/>
    <s v="rom_fact_umbar"/>
    <n v="11"/>
    <x v="12"/>
    <n v="162"/>
    <n v="93223"/>
    <n v="31955"/>
    <n v="2861"/>
    <m/>
    <x v="11"/>
  </r>
  <r>
    <x v="91"/>
    <s v="rom_fact_mahuds"/>
    <n v="0"/>
    <x v="11"/>
    <n v="0"/>
    <n v="9228"/>
    <n v="1750"/>
    <n v="0"/>
    <m/>
    <x v="12"/>
  </r>
  <r>
    <x v="91"/>
    <s v="rom_fact_harad"/>
    <n v="162"/>
    <x v="17"/>
    <n v="211.9"/>
    <n v="31054"/>
    <n v="29211"/>
    <n v="568"/>
    <m/>
    <x v="13"/>
  </r>
  <r>
    <x v="91"/>
    <s v="rom_fact_dunland"/>
    <n v="168"/>
    <x v="2"/>
    <n v="244"/>
    <n v="215034"/>
    <n v="40853"/>
    <n v="2507"/>
    <m/>
    <x v="14"/>
  </r>
  <r>
    <x v="91"/>
    <s v="rom_fact_haerrim"/>
    <n v="0"/>
    <x v="11"/>
    <n v="0"/>
    <n v="5352"/>
    <n v="1750"/>
    <n v="0"/>
    <m/>
    <x v="15"/>
  </r>
  <r>
    <x v="91"/>
    <s v="rom_fact_goblins"/>
    <n v="406"/>
    <x v="27"/>
    <n v="410.9"/>
    <n v="68396"/>
    <n v="54400"/>
    <n v="5444"/>
    <m/>
    <x v="16"/>
  </r>
  <r>
    <x v="91"/>
    <s v="rom_fact_balchoth"/>
    <n v="0"/>
    <x v="11"/>
    <n v="0"/>
    <n v="4872"/>
    <n v="1750"/>
    <n v="0"/>
    <m/>
    <x v="17"/>
  </r>
  <r>
    <x v="91"/>
    <s v="rom_fact_rhurim"/>
    <n v="395"/>
    <x v="23"/>
    <n v="448.29999999999899"/>
    <n v="86819"/>
    <n v="45738"/>
    <n v="2630"/>
    <m/>
    <x v="18"/>
  </r>
  <r>
    <x v="91"/>
    <s v="rom_fact_feredrim"/>
    <n v="0"/>
    <x v="11"/>
    <n v="0"/>
    <n v="7360"/>
    <n v="1750"/>
    <n v="0"/>
    <m/>
    <x v="19"/>
  </r>
  <r>
    <x v="91"/>
    <s v="rom_fact_wainriders"/>
    <n v="0"/>
    <x v="11"/>
    <n v="0"/>
    <n v="6395"/>
    <n v="1750"/>
    <n v="0"/>
    <m/>
    <x v="20"/>
  </r>
  <r>
    <x v="91"/>
    <s v="rom_fact_blacklock"/>
    <n v="1"/>
    <x v="7"/>
    <n v="19.2"/>
    <n v="16069"/>
    <n v="3476"/>
    <n v="0"/>
    <m/>
    <x v="21"/>
  </r>
  <r>
    <x v="91"/>
    <s v="rom_fact_ironfist"/>
    <n v="4"/>
    <x v="10"/>
    <n v="42"/>
    <n v="81860"/>
    <n v="8545"/>
    <n v="0"/>
    <m/>
    <x v="22"/>
  </r>
  <r>
    <x v="91"/>
    <s v="rom_fact_gundabad"/>
    <n v="246"/>
    <x v="2"/>
    <n v="136.19999999999999"/>
    <n v="28729"/>
    <n v="20048"/>
    <n v="1121"/>
    <m/>
    <x v="23"/>
  </r>
  <r>
    <x v="91"/>
    <s v="rom_fact_rohan_scouts"/>
    <n v="0"/>
    <x v="11"/>
    <n v="3"/>
    <n v="107132"/>
    <n v="2379"/>
    <n v="0"/>
    <m/>
    <x v="24"/>
  </r>
  <r>
    <x v="91"/>
    <s v="rom_fact_northern_enedwaith"/>
    <n v="6"/>
    <x v="9"/>
    <n v="84"/>
    <n v="95190"/>
    <n v="18027"/>
    <n v="863"/>
    <m/>
    <x v="25"/>
  </r>
  <r>
    <x v="91"/>
    <s v="rom_fact_southern_enedwaith"/>
    <n v="0"/>
    <x v="11"/>
    <n v="0"/>
    <n v="54023"/>
    <n v="1750"/>
    <n v="0"/>
    <m/>
    <x v="26"/>
  </r>
  <r>
    <x v="91"/>
    <s v="rom_fact_druedain"/>
    <n v="0"/>
    <x v="11"/>
    <n v="0"/>
    <n v="32146"/>
    <n v="1750"/>
    <n v="0"/>
    <m/>
    <x v="27"/>
  </r>
  <r>
    <x v="91"/>
    <s v="rom_fact_harondor"/>
    <n v="0"/>
    <x v="11"/>
    <n v="0"/>
    <n v="15146"/>
    <n v="1750"/>
    <n v="0"/>
    <m/>
    <x v="28"/>
  </r>
  <r>
    <x v="91"/>
    <s v="rom_fact_southron_nomads"/>
    <n v="0"/>
    <x v="11"/>
    <n v="0"/>
    <n v="4000"/>
    <n v="1750"/>
    <n v="0"/>
    <m/>
    <x v="29"/>
  </r>
  <r>
    <x v="91"/>
    <s v="rom_fact_separatist_harad"/>
    <n v="0"/>
    <x v="11"/>
    <n v="0"/>
    <n v="4000"/>
    <n v="1750"/>
    <n v="0"/>
    <m/>
    <x v="30"/>
  </r>
  <r>
    <x v="91"/>
    <s v="rom_fact_separatist_khand"/>
    <n v="0"/>
    <x v="11"/>
    <n v="0"/>
    <n v="4000"/>
    <n v="1750"/>
    <n v="0"/>
    <m/>
    <x v="30"/>
  </r>
  <r>
    <x v="91"/>
    <s v="rom_fact_separatist_balchoth"/>
    <n v="0"/>
    <x v="11"/>
    <n v="0"/>
    <n v="4000"/>
    <n v="1750"/>
    <n v="0"/>
    <m/>
    <x v="30"/>
  </r>
  <r>
    <x v="91"/>
    <s v="rom_fact_separatist_feredrim"/>
    <n v="0"/>
    <x v="11"/>
    <n v="0"/>
    <n v="4000"/>
    <n v="1750"/>
    <n v="0"/>
    <m/>
    <x v="30"/>
  </r>
  <r>
    <x v="91"/>
    <s v="rom_fact_separatist_haerrim"/>
    <n v="0"/>
    <x v="11"/>
    <n v="0"/>
    <n v="4000"/>
    <n v="1750"/>
    <n v="0"/>
    <m/>
    <x v="30"/>
  </r>
  <r>
    <x v="91"/>
    <s v="rom_fact_separatist_wainriders"/>
    <n v="0"/>
    <x v="11"/>
    <n v="0"/>
    <n v="4000"/>
    <n v="1750"/>
    <n v="0"/>
    <m/>
    <x v="30"/>
  </r>
  <r>
    <x v="91"/>
    <s v="rom_fact_separatist_rhurim"/>
    <n v="0"/>
    <x v="11"/>
    <n v="0"/>
    <n v="4000"/>
    <n v="1750"/>
    <n v="0"/>
    <m/>
    <x v="30"/>
  </r>
  <r>
    <x v="91"/>
    <s v="rom_fact_separatist_mahuds"/>
    <n v="0"/>
    <x v="11"/>
    <n v="0"/>
    <n v="4000"/>
    <n v="1750"/>
    <n v="0"/>
    <m/>
    <x v="30"/>
  </r>
  <r>
    <x v="91"/>
    <s v="rom_fact_separatist_umbar"/>
    <n v="0"/>
    <x v="11"/>
    <n v="0"/>
    <n v="4000"/>
    <n v="1750"/>
    <n v="0"/>
    <m/>
    <x v="30"/>
  </r>
  <r>
    <x v="92"/>
    <s v="rom_fact_mordor"/>
    <n v="416"/>
    <x v="31"/>
    <n v="320.5"/>
    <n v="9733"/>
    <n v="44900"/>
    <n v="2735"/>
    <m/>
    <x v="0"/>
  </r>
  <r>
    <x v="92"/>
    <s v="rom_fact_gondor"/>
    <n v="146"/>
    <x v="11"/>
    <n v="0"/>
    <n v="55420"/>
    <n v="2500"/>
    <n v="0"/>
    <m/>
    <x v="1"/>
  </r>
  <r>
    <x v="92"/>
    <s v="rom_fact_dale"/>
    <n v="195"/>
    <x v="7"/>
    <n v="14.6"/>
    <n v="2151"/>
    <n v="5362"/>
    <n v="0"/>
    <m/>
    <x v="2"/>
  </r>
  <r>
    <x v="92"/>
    <s v="rom_fact_erebor"/>
    <n v="200"/>
    <x v="11"/>
    <n v="0"/>
    <n v="10040"/>
    <n v="2500"/>
    <n v="0"/>
    <m/>
    <x v="3"/>
  </r>
  <r>
    <x v="92"/>
    <s v="rom_fact_rohan"/>
    <n v="157"/>
    <x v="11"/>
    <n v="0"/>
    <n v="6638"/>
    <n v="2500"/>
    <n v="0"/>
    <m/>
    <x v="4"/>
  </r>
  <r>
    <x v="92"/>
    <s v="rom_fact_dol_guldur"/>
    <n v="322"/>
    <x v="1"/>
    <n v="262.10000000000002"/>
    <n v="41248"/>
    <n v="36321"/>
    <n v="3341"/>
    <m/>
    <x v="5"/>
  </r>
  <r>
    <x v="92"/>
    <s v="rom_fact_anduin_vale"/>
    <n v="58"/>
    <x v="11"/>
    <n v="0"/>
    <n v="4515"/>
    <n v="2500"/>
    <n v="0"/>
    <m/>
    <x v="6"/>
  </r>
  <r>
    <x v="92"/>
    <s v="rom_fact_isengard"/>
    <n v="262"/>
    <x v="12"/>
    <n v="196.7"/>
    <n v="83599"/>
    <n v="26511"/>
    <n v="1317"/>
    <m/>
    <x v="7"/>
  </r>
  <r>
    <x v="92"/>
    <s v="rom_fact_woodland_realm"/>
    <n v="30"/>
    <x v="11"/>
    <n v="0"/>
    <n v="8475"/>
    <n v="2500"/>
    <n v="0"/>
    <m/>
    <x v="8"/>
  </r>
  <r>
    <x v="92"/>
    <s v="rom_fact_lothlorien"/>
    <n v="64"/>
    <x v="11"/>
    <n v="0"/>
    <n v="4721"/>
    <n v="2500"/>
    <n v="0"/>
    <m/>
    <x v="9"/>
  </r>
  <r>
    <x v="92"/>
    <s v="rom_fact_khand"/>
    <n v="0"/>
    <x v="11"/>
    <n v="0"/>
    <n v="4919"/>
    <n v="1750"/>
    <n v="0"/>
    <m/>
    <x v="10"/>
  </r>
  <r>
    <x v="92"/>
    <s v="rom_fact_umbar"/>
    <n v="11"/>
    <x v="12"/>
    <n v="161"/>
    <n v="120549"/>
    <n v="31584"/>
    <n v="2874"/>
    <m/>
    <x v="11"/>
  </r>
  <r>
    <x v="92"/>
    <s v="rom_fact_mahuds"/>
    <n v="0"/>
    <x v="11"/>
    <n v="0"/>
    <n v="9228"/>
    <n v="1750"/>
    <n v="0"/>
    <m/>
    <x v="12"/>
  </r>
  <r>
    <x v="92"/>
    <s v="rom_fact_harad"/>
    <n v="163"/>
    <x v="0"/>
    <n v="198.6"/>
    <n v="25568"/>
    <n v="29981"/>
    <n v="568"/>
    <m/>
    <x v="13"/>
  </r>
  <r>
    <x v="92"/>
    <s v="rom_fact_dunland"/>
    <n v="173"/>
    <x v="2"/>
    <n v="246"/>
    <n v="164723"/>
    <n v="41632"/>
    <n v="2526"/>
    <m/>
    <x v="14"/>
  </r>
  <r>
    <x v="92"/>
    <s v="rom_fact_haerrim"/>
    <n v="0"/>
    <x v="11"/>
    <n v="0"/>
    <n v="5352"/>
    <n v="1750"/>
    <n v="0"/>
    <m/>
    <x v="15"/>
  </r>
  <r>
    <x v="92"/>
    <s v="rom_fact_goblins"/>
    <n v="406"/>
    <x v="27"/>
    <n v="415.599999999999"/>
    <n v="62907"/>
    <n v="54925"/>
    <n v="5678"/>
    <m/>
    <x v="16"/>
  </r>
  <r>
    <x v="92"/>
    <s v="rom_fact_balchoth"/>
    <n v="0"/>
    <x v="11"/>
    <n v="0"/>
    <n v="4872"/>
    <n v="1750"/>
    <n v="0"/>
    <m/>
    <x v="17"/>
  </r>
  <r>
    <x v="92"/>
    <s v="rom_fact_rhurim"/>
    <n v="402"/>
    <x v="22"/>
    <n v="444.5"/>
    <n v="79856"/>
    <n v="49452"/>
    <n v="2888"/>
    <m/>
    <x v="18"/>
  </r>
  <r>
    <x v="92"/>
    <s v="rom_fact_feredrim"/>
    <n v="0"/>
    <x v="11"/>
    <n v="0"/>
    <n v="7360"/>
    <n v="1750"/>
    <n v="0"/>
    <m/>
    <x v="19"/>
  </r>
  <r>
    <x v="92"/>
    <s v="rom_fact_wainriders"/>
    <n v="0"/>
    <x v="11"/>
    <n v="0"/>
    <n v="6395"/>
    <n v="1750"/>
    <n v="0"/>
    <m/>
    <x v="20"/>
  </r>
  <r>
    <x v="92"/>
    <s v="rom_fact_blacklock"/>
    <n v="1"/>
    <x v="7"/>
    <n v="19.2"/>
    <n v="15859"/>
    <n v="3492"/>
    <n v="0"/>
    <m/>
    <x v="21"/>
  </r>
  <r>
    <x v="92"/>
    <s v="rom_fact_ironfist"/>
    <n v="4"/>
    <x v="10"/>
    <n v="42"/>
    <n v="81836"/>
    <n v="9075"/>
    <n v="0"/>
    <m/>
    <x v="22"/>
  </r>
  <r>
    <x v="92"/>
    <s v="rom_fact_gundabad"/>
    <n v="243"/>
    <x v="17"/>
    <n v="100.2"/>
    <n v="27338"/>
    <n v="16110"/>
    <n v="525"/>
    <m/>
    <x v="23"/>
  </r>
  <r>
    <x v="92"/>
    <s v="rom_fact_rohan_scouts"/>
    <n v="0"/>
    <x v="11"/>
    <n v="3"/>
    <n v="108253"/>
    <n v="2379"/>
    <n v="0"/>
    <m/>
    <x v="24"/>
  </r>
  <r>
    <x v="92"/>
    <s v="rom_fact_northern_enedwaith"/>
    <n v="6"/>
    <x v="9"/>
    <n v="84"/>
    <n v="98919"/>
    <n v="18035"/>
    <n v="871"/>
    <m/>
    <x v="25"/>
  </r>
  <r>
    <x v="92"/>
    <s v="rom_fact_southern_enedwaith"/>
    <n v="0"/>
    <x v="11"/>
    <n v="0"/>
    <n v="54023"/>
    <n v="1750"/>
    <n v="0"/>
    <m/>
    <x v="26"/>
  </r>
  <r>
    <x v="92"/>
    <s v="rom_fact_druedain"/>
    <n v="0"/>
    <x v="11"/>
    <n v="0"/>
    <n v="32146"/>
    <n v="1750"/>
    <n v="0"/>
    <m/>
    <x v="27"/>
  </r>
  <r>
    <x v="92"/>
    <s v="rom_fact_harondor"/>
    <n v="0"/>
    <x v="11"/>
    <n v="0"/>
    <n v="15146"/>
    <n v="1750"/>
    <n v="0"/>
    <m/>
    <x v="28"/>
  </r>
  <r>
    <x v="92"/>
    <s v="rom_fact_southron_nomads"/>
    <n v="0"/>
    <x v="11"/>
    <n v="0"/>
    <n v="4000"/>
    <n v="1750"/>
    <n v="0"/>
    <m/>
    <x v="29"/>
  </r>
  <r>
    <x v="92"/>
    <s v="rom_fact_separatist_harad"/>
    <n v="0"/>
    <x v="11"/>
    <n v="0"/>
    <n v="4000"/>
    <n v="1750"/>
    <n v="0"/>
    <m/>
    <x v="30"/>
  </r>
  <r>
    <x v="92"/>
    <s v="rom_fact_separatist_khand"/>
    <n v="0"/>
    <x v="11"/>
    <n v="0"/>
    <n v="4000"/>
    <n v="1750"/>
    <n v="0"/>
    <m/>
    <x v="30"/>
  </r>
  <r>
    <x v="92"/>
    <s v="rom_fact_separatist_balchoth"/>
    <n v="0"/>
    <x v="11"/>
    <n v="0"/>
    <n v="4000"/>
    <n v="1750"/>
    <n v="0"/>
    <m/>
    <x v="30"/>
  </r>
  <r>
    <x v="92"/>
    <s v="rom_fact_separatist_feredrim"/>
    <n v="0"/>
    <x v="11"/>
    <n v="0"/>
    <n v="4000"/>
    <n v="1750"/>
    <n v="0"/>
    <m/>
    <x v="30"/>
  </r>
  <r>
    <x v="92"/>
    <s v="rom_fact_separatist_haerrim"/>
    <n v="0"/>
    <x v="11"/>
    <n v="0"/>
    <n v="4000"/>
    <n v="1750"/>
    <n v="0"/>
    <m/>
    <x v="30"/>
  </r>
  <r>
    <x v="92"/>
    <s v="rom_fact_separatist_wainriders"/>
    <n v="0"/>
    <x v="11"/>
    <n v="0"/>
    <n v="4000"/>
    <n v="1750"/>
    <n v="0"/>
    <m/>
    <x v="30"/>
  </r>
  <r>
    <x v="92"/>
    <s v="rom_fact_separatist_rhurim"/>
    <n v="0"/>
    <x v="11"/>
    <n v="0"/>
    <n v="4000"/>
    <n v="1750"/>
    <n v="0"/>
    <m/>
    <x v="30"/>
  </r>
  <r>
    <x v="92"/>
    <s v="rom_fact_separatist_mahuds"/>
    <n v="0"/>
    <x v="11"/>
    <n v="0"/>
    <n v="4000"/>
    <n v="1750"/>
    <n v="0"/>
    <m/>
    <x v="30"/>
  </r>
  <r>
    <x v="92"/>
    <s v="rom_fact_separatist_umbar"/>
    <n v="0"/>
    <x v="11"/>
    <n v="0"/>
    <n v="4000"/>
    <n v="1750"/>
    <n v="0"/>
    <m/>
    <x v="30"/>
  </r>
  <r>
    <x v="93"/>
    <s v="rom_fact_mordor"/>
    <n v="451"/>
    <x v="31"/>
    <n v="331.1"/>
    <n v="2038"/>
    <n v="45127"/>
    <n v="2750"/>
    <m/>
    <x v="0"/>
  </r>
  <r>
    <x v="93"/>
    <s v="rom_fact_gondor"/>
    <n v="146"/>
    <x v="11"/>
    <n v="0"/>
    <n v="55420"/>
    <n v="2500"/>
    <n v="0"/>
    <m/>
    <x v="1"/>
  </r>
  <r>
    <x v="93"/>
    <s v="rom_fact_dale"/>
    <n v="195"/>
    <x v="7"/>
    <n v="14.6"/>
    <n v="1327"/>
    <n v="5826"/>
    <n v="0"/>
    <m/>
    <x v="2"/>
  </r>
  <r>
    <x v="93"/>
    <s v="rom_fact_erebor"/>
    <n v="200"/>
    <x v="11"/>
    <n v="0"/>
    <n v="10040"/>
    <n v="2500"/>
    <n v="0"/>
    <m/>
    <x v="3"/>
  </r>
  <r>
    <x v="93"/>
    <s v="rom_fact_rohan"/>
    <n v="157"/>
    <x v="11"/>
    <n v="0"/>
    <n v="6638"/>
    <n v="2500"/>
    <n v="0"/>
    <m/>
    <x v="4"/>
  </r>
  <r>
    <x v="93"/>
    <s v="rom_fact_dol_guldur"/>
    <n v="338"/>
    <x v="1"/>
    <n v="279.89999999999998"/>
    <n v="36969"/>
    <n v="38111"/>
    <n v="3354"/>
    <m/>
    <x v="5"/>
  </r>
  <r>
    <x v="93"/>
    <s v="rom_fact_anduin_vale"/>
    <n v="58"/>
    <x v="11"/>
    <n v="0"/>
    <n v="4515"/>
    <n v="2500"/>
    <n v="0"/>
    <m/>
    <x v="6"/>
  </r>
  <r>
    <x v="93"/>
    <s v="rom_fact_isengard"/>
    <n v="262"/>
    <x v="12"/>
    <n v="199.3"/>
    <n v="86610"/>
    <n v="26660"/>
    <n v="1318"/>
    <m/>
    <x v="7"/>
  </r>
  <r>
    <x v="93"/>
    <s v="rom_fact_woodland_realm"/>
    <n v="30"/>
    <x v="11"/>
    <n v="0"/>
    <n v="8475"/>
    <n v="2500"/>
    <n v="0"/>
    <m/>
    <x v="8"/>
  </r>
  <r>
    <x v="93"/>
    <s v="rom_fact_lothlorien"/>
    <n v="64"/>
    <x v="11"/>
    <n v="0"/>
    <n v="4721"/>
    <n v="2500"/>
    <n v="0"/>
    <m/>
    <x v="9"/>
  </r>
  <r>
    <x v="93"/>
    <s v="rom_fact_khand"/>
    <n v="0"/>
    <x v="11"/>
    <n v="0"/>
    <n v="4919"/>
    <n v="1750"/>
    <n v="0"/>
    <m/>
    <x v="10"/>
  </r>
  <r>
    <x v="93"/>
    <s v="rom_fact_umbar"/>
    <n v="11"/>
    <x v="12"/>
    <n v="160"/>
    <n v="103974"/>
    <n v="34179"/>
    <n v="2903"/>
    <m/>
    <x v="11"/>
  </r>
  <r>
    <x v="93"/>
    <s v="rom_fact_mahuds"/>
    <n v="0"/>
    <x v="11"/>
    <n v="0"/>
    <n v="9228"/>
    <n v="1750"/>
    <n v="0"/>
    <m/>
    <x v="12"/>
  </r>
  <r>
    <x v="93"/>
    <s v="rom_fact_harad"/>
    <n v="163"/>
    <x v="0"/>
    <n v="195.1"/>
    <n v="25172"/>
    <n v="28848"/>
    <n v="576"/>
    <m/>
    <x v="13"/>
  </r>
  <r>
    <x v="93"/>
    <s v="rom_fact_dunland"/>
    <n v="173"/>
    <x v="2"/>
    <n v="246"/>
    <n v="142926"/>
    <n v="41793"/>
    <n v="2535"/>
    <m/>
    <x v="14"/>
  </r>
  <r>
    <x v="93"/>
    <s v="rom_fact_haerrim"/>
    <n v="0"/>
    <x v="11"/>
    <n v="0"/>
    <n v="5352"/>
    <n v="1750"/>
    <n v="0"/>
    <m/>
    <x v="15"/>
  </r>
  <r>
    <x v="93"/>
    <s v="rom_fact_goblins"/>
    <n v="406"/>
    <x v="27"/>
    <n v="387.7"/>
    <n v="83894"/>
    <n v="50381"/>
    <n v="5429"/>
    <m/>
    <x v="16"/>
  </r>
  <r>
    <x v="93"/>
    <s v="rom_fact_balchoth"/>
    <n v="0"/>
    <x v="11"/>
    <n v="0"/>
    <n v="4872"/>
    <n v="1750"/>
    <n v="0"/>
    <m/>
    <x v="17"/>
  </r>
  <r>
    <x v="93"/>
    <s v="rom_fact_rhurim"/>
    <n v="431"/>
    <x v="22"/>
    <n v="451.29999999999899"/>
    <n v="63880"/>
    <n v="51164"/>
    <n v="3139"/>
    <m/>
    <x v="18"/>
  </r>
  <r>
    <x v="93"/>
    <s v="rom_fact_feredrim"/>
    <n v="0"/>
    <x v="11"/>
    <n v="0"/>
    <n v="7360"/>
    <n v="1750"/>
    <n v="0"/>
    <m/>
    <x v="19"/>
  </r>
  <r>
    <x v="93"/>
    <s v="rom_fact_wainriders"/>
    <n v="0"/>
    <x v="11"/>
    <n v="0"/>
    <n v="6395"/>
    <n v="1750"/>
    <n v="0"/>
    <m/>
    <x v="20"/>
  </r>
  <r>
    <x v="93"/>
    <s v="rom_fact_blacklock"/>
    <n v="1"/>
    <x v="7"/>
    <n v="18.2"/>
    <n v="16278"/>
    <n v="3326"/>
    <n v="0"/>
    <m/>
    <x v="21"/>
  </r>
  <r>
    <x v="93"/>
    <s v="rom_fact_ironfist"/>
    <n v="4"/>
    <x v="10"/>
    <n v="46"/>
    <n v="82307"/>
    <n v="9545"/>
    <n v="0"/>
    <m/>
    <x v="22"/>
  </r>
  <r>
    <x v="93"/>
    <s v="rom_fact_gundabad"/>
    <n v="248"/>
    <x v="17"/>
    <n v="108.8"/>
    <n v="26179"/>
    <n v="17149"/>
    <n v="530"/>
    <m/>
    <x v="23"/>
  </r>
  <r>
    <x v="93"/>
    <s v="rom_fact_rohan_scouts"/>
    <n v="0"/>
    <x v="11"/>
    <n v="3"/>
    <n v="109374"/>
    <n v="2379"/>
    <n v="0"/>
    <m/>
    <x v="24"/>
  </r>
  <r>
    <x v="93"/>
    <s v="rom_fact_northern_enedwaith"/>
    <n v="6"/>
    <x v="9"/>
    <n v="85"/>
    <n v="102650"/>
    <n v="18184"/>
    <n v="874"/>
    <m/>
    <x v="25"/>
  </r>
  <r>
    <x v="93"/>
    <s v="rom_fact_southern_enedwaith"/>
    <n v="0"/>
    <x v="11"/>
    <n v="0"/>
    <n v="54023"/>
    <n v="1750"/>
    <n v="0"/>
    <m/>
    <x v="26"/>
  </r>
  <r>
    <x v="93"/>
    <s v="rom_fact_druedain"/>
    <n v="0"/>
    <x v="11"/>
    <n v="0"/>
    <n v="32146"/>
    <n v="1750"/>
    <n v="0"/>
    <m/>
    <x v="27"/>
  </r>
  <r>
    <x v="93"/>
    <s v="rom_fact_harondor"/>
    <n v="0"/>
    <x v="11"/>
    <n v="0"/>
    <n v="15146"/>
    <n v="1750"/>
    <n v="0"/>
    <m/>
    <x v="28"/>
  </r>
  <r>
    <x v="93"/>
    <s v="rom_fact_southron_nomads"/>
    <n v="0"/>
    <x v="11"/>
    <n v="0"/>
    <n v="4000"/>
    <n v="1750"/>
    <n v="0"/>
    <m/>
    <x v="29"/>
  </r>
  <r>
    <x v="93"/>
    <s v="rom_fact_separatist_harad"/>
    <n v="0"/>
    <x v="11"/>
    <n v="0"/>
    <n v="4000"/>
    <n v="1750"/>
    <n v="0"/>
    <m/>
    <x v="30"/>
  </r>
  <r>
    <x v="93"/>
    <s v="rom_fact_separatist_khand"/>
    <n v="0"/>
    <x v="11"/>
    <n v="0"/>
    <n v="4000"/>
    <n v="1750"/>
    <n v="0"/>
    <m/>
    <x v="30"/>
  </r>
  <r>
    <x v="93"/>
    <s v="rom_fact_separatist_balchoth"/>
    <n v="0"/>
    <x v="11"/>
    <n v="0"/>
    <n v="4000"/>
    <n v="1750"/>
    <n v="0"/>
    <m/>
    <x v="30"/>
  </r>
  <r>
    <x v="93"/>
    <s v="rom_fact_separatist_feredrim"/>
    <n v="0"/>
    <x v="11"/>
    <n v="0"/>
    <n v="4000"/>
    <n v="1750"/>
    <n v="0"/>
    <m/>
    <x v="30"/>
  </r>
  <r>
    <x v="93"/>
    <s v="rom_fact_separatist_haerrim"/>
    <n v="0"/>
    <x v="11"/>
    <n v="0"/>
    <n v="4000"/>
    <n v="1750"/>
    <n v="0"/>
    <m/>
    <x v="30"/>
  </r>
  <r>
    <x v="93"/>
    <s v="rom_fact_separatist_wainriders"/>
    <n v="0"/>
    <x v="11"/>
    <n v="0"/>
    <n v="4000"/>
    <n v="1750"/>
    <n v="0"/>
    <m/>
    <x v="30"/>
  </r>
  <r>
    <x v="93"/>
    <s v="rom_fact_separatist_rhurim"/>
    <n v="0"/>
    <x v="11"/>
    <n v="0"/>
    <n v="4000"/>
    <n v="1750"/>
    <n v="0"/>
    <m/>
    <x v="30"/>
  </r>
  <r>
    <x v="93"/>
    <s v="rom_fact_separatist_mahuds"/>
    <n v="0"/>
    <x v="11"/>
    <n v="0"/>
    <n v="4000"/>
    <n v="1750"/>
    <n v="0"/>
    <m/>
    <x v="30"/>
  </r>
  <r>
    <x v="93"/>
    <s v="rom_fact_separatist_umbar"/>
    <n v="0"/>
    <x v="11"/>
    <n v="0"/>
    <n v="4000"/>
    <n v="1750"/>
    <n v="0"/>
    <m/>
    <x v="30"/>
  </r>
  <r>
    <x v="94"/>
    <s v="rom_fact_mordor"/>
    <n v="461"/>
    <x v="31"/>
    <n v="331.1"/>
    <n v="15057"/>
    <n v="45063"/>
    <n v="3269"/>
    <m/>
    <x v="0"/>
  </r>
  <r>
    <x v="94"/>
    <s v="rom_fact_gondor"/>
    <n v="146"/>
    <x v="11"/>
    <n v="0"/>
    <n v="55420"/>
    <n v="2500"/>
    <n v="0"/>
    <m/>
    <x v="1"/>
  </r>
  <r>
    <x v="94"/>
    <s v="rom_fact_dale"/>
    <n v="195"/>
    <x v="7"/>
    <n v="14.6"/>
    <n v="2275"/>
    <n v="5826"/>
    <n v="0"/>
    <m/>
    <x v="2"/>
  </r>
  <r>
    <x v="94"/>
    <s v="rom_fact_erebor"/>
    <n v="200"/>
    <x v="11"/>
    <n v="0"/>
    <n v="10040"/>
    <n v="2500"/>
    <n v="0"/>
    <m/>
    <x v="3"/>
  </r>
  <r>
    <x v="94"/>
    <s v="rom_fact_rohan"/>
    <n v="157"/>
    <x v="11"/>
    <n v="0"/>
    <n v="6638"/>
    <n v="2500"/>
    <n v="0"/>
    <m/>
    <x v="4"/>
  </r>
  <r>
    <x v="94"/>
    <s v="rom_fact_dol_guldur"/>
    <n v="338"/>
    <x v="1"/>
    <n v="289.39999999999998"/>
    <n v="37766"/>
    <n v="40961"/>
    <n v="3529"/>
    <m/>
    <x v="5"/>
  </r>
  <r>
    <x v="94"/>
    <s v="rom_fact_anduin_vale"/>
    <n v="58"/>
    <x v="11"/>
    <n v="0"/>
    <n v="4515"/>
    <n v="2500"/>
    <n v="0"/>
    <m/>
    <x v="6"/>
  </r>
  <r>
    <x v="94"/>
    <s v="rom_fact_isengard"/>
    <n v="267"/>
    <x v="12"/>
    <n v="200.6"/>
    <n v="90474"/>
    <n v="26746"/>
    <n v="1330"/>
    <m/>
    <x v="7"/>
  </r>
  <r>
    <x v="94"/>
    <s v="rom_fact_woodland_realm"/>
    <n v="30"/>
    <x v="11"/>
    <n v="0"/>
    <n v="8475"/>
    <n v="2500"/>
    <n v="0"/>
    <m/>
    <x v="8"/>
  </r>
  <r>
    <x v="94"/>
    <s v="rom_fact_lothlorien"/>
    <n v="64"/>
    <x v="11"/>
    <n v="0"/>
    <n v="4721"/>
    <n v="2500"/>
    <n v="0"/>
    <m/>
    <x v="9"/>
  </r>
  <r>
    <x v="94"/>
    <s v="rom_fact_khand"/>
    <n v="0"/>
    <x v="11"/>
    <n v="0"/>
    <n v="4919"/>
    <n v="1750"/>
    <n v="0"/>
    <m/>
    <x v="10"/>
  </r>
  <r>
    <x v="94"/>
    <s v="rom_fact_umbar"/>
    <n v="11"/>
    <x v="12"/>
    <n v="161"/>
    <n v="110171"/>
    <n v="31831"/>
    <n v="2889"/>
    <m/>
    <x v="11"/>
  </r>
  <r>
    <x v="94"/>
    <s v="rom_fact_mahuds"/>
    <n v="0"/>
    <x v="11"/>
    <n v="0"/>
    <n v="9228"/>
    <n v="1750"/>
    <n v="0"/>
    <m/>
    <x v="12"/>
  </r>
  <r>
    <x v="94"/>
    <s v="rom_fact_harad"/>
    <n v="168"/>
    <x v="0"/>
    <n v="209.2"/>
    <n v="22457"/>
    <n v="28626"/>
    <n v="1564"/>
    <m/>
    <x v="13"/>
  </r>
  <r>
    <x v="94"/>
    <s v="rom_fact_dunland"/>
    <n v="173"/>
    <x v="2"/>
    <n v="246"/>
    <n v="146365"/>
    <n v="41801"/>
    <n v="2543"/>
    <m/>
    <x v="14"/>
  </r>
  <r>
    <x v="94"/>
    <s v="rom_fact_haerrim"/>
    <n v="0"/>
    <x v="11"/>
    <n v="0"/>
    <n v="5352"/>
    <n v="1750"/>
    <n v="0"/>
    <m/>
    <x v="15"/>
  </r>
  <r>
    <x v="94"/>
    <s v="rom_fact_goblins"/>
    <n v="411"/>
    <x v="27"/>
    <n v="356.099999999999"/>
    <n v="92814"/>
    <n v="50676"/>
    <n v="5460"/>
    <m/>
    <x v="16"/>
  </r>
  <r>
    <x v="94"/>
    <s v="rom_fact_balchoth"/>
    <n v="0"/>
    <x v="11"/>
    <n v="0"/>
    <n v="4872"/>
    <n v="1750"/>
    <n v="0"/>
    <m/>
    <x v="17"/>
  </r>
  <r>
    <x v="94"/>
    <s v="rom_fact_rhurim"/>
    <n v="431"/>
    <x v="22"/>
    <n v="436.7"/>
    <n v="57258"/>
    <n v="48145"/>
    <n v="2292"/>
    <m/>
    <x v="18"/>
  </r>
  <r>
    <x v="94"/>
    <s v="rom_fact_feredrim"/>
    <n v="0"/>
    <x v="11"/>
    <n v="0"/>
    <n v="7360"/>
    <n v="1750"/>
    <n v="0"/>
    <m/>
    <x v="19"/>
  </r>
  <r>
    <x v="94"/>
    <s v="rom_fact_wainriders"/>
    <n v="0"/>
    <x v="11"/>
    <n v="0"/>
    <n v="6395"/>
    <n v="1750"/>
    <n v="0"/>
    <m/>
    <x v="20"/>
  </r>
  <r>
    <x v="94"/>
    <s v="rom_fact_blacklock"/>
    <n v="1"/>
    <x v="7"/>
    <n v="14.2"/>
    <n v="11244"/>
    <n v="3050"/>
    <n v="0"/>
    <m/>
    <x v="21"/>
  </r>
  <r>
    <x v="94"/>
    <s v="rom_fact_ironfist"/>
    <n v="4"/>
    <x v="10"/>
    <n v="51"/>
    <n v="81030"/>
    <n v="10342"/>
    <n v="0"/>
    <m/>
    <x v="22"/>
  </r>
  <r>
    <x v="94"/>
    <s v="rom_fact_gundabad"/>
    <n v="248"/>
    <x v="17"/>
    <n v="108.2"/>
    <n v="22615"/>
    <n v="16831"/>
    <n v="0"/>
    <m/>
    <x v="23"/>
  </r>
  <r>
    <x v="94"/>
    <s v="rom_fact_rohan_scouts"/>
    <n v="0"/>
    <x v="11"/>
    <n v="3"/>
    <n v="110495"/>
    <n v="2379"/>
    <n v="0"/>
    <m/>
    <x v="24"/>
  </r>
  <r>
    <x v="94"/>
    <s v="rom_fact_northern_enedwaith"/>
    <n v="6"/>
    <x v="9"/>
    <n v="85"/>
    <n v="105661"/>
    <n v="18187"/>
    <n v="877"/>
    <m/>
    <x v="25"/>
  </r>
  <r>
    <x v="94"/>
    <s v="rom_fact_southern_enedwaith"/>
    <n v="0"/>
    <x v="11"/>
    <n v="0"/>
    <n v="54023"/>
    <n v="1750"/>
    <n v="0"/>
    <m/>
    <x v="26"/>
  </r>
  <r>
    <x v="94"/>
    <s v="rom_fact_druedain"/>
    <n v="0"/>
    <x v="11"/>
    <n v="0"/>
    <n v="32146"/>
    <n v="1750"/>
    <n v="0"/>
    <m/>
    <x v="27"/>
  </r>
  <r>
    <x v="94"/>
    <s v="rom_fact_harondor"/>
    <n v="0"/>
    <x v="11"/>
    <n v="0"/>
    <n v="15146"/>
    <n v="1750"/>
    <n v="0"/>
    <m/>
    <x v="28"/>
  </r>
  <r>
    <x v="94"/>
    <s v="rom_fact_southron_nomads"/>
    <n v="0"/>
    <x v="11"/>
    <n v="0"/>
    <n v="4000"/>
    <n v="1750"/>
    <n v="0"/>
    <m/>
    <x v="29"/>
  </r>
  <r>
    <x v="94"/>
    <s v="rom_fact_separatist_harad"/>
    <n v="0"/>
    <x v="11"/>
    <n v="0"/>
    <n v="4000"/>
    <n v="1750"/>
    <n v="0"/>
    <m/>
    <x v="30"/>
  </r>
  <r>
    <x v="94"/>
    <s v="rom_fact_separatist_khand"/>
    <n v="0"/>
    <x v="11"/>
    <n v="0"/>
    <n v="4000"/>
    <n v="1750"/>
    <n v="0"/>
    <m/>
    <x v="30"/>
  </r>
  <r>
    <x v="94"/>
    <s v="rom_fact_separatist_balchoth"/>
    <n v="0"/>
    <x v="11"/>
    <n v="0"/>
    <n v="4000"/>
    <n v="1750"/>
    <n v="0"/>
    <m/>
    <x v="30"/>
  </r>
  <r>
    <x v="94"/>
    <s v="rom_fact_separatist_feredrim"/>
    <n v="0"/>
    <x v="11"/>
    <n v="0"/>
    <n v="4000"/>
    <n v="1750"/>
    <n v="0"/>
    <m/>
    <x v="30"/>
  </r>
  <r>
    <x v="94"/>
    <s v="rom_fact_separatist_haerrim"/>
    <n v="0"/>
    <x v="11"/>
    <n v="0"/>
    <n v="4000"/>
    <n v="1750"/>
    <n v="0"/>
    <m/>
    <x v="30"/>
  </r>
  <r>
    <x v="94"/>
    <s v="rom_fact_separatist_wainriders"/>
    <n v="0"/>
    <x v="11"/>
    <n v="0"/>
    <n v="4000"/>
    <n v="1750"/>
    <n v="0"/>
    <m/>
    <x v="30"/>
  </r>
  <r>
    <x v="94"/>
    <s v="rom_fact_separatist_rhurim"/>
    <n v="0"/>
    <x v="11"/>
    <n v="0"/>
    <n v="4000"/>
    <n v="1750"/>
    <n v="0"/>
    <m/>
    <x v="30"/>
  </r>
  <r>
    <x v="94"/>
    <s v="rom_fact_separatist_mahuds"/>
    <n v="0"/>
    <x v="11"/>
    <n v="0"/>
    <n v="4000"/>
    <n v="1750"/>
    <n v="0"/>
    <m/>
    <x v="30"/>
  </r>
  <r>
    <x v="94"/>
    <s v="rom_fact_separatist_umbar"/>
    <n v="0"/>
    <x v="11"/>
    <n v="0"/>
    <n v="4000"/>
    <n v="1750"/>
    <n v="0"/>
    <m/>
    <x v="30"/>
  </r>
  <r>
    <x v="95"/>
    <s v="rom_fact_mordor"/>
    <n v="466"/>
    <x v="31"/>
    <n v="331.1"/>
    <n v="12213"/>
    <n v="46125"/>
    <n v="3292"/>
    <m/>
    <x v="0"/>
  </r>
  <r>
    <x v="95"/>
    <s v="rom_fact_gondor"/>
    <n v="146"/>
    <x v="11"/>
    <n v="0"/>
    <n v="55420"/>
    <n v="2500"/>
    <n v="0"/>
    <m/>
    <x v="1"/>
  </r>
  <r>
    <x v="95"/>
    <s v="rom_fact_dale"/>
    <n v="195"/>
    <x v="7"/>
    <n v="14.6"/>
    <n v="3321"/>
    <n v="6149"/>
    <n v="0"/>
    <m/>
    <x v="2"/>
  </r>
  <r>
    <x v="95"/>
    <s v="rom_fact_erebor"/>
    <n v="200"/>
    <x v="11"/>
    <n v="0"/>
    <n v="10040"/>
    <n v="2500"/>
    <n v="0"/>
    <m/>
    <x v="3"/>
  </r>
  <r>
    <x v="95"/>
    <s v="rom_fact_rohan"/>
    <n v="157"/>
    <x v="11"/>
    <n v="0"/>
    <n v="6638"/>
    <n v="2500"/>
    <n v="0"/>
    <m/>
    <x v="4"/>
  </r>
  <r>
    <x v="95"/>
    <s v="rom_fact_dol_guldur"/>
    <n v="354"/>
    <x v="1"/>
    <n v="293.2"/>
    <n v="42187"/>
    <n v="41410"/>
    <n v="3530"/>
    <m/>
    <x v="5"/>
  </r>
  <r>
    <x v="95"/>
    <s v="rom_fact_anduin_vale"/>
    <n v="58"/>
    <x v="11"/>
    <n v="0"/>
    <n v="4515"/>
    <n v="2500"/>
    <n v="0"/>
    <m/>
    <x v="6"/>
  </r>
  <r>
    <x v="95"/>
    <s v="rom_fact_isengard"/>
    <n v="267"/>
    <x v="12"/>
    <n v="200.6"/>
    <n v="94338"/>
    <n v="26782"/>
    <n v="1334"/>
    <m/>
    <x v="7"/>
  </r>
  <r>
    <x v="95"/>
    <s v="rom_fact_woodland_realm"/>
    <n v="30"/>
    <x v="11"/>
    <n v="0"/>
    <n v="8475"/>
    <n v="2500"/>
    <n v="0"/>
    <m/>
    <x v="8"/>
  </r>
  <r>
    <x v="95"/>
    <s v="rom_fact_lothlorien"/>
    <n v="64"/>
    <x v="11"/>
    <n v="0"/>
    <n v="4721"/>
    <n v="2500"/>
    <n v="0"/>
    <m/>
    <x v="9"/>
  </r>
  <r>
    <x v="95"/>
    <s v="rom_fact_khand"/>
    <n v="0"/>
    <x v="11"/>
    <n v="0"/>
    <n v="4919"/>
    <n v="1750"/>
    <n v="0"/>
    <m/>
    <x v="10"/>
  </r>
  <r>
    <x v="95"/>
    <s v="rom_fact_umbar"/>
    <n v="11"/>
    <x v="12"/>
    <n v="161"/>
    <n v="98785"/>
    <n v="34025"/>
    <n v="2925"/>
    <m/>
    <x v="11"/>
  </r>
  <r>
    <x v="95"/>
    <s v="rom_fact_mahuds"/>
    <n v="0"/>
    <x v="11"/>
    <n v="0"/>
    <n v="9228"/>
    <n v="1750"/>
    <n v="0"/>
    <m/>
    <x v="12"/>
  </r>
  <r>
    <x v="95"/>
    <s v="rom_fact_harad"/>
    <n v="168"/>
    <x v="0"/>
    <n v="210"/>
    <n v="24327"/>
    <n v="30784"/>
    <n v="1588"/>
    <m/>
    <x v="13"/>
  </r>
  <r>
    <x v="95"/>
    <s v="rom_fact_dunland"/>
    <n v="181"/>
    <x v="2"/>
    <n v="247"/>
    <n v="149816"/>
    <n v="43179"/>
    <n v="2769"/>
    <m/>
    <x v="14"/>
  </r>
  <r>
    <x v="95"/>
    <s v="rom_fact_haerrim"/>
    <n v="0"/>
    <x v="11"/>
    <n v="0"/>
    <n v="5352"/>
    <n v="1750"/>
    <n v="0"/>
    <m/>
    <x v="15"/>
  </r>
  <r>
    <x v="95"/>
    <s v="rom_fact_goblins"/>
    <n v="412"/>
    <x v="28"/>
    <n v="368.3"/>
    <n v="73100"/>
    <n v="50234"/>
    <n v="5466"/>
    <m/>
    <x v="16"/>
  </r>
  <r>
    <x v="95"/>
    <s v="rom_fact_balchoth"/>
    <n v="0"/>
    <x v="11"/>
    <n v="0"/>
    <n v="4872"/>
    <n v="1750"/>
    <n v="0"/>
    <m/>
    <x v="17"/>
  </r>
  <r>
    <x v="95"/>
    <s v="rom_fact_rhurim"/>
    <n v="435"/>
    <x v="22"/>
    <n v="447.9"/>
    <n v="51724"/>
    <n v="48263"/>
    <n v="2292"/>
    <m/>
    <x v="18"/>
  </r>
  <r>
    <x v="95"/>
    <s v="rom_fact_feredrim"/>
    <n v="0"/>
    <x v="11"/>
    <n v="0"/>
    <n v="7360"/>
    <n v="1750"/>
    <n v="0"/>
    <m/>
    <x v="19"/>
  </r>
  <r>
    <x v="95"/>
    <s v="rom_fact_wainriders"/>
    <n v="0"/>
    <x v="11"/>
    <n v="0"/>
    <n v="6395"/>
    <n v="1750"/>
    <n v="0"/>
    <m/>
    <x v="20"/>
  </r>
  <r>
    <x v="95"/>
    <s v="rom_fact_blacklock"/>
    <n v="1"/>
    <x v="7"/>
    <n v="13.2"/>
    <n v="7662"/>
    <n v="3326"/>
    <n v="0"/>
    <m/>
    <x v="21"/>
  </r>
  <r>
    <x v="95"/>
    <s v="rom_fact_ironfist"/>
    <n v="4"/>
    <x v="10"/>
    <n v="55"/>
    <n v="79527"/>
    <n v="12267"/>
    <n v="0"/>
    <m/>
    <x v="22"/>
  </r>
  <r>
    <x v="95"/>
    <s v="rom_fact_gundabad"/>
    <n v="247"/>
    <x v="6"/>
    <n v="85.6"/>
    <n v="23846"/>
    <n v="14928"/>
    <n v="0"/>
    <m/>
    <x v="23"/>
  </r>
  <r>
    <x v="95"/>
    <s v="rom_fact_rohan_scouts"/>
    <n v="0"/>
    <x v="11"/>
    <n v="3"/>
    <n v="111616"/>
    <n v="2379"/>
    <n v="0"/>
    <m/>
    <x v="24"/>
  </r>
  <r>
    <x v="95"/>
    <s v="rom_fact_northern_enedwaith"/>
    <n v="6"/>
    <x v="9"/>
    <n v="85"/>
    <n v="109548"/>
    <n v="18193"/>
    <n v="883"/>
    <m/>
    <x v="25"/>
  </r>
  <r>
    <x v="95"/>
    <s v="rom_fact_southern_enedwaith"/>
    <n v="0"/>
    <x v="11"/>
    <n v="0"/>
    <n v="54023"/>
    <n v="1750"/>
    <n v="0"/>
    <m/>
    <x v="26"/>
  </r>
  <r>
    <x v="95"/>
    <s v="rom_fact_druedain"/>
    <n v="0"/>
    <x v="11"/>
    <n v="0"/>
    <n v="32146"/>
    <n v="1750"/>
    <n v="0"/>
    <m/>
    <x v="27"/>
  </r>
  <r>
    <x v="95"/>
    <s v="rom_fact_harondor"/>
    <n v="0"/>
    <x v="11"/>
    <n v="0"/>
    <n v="15146"/>
    <n v="1750"/>
    <n v="0"/>
    <m/>
    <x v="28"/>
  </r>
  <r>
    <x v="95"/>
    <s v="rom_fact_southron_nomads"/>
    <n v="0"/>
    <x v="11"/>
    <n v="0"/>
    <n v="4000"/>
    <n v="1750"/>
    <n v="0"/>
    <m/>
    <x v="29"/>
  </r>
  <r>
    <x v="95"/>
    <s v="rom_fact_separatist_harad"/>
    <n v="0"/>
    <x v="11"/>
    <n v="0"/>
    <n v="4000"/>
    <n v="1750"/>
    <n v="0"/>
    <m/>
    <x v="30"/>
  </r>
  <r>
    <x v="95"/>
    <s v="rom_fact_separatist_khand"/>
    <n v="0"/>
    <x v="11"/>
    <n v="0"/>
    <n v="4000"/>
    <n v="1750"/>
    <n v="0"/>
    <m/>
    <x v="30"/>
  </r>
  <r>
    <x v="95"/>
    <s v="rom_fact_separatist_balchoth"/>
    <n v="0"/>
    <x v="11"/>
    <n v="0"/>
    <n v="4000"/>
    <n v="1750"/>
    <n v="0"/>
    <m/>
    <x v="30"/>
  </r>
  <r>
    <x v="95"/>
    <s v="rom_fact_separatist_feredrim"/>
    <n v="0"/>
    <x v="11"/>
    <n v="0"/>
    <n v="4000"/>
    <n v="1750"/>
    <n v="0"/>
    <m/>
    <x v="30"/>
  </r>
  <r>
    <x v="95"/>
    <s v="rom_fact_separatist_haerrim"/>
    <n v="0"/>
    <x v="11"/>
    <n v="0"/>
    <n v="4000"/>
    <n v="1750"/>
    <n v="0"/>
    <m/>
    <x v="30"/>
  </r>
  <r>
    <x v="95"/>
    <s v="rom_fact_separatist_wainriders"/>
    <n v="0"/>
    <x v="11"/>
    <n v="0"/>
    <n v="4000"/>
    <n v="1750"/>
    <n v="0"/>
    <m/>
    <x v="30"/>
  </r>
  <r>
    <x v="95"/>
    <s v="rom_fact_separatist_rhurim"/>
    <n v="0"/>
    <x v="11"/>
    <n v="0"/>
    <n v="4000"/>
    <n v="1750"/>
    <n v="0"/>
    <m/>
    <x v="30"/>
  </r>
  <r>
    <x v="95"/>
    <s v="rom_fact_separatist_mahuds"/>
    <n v="0"/>
    <x v="11"/>
    <n v="0"/>
    <n v="4000"/>
    <n v="1750"/>
    <n v="0"/>
    <m/>
    <x v="30"/>
  </r>
  <r>
    <x v="95"/>
    <s v="rom_fact_separatist_umbar"/>
    <n v="0"/>
    <x v="11"/>
    <n v="0"/>
    <n v="4000"/>
    <n v="1750"/>
    <n v="0"/>
    <m/>
    <x v="30"/>
  </r>
  <r>
    <x v="96"/>
    <s v="rom_fact_mordor"/>
    <n v="468"/>
    <x v="33"/>
    <n v="340.1"/>
    <n v="1237"/>
    <n v="46365"/>
    <n v="3315"/>
    <m/>
    <x v="0"/>
  </r>
  <r>
    <x v="96"/>
    <s v="rom_fact_gondor"/>
    <n v="146"/>
    <x v="11"/>
    <n v="0"/>
    <n v="55420"/>
    <n v="2500"/>
    <n v="0"/>
    <m/>
    <x v="1"/>
  </r>
  <r>
    <x v="96"/>
    <s v="rom_fact_dale"/>
    <n v="199"/>
    <x v="11"/>
    <n v="5.6"/>
    <n v="5036"/>
    <n v="3285"/>
    <n v="0"/>
    <m/>
    <x v="2"/>
  </r>
  <r>
    <x v="96"/>
    <s v="rom_fact_erebor"/>
    <n v="200"/>
    <x v="11"/>
    <n v="0"/>
    <n v="10040"/>
    <n v="2500"/>
    <n v="0"/>
    <m/>
    <x v="3"/>
  </r>
  <r>
    <x v="96"/>
    <s v="rom_fact_rohan"/>
    <n v="157"/>
    <x v="11"/>
    <n v="0"/>
    <n v="6638"/>
    <n v="2500"/>
    <n v="0"/>
    <m/>
    <x v="4"/>
  </r>
  <r>
    <x v="96"/>
    <s v="rom_fact_dol_guldur"/>
    <n v="390"/>
    <x v="1"/>
    <n v="307.29999999999899"/>
    <n v="39801"/>
    <n v="42557"/>
    <n v="3547"/>
    <m/>
    <x v="5"/>
  </r>
  <r>
    <x v="96"/>
    <s v="rom_fact_anduin_vale"/>
    <n v="58"/>
    <x v="11"/>
    <n v="0"/>
    <n v="4515"/>
    <n v="2500"/>
    <n v="0"/>
    <m/>
    <x v="6"/>
  </r>
  <r>
    <x v="96"/>
    <s v="rom_fact_isengard"/>
    <n v="267"/>
    <x v="12"/>
    <n v="200.6"/>
    <n v="98191"/>
    <n v="26794"/>
    <n v="1346"/>
    <m/>
    <x v="7"/>
  </r>
  <r>
    <x v="96"/>
    <s v="rom_fact_woodland_realm"/>
    <n v="30"/>
    <x v="11"/>
    <n v="0"/>
    <n v="8475"/>
    <n v="2500"/>
    <n v="0"/>
    <m/>
    <x v="8"/>
  </r>
  <r>
    <x v="96"/>
    <s v="rom_fact_lothlorien"/>
    <n v="64"/>
    <x v="11"/>
    <n v="0"/>
    <n v="4721"/>
    <n v="2500"/>
    <n v="0"/>
    <m/>
    <x v="9"/>
  </r>
  <r>
    <x v="96"/>
    <s v="rom_fact_khand"/>
    <n v="0"/>
    <x v="11"/>
    <n v="0"/>
    <n v="4919"/>
    <n v="1750"/>
    <n v="0"/>
    <m/>
    <x v="10"/>
  </r>
  <r>
    <x v="96"/>
    <s v="rom_fact_umbar"/>
    <n v="11"/>
    <x v="12"/>
    <n v="161"/>
    <n v="108683"/>
    <n v="34920"/>
    <n v="2945"/>
    <m/>
    <x v="11"/>
  </r>
  <r>
    <x v="96"/>
    <s v="rom_fact_mahuds"/>
    <n v="0"/>
    <x v="11"/>
    <n v="0"/>
    <n v="9228"/>
    <n v="1750"/>
    <n v="0"/>
    <m/>
    <x v="12"/>
  </r>
  <r>
    <x v="96"/>
    <s v="rom_fact_harad"/>
    <n v="168"/>
    <x v="0"/>
    <n v="207.7"/>
    <n v="19807"/>
    <n v="30751"/>
    <n v="1596"/>
    <m/>
    <x v="13"/>
  </r>
  <r>
    <x v="96"/>
    <s v="rom_fact_dunland"/>
    <n v="253"/>
    <x v="2"/>
    <n v="256"/>
    <n v="154643"/>
    <n v="45028"/>
    <n v="2805"/>
    <m/>
    <x v="14"/>
  </r>
  <r>
    <x v="96"/>
    <s v="rom_fact_haerrim"/>
    <n v="0"/>
    <x v="11"/>
    <n v="0"/>
    <n v="5352"/>
    <n v="1750"/>
    <n v="0"/>
    <m/>
    <x v="15"/>
  </r>
  <r>
    <x v="96"/>
    <s v="rom_fact_goblins"/>
    <n v="424"/>
    <x v="28"/>
    <n v="376.9"/>
    <n v="62336"/>
    <n v="53221"/>
    <n v="5604"/>
    <m/>
    <x v="16"/>
  </r>
  <r>
    <x v="96"/>
    <s v="rom_fact_balchoth"/>
    <n v="0"/>
    <x v="11"/>
    <n v="0"/>
    <n v="4872"/>
    <n v="1750"/>
    <n v="0"/>
    <m/>
    <x v="17"/>
  </r>
  <r>
    <x v="96"/>
    <s v="rom_fact_rhurim"/>
    <n v="433"/>
    <x v="24"/>
    <n v="450.4"/>
    <n v="51949"/>
    <n v="49278"/>
    <n v="2343"/>
    <m/>
    <x v="18"/>
  </r>
  <r>
    <x v="96"/>
    <s v="rom_fact_feredrim"/>
    <n v="0"/>
    <x v="11"/>
    <n v="0"/>
    <n v="7360"/>
    <n v="1750"/>
    <n v="0"/>
    <m/>
    <x v="19"/>
  </r>
  <r>
    <x v="96"/>
    <s v="rom_fact_wainriders"/>
    <n v="0"/>
    <x v="11"/>
    <n v="0"/>
    <n v="6395"/>
    <n v="1750"/>
    <n v="0"/>
    <m/>
    <x v="20"/>
  </r>
  <r>
    <x v="96"/>
    <s v="rom_fact_blacklock"/>
    <n v="1"/>
    <x v="7"/>
    <n v="17.399999999999999"/>
    <n v="8103"/>
    <n v="3664"/>
    <n v="0"/>
    <m/>
    <x v="21"/>
  </r>
  <r>
    <x v="96"/>
    <s v="rom_fact_ironfist"/>
    <n v="6"/>
    <x v="3"/>
    <n v="60"/>
    <n v="74784"/>
    <n v="14395"/>
    <n v="0"/>
    <m/>
    <x v="22"/>
  </r>
  <r>
    <x v="96"/>
    <s v="rom_fact_gundabad"/>
    <n v="247"/>
    <x v="6"/>
    <n v="84.8"/>
    <n v="20268"/>
    <n v="14625"/>
    <n v="0"/>
    <m/>
    <x v="23"/>
  </r>
  <r>
    <x v="96"/>
    <s v="rom_fact_rohan_scouts"/>
    <n v="0"/>
    <x v="11"/>
    <n v="3"/>
    <n v="112737"/>
    <n v="2379"/>
    <n v="0"/>
    <m/>
    <x v="24"/>
  </r>
  <r>
    <x v="96"/>
    <s v="rom_fact_northern_enedwaith"/>
    <n v="6"/>
    <x v="9"/>
    <n v="85"/>
    <n v="113444"/>
    <n v="18202"/>
    <n v="892"/>
    <m/>
    <x v="25"/>
  </r>
  <r>
    <x v="96"/>
    <s v="rom_fact_southern_enedwaith"/>
    <n v="0"/>
    <x v="11"/>
    <n v="0"/>
    <n v="54023"/>
    <n v="1750"/>
    <n v="0"/>
    <m/>
    <x v="26"/>
  </r>
  <r>
    <x v="96"/>
    <s v="rom_fact_druedain"/>
    <n v="0"/>
    <x v="11"/>
    <n v="0"/>
    <n v="32146"/>
    <n v="1750"/>
    <n v="0"/>
    <m/>
    <x v="27"/>
  </r>
  <r>
    <x v="96"/>
    <s v="rom_fact_harondor"/>
    <n v="0"/>
    <x v="11"/>
    <n v="0"/>
    <n v="15146"/>
    <n v="1750"/>
    <n v="0"/>
    <m/>
    <x v="28"/>
  </r>
  <r>
    <x v="96"/>
    <s v="rom_fact_southron_nomads"/>
    <n v="0"/>
    <x v="11"/>
    <n v="0"/>
    <n v="4000"/>
    <n v="1750"/>
    <n v="0"/>
    <m/>
    <x v="29"/>
  </r>
  <r>
    <x v="96"/>
    <s v="rom_fact_separatist_harad"/>
    <n v="0"/>
    <x v="11"/>
    <n v="0"/>
    <n v="4000"/>
    <n v="1750"/>
    <n v="0"/>
    <m/>
    <x v="30"/>
  </r>
  <r>
    <x v="96"/>
    <s v="rom_fact_separatist_khand"/>
    <n v="0"/>
    <x v="11"/>
    <n v="0"/>
    <n v="4000"/>
    <n v="1750"/>
    <n v="0"/>
    <m/>
    <x v="30"/>
  </r>
  <r>
    <x v="96"/>
    <s v="rom_fact_separatist_balchoth"/>
    <n v="0"/>
    <x v="11"/>
    <n v="0"/>
    <n v="4000"/>
    <n v="1750"/>
    <n v="0"/>
    <m/>
    <x v="30"/>
  </r>
  <r>
    <x v="96"/>
    <s v="rom_fact_separatist_feredrim"/>
    <n v="0"/>
    <x v="11"/>
    <n v="0"/>
    <n v="4000"/>
    <n v="1750"/>
    <n v="0"/>
    <m/>
    <x v="30"/>
  </r>
  <r>
    <x v="96"/>
    <s v="rom_fact_separatist_haerrim"/>
    <n v="0"/>
    <x v="11"/>
    <n v="0"/>
    <n v="4000"/>
    <n v="1750"/>
    <n v="0"/>
    <m/>
    <x v="30"/>
  </r>
  <r>
    <x v="96"/>
    <s v="rom_fact_separatist_wainriders"/>
    <n v="0"/>
    <x v="11"/>
    <n v="0"/>
    <n v="4000"/>
    <n v="1750"/>
    <n v="0"/>
    <m/>
    <x v="30"/>
  </r>
  <r>
    <x v="96"/>
    <s v="rom_fact_separatist_rhurim"/>
    <n v="0"/>
    <x v="11"/>
    <n v="0"/>
    <n v="4000"/>
    <n v="1750"/>
    <n v="0"/>
    <m/>
    <x v="30"/>
  </r>
  <r>
    <x v="96"/>
    <s v="rom_fact_separatist_mahuds"/>
    <n v="0"/>
    <x v="11"/>
    <n v="0"/>
    <n v="4000"/>
    <n v="1750"/>
    <n v="0"/>
    <m/>
    <x v="30"/>
  </r>
  <r>
    <x v="96"/>
    <s v="rom_fact_separatist_umbar"/>
    <n v="0"/>
    <x v="11"/>
    <n v="0"/>
    <n v="4000"/>
    <n v="1750"/>
    <n v="0"/>
    <m/>
    <x v="30"/>
  </r>
  <r>
    <x v="97"/>
    <s v="rom_fact_mordor"/>
    <n v="473"/>
    <x v="33"/>
    <n v="341.1"/>
    <n v="6079"/>
    <n v="46050"/>
    <n v="3327"/>
    <m/>
    <x v="0"/>
  </r>
  <r>
    <x v="97"/>
    <s v="rom_fact_gondor"/>
    <n v="146"/>
    <x v="11"/>
    <n v="0"/>
    <n v="55420"/>
    <n v="2500"/>
    <n v="0"/>
    <m/>
    <x v="1"/>
  </r>
  <r>
    <x v="97"/>
    <s v="rom_fact_dale"/>
    <n v="199"/>
    <x v="11"/>
    <n v="5.6"/>
    <n v="6805"/>
    <n v="3231"/>
    <n v="0"/>
    <m/>
    <x v="2"/>
  </r>
  <r>
    <x v="97"/>
    <s v="rom_fact_erebor"/>
    <n v="200"/>
    <x v="11"/>
    <n v="0"/>
    <n v="10040"/>
    <n v="2500"/>
    <n v="0"/>
    <m/>
    <x v="3"/>
  </r>
  <r>
    <x v="97"/>
    <s v="rom_fact_rohan"/>
    <n v="157"/>
    <x v="11"/>
    <n v="0"/>
    <n v="6638"/>
    <n v="2500"/>
    <n v="0"/>
    <m/>
    <x v="4"/>
  </r>
  <r>
    <x v="97"/>
    <s v="rom_fact_dol_guldur"/>
    <n v="390"/>
    <x v="1"/>
    <n v="312.7"/>
    <n v="38885"/>
    <n v="42907"/>
    <n v="3538"/>
    <m/>
    <x v="5"/>
  </r>
  <r>
    <x v="97"/>
    <s v="rom_fact_anduin_vale"/>
    <n v="58"/>
    <x v="11"/>
    <n v="0"/>
    <n v="4515"/>
    <n v="2500"/>
    <n v="0"/>
    <m/>
    <x v="6"/>
  </r>
  <r>
    <x v="97"/>
    <s v="rom_fact_isengard"/>
    <n v="267"/>
    <x v="12"/>
    <n v="201.9"/>
    <n v="101362"/>
    <n v="27063"/>
    <n v="1352"/>
    <m/>
    <x v="7"/>
  </r>
  <r>
    <x v="97"/>
    <s v="rom_fact_woodland_realm"/>
    <n v="30"/>
    <x v="11"/>
    <n v="0"/>
    <n v="8475"/>
    <n v="2500"/>
    <n v="0"/>
    <m/>
    <x v="8"/>
  </r>
  <r>
    <x v="97"/>
    <s v="rom_fact_lothlorien"/>
    <n v="64"/>
    <x v="11"/>
    <n v="0"/>
    <n v="4721"/>
    <n v="2500"/>
    <n v="0"/>
    <m/>
    <x v="9"/>
  </r>
  <r>
    <x v="97"/>
    <s v="rom_fact_khand"/>
    <n v="0"/>
    <x v="11"/>
    <n v="0"/>
    <n v="4919"/>
    <n v="1750"/>
    <n v="0"/>
    <m/>
    <x v="10"/>
  </r>
  <r>
    <x v="97"/>
    <s v="rom_fact_umbar"/>
    <n v="11"/>
    <x v="12"/>
    <n v="163"/>
    <n v="108000"/>
    <n v="36106"/>
    <n v="2961"/>
    <m/>
    <x v="11"/>
  </r>
  <r>
    <x v="97"/>
    <s v="rom_fact_mahuds"/>
    <n v="0"/>
    <x v="11"/>
    <n v="0"/>
    <n v="9228"/>
    <n v="1750"/>
    <n v="0"/>
    <m/>
    <x v="12"/>
  </r>
  <r>
    <x v="97"/>
    <s v="rom_fact_harad"/>
    <n v="168"/>
    <x v="0"/>
    <n v="214"/>
    <n v="21465"/>
    <n v="32137"/>
    <n v="1604"/>
    <m/>
    <x v="13"/>
  </r>
  <r>
    <x v="97"/>
    <s v="rom_fact_dunland"/>
    <n v="274"/>
    <x v="2"/>
    <n v="258"/>
    <n v="160117"/>
    <n v="45378"/>
    <n v="2821"/>
    <m/>
    <x v="14"/>
  </r>
  <r>
    <x v="97"/>
    <s v="rom_fact_haerrim"/>
    <n v="0"/>
    <x v="11"/>
    <n v="0"/>
    <n v="5352"/>
    <n v="1750"/>
    <n v="0"/>
    <m/>
    <x v="15"/>
  </r>
  <r>
    <x v="97"/>
    <s v="rom_fact_goblins"/>
    <n v="445"/>
    <x v="29"/>
    <n v="389.3"/>
    <n v="64416"/>
    <n v="55218"/>
    <n v="5739"/>
    <m/>
    <x v="16"/>
  </r>
  <r>
    <x v="97"/>
    <s v="rom_fact_balchoth"/>
    <n v="0"/>
    <x v="11"/>
    <n v="0"/>
    <n v="4872"/>
    <n v="1750"/>
    <n v="0"/>
    <m/>
    <x v="17"/>
  </r>
  <r>
    <x v="97"/>
    <s v="rom_fact_rhurim"/>
    <n v="434"/>
    <x v="22"/>
    <n v="457.6"/>
    <n v="44906"/>
    <n v="46094"/>
    <n v="2291"/>
    <m/>
    <x v="18"/>
  </r>
  <r>
    <x v="97"/>
    <s v="rom_fact_feredrim"/>
    <n v="0"/>
    <x v="11"/>
    <n v="0"/>
    <n v="7360"/>
    <n v="1750"/>
    <n v="0"/>
    <m/>
    <x v="19"/>
  </r>
  <r>
    <x v="97"/>
    <s v="rom_fact_wainriders"/>
    <n v="0"/>
    <x v="11"/>
    <n v="0"/>
    <n v="6395"/>
    <n v="1750"/>
    <n v="0"/>
    <m/>
    <x v="20"/>
  </r>
  <r>
    <x v="97"/>
    <s v="rom_fact_blacklock"/>
    <n v="1"/>
    <x v="7"/>
    <n v="18.399999999999999"/>
    <n v="8482"/>
    <n v="3554"/>
    <n v="0"/>
    <m/>
    <x v="21"/>
  </r>
  <r>
    <x v="97"/>
    <s v="rom_fact_ironfist"/>
    <n v="5"/>
    <x v="10"/>
    <n v="54"/>
    <n v="66438"/>
    <n v="12103"/>
    <n v="0"/>
    <m/>
    <x v="22"/>
  </r>
  <r>
    <x v="97"/>
    <s v="rom_fact_gundabad"/>
    <n v="251"/>
    <x v="12"/>
    <n v="72.599999999999994"/>
    <n v="16703"/>
    <n v="10919"/>
    <n v="0"/>
    <m/>
    <x v="23"/>
  </r>
  <r>
    <x v="97"/>
    <s v="rom_fact_rohan_scouts"/>
    <n v="0"/>
    <x v="11"/>
    <n v="3"/>
    <n v="113858"/>
    <n v="2379"/>
    <n v="0"/>
    <m/>
    <x v="24"/>
  </r>
  <r>
    <x v="97"/>
    <s v="rom_fact_northern_enedwaith"/>
    <n v="6"/>
    <x v="9"/>
    <n v="85"/>
    <n v="108566"/>
    <n v="18242"/>
    <n v="895"/>
    <m/>
    <x v="25"/>
  </r>
  <r>
    <x v="97"/>
    <s v="rom_fact_southern_enedwaith"/>
    <n v="0"/>
    <x v="11"/>
    <n v="0"/>
    <n v="54023"/>
    <n v="1750"/>
    <n v="0"/>
    <m/>
    <x v="26"/>
  </r>
  <r>
    <x v="97"/>
    <s v="rom_fact_druedain"/>
    <n v="0"/>
    <x v="11"/>
    <n v="0"/>
    <n v="32146"/>
    <n v="1750"/>
    <n v="0"/>
    <m/>
    <x v="27"/>
  </r>
  <r>
    <x v="97"/>
    <s v="rom_fact_harondor"/>
    <n v="0"/>
    <x v="11"/>
    <n v="0"/>
    <n v="15146"/>
    <n v="1750"/>
    <n v="0"/>
    <m/>
    <x v="28"/>
  </r>
  <r>
    <x v="97"/>
    <s v="rom_fact_southron_nomads"/>
    <n v="0"/>
    <x v="11"/>
    <n v="0"/>
    <n v="4000"/>
    <n v="1750"/>
    <n v="0"/>
    <m/>
    <x v="29"/>
  </r>
  <r>
    <x v="97"/>
    <s v="rom_fact_separatist_harad"/>
    <n v="0"/>
    <x v="11"/>
    <n v="0"/>
    <n v="4000"/>
    <n v="1750"/>
    <n v="0"/>
    <m/>
    <x v="30"/>
  </r>
  <r>
    <x v="97"/>
    <s v="rom_fact_separatist_khand"/>
    <n v="0"/>
    <x v="11"/>
    <n v="0"/>
    <n v="4000"/>
    <n v="1750"/>
    <n v="0"/>
    <m/>
    <x v="30"/>
  </r>
  <r>
    <x v="97"/>
    <s v="rom_fact_separatist_balchoth"/>
    <n v="0"/>
    <x v="11"/>
    <n v="0"/>
    <n v="4000"/>
    <n v="1750"/>
    <n v="0"/>
    <m/>
    <x v="30"/>
  </r>
  <r>
    <x v="97"/>
    <s v="rom_fact_separatist_feredrim"/>
    <n v="0"/>
    <x v="11"/>
    <n v="0"/>
    <n v="4000"/>
    <n v="1750"/>
    <n v="0"/>
    <m/>
    <x v="30"/>
  </r>
  <r>
    <x v="97"/>
    <s v="rom_fact_separatist_haerrim"/>
    <n v="0"/>
    <x v="11"/>
    <n v="0"/>
    <n v="4000"/>
    <n v="1750"/>
    <n v="0"/>
    <m/>
    <x v="30"/>
  </r>
  <r>
    <x v="97"/>
    <s v="rom_fact_separatist_wainriders"/>
    <n v="0"/>
    <x v="11"/>
    <n v="0"/>
    <n v="4000"/>
    <n v="1750"/>
    <n v="0"/>
    <m/>
    <x v="30"/>
  </r>
  <r>
    <x v="97"/>
    <s v="rom_fact_separatist_rhurim"/>
    <n v="0"/>
    <x v="11"/>
    <n v="0"/>
    <n v="4000"/>
    <n v="1750"/>
    <n v="0"/>
    <m/>
    <x v="30"/>
  </r>
  <r>
    <x v="97"/>
    <s v="rom_fact_separatist_mahuds"/>
    <n v="0"/>
    <x v="11"/>
    <n v="0"/>
    <n v="4000"/>
    <n v="1750"/>
    <n v="0"/>
    <m/>
    <x v="30"/>
  </r>
  <r>
    <x v="97"/>
    <s v="rom_fact_separatist_umbar"/>
    <n v="0"/>
    <x v="11"/>
    <n v="0"/>
    <n v="4000"/>
    <n v="1750"/>
    <n v="0"/>
    <m/>
    <x v="30"/>
  </r>
  <r>
    <x v="98"/>
    <s v="rom_fact_mordor"/>
    <n v="488"/>
    <x v="33"/>
    <n v="345.1"/>
    <n v="3652"/>
    <n v="46498"/>
    <n v="3334"/>
    <m/>
    <x v="0"/>
  </r>
  <r>
    <x v="98"/>
    <s v="rom_fact_gondor"/>
    <n v="146"/>
    <x v="11"/>
    <n v="0"/>
    <n v="55420"/>
    <n v="2500"/>
    <n v="0"/>
    <m/>
    <x v="1"/>
  </r>
  <r>
    <x v="98"/>
    <s v="rom_fact_dale"/>
    <n v="199"/>
    <x v="11"/>
    <n v="5.6"/>
    <n v="8574"/>
    <n v="3231"/>
    <n v="0"/>
    <m/>
    <x v="2"/>
  </r>
  <r>
    <x v="98"/>
    <s v="rom_fact_erebor"/>
    <n v="200"/>
    <x v="11"/>
    <n v="0"/>
    <n v="10040"/>
    <n v="2500"/>
    <n v="0"/>
    <m/>
    <x v="3"/>
  </r>
  <r>
    <x v="98"/>
    <s v="rom_fact_rohan"/>
    <n v="157"/>
    <x v="11"/>
    <n v="0"/>
    <n v="6638"/>
    <n v="2500"/>
    <n v="0"/>
    <m/>
    <x v="4"/>
  </r>
  <r>
    <x v="98"/>
    <s v="rom_fact_dol_guldur"/>
    <n v="395"/>
    <x v="25"/>
    <n v="297.8"/>
    <n v="37509"/>
    <n v="40802"/>
    <n v="3560"/>
    <m/>
    <x v="5"/>
  </r>
  <r>
    <x v="98"/>
    <s v="rom_fact_anduin_vale"/>
    <n v="58"/>
    <x v="11"/>
    <n v="0"/>
    <n v="4515"/>
    <n v="2500"/>
    <n v="0"/>
    <m/>
    <x v="6"/>
  </r>
  <r>
    <x v="98"/>
    <s v="rom_fact_isengard"/>
    <n v="272"/>
    <x v="12"/>
    <n v="204.5"/>
    <n v="99548"/>
    <n v="27226"/>
    <n v="1351"/>
    <m/>
    <x v="7"/>
  </r>
  <r>
    <x v="98"/>
    <s v="rom_fact_woodland_realm"/>
    <n v="30"/>
    <x v="11"/>
    <n v="0"/>
    <n v="8475"/>
    <n v="2500"/>
    <n v="0"/>
    <m/>
    <x v="8"/>
  </r>
  <r>
    <x v="98"/>
    <s v="rom_fact_lothlorien"/>
    <n v="64"/>
    <x v="11"/>
    <n v="0"/>
    <n v="4721"/>
    <n v="2500"/>
    <n v="0"/>
    <m/>
    <x v="9"/>
  </r>
  <r>
    <x v="98"/>
    <s v="rom_fact_khand"/>
    <n v="0"/>
    <x v="11"/>
    <n v="0"/>
    <n v="4919"/>
    <n v="1750"/>
    <n v="0"/>
    <m/>
    <x v="10"/>
  </r>
  <r>
    <x v="98"/>
    <s v="rom_fact_umbar"/>
    <n v="13"/>
    <x v="6"/>
    <n v="170"/>
    <n v="113812"/>
    <n v="37940"/>
    <n v="2978"/>
    <m/>
    <x v="11"/>
  </r>
  <r>
    <x v="98"/>
    <s v="rom_fact_mahuds"/>
    <n v="0"/>
    <x v="11"/>
    <n v="0"/>
    <n v="9228"/>
    <n v="1750"/>
    <n v="0"/>
    <m/>
    <x v="12"/>
  </r>
  <r>
    <x v="98"/>
    <s v="rom_fact_harad"/>
    <n v="174"/>
    <x v="2"/>
    <n v="204.7"/>
    <n v="24435"/>
    <n v="30785"/>
    <n v="1665"/>
    <m/>
    <x v="13"/>
  </r>
  <r>
    <x v="98"/>
    <s v="rom_fact_dunland"/>
    <n v="274"/>
    <x v="2"/>
    <n v="258"/>
    <n v="165330"/>
    <n v="43575"/>
    <n v="2808"/>
    <m/>
    <x v="14"/>
  </r>
  <r>
    <x v="98"/>
    <s v="rom_fact_haerrim"/>
    <n v="0"/>
    <x v="11"/>
    <n v="0"/>
    <n v="5352"/>
    <n v="1750"/>
    <n v="0"/>
    <m/>
    <x v="15"/>
  </r>
  <r>
    <x v="98"/>
    <s v="rom_fact_goblins"/>
    <n v="482"/>
    <x v="29"/>
    <n v="394.3"/>
    <n v="57928"/>
    <n v="55435"/>
    <n v="5900"/>
    <m/>
    <x v="16"/>
  </r>
  <r>
    <x v="98"/>
    <s v="rom_fact_balchoth"/>
    <n v="0"/>
    <x v="11"/>
    <n v="0"/>
    <n v="4872"/>
    <n v="1750"/>
    <n v="0"/>
    <m/>
    <x v="17"/>
  </r>
  <r>
    <x v="98"/>
    <s v="rom_fact_rhurim"/>
    <n v="438"/>
    <x v="24"/>
    <n v="424.9"/>
    <n v="50847"/>
    <n v="50366"/>
    <n v="2661"/>
    <m/>
    <x v="18"/>
  </r>
  <r>
    <x v="98"/>
    <s v="rom_fact_feredrim"/>
    <n v="0"/>
    <x v="11"/>
    <n v="0"/>
    <n v="7360"/>
    <n v="1750"/>
    <n v="0"/>
    <m/>
    <x v="19"/>
  </r>
  <r>
    <x v="98"/>
    <s v="rom_fact_wainriders"/>
    <n v="0"/>
    <x v="11"/>
    <n v="0"/>
    <n v="6395"/>
    <n v="1750"/>
    <n v="0"/>
    <m/>
    <x v="20"/>
  </r>
  <r>
    <x v="98"/>
    <s v="rom_fact_blacklock"/>
    <n v="1"/>
    <x v="7"/>
    <n v="19.5"/>
    <n v="8619"/>
    <n v="3651"/>
    <n v="0"/>
    <m/>
    <x v="21"/>
  </r>
  <r>
    <x v="98"/>
    <s v="rom_fact_ironfist"/>
    <n v="5"/>
    <x v="10"/>
    <n v="54"/>
    <n v="62785"/>
    <n v="12537"/>
    <n v="0"/>
    <m/>
    <x v="22"/>
  </r>
  <r>
    <x v="98"/>
    <s v="rom_fact_gundabad"/>
    <n v="248"/>
    <x v="5"/>
    <n v="79.400000000000006"/>
    <n v="16200"/>
    <n v="13070"/>
    <n v="0"/>
    <m/>
    <x v="23"/>
  </r>
  <r>
    <x v="98"/>
    <s v="rom_fact_rohan_scouts"/>
    <n v="0"/>
    <x v="11"/>
    <n v="3"/>
    <n v="114979"/>
    <n v="2379"/>
    <n v="0"/>
    <m/>
    <x v="24"/>
  </r>
  <r>
    <x v="98"/>
    <s v="rom_fact_northern_enedwaith"/>
    <n v="6"/>
    <x v="9"/>
    <n v="87"/>
    <n v="111925"/>
    <n v="18738"/>
    <n v="891"/>
    <m/>
    <x v="25"/>
  </r>
  <r>
    <x v="98"/>
    <s v="rom_fact_southern_enedwaith"/>
    <n v="0"/>
    <x v="11"/>
    <n v="0"/>
    <n v="54023"/>
    <n v="1750"/>
    <n v="0"/>
    <m/>
    <x v="26"/>
  </r>
  <r>
    <x v="98"/>
    <s v="rom_fact_druedain"/>
    <n v="0"/>
    <x v="11"/>
    <n v="0"/>
    <n v="32146"/>
    <n v="1750"/>
    <n v="0"/>
    <m/>
    <x v="27"/>
  </r>
  <r>
    <x v="98"/>
    <s v="rom_fact_harondor"/>
    <n v="0"/>
    <x v="11"/>
    <n v="0"/>
    <n v="15146"/>
    <n v="1750"/>
    <n v="0"/>
    <m/>
    <x v="28"/>
  </r>
  <r>
    <x v="98"/>
    <s v="rom_fact_southron_nomads"/>
    <n v="0"/>
    <x v="11"/>
    <n v="0"/>
    <n v="4000"/>
    <n v="1750"/>
    <n v="0"/>
    <m/>
    <x v="29"/>
  </r>
  <r>
    <x v="98"/>
    <s v="rom_fact_separatist_harad"/>
    <n v="0"/>
    <x v="11"/>
    <n v="0"/>
    <n v="4000"/>
    <n v="1750"/>
    <n v="0"/>
    <m/>
    <x v="30"/>
  </r>
  <r>
    <x v="98"/>
    <s v="rom_fact_separatist_khand"/>
    <n v="0"/>
    <x v="11"/>
    <n v="0"/>
    <n v="4000"/>
    <n v="1750"/>
    <n v="0"/>
    <m/>
    <x v="30"/>
  </r>
  <r>
    <x v="98"/>
    <s v="rom_fact_separatist_balchoth"/>
    <n v="0"/>
    <x v="11"/>
    <n v="0"/>
    <n v="4000"/>
    <n v="1750"/>
    <n v="0"/>
    <m/>
    <x v="30"/>
  </r>
  <r>
    <x v="98"/>
    <s v="rom_fact_separatist_feredrim"/>
    <n v="0"/>
    <x v="11"/>
    <n v="0"/>
    <n v="4000"/>
    <n v="1750"/>
    <n v="0"/>
    <m/>
    <x v="30"/>
  </r>
  <r>
    <x v="98"/>
    <s v="rom_fact_separatist_haerrim"/>
    <n v="0"/>
    <x v="11"/>
    <n v="0"/>
    <n v="4000"/>
    <n v="1750"/>
    <n v="0"/>
    <m/>
    <x v="30"/>
  </r>
  <r>
    <x v="98"/>
    <s v="rom_fact_separatist_wainriders"/>
    <n v="0"/>
    <x v="11"/>
    <n v="0"/>
    <n v="4000"/>
    <n v="1750"/>
    <n v="0"/>
    <m/>
    <x v="30"/>
  </r>
  <r>
    <x v="98"/>
    <s v="rom_fact_separatist_rhurim"/>
    <n v="0"/>
    <x v="11"/>
    <n v="0"/>
    <n v="4000"/>
    <n v="1750"/>
    <n v="0"/>
    <m/>
    <x v="30"/>
  </r>
  <r>
    <x v="98"/>
    <s v="rom_fact_separatist_mahuds"/>
    <n v="0"/>
    <x v="11"/>
    <n v="0"/>
    <n v="4000"/>
    <n v="1750"/>
    <n v="0"/>
    <m/>
    <x v="30"/>
  </r>
  <r>
    <x v="98"/>
    <s v="rom_fact_separatist_umbar"/>
    <n v="0"/>
    <x v="11"/>
    <n v="0"/>
    <n v="4000"/>
    <n v="1750"/>
    <n v="0"/>
    <m/>
    <x v="30"/>
  </r>
  <r>
    <x v="99"/>
    <s v="rom_fact_mordor"/>
    <n v="508"/>
    <x v="33"/>
    <n v="349.1"/>
    <n v="12049"/>
    <n v="46673"/>
    <n v="3352"/>
    <m/>
    <x v="0"/>
  </r>
  <r>
    <x v="99"/>
    <s v="rom_fact_gondor"/>
    <n v="146"/>
    <x v="11"/>
    <n v="0"/>
    <n v="55420"/>
    <n v="2500"/>
    <n v="0"/>
    <m/>
    <x v="1"/>
  </r>
  <r>
    <x v="99"/>
    <s v="rom_fact_dale"/>
    <n v="199"/>
    <x v="11"/>
    <n v="5.6"/>
    <n v="10343"/>
    <n v="3231"/>
    <n v="0"/>
    <m/>
    <x v="2"/>
  </r>
  <r>
    <x v="99"/>
    <s v="rom_fact_erebor"/>
    <n v="200"/>
    <x v="11"/>
    <n v="0"/>
    <n v="10040"/>
    <n v="2500"/>
    <n v="0"/>
    <m/>
    <x v="3"/>
  </r>
  <r>
    <x v="99"/>
    <s v="rom_fact_rohan"/>
    <n v="157"/>
    <x v="11"/>
    <n v="0"/>
    <n v="6638"/>
    <n v="2500"/>
    <n v="0"/>
    <m/>
    <x v="4"/>
  </r>
  <r>
    <x v="99"/>
    <s v="rom_fact_dol_guldur"/>
    <n v="395"/>
    <x v="25"/>
    <n v="306"/>
    <n v="40953"/>
    <n v="43085"/>
    <n v="3804"/>
    <m/>
    <x v="5"/>
  </r>
  <r>
    <x v="99"/>
    <s v="rom_fact_anduin_vale"/>
    <n v="58"/>
    <x v="11"/>
    <n v="0"/>
    <n v="4515"/>
    <n v="2500"/>
    <n v="0"/>
    <m/>
    <x v="6"/>
  </r>
  <r>
    <x v="99"/>
    <s v="rom_fact_isengard"/>
    <n v="272"/>
    <x v="12"/>
    <n v="204.5"/>
    <n v="102618"/>
    <n v="27470"/>
    <n v="1361"/>
    <m/>
    <x v="7"/>
  </r>
  <r>
    <x v="99"/>
    <s v="rom_fact_woodland_realm"/>
    <n v="30"/>
    <x v="11"/>
    <n v="0"/>
    <n v="8475"/>
    <n v="2500"/>
    <n v="0"/>
    <m/>
    <x v="8"/>
  </r>
  <r>
    <x v="99"/>
    <s v="rom_fact_lothlorien"/>
    <n v="64"/>
    <x v="11"/>
    <n v="0"/>
    <n v="4721"/>
    <n v="2500"/>
    <n v="0"/>
    <m/>
    <x v="9"/>
  </r>
  <r>
    <x v="99"/>
    <s v="rom_fact_khand"/>
    <n v="0"/>
    <x v="11"/>
    <n v="0"/>
    <n v="4919"/>
    <n v="1750"/>
    <n v="0"/>
    <m/>
    <x v="10"/>
  </r>
  <r>
    <x v="99"/>
    <s v="rom_fact_umbar"/>
    <n v="15"/>
    <x v="17"/>
    <n v="173.7"/>
    <n v="123938"/>
    <n v="38707"/>
    <n v="3033"/>
    <m/>
    <x v="11"/>
  </r>
  <r>
    <x v="99"/>
    <s v="rom_fact_mahuds"/>
    <n v="0"/>
    <x v="11"/>
    <n v="0"/>
    <n v="9228"/>
    <n v="1750"/>
    <n v="0"/>
    <m/>
    <x v="12"/>
  </r>
  <r>
    <x v="99"/>
    <s v="rom_fact_harad"/>
    <n v="182"/>
    <x v="2"/>
    <n v="206.9"/>
    <n v="27750"/>
    <n v="32434"/>
    <n v="1672"/>
    <m/>
    <x v="13"/>
  </r>
  <r>
    <x v="99"/>
    <s v="rom_fact_dunland"/>
    <n v="274"/>
    <x v="2"/>
    <n v="258"/>
    <n v="170555"/>
    <n v="43588"/>
    <n v="2821"/>
    <m/>
    <x v="14"/>
  </r>
  <r>
    <x v="99"/>
    <s v="rom_fact_haerrim"/>
    <n v="0"/>
    <x v="11"/>
    <n v="0"/>
    <n v="5352"/>
    <n v="1750"/>
    <n v="0"/>
    <m/>
    <x v="15"/>
  </r>
  <r>
    <x v="99"/>
    <s v="rom_fact_goblins"/>
    <n v="518"/>
    <x v="29"/>
    <n v="403.3"/>
    <n v="68337"/>
    <n v="57832"/>
    <n v="5915"/>
    <m/>
    <x v="16"/>
  </r>
  <r>
    <x v="99"/>
    <s v="rom_fact_balchoth"/>
    <n v="0"/>
    <x v="11"/>
    <n v="0"/>
    <n v="4872"/>
    <n v="1750"/>
    <n v="0"/>
    <m/>
    <x v="17"/>
  </r>
  <r>
    <x v="99"/>
    <s v="rom_fact_rhurim"/>
    <n v="438"/>
    <x v="24"/>
    <n v="405.8"/>
    <n v="48454"/>
    <n v="49595"/>
    <n v="2648"/>
    <m/>
    <x v="18"/>
  </r>
  <r>
    <x v="99"/>
    <s v="rom_fact_feredrim"/>
    <n v="0"/>
    <x v="11"/>
    <n v="0"/>
    <n v="7360"/>
    <n v="1750"/>
    <n v="0"/>
    <m/>
    <x v="19"/>
  </r>
  <r>
    <x v="99"/>
    <s v="rom_fact_wainriders"/>
    <n v="0"/>
    <x v="11"/>
    <n v="0"/>
    <n v="6395"/>
    <n v="1750"/>
    <n v="0"/>
    <m/>
    <x v="20"/>
  </r>
  <r>
    <x v="99"/>
    <s v="rom_fact_blacklock"/>
    <n v="1"/>
    <x v="7"/>
    <n v="20.6"/>
    <n v="7211"/>
    <n v="3745"/>
    <n v="0"/>
    <m/>
    <x v="21"/>
  </r>
  <r>
    <x v="99"/>
    <s v="rom_fact_ironfist"/>
    <n v="5"/>
    <x v="10"/>
    <n v="62"/>
    <n v="48570"/>
    <n v="12288"/>
    <n v="0"/>
    <m/>
    <x v="22"/>
  </r>
  <r>
    <x v="99"/>
    <s v="rom_fact_gundabad"/>
    <n v="245"/>
    <x v="8"/>
    <n v="38.5"/>
    <n v="11301"/>
    <n v="9786"/>
    <n v="0"/>
    <m/>
    <x v="23"/>
  </r>
  <r>
    <x v="99"/>
    <s v="rom_fact_rohan_scouts"/>
    <n v="0"/>
    <x v="11"/>
    <n v="3"/>
    <n v="116125"/>
    <n v="2354"/>
    <n v="0"/>
    <m/>
    <x v="24"/>
  </r>
  <r>
    <x v="99"/>
    <s v="rom_fact_northern_enedwaith"/>
    <n v="6"/>
    <x v="9"/>
    <n v="87"/>
    <n v="112944"/>
    <n v="19077"/>
    <n v="896"/>
    <m/>
    <x v="25"/>
  </r>
  <r>
    <x v="99"/>
    <s v="rom_fact_southern_enedwaith"/>
    <n v="0"/>
    <x v="11"/>
    <n v="0"/>
    <n v="54023"/>
    <n v="1750"/>
    <n v="0"/>
    <m/>
    <x v="26"/>
  </r>
  <r>
    <x v="99"/>
    <s v="rom_fact_druedain"/>
    <n v="0"/>
    <x v="11"/>
    <n v="0"/>
    <n v="32146"/>
    <n v="1750"/>
    <n v="0"/>
    <m/>
    <x v="27"/>
  </r>
  <r>
    <x v="99"/>
    <s v="rom_fact_harondor"/>
    <n v="0"/>
    <x v="11"/>
    <n v="0"/>
    <n v="15146"/>
    <n v="1750"/>
    <n v="0"/>
    <m/>
    <x v="28"/>
  </r>
  <r>
    <x v="99"/>
    <s v="rom_fact_southron_nomads"/>
    <n v="0"/>
    <x v="11"/>
    <n v="0"/>
    <n v="4000"/>
    <n v="1750"/>
    <n v="0"/>
    <m/>
    <x v="29"/>
  </r>
  <r>
    <x v="99"/>
    <s v="rom_fact_separatist_harad"/>
    <n v="0"/>
    <x v="11"/>
    <n v="0"/>
    <n v="4000"/>
    <n v="1750"/>
    <n v="0"/>
    <m/>
    <x v="30"/>
  </r>
  <r>
    <x v="99"/>
    <s v="rom_fact_separatist_khand"/>
    <n v="0"/>
    <x v="11"/>
    <n v="0"/>
    <n v="4000"/>
    <n v="1750"/>
    <n v="0"/>
    <m/>
    <x v="30"/>
  </r>
  <r>
    <x v="99"/>
    <s v="rom_fact_separatist_balchoth"/>
    <n v="0"/>
    <x v="11"/>
    <n v="0"/>
    <n v="4000"/>
    <n v="1750"/>
    <n v="0"/>
    <m/>
    <x v="30"/>
  </r>
  <r>
    <x v="99"/>
    <s v="rom_fact_separatist_feredrim"/>
    <n v="0"/>
    <x v="11"/>
    <n v="0"/>
    <n v="4000"/>
    <n v="1750"/>
    <n v="0"/>
    <m/>
    <x v="30"/>
  </r>
  <r>
    <x v="99"/>
    <s v="rom_fact_separatist_haerrim"/>
    <n v="0"/>
    <x v="11"/>
    <n v="0"/>
    <n v="4000"/>
    <n v="1750"/>
    <n v="0"/>
    <m/>
    <x v="30"/>
  </r>
  <r>
    <x v="99"/>
    <s v="rom_fact_separatist_wainriders"/>
    <n v="0"/>
    <x v="11"/>
    <n v="0"/>
    <n v="4000"/>
    <n v="1750"/>
    <n v="0"/>
    <m/>
    <x v="30"/>
  </r>
  <r>
    <x v="99"/>
    <s v="rom_fact_separatist_rhurim"/>
    <n v="0"/>
    <x v="11"/>
    <n v="0"/>
    <n v="4000"/>
    <n v="1750"/>
    <n v="0"/>
    <m/>
    <x v="30"/>
  </r>
  <r>
    <x v="99"/>
    <s v="rom_fact_separatist_mahuds"/>
    <n v="0"/>
    <x v="11"/>
    <n v="0"/>
    <n v="4000"/>
    <n v="1750"/>
    <n v="0"/>
    <m/>
    <x v="30"/>
  </r>
  <r>
    <x v="99"/>
    <s v="rom_fact_separatist_umbar"/>
    <n v="0"/>
    <x v="11"/>
    <n v="0"/>
    <n v="4000"/>
    <n v="1750"/>
    <n v="0"/>
    <m/>
    <x v="30"/>
  </r>
  <r>
    <x v="100"/>
    <s v="rom_fact_mordor"/>
    <n v="508"/>
    <x v="33"/>
    <n v="349.1"/>
    <n v="1922"/>
    <n v="47526"/>
    <n v="3426"/>
    <m/>
    <x v="0"/>
  </r>
  <r>
    <x v="100"/>
    <s v="rom_fact_gondor"/>
    <n v="146"/>
    <x v="11"/>
    <n v="0"/>
    <n v="55420"/>
    <n v="2500"/>
    <n v="0"/>
    <m/>
    <x v="1"/>
  </r>
  <r>
    <x v="100"/>
    <s v="rom_fact_dale"/>
    <n v="199"/>
    <x v="11"/>
    <n v="0"/>
    <n v="10343"/>
    <n v="2500"/>
    <n v="0"/>
    <m/>
    <x v="2"/>
  </r>
  <r>
    <x v="100"/>
    <s v="rom_fact_erebor"/>
    <n v="200"/>
    <x v="11"/>
    <n v="0"/>
    <n v="10040"/>
    <n v="2500"/>
    <n v="0"/>
    <m/>
    <x v="3"/>
  </r>
  <r>
    <x v="100"/>
    <s v="rom_fact_rohan"/>
    <n v="157"/>
    <x v="11"/>
    <n v="0"/>
    <n v="6638"/>
    <n v="2500"/>
    <n v="0"/>
    <m/>
    <x v="4"/>
  </r>
  <r>
    <x v="100"/>
    <s v="rom_fact_dol_guldur"/>
    <n v="395"/>
    <x v="25"/>
    <n v="306"/>
    <n v="45062"/>
    <n v="42904"/>
    <n v="3798"/>
    <m/>
    <x v="5"/>
  </r>
  <r>
    <x v="100"/>
    <s v="rom_fact_anduin_vale"/>
    <n v="58"/>
    <x v="11"/>
    <n v="0"/>
    <n v="4515"/>
    <n v="2500"/>
    <n v="0"/>
    <m/>
    <x v="6"/>
  </r>
  <r>
    <x v="100"/>
    <s v="rom_fact_isengard"/>
    <n v="272"/>
    <x v="12"/>
    <n v="205.8"/>
    <n v="105858"/>
    <n v="27385"/>
    <n v="1359"/>
    <m/>
    <x v="7"/>
  </r>
  <r>
    <x v="100"/>
    <s v="rom_fact_woodland_realm"/>
    <n v="30"/>
    <x v="11"/>
    <n v="0"/>
    <n v="8475"/>
    <n v="2500"/>
    <n v="0"/>
    <m/>
    <x v="8"/>
  </r>
  <r>
    <x v="100"/>
    <s v="rom_fact_lothlorien"/>
    <n v="64"/>
    <x v="11"/>
    <n v="0"/>
    <n v="4721"/>
    <n v="2500"/>
    <n v="0"/>
    <m/>
    <x v="9"/>
  </r>
  <r>
    <x v="100"/>
    <s v="rom_fact_khand"/>
    <n v="0"/>
    <x v="11"/>
    <n v="0"/>
    <n v="4919"/>
    <n v="1750"/>
    <n v="0"/>
    <m/>
    <x v="10"/>
  </r>
  <r>
    <x v="100"/>
    <s v="rom_fact_umbar"/>
    <n v="16"/>
    <x v="0"/>
    <n v="174.7"/>
    <n v="133198"/>
    <n v="40407"/>
    <n v="3453"/>
    <m/>
    <x v="11"/>
  </r>
  <r>
    <x v="100"/>
    <s v="rom_fact_mahuds"/>
    <n v="0"/>
    <x v="11"/>
    <n v="0"/>
    <n v="9228"/>
    <n v="1750"/>
    <n v="0"/>
    <m/>
    <x v="12"/>
  </r>
  <r>
    <x v="100"/>
    <s v="rom_fact_harad"/>
    <n v="182"/>
    <x v="2"/>
    <n v="211.6"/>
    <n v="21815"/>
    <n v="32905"/>
    <n v="1682"/>
    <m/>
    <x v="13"/>
  </r>
  <r>
    <x v="100"/>
    <s v="rom_fact_dunland"/>
    <n v="274"/>
    <x v="2"/>
    <n v="258"/>
    <n v="175791"/>
    <n v="43597"/>
    <n v="2830"/>
    <m/>
    <x v="14"/>
  </r>
  <r>
    <x v="100"/>
    <s v="rom_fact_haerrim"/>
    <n v="0"/>
    <x v="11"/>
    <n v="0"/>
    <n v="5352"/>
    <n v="1750"/>
    <n v="0"/>
    <m/>
    <x v="15"/>
  </r>
  <r>
    <x v="100"/>
    <s v="rom_fact_goblins"/>
    <n v="550"/>
    <x v="29"/>
    <n v="408.3"/>
    <n v="79376"/>
    <n v="57386"/>
    <n v="5916"/>
    <m/>
    <x v="16"/>
  </r>
  <r>
    <x v="100"/>
    <s v="rom_fact_balchoth"/>
    <n v="0"/>
    <x v="11"/>
    <n v="0"/>
    <n v="4872"/>
    <n v="1750"/>
    <n v="0"/>
    <m/>
    <x v="17"/>
  </r>
  <r>
    <x v="100"/>
    <s v="rom_fact_rhurim"/>
    <n v="437"/>
    <x v="33"/>
    <n v="411.9"/>
    <n v="53195"/>
    <n v="47957"/>
    <n v="2645"/>
    <m/>
    <x v="18"/>
  </r>
  <r>
    <x v="100"/>
    <s v="rom_fact_feredrim"/>
    <n v="0"/>
    <x v="11"/>
    <n v="0"/>
    <n v="7360"/>
    <n v="1750"/>
    <n v="0"/>
    <m/>
    <x v="19"/>
  </r>
  <r>
    <x v="100"/>
    <s v="rom_fact_wainriders"/>
    <n v="0"/>
    <x v="11"/>
    <n v="0"/>
    <n v="6395"/>
    <n v="1750"/>
    <n v="0"/>
    <m/>
    <x v="20"/>
  </r>
  <r>
    <x v="100"/>
    <s v="rom_fact_blacklock"/>
    <n v="1"/>
    <x v="7"/>
    <n v="20.6"/>
    <n v="7825"/>
    <n v="3745"/>
    <n v="0"/>
    <m/>
    <x v="21"/>
  </r>
  <r>
    <x v="100"/>
    <s v="rom_fact_ironfist"/>
    <n v="6"/>
    <x v="3"/>
    <n v="68"/>
    <n v="33023"/>
    <n v="13958"/>
    <n v="0"/>
    <m/>
    <x v="22"/>
  </r>
  <r>
    <x v="100"/>
    <s v="rom_fact_gundabad"/>
    <n v="244"/>
    <x v="9"/>
    <n v="37"/>
    <n v="11304"/>
    <n v="9049"/>
    <n v="0"/>
    <m/>
    <x v="23"/>
  </r>
  <r>
    <x v="100"/>
    <s v="rom_fact_rohan_scouts"/>
    <n v="0"/>
    <x v="11"/>
    <n v="3"/>
    <n v="117271"/>
    <n v="2354"/>
    <n v="0"/>
    <m/>
    <x v="24"/>
  </r>
  <r>
    <x v="100"/>
    <s v="rom_fact_northern_enedwaith"/>
    <n v="6"/>
    <x v="9"/>
    <n v="90"/>
    <n v="114544"/>
    <n v="19560"/>
    <n v="899"/>
    <m/>
    <x v="25"/>
  </r>
  <r>
    <x v="100"/>
    <s v="rom_fact_southern_enedwaith"/>
    <n v="0"/>
    <x v="11"/>
    <n v="0"/>
    <n v="54023"/>
    <n v="1750"/>
    <n v="0"/>
    <m/>
    <x v="26"/>
  </r>
  <r>
    <x v="100"/>
    <s v="rom_fact_druedain"/>
    <n v="0"/>
    <x v="11"/>
    <n v="0"/>
    <n v="32146"/>
    <n v="1750"/>
    <n v="0"/>
    <m/>
    <x v="27"/>
  </r>
  <r>
    <x v="100"/>
    <s v="rom_fact_harondor"/>
    <n v="0"/>
    <x v="11"/>
    <n v="0"/>
    <n v="15146"/>
    <n v="1750"/>
    <n v="0"/>
    <m/>
    <x v="28"/>
  </r>
  <r>
    <x v="100"/>
    <s v="rom_fact_southron_nomads"/>
    <n v="0"/>
    <x v="11"/>
    <n v="0"/>
    <n v="4000"/>
    <n v="1750"/>
    <n v="0"/>
    <m/>
    <x v="29"/>
  </r>
  <r>
    <x v="100"/>
    <s v="rom_fact_separatist_harad"/>
    <n v="0"/>
    <x v="11"/>
    <n v="0"/>
    <n v="4000"/>
    <n v="1750"/>
    <n v="0"/>
    <m/>
    <x v="30"/>
  </r>
  <r>
    <x v="100"/>
    <s v="rom_fact_separatist_khand"/>
    <n v="0"/>
    <x v="11"/>
    <n v="0"/>
    <n v="4000"/>
    <n v="1750"/>
    <n v="0"/>
    <m/>
    <x v="30"/>
  </r>
  <r>
    <x v="100"/>
    <s v="rom_fact_separatist_balchoth"/>
    <n v="0"/>
    <x v="11"/>
    <n v="0"/>
    <n v="4000"/>
    <n v="1750"/>
    <n v="0"/>
    <m/>
    <x v="30"/>
  </r>
  <r>
    <x v="100"/>
    <s v="rom_fact_separatist_feredrim"/>
    <n v="0"/>
    <x v="11"/>
    <n v="0"/>
    <n v="4000"/>
    <n v="1750"/>
    <n v="0"/>
    <m/>
    <x v="30"/>
  </r>
  <r>
    <x v="100"/>
    <s v="rom_fact_separatist_haerrim"/>
    <n v="0"/>
    <x v="11"/>
    <n v="0"/>
    <n v="4000"/>
    <n v="1750"/>
    <n v="0"/>
    <m/>
    <x v="30"/>
  </r>
  <r>
    <x v="100"/>
    <s v="rom_fact_separatist_wainriders"/>
    <n v="0"/>
    <x v="11"/>
    <n v="0"/>
    <n v="4000"/>
    <n v="1750"/>
    <n v="0"/>
    <m/>
    <x v="30"/>
  </r>
  <r>
    <x v="100"/>
    <s v="rom_fact_separatist_rhurim"/>
    <n v="0"/>
    <x v="11"/>
    <n v="0"/>
    <n v="4000"/>
    <n v="1750"/>
    <n v="0"/>
    <m/>
    <x v="30"/>
  </r>
  <r>
    <x v="100"/>
    <s v="rom_fact_separatist_mahuds"/>
    <n v="0"/>
    <x v="11"/>
    <n v="0"/>
    <n v="4000"/>
    <n v="1750"/>
    <n v="0"/>
    <m/>
    <x v="30"/>
  </r>
  <r>
    <x v="100"/>
    <s v="rom_fact_separatist_umbar"/>
    <n v="0"/>
    <x v="11"/>
    <n v="0"/>
    <n v="4000"/>
    <n v="1750"/>
    <n v="0"/>
    <m/>
    <x v="30"/>
  </r>
  <r>
    <x v="101"/>
    <s v="rom_fact_mordor"/>
    <n v="521"/>
    <x v="33"/>
    <n v="351.1"/>
    <n v="1908"/>
    <n v="47659"/>
    <n v="3445"/>
    <m/>
    <x v="0"/>
  </r>
  <r>
    <x v="101"/>
    <s v="rom_fact_gondor"/>
    <n v="146"/>
    <x v="11"/>
    <n v="0"/>
    <n v="55420"/>
    <n v="2500"/>
    <n v="0"/>
    <m/>
    <x v="1"/>
  </r>
  <r>
    <x v="101"/>
    <s v="rom_fact_dale"/>
    <n v="199"/>
    <x v="11"/>
    <n v="0"/>
    <n v="10343"/>
    <n v="2500"/>
    <n v="0"/>
    <m/>
    <x v="2"/>
  </r>
  <r>
    <x v="101"/>
    <s v="rom_fact_erebor"/>
    <n v="200"/>
    <x v="11"/>
    <n v="0"/>
    <n v="10040"/>
    <n v="2500"/>
    <n v="0"/>
    <m/>
    <x v="3"/>
  </r>
  <r>
    <x v="101"/>
    <s v="rom_fact_rohan"/>
    <n v="157"/>
    <x v="11"/>
    <n v="0"/>
    <n v="6638"/>
    <n v="2500"/>
    <n v="0"/>
    <m/>
    <x v="4"/>
  </r>
  <r>
    <x v="101"/>
    <s v="rom_fact_dol_guldur"/>
    <n v="412"/>
    <x v="25"/>
    <n v="311.5"/>
    <n v="51142"/>
    <n v="43665"/>
    <n v="3801"/>
    <m/>
    <x v="5"/>
  </r>
  <r>
    <x v="101"/>
    <s v="rom_fact_anduin_vale"/>
    <n v="58"/>
    <x v="11"/>
    <n v="0"/>
    <n v="4515"/>
    <n v="2500"/>
    <n v="0"/>
    <m/>
    <x v="6"/>
  </r>
  <r>
    <x v="101"/>
    <s v="rom_fact_isengard"/>
    <n v="272"/>
    <x v="12"/>
    <n v="207.1"/>
    <n v="109131"/>
    <n v="27861"/>
    <n v="1366"/>
    <m/>
    <x v="7"/>
  </r>
  <r>
    <x v="101"/>
    <s v="rom_fact_woodland_realm"/>
    <n v="30"/>
    <x v="11"/>
    <n v="0"/>
    <n v="8475"/>
    <n v="2500"/>
    <n v="0"/>
    <m/>
    <x v="8"/>
  </r>
  <r>
    <x v="101"/>
    <s v="rom_fact_lothlorien"/>
    <n v="64"/>
    <x v="11"/>
    <n v="0"/>
    <n v="4721"/>
    <n v="2500"/>
    <n v="0"/>
    <m/>
    <x v="9"/>
  </r>
  <r>
    <x v="101"/>
    <s v="rom_fact_khand"/>
    <n v="0"/>
    <x v="11"/>
    <n v="0"/>
    <n v="4919"/>
    <n v="1750"/>
    <n v="0"/>
    <m/>
    <x v="10"/>
  </r>
  <r>
    <x v="101"/>
    <s v="rom_fact_umbar"/>
    <n v="17"/>
    <x v="2"/>
    <n v="175.7"/>
    <n v="140027"/>
    <n v="41224"/>
    <n v="3481"/>
    <m/>
    <x v="11"/>
  </r>
  <r>
    <x v="101"/>
    <s v="rom_fact_mahuds"/>
    <n v="0"/>
    <x v="11"/>
    <n v="0"/>
    <n v="9228"/>
    <n v="1750"/>
    <n v="0"/>
    <m/>
    <x v="12"/>
  </r>
  <r>
    <x v="101"/>
    <s v="rom_fact_harad"/>
    <n v="188"/>
    <x v="16"/>
    <n v="217.8"/>
    <n v="23229"/>
    <n v="33167"/>
    <n v="1697"/>
    <m/>
    <x v="13"/>
  </r>
  <r>
    <x v="101"/>
    <s v="rom_fact_dunland"/>
    <n v="274"/>
    <x v="2"/>
    <n v="258"/>
    <n v="177620"/>
    <n v="43863"/>
    <n v="2843"/>
    <m/>
    <x v="14"/>
  </r>
  <r>
    <x v="101"/>
    <s v="rom_fact_haerrim"/>
    <n v="0"/>
    <x v="11"/>
    <n v="0"/>
    <n v="5352"/>
    <n v="1750"/>
    <n v="0"/>
    <m/>
    <x v="15"/>
  </r>
  <r>
    <x v="101"/>
    <s v="rom_fact_goblins"/>
    <n v="563"/>
    <x v="29"/>
    <n v="409.3"/>
    <n v="95610"/>
    <n v="57932"/>
    <n v="6081"/>
    <m/>
    <x v="16"/>
  </r>
  <r>
    <x v="101"/>
    <s v="rom_fact_balchoth"/>
    <n v="0"/>
    <x v="11"/>
    <n v="0"/>
    <n v="4872"/>
    <n v="1750"/>
    <n v="0"/>
    <m/>
    <x v="17"/>
  </r>
  <r>
    <x v="101"/>
    <s v="rom_fact_rhurim"/>
    <n v="448"/>
    <x v="31"/>
    <n v="408.9"/>
    <n v="52296"/>
    <n v="48047"/>
    <n v="2590"/>
    <m/>
    <x v="18"/>
  </r>
  <r>
    <x v="101"/>
    <s v="rom_fact_feredrim"/>
    <n v="0"/>
    <x v="11"/>
    <n v="0"/>
    <n v="7360"/>
    <n v="1750"/>
    <n v="0"/>
    <m/>
    <x v="19"/>
  </r>
  <r>
    <x v="101"/>
    <s v="rom_fact_wainriders"/>
    <n v="0"/>
    <x v="11"/>
    <n v="0"/>
    <n v="6395"/>
    <n v="1750"/>
    <n v="0"/>
    <m/>
    <x v="20"/>
  </r>
  <r>
    <x v="101"/>
    <s v="rom_fact_blacklock"/>
    <n v="1"/>
    <x v="7"/>
    <n v="20.6"/>
    <n v="8442"/>
    <n v="3885"/>
    <n v="0"/>
    <m/>
    <x v="21"/>
  </r>
  <r>
    <x v="101"/>
    <s v="rom_fact_ironfist"/>
    <n v="6"/>
    <x v="3"/>
    <n v="45"/>
    <n v="35395"/>
    <n v="12817"/>
    <n v="0"/>
    <m/>
    <x v="22"/>
  </r>
  <r>
    <x v="101"/>
    <s v="rom_fact_gundabad"/>
    <n v="248"/>
    <x v="3"/>
    <n v="29.1"/>
    <n v="9240"/>
    <n v="6668"/>
    <n v="0"/>
    <m/>
    <x v="23"/>
  </r>
  <r>
    <x v="101"/>
    <s v="rom_fact_rohan_scouts"/>
    <n v="0"/>
    <x v="11"/>
    <n v="3"/>
    <n v="118417"/>
    <n v="2354"/>
    <n v="0"/>
    <m/>
    <x v="24"/>
  </r>
  <r>
    <x v="101"/>
    <s v="rom_fact_northern_enedwaith"/>
    <n v="6"/>
    <x v="9"/>
    <n v="90"/>
    <n v="117728"/>
    <n v="19524"/>
    <n v="902"/>
    <m/>
    <x v="25"/>
  </r>
  <r>
    <x v="101"/>
    <s v="rom_fact_southern_enedwaith"/>
    <n v="0"/>
    <x v="11"/>
    <n v="0"/>
    <n v="54023"/>
    <n v="1750"/>
    <n v="0"/>
    <m/>
    <x v="26"/>
  </r>
  <r>
    <x v="101"/>
    <s v="rom_fact_druedain"/>
    <n v="0"/>
    <x v="11"/>
    <n v="0"/>
    <n v="32146"/>
    <n v="1750"/>
    <n v="0"/>
    <m/>
    <x v="27"/>
  </r>
  <r>
    <x v="101"/>
    <s v="rom_fact_harondor"/>
    <n v="0"/>
    <x v="11"/>
    <n v="0"/>
    <n v="15146"/>
    <n v="1750"/>
    <n v="0"/>
    <m/>
    <x v="28"/>
  </r>
  <r>
    <x v="101"/>
    <s v="rom_fact_southron_nomads"/>
    <n v="0"/>
    <x v="11"/>
    <n v="0"/>
    <n v="4000"/>
    <n v="1750"/>
    <n v="0"/>
    <m/>
    <x v="29"/>
  </r>
  <r>
    <x v="101"/>
    <s v="rom_fact_separatist_harad"/>
    <n v="0"/>
    <x v="11"/>
    <n v="0"/>
    <n v="4000"/>
    <n v="1750"/>
    <n v="0"/>
    <m/>
    <x v="30"/>
  </r>
  <r>
    <x v="101"/>
    <s v="rom_fact_separatist_khand"/>
    <n v="0"/>
    <x v="11"/>
    <n v="0"/>
    <n v="4000"/>
    <n v="1750"/>
    <n v="0"/>
    <m/>
    <x v="30"/>
  </r>
  <r>
    <x v="101"/>
    <s v="rom_fact_separatist_balchoth"/>
    <n v="0"/>
    <x v="11"/>
    <n v="0"/>
    <n v="4000"/>
    <n v="1750"/>
    <n v="0"/>
    <m/>
    <x v="30"/>
  </r>
  <r>
    <x v="101"/>
    <s v="rom_fact_separatist_feredrim"/>
    <n v="0"/>
    <x v="11"/>
    <n v="0"/>
    <n v="4000"/>
    <n v="1750"/>
    <n v="0"/>
    <m/>
    <x v="30"/>
  </r>
  <r>
    <x v="101"/>
    <s v="rom_fact_separatist_haerrim"/>
    <n v="0"/>
    <x v="11"/>
    <n v="0"/>
    <n v="4000"/>
    <n v="1750"/>
    <n v="0"/>
    <m/>
    <x v="30"/>
  </r>
  <r>
    <x v="101"/>
    <s v="rom_fact_separatist_wainriders"/>
    <n v="0"/>
    <x v="11"/>
    <n v="0"/>
    <n v="4000"/>
    <n v="1750"/>
    <n v="0"/>
    <m/>
    <x v="30"/>
  </r>
  <r>
    <x v="101"/>
    <s v="rom_fact_separatist_rhurim"/>
    <n v="0"/>
    <x v="11"/>
    <n v="0"/>
    <n v="4000"/>
    <n v="1750"/>
    <n v="0"/>
    <m/>
    <x v="30"/>
  </r>
  <r>
    <x v="101"/>
    <s v="rom_fact_separatist_mahuds"/>
    <n v="0"/>
    <x v="11"/>
    <n v="0"/>
    <n v="4000"/>
    <n v="1750"/>
    <n v="0"/>
    <m/>
    <x v="30"/>
  </r>
  <r>
    <x v="101"/>
    <s v="rom_fact_separatist_umbar"/>
    <n v="0"/>
    <x v="11"/>
    <n v="0"/>
    <n v="4000"/>
    <n v="1750"/>
    <n v="0"/>
    <m/>
    <x v="30"/>
  </r>
  <r>
    <x v="102"/>
    <s v="rom_fact_mordor"/>
    <n v="521"/>
    <x v="33"/>
    <n v="351.1"/>
    <n v="1816"/>
    <n v="48311"/>
    <n v="3455"/>
    <m/>
    <x v="0"/>
  </r>
  <r>
    <x v="102"/>
    <s v="rom_fact_gondor"/>
    <n v="146"/>
    <x v="11"/>
    <n v="0"/>
    <n v="55420"/>
    <n v="2500"/>
    <n v="0"/>
    <m/>
    <x v="1"/>
  </r>
  <r>
    <x v="102"/>
    <s v="rom_fact_dale"/>
    <n v="199"/>
    <x v="11"/>
    <n v="0"/>
    <n v="10343"/>
    <n v="2500"/>
    <n v="0"/>
    <m/>
    <x v="2"/>
  </r>
  <r>
    <x v="102"/>
    <s v="rom_fact_erebor"/>
    <n v="200"/>
    <x v="11"/>
    <n v="0"/>
    <n v="10040"/>
    <n v="2500"/>
    <n v="0"/>
    <m/>
    <x v="3"/>
  </r>
  <r>
    <x v="102"/>
    <s v="rom_fact_rohan"/>
    <n v="157"/>
    <x v="11"/>
    <n v="0"/>
    <n v="6638"/>
    <n v="2500"/>
    <n v="0"/>
    <m/>
    <x v="4"/>
  </r>
  <r>
    <x v="102"/>
    <s v="rom_fact_dol_guldur"/>
    <n v="412"/>
    <x v="25"/>
    <n v="311.5"/>
    <n v="54630"/>
    <n v="43293"/>
    <n v="3798"/>
    <m/>
    <x v="5"/>
  </r>
  <r>
    <x v="102"/>
    <s v="rom_fact_anduin_vale"/>
    <n v="58"/>
    <x v="11"/>
    <n v="0"/>
    <n v="4515"/>
    <n v="2500"/>
    <n v="0"/>
    <m/>
    <x v="6"/>
  </r>
  <r>
    <x v="102"/>
    <s v="rom_fact_isengard"/>
    <n v="277"/>
    <x v="12"/>
    <n v="207.1"/>
    <n v="88573"/>
    <n v="27840"/>
    <n v="1364"/>
    <m/>
    <x v="7"/>
  </r>
  <r>
    <x v="102"/>
    <s v="rom_fact_woodland_realm"/>
    <n v="30"/>
    <x v="11"/>
    <n v="0"/>
    <n v="8475"/>
    <n v="2500"/>
    <n v="0"/>
    <m/>
    <x v="8"/>
  </r>
  <r>
    <x v="102"/>
    <s v="rom_fact_lothlorien"/>
    <n v="64"/>
    <x v="11"/>
    <n v="0"/>
    <n v="4721"/>
    <n v="2500"/>
    <n v="0"/>
    <m/>
    <x v="9"/>
  </r>
  <r>
    <x v="102"/>
    <s v="rom_fact_khand"/>
    <n v="0"/>
    <x v="11"/>
    <n v="0"/>
    <n v="4919"/>
    <n v="1750"/>
    <n v="0"/>
    <m/>
    <x v="10"/>
  </r>
  <r>
    <x v="102"/>
    <s v="rom_fact_umbar"/>
    <n v="17"/>
    <x v="2"/>
    <n v="175.7"/>
    <n v="129729"/>
    <n v="42975"/>
    <n v="3506"/>
    <m/>
    <x v="11"/>
  </r>
  <r>
    <x v="102"/>
    <s v="rom_fact_mahuds"/>
    <n v="0"/>
    <x v="11"/>
    <n v="0"/>
    <n v="9228"/>
    <n v="1750"/>
    <n v="0"/>
    <m/>
    <x v="12"/>
  </r>
  <r>
    <x v="102"/>
    <s v="rom_fact_harad"/>
    <n v="188"/>
    <x v="16"/>
    <n v="222"/>
    <n v="23904"/>
    <n v="34528"/>
    <n v="1755"/>
    <m/>
    <x v="13"/>
  </r>
  <r>
    <x v="102"/>
    <s v="rom_fact_dunland"/>
    <n v="279"/>
    <x v="2"/>
    <n v="258"/>
    <n v="167376"/>
    <n v="44434"/>
    <n v="2859"/>
    <m/>
    <x v="14"/>
  </r>
  <r>
    <x v="102"/>
    <s v="rom_fact_haerrim"/>
    <n v="0"/>
    <x v="11"/>
    <n v="0"/>
    <n v="5352"/>
    <n v="1750"/>
    <n v="0"/>
    <m/>
    <x v="15"/>
  </r>
  <r>
    <x v="102"/>
    <s v="rom_fact_goblins"/>
    <n v="563"/>
    <x v="29"/>
    <n v="409.3"/>
    <n v="114908"/>
    <n v="58262"/>
    <n v="6079"/>
    <m/>
    <x v="16"/>
  </r>
  <r>
    <x v="102"/>
    <s v="rom_fact_balchoth"/>
    <n v="0"/>
    <x v="11"/>
    <n v="0"/>
    <n v="4872"/>
    <n v="1750"/>
    <n v="0"/>
    <m/>
    <x v="17"/>
  </r>
  <r>
    <x v="102"/>
    <s v="rom_fact_rhurim"/>
    <n v="448"/>
    <x v="31"/>
    <n v="413.1"/>
    <n v="54980"/>
    <n v="48521"/>
    <n v="2591"/>
    <m/>
    <x v="18"/>
  </r>
  <r>
    <x v="102"/>
    <s v="rom_fact_feredrim"/>
    <n v="0"/>
    <x v="11"/>
    <n v="0"/>
    <n v="7360"/>
    <n v="1750"/>
    <n v="0"/>
    <m/>
    <x v="19"/>
  </r>
  <r>
    <x v="102"/>
    <s v="rom_fact_wainriders"/>
    <n v="0"/>
    <x v="11"/>
    <n v="0"/>
    <n v="6395"/>
    <n v="1750"/>
    <n v="0"/>
    <m/>
    <x v="20"/>
  </r>
  <r>
    <x v="102"/>
    <s v="rom_fact_blacklock"/>
    <n v="1"/>
    <x v="7"/>
    <n v="20.6"/>
    <n v="8922"/>
    <n v="3952"/>
    <n v="0"/>
    <m/>
    <x v="21"/>
  </r>
  <r>
    <x v="102"/>
    <s v="rom_fact_ironfist"/>
    <n v="6"/>
    <x v="3"/>
    <n v="47"/>
    <n v="33451"/>
    <n v="10900"/>
    <n v="0"/>
    <m/>
    <x v="22"/>
  </r>
  <r>
    <x v="102"/>
    <s v="rom_fact_gundabad"/>
    <n v="248"/>
    <x v="3"/>
    <n v="35.9"/>
    <n v="7720"/>
    <n v="6959"/>
    <n v="0"/>
    <m/>
    <x v="23"/>
  </r>
  <r>
    <x v="102"/>
    <s v="rom_fact_rohan_scouts"/>
    <n v="0"/>
    <x v="11"/>
    <n v="3"/>
    <n v="119563"/>
    <n v="2354"/>
    <n v="0"/>
    <m/>
    <x v="24"/>
  </r>
  <r>
    <x v="102"/>
    <s v="rom_fact_northern_enedwaith"/>
    <n v="6"/>
    <x v="9"/>
    <n v="90"/>
    <n v="119971"/>
    <n v="19640"/>
    <n v="907"/>
    <m/>
    <x v="25"/>
  </r>
  <r>
    <x v="102"/>
    <s v="rom_fact_southern_enedwaith"/>
    <n v="0"/>
    <x v="11"/>
    <n v="0"/>
    <n v="54023"/>
    <n v="1750"/>
    <n v="0"/>
    <m/>
    <x v="26"/>
  </r>
  <r>
    <x v="102"/>
    <s v="rom_fact_druedain"/>
    <n v="0"/>
    <x v="11"/>
    <n v="0"/>
    <n v="32146"/>
    <n v="1750"/>
    <n v="0"/>
    <m/>
    <x v="27"/>
  </r>
  <r>
    <x v="102"/>
    <s v="rom_fact_harondor"/>
    <n v="0"/>
    <x v="11"/>
    <n v="0"/>
    <n v="15146"/>
    <n v="1750"/>
    <n v="0"/>
    <m/>
    <x v="28"/>
  </r>
  <r>
    <x v="102"/>
    <s v="rom_fact_southron_nomads"/>
    <n v="0"/>
    <x v="11"/>
    <n v="0"/>
    <n v="4000"/>
    <n v="1750"/>
    <n v="0"/>
    <m/>
    <x v="29"/>
  </r>
  <r>
    <x v="102"/>
    <s v="rom_fact_separatist_harad"/>
    <n v="0"/>
    <x v="11"/>
    <n v="0"/>
    <n v="4000"/>
    <n v="1750"/>
    <n v="0"/>
    <m/>
    <x v="30"/>
  </r>
  <r>
    <x v="102"/>
    <s v="rom_fact_separatist_khand"/>
    <n v="0"/>
    <x v="11"/>
    <n v="0"/>
    <n v="4000"/>
    <n v="1750"/>
    <n v="0"/>
    <m/>
    <x v="30"/>
  </r>
  <r>
    <x v="102"/>
    <s v="rom_fact_separatist_balchoth"/>
    <n v="0"/>
    <x v="11"/>
    <n v="0"/>
    <n v="4000"/>
    <n v="1750"/>
    <n v="0"/>
    <m/>
    <x v="30"/>
  </r>
  <r>
    <x v="102"/>
    <s v="rom_fact_separatist_feredrim"/>
    <n v="0"/>
    <x v="11"/>
    <n v="0"/>
    <n v="4000"/>
    <n v="1750"/>
    <n v="0"/>
    <m/>
    <x v="30"/>
  </r>
  <r>
    <x v="102"/>
    <s v="rom_fact_separatist_haerrim"/>
    <n v="0"/>
    <x v="11"/>
    <n v="0"/>
    <n v="4000"/>
    <n v="1750"/>
    <n v="0"/>
    <m/>
    <x v="30"/>
  </r>
  <r>
    <x v="102"/>
    <s v="rom_fact_separatist_wainriders"/>
    <n v="0"/>
    <x v="11"/>
    <n v="0"/>
    <n v="4000"/>
    <n v="1750"/>
    <n v="0"/>
    <m/>
    <x v="30"/>
  </r>
  <r>
    <x v="102"/>
    <s v="rom_fact_separatist_rhurim"/>
    <n v="0"/>
    <x v="11"/>
    <n v="0"/>
    <n v="4000"/>
    <n v="1750"/>
    <n v="0"/>
    <m/>
    <x v="30"/>
  </r>
  <r>
    <x v="102"/>
    <s v="rom_fact_separatist_mahuds"/>
    <n v="0"/>
    <x v="11"/>
    <n v="0"/>
    <n v="4000"/>
    <n v="1750"/>
    <n v="0"/>
    <m/>
    <x v="30"/>
  </r>
  <r>
    <x v="102"/>
    <s v="rom_fact_separatist_umbar"/>
    <n v="0"/>
    <x v="11"/>
    <n v="0"/>
    <n v="4000"/>
    <n v="1750"/>
    <n v="0"/>
    <m/>
    <x v="30"/>
  </r>
  <r>
    <x v="103"/>
    <s v="rom_fact_mordor"/>
    <n v="526"/>
    <x v="33"/>
    <n v="351.1"/>
    <n v="13281"/>
    <n v="48462"/>
    <n v="3468"/>
    <m/>
    <x v="0"/>
  </r>
  <r>
    <x v="103"/>
    <s v="rom_fact_gondor"/>
    <n v="146"/>
    <x v="11"/>
    <n v="0"/>
    <n v="55420"/>
    <n v="2500"/>
    <n v="0"/>
    <m/>
    <x v="1"/>
  </r>
  <r>
    <x v="103"/>
    <s v="rom_fact_dale"/>
    <n v="199"/>
    <x v="11"/>
    <n v="0"/>
    <n v="10343"/>
    <n v="2500"/>
    <n v="0"/>
    <m/>
    <x v="2"/>
  </r>
  <r>
    <x v="103"/>
    <s v="rom_fact_erebor"/>
    <n v="200"/>
    <x v="11"/>
    <n v="0"/>
    <n v="10040"/>
    <n v="2500"/>
    <n v="0"/>
    <m/>
    <x v="3"/>
  </r>
  <r>
    <x v="103"/>
    <s v="rom_fact_rohan"/>
    <n v="157"/>
    <x v="11"/>
    <n v="0"/>
    <n v="6638"/>
    <n v="2500"/>
    <n v="0"/>
    <m/>
    <x v="4"/>
  </r>
  <r>
    <x v="103"/>
    <s v="rom_fact_dol_guldur"/>
    <n v="412"/>
    <x v="25"/>
    <n v="312.2"/>
    <n v="61788"/>
    <n v="43472"/>
    <n v="3794"/>
    <m/>
    <x v="5"/>
  </r>
  <r>
    <x v="103"/>
    <s v="rom_fact_anduin_vale"/>
    <n v="58"/>
    <x v="11"/>
    <n v="0"/>
    <n v="4515"/>
    <n v="2500"/>
    <n v="0"/>
    <m/>
    <x v="6"/>
  </r>
  <r>
    <x v="103"/>
    <s v="rom_fact_isengard"/>
    <n v="277"/>
    <x v="12"/>
    <n v="209.7"/>
    <n v="94567"/>
    <n v="28068"/>
    <n v="1359"/>
    <m/>
    <x v="7"/>
  </r>
  <r>
    <x v="103"/>
    <s v="rom_fact_woodland_realm"/>
    <n v="30"/>
    <x v="11"/>
    <n v="0"/>
    <n v="8475"/>
    <n v="2500"/>
    <n v="0"/>
    <m/>
    <x v="8"/>
  </r>
  <r>
    <x v="103"/>
    <s v="rom_fact_lothlorien"/>
    <n v="64"/>
    <x v="11"/>
    <n v="0"/>
    <n v="4721"/>
    <n v="2500"/>
    <n v="0"/>
    <m/>
    <x v="9"/>
  </r>
  <r>
    <x v="103"/>
    <s v="rom_fact_khand"/>
    <n v="0"/>
    <x v="11"/>
    <n v="0"/>
    <n v="4919"/>
    <n v="1750"/>
    <n v="0"/>
    <m/>
    <x v="10"/>
  </r>
  <r>
    <x v="103"/>
    <s v="rom_fact_umbar"/>
    <n v="17"/>
    <x v="2"/>
    <n v="183.7"/>
    <n v="114085"/>
    <n v="43472"/>
    <n v="3522"/>
    <m/>
    <x v="11"/>
  </r>
  <r>
    <x v="103"/>
    <s v="rom_fact_mahuds"/>
    <n v="0"/>
    <x v="11"/>
    <n v="0"/>
    <n v="9228"/>
    <n v="1750"/>
    <n v="0"/>
    <m/>
    <x v="12"/>
  </r>
  <r>
    <x v="103"/>
    <s v="rom_fact_harad"/>
    <n v="196"/>
    <x v="16"/>
    <n v="230.3"/>
    <n v="28259"/>
    <n v="35211"/>
    <n v="1762"/>
    <m/>
    <x v="13"/>
  </r>
  <r>
    <x v="103"/>
    <s v="rom_fact_dunland"/>
    <n v="279"/>
    <x v="2"/>
    <n v="258"/>
    <n v="177249"/>
    <n v="44443"/>
    <n v="2858"/>
    <m/>
    <x v="14"/>
  </r>
  <r>
    <x v="103"/>
    <s v="rom_fact_haerrim"/>
    <n v="0"/>
    <x v="11"/>
    <n v="0"/>
    <n v="5352"/>
    <n v="1750"/>
    <n v="0"/>
    <m/>
    <x v="15"/>
  </r>
  <r>
    <x v="103"/>
    <s v="rom_fact_goblins"/>
    <n v="571"/>
    <x v="29"/>
    <n v="411.3"/>
    <n v="129232"/>
    <n v="55069"/>
    <n v="6056"/>
    <m/>
    <x v="16"/>
  </r>
  <r>
    <x v="103"/>
    <s v="rom_fact_balchoth"/>
    <n v="0"/>
    <x v="11"/>
    <n v="0"/>
    <n v="4872"/>
    <n v="1750"/>
    <n v="0"/>
    <m/>
    <x v="17"/>
  </r>
  <r>
    <x v="103"/>
    <s v="rom_fact_rhurim"/>
    <n v="460"/>
    <x v="32"/>
    <n v="401.9"/>
    <n v="55160"/>
    <n v="47357"/>
    <n v="2541"/>
    <m/>
    <x v="18"/>
  </r>
  <r>
    <x v="103"/>
    <s v="rom_fact_feredrim"/>
    <n v="0"/>
    <x v="11"/>
    <n v="0"/>
    <n v="7360"/>
    <n v="1750"/>
    <n v="0"/>
    <m/>
    <x v="19"/>
  </r>
  <r>
    <x v="103"/>
    <s v="rom_fact_wainriders"/>
    <n v="0"/>
    <x v="11"/>
    <n v="0"/>
    <n v="6395"/>
    <n v="1750"/>
    <n v="0"/>
    <m/>
    <x v="20"/>
  </r>
  <r>
    <x v="103"/>
    <s v="rom_fact_blacklock"/>
    <n v="1"/>
    <x v="7"/>
    <n v="21.7"/>
    <n v="9327"/>
    <n v="4041"/>
    <n v="0"/>
    <m/>
    <x v="21"/>
  </r>
  <r>
    <x v="103"/>
    <s v="rom_fact_ironfist"/>
    <n v="7"/>
    <x v="9"/>
    <n v="48"/>
    <n v="25653"/>
    <n v="13151"/>
    <n v="0"/>
    <m/>
    <x v="22"/>
  </r>
  <r>
    <x v="103"/>
    <s v="rom_fact_gundabad"/>
    <n v="248"/>
    <x v="3"/>
    <n v="14.7"/>
    <n v="8091"/>
    <n v="4980"/>
    <n v="0"/>
    <m/>
    <x v="23"/>
  </r>
  <r>
    <x v="103"/>
    <s v="rom_fact_rohan_scouts"/>
    <n v="0"/>
    <x v="11"/>
    <n v="3"/>
    <n v="120709"/>
    <n v="2354"/>
    <n v="0"/>
    <m/>
    <x v="24"/>
  </r>
  <r>
    <x v="103"/>
    <s v="rom_fact_northern_enedwaith"/>
    <n v="6"/>
    <x v="9"/>
    <n v="93"/>
    <n v="119507"/>
    <n v="19935"/>
    <n v="909"/>
    <m/>
    <x v="25"/>
  </r>
  <r>
    <x v="103"/>
    <s v="rom_fact_southern_enedwaith"/>
    <n v="0"/>
    <x v="11"/>
    <n v="0"/>
    <n v="54023"/>
    <n v="1750"/>
    <n v="0"/>
    <m/>
    <x v="26"/>
  </r>
  <r>
    <x v="103"/>
    <s v="rom_fact_druedain"/>
    <n v="0"/>
    <x v="11"/>
    <n v="0"/>
    <n v="32146"/>
    <n v="1750"/>
    <n v="0"/>
    <m/>
    <x v="27"/>
  </r>
  <r>
    <x v="103"/>
    <s v="rom_fact_harondor"/>
    <n v="0"/>
    <x v="11"/>
    <n v="0"/>
    <n v="15146"/>
    <n v="1750"/>
    <n v="0"/>
    <m/>
    <x v="28"/>
  </r>
  <r>
    <x v="103"/>
    <s v="rom_fact_southron_nomads"/>
    <n v="0"/>
    <x v="11"/>
    <n v="0"/>
    <n v="4000"/>
    <n v="1750"/>
    <n v="0"/>
    <m/>
    <x v="29"/>
  </r>
  <r>
    <x v="103"/>
    <s v="rom_fact_separatist_harad"/>
    <n v="0"/>
    <x v="11"/>
    <n v="0"/>
    <n v="4000"/>
    <n v="1750"/>
    <n v="0"/>
    <m/>
    <x v="30"/>
  </r>
  <r>
    <x v="103"/>
    <s v="rom_fact_separatist_khand"/>
    <n v="0"/>
    <x v="11"/>
    <n v="0"/>
    <n v="4000"/>
    <n v="1750"/>
    <n v="0"/>
    <m/>
    <x v="30"/>
  </r>
  <r>
    <x v="103"/>
    <s v="rom_fact_separatist_balchoth"/>
    <n v="0"/>
    <x v="11"/>
    <n v="0"/>
    <n v="4000"/>
    <n v="1750"/>
    <n v="0"/>
    <m/>
    <x v="30"/>
  </r>
  <r>
    <x v="103"/>
    <s v="rom_fact_separatist_feredrim"/>
    <n v="0"/>
    <x v="11"/>
    <n v="0"/>
    <n v="4000"/>
    <n v="1750"/>
    <n v="0"/>
    <m/>
    <x v="30"/>
  </r>
  <r>
    <x v="103"/>
    <s v="rom_fact_separatist_haerrim"/>
    <n v="0"/>
    <x v="11"/>
    <n v="0"/>
    <n v="4000"/>
    <n v="1750"/>
    <n v="0"/>
    <m/>
    <x v="30"/>
  </r>
  <r>
    <x v="103"/>
    <s v="rom_fact_separatist_wainriders"/>
    <n v="0"/>
    <x v="11"/>
    <n v="0"/>
    <n v="4000"/>
    <n v="1750"/>
    <n v="0"/>
    <m/>
    <x v="30"/>
  </r>
  <r>
    <x v="103"/>
    <s v="rom_fact_separatist_rhurim"/>
    <n v="0"/>
    <x v="11"/>
    <n v="0"/>
    <n v="4000"/>
    <n v="1750"/>
    <n v="0"/>
    <m/>
    <x v="30"/>
  </r>
  <r>
    <x v="103"/>
    <s v="rom_fact_separatist_mahuds"/>
    <n v="0"/>
    <x v="11"/>
    <n v="0"/>
    <n v="4000"/>
    <n v="1750"/>
    <n v="0"/>
    <m/>
    <x v="30"/>
  </r>
  <r>
    <x v="103"/>
    <s v="rom_fact_separatist_umbar"/>
    <n v="0"/>
    <x v="11"/>
    <n v="0"/>
    <n v="4000"/>
    <n v="1750"/>
    <n v="0"/>
    <m/>
    <x v="30"/>
  </r>
  <r>
    <x v="104"/>
    <s v="rom_fact_mordor"/>
    <n v="528"/>
    <x v="24"/>
    <n v="359.1"/>
    <n v="11271"/>
    <n v="48626"/>
    <n v="3496"/>
    <m/>
    <x v="0"/>
  </r>
  <r>
    <x v="104"/>
    <s v="rom_fact_gondor"/>
    <n v="146"/>
    <x v="11"/>
    <n v="0"/>
    <n v="55420"/>
    <n v="2500"/>
    <n v="0"/>
    <m/>
    <x v="1"/>
  </r>
  <r>
    <x v="104"/>
    <s v="rom_fact_dale"/>
    <n v="199"/>
    <x v="11"/>
    <n v="0"/>
    <n v="10343"/>
    <n v="2500"/>
    <n v="0"/>
    <m/>
    <x v="2"/>
  </r>
  <r>
    <x v="104"/>
    <s v="rom_fact_erebor"/>
    <n v="200"/>
    <x v="11"/>
    <n v="0"/>
    <n v="10040"/>
    <n v="2500"/>
    <n v="0"/>
    <m/>
    <x v="3"/>
  </r>
  <r>
    <x v="104"/>
    <s v="rom_fact_rohan"/>
    <n v="157"/>
    <x v="11"/>
    <n v="0"/>
    <n v="6638"/>
    <n v="2500"/>
    <n v="0"/>
    <m/>
    <x v="4"/>
  </r>
  <r>
    <x v="104"/>
    <s v="rom_fact_dol_guldur"/>
    <n v="441"/>
    <x v="27"/>
    <n v="319.8"/>
    <n v="74117"/>
    <n v="44018"/>
    <n v="3799"/>
    <m/>
    <x v="5"/>
  </r>
  <r>
    <x v="104"/>
    <s v="rom_fact_anduin_vale"/>
    <n v="58"/>
    <x v="11"/>
    <n v="0"/>
    <n v="4515"/>
    <n v="2500"/>
    <n v="0"/>
    <m/>
    <x v="6"/>
  </r>
  <r>
    <x v="104"/>
    <s v="rom_fact_isengard"/>
    <n v="277"/>
    <x v="12"/>
    <n v="210.7"/>
    <n v="95624"/>
    <n v="28548"/>
    <n v="1230"/>
    <m/>
    <x v="7"/>
  </r>
  <r>
    <x v="104"/>
    <s v="rom_fact_woodland_realm"/>
    <n v="30"/>
    <x v="11"/>
    <n v="0"/>
    <n v="8475"/>
    <n v="2500"/>
    <n v="0"/>
    <m/>
    <x v="8"/>
  </r>
  <r>
    <x v="104"/>
    <s v="rom_fact_lothlorien"/>
    <n v="64"/>
    <x v="11"/>
    <n v="0"/>
    <n v="4721"/>
    <n v="2500"/>
    <n v="0"/>
    <m/>
    <x v="9"/>
  </r>
  <r>
    <x v="104"/>
    <s v="rom_fact_khand"/>
    <n v="0"/>
    <x v="11"/>
    <n v="0"/>
    <n v="4919"/>
    <n v="1750"/>
    <n v="0"/>
    <m/>
    <x v="10"/>
  </r>
  <r>
    <x v="104"/>
    <s v="rom_fact_umbar"/>
    <n v="18"/>
    <x v="16"/>
    <n v="198.7"/>
    <n v="94272"/>
    <n v="43539"/>
    <n v="3545"/>
    <m/>
    <x v="11"/>
  </r>
  <r>
    <x v="104"/>
    <s v="rom_fact_mahuds"/>
    <n v="0"/>
    <x v="11"/>
    <n v="0"/>
    <n v="9228"/>
    <n v="1750"/>
    <n v="0"/>
    <m/>
    <x v="12"/>
  </r>
  <r>
    <x v="104"/>
    <s v="rom_fact_harad"/>
    <n v="204"/>
    <x v="16"/>
    <n v="241.29999999999899"/>
    <n v="27931"/>
    <n v="36654"/>
    <n v="1875"/>
    <m/>
    <x v="13"/>
  </r>
  <r>
    <x v="104"/>
    <s v="rom_fact_dunland"/>
    <n v="279"/>
    <x v="2"/>
    <n v="258"/>
    <n v="175183"/>
    <n v="46196"/>
    <n v="2887"/>
    <m/>
    <x v="14"/>
  </r>
  <r>
    <x v="104"/>
    <s v="rom_fact_haerrim"/>
    <n v="0"/>
    <x v="11"/>
    <n v="0"/>
    <n v="5352"/>
    <n v="1750"/>
    <n v="0"/>
    <m/>
    <x v="15"/>
  </r>
  <r>
    <x v="104"/>
    <s v="rom_fact_goblins"/>
    <n v="571"/>
    <x v="29"/>
    <n v="411.3"/>
    <n v="141379"/>
    <n v="54625"/>
    <n v="6065"/>
    <m/>
    <x v="16"/>
  </r>
  <r>
    <x v="104"/>
    <s v="rom_fact_balchoth"/>
    <n v="0"/>
    <x v="11"/>
    <n v="0"/>
    <n v="4872"/>
    <n v="1750"/>
    <n v="0"/>
    <m/>
    <x v="17"/>
  </r>
  <r>
    <x v="104"/>
    <s v="rom_fact_rhurim"/>
    <n v="480"/>
    <x v="32"/>
    <n v="417.9"/>
    <n v="64431"/>
    <n v="48800"/>
    <n v="2706"/>
    <m/>
    <x v="18"/>
  </r>
  <r>
    <x v="104"/>
    <s v="rom_fact_feredrim"/>
    <n v="0"/>
    <x v="11"/>
    <n v="0"/>
    <n v="7360"/>
    <n v="1750"/>
    <n v="0"/>
    <m/>
    <x v="19"/>
  </r>
  <r>
    <x v="104"/>
    <s v="rom_fact_wainriders"/>
    <n v="0"/>
    <x v="11"/>
    <n v="0"/>
    <n v="6395"/>
    <n v="1750"/>
    <n v="0"/>
    <m/>
    <x v="20"/>
  </r>
  <r>
    <x v="104"/>
    <s v="rom_fact_blacklock"/>
    <n v="1"/>
    <x v="7"/>
    <n v="22.8"/>
    <n v="4596"/>
    <n v="4133"/>
    <n v="0"/>
    <m/>
    <x v="21"/>
  </r>
  <r>
    <x v="104"/>
    <s v="rom_fact_ironfist"/>
    <n v="7"/>
    <x v="9"/>
    <n v="45"/>
    <n v="19158"/>
    <n v="11109"/>
    <n v="0"/>
    <m/>
    <x v="22"/>
  </r>
  <r>
    <x v="104"/>
    <s v="rom_fact_gundabad"/>
    <n v="245"/>
    <x v="11"/>
    <n v="0"/>
    <n v="9750"/>
    <n v="2500"/>
    <n v="0"/>
    <m/>
    <x v="23"/>
  </r>
  <r>
    <x v="104"/>
    <s v="rom_fact_rohan_scouts"/>
    <n v="0"/>
    <x v="11"/>
    <n v="3"/>
    <n v="121855"/>
    <n v="2354"/>
    <n v="0"/>
    <m/>
    <x v="24"/>
  </r>
  <r>
    <x v="104"/>
    <s v="rom_fact_northern_enedwaith"/>
    <n v="6"/>
    <x v="9"/>
    <n v="94"/>
    <n v="122451"/>
    <n v="20169"/>
    <n v="918"/>
    <m/>
    <x v="25"/>
  </r>
  <r>
    <x v="104"/>
    <s v="rom_fact_southern_enedwaith"/>
    <n v="0"/>
    <x v="11"/>
    <n v="0"/>
    <n v="54023"/>
    <n v="1750"/>
    <n v="0"/>
    <m/>
    <x v="26"/>
  </r>
  <r>
    <x v="104"/>
    <s v="rom_fact_druedain"/>
    <n v="0"/>
    <x v="11"/>
    <n v="0"/>
    <n v="32146"/>
    <n v="1750"/>
    <n v="0"/>
    <m/>
    <x v="27"/>
  </r>
  <r>
    <x v="104"/>
    <s v="rom_fact_harondor"/>
    <n v="0"/>
    <x v="11"/>
    <n v="0"/>
    <n v="15146"/>
    <n v="1750"/>
    <n v="0"/>
    <m/>
    <x v="28"/>
  </r>
  <r>
    <x v="104"/>
    <s v="rom_fact_southron_nomads"/>
    <n v="0"/>
    <x v="11"/>
    <n v="0"/>
    <n v="4000"/>
    <n v="1750"/>
    <n v="0"/>
    <m/>
    <x v="29"/>
  </r>
  <r>
    <x v="104"/>
    <s v="rom_fact_separatist_harad"/>
    <n v="0"/>
    <x v="11"/>
    <n v="0"/>
    <n v="4000"/>
    <n v="1750"/>
    <n v="0"/>
    <m/>
    <x v="30"/>
  </r>
  <r>
    <x v="104"/>
    <s v="rom_fact_separatist_khand"/>
    <n v="0"/>
    <x v="11"/>
    <n v="0"/>
    <n v="4000"/>
    <n v="1750"/>
    <n v="0"/>
    <m/>
    <x v="30"/>
  </r>
  <r>
    <x v="104"/>
    <s v="rom_fact_separatist_balchoth"/>
    <n v="0"/>
    <x v="11"/>
    <n v="0"/>
    <n v="4000"/>
    <n v="1750"/>
    <n v="0"/>
    <m/>
    <x v="30"/>
  </r>
  <r>
    <x v="104"/>
    <s v="rom_fact_separatist_feredrim"/>
    <n v="0"/>
    <x v="11"/>
    <n v="0"/>
    <n v="4000"/>
    <n v="1750"/>
    <n v="0"/>
    <m/>
    <x v="30"/>
  </r>
  <r>
    <x v="104"/>
    <s v="rom_fact_separatist_haerrim"/>
    <n v="0"/>
    <x v="11"/>
    <n v="0"/>
    <n v="4000"/>
    <n v="1750"/>
    <n v="0"/>
    <m/>
    <x v="30"/>
  </r>
  <r>
    <x v="104"/>
    <s v="rom_fact_separatist_wainriders"/>
    <n v="0"/>
    <x v="11"/>
    <n v="0"/>
    <n v="4000"/>
    <n v="1750"/>
    <n v="0"/>
    <m/>
    <x v="30"/>
  </r>
  <r>
    <x v="104"/>
    <s v="rom_fact_separatist_rhurim"/>
    <n v="0"/>
    <x v="11"/>
    <n v="0"/>
    <n v="4000"/>
    <n v="1750"/>
    <n v="0"/>
    <m/>
    <x v="30"/>
  </r>
  <r>
    <x v="104"/>
    <s v="rom_fact_separatist_mahuds"/>
    <n v="0"/>
    <x v="11"/>
    <n v="0"/>
    <n v="4000"/>
    <n v="1750"/>
    <n v="0"/>
    <m/>
    <x v="30"/>
  </r>
  <r>
    <x v="104"/>
    <s v="rom_fact_separatist_umbar"/>
    <n v="0"/>
    <x v="11"/>
    <n v="0"/>
    <n v="4000"/>
    <n v="1750"/>
    <n v="0"/>
    <m/>
    <x v="30"/>
  </r>
  <r>
    <x v="105"/>
    <s v="rom_fact_mordor"/>
    <n v="553"/>
    <x v="24"/>
    <n v="362.9"/>
    <n v="14807"/>
    <n v="46312"/>
    <n v="3140"/>
    <m/>
    <x v="0"/>
  </r>
  <r>
    <x v="105"/>
    <s v="rom_fact_gondor"/>
    <n v="146"/>
    <x v="11"/>
    <n v="0"/>
    <n v="55420"/>
    <n v="2500"/>
    <n v="0"/>
    <m/>
    <x v="1"/>
  </r>
  <r>
    <x v="105"/>
    <s v="rom_fact_dale"/>
    <n v="199"/>
    <x v="11"/>
    <n v="0"/>
    <n v="10343"/>
    <n v="2500"/>
    <n v="0"/>
    <m/>
    <x v="2"/>
  </r>
  <r>
    <x v="105"/>
    <s v="rom_fact_erebor"/>
    <n v="200"/>
    <x v="11"/>
    <n v="0"/>
    <n v="10040"/>
    <n v="2500"/>
    <n v="0"/>
    <m/>
    <x v="3"/>
  </r>
  <r>
    <x v="105"/>
    <s v="rom_fact_rohan"/>
    <n v="157"/>
    <x v="11"/>
    <n v="0"/>
    <n v="6638"/>
    <n v="2500"/>
    <n v="0"/>
    <m/>
    <x v="4"/>
  </r>
  <r>
    <x v="105"/>
    <s v="rom_fact_dol_guldur"/>
    <n v="446"/>
    <x v="27"/>
    <n v="319.8"/>
    <n v="88438"/>
    <n v="45263"/>
    <n v="3802"/>
    <m/>
    <x v="5"/>
  </r>
  <r>
    <x v="105"/>
    <s v="rom_fact_anduin_vale"/>
    <n v="58"/>
    <x v="11"/>
    <n v="0"/>
    <n v="4515"/>
    <n v="2500"/>
    <n v="0"/>
    <m/>
    <x v="6"/>
  </r>
  <r>
    <x v="105"/>
    <s v="rom_fact_isengard"/>
    <n v="277"/>
    <x v="12"/>
    <n v="218.7"/>
    <n v="91330"/>
    <n v="31112"/>
    <n v="1734"/>
    <m/>
    <x v="7"/>
  </r>
  <r>
    <x v="105"/>
    <s v="rom_fact_woodland_realm"/>
    <n v="30"/>
    <x v="11"/>
    <n v="0"/>
    <n v="8475"/>
    <n v="2500"/>
    <n v="0"/>
    <m/>
    <x v="8"/>
  </r>
  <r>
    <x v="105"/>
    <s v="rom_fact_lothlorien"/>
    <n v="64"/>
    <x v="11"/>
    <n v="0"/>
    <n v="4721"/>
    <n v="2500"/>
    <n v="0"/>
    <m/>
    <x v="9"/>
  </r>
  <r>
    <x v="105"/>
    <s v="rom_fact_khand"/>
    <n v="0"/>
    <x v="11"/>
    <n v="0"/>
    <n v="4919"/>
    <n v="1750"/>
    <n v="0"/>
    <m/>
    <x v="10"/>
  </r>
  <r>
    <x v="105"/>
    <s v="rom_fact_umbar"/>
    <n v="18"/>
    <x v="16"/>
    <n v="212.8"/>
    <n v="79941"/>
    <n v="44123"/>
    <n v="3213"/>
    <m/>
    <x v="11"/>
  </r>
  <r>
    <x v="105"/>
    <s v="rom_fact_mahuds"/>
    <n v="0"/>
    <x v="11"/>
    <n v="0"/>
    <n v="9228"/>
    <n v="1750"/>
    <n v="0"/>
    <m/>
    <x v="12"/>
  </r>
  <r>
    <x v="105"/>
    <s v="rom_fact_harad"/>
    <n v="209"/>
    <x v="16"/>
    <n v="242.5"/>
    <n v="37979"/>
    <n v="36282"/>
    <n v="1880"/>
    <m/>
    <x v="13"/>
  </r>
  <r>
    <x v="105"/>
    <s v="rom_fact_dunland"/>
    <n v="279"/>
    <x v="2"/>
    <n v="258"/>
    <n v="166046"/>
    <n v="45644"/>
    <n v="2195"/>
    <m/>
    <x v="14"/>
  </r>
  <r>
    <x v="105"/>
    <s v="rom_fact_haerrim"/>
    <n v="0"/>
    <x v="11"/>
    <n v="0"/>
    <n v="5352"/>
    <n v="1750"/>
    <n v="0"/>
    <m/>
    <x v="15"/>
  </r>
  <r>
    <x v="105"/>
    <s v="rom_fact_goblins"/>
    <n v="576"/>
    <x v="29"/>
    <n v="411.3"/>
    <n v="153908"/>
    <n v="55408"/>
    <n v="6070"/>
    <m/>
    <x v="16"/>
  </r>
  <r>
    <x v="105"/>
    <s v="rom_fact_balchoth"/>
    <n v="0"/>
    <x v="11"/>
    <n v="0"/>
    <n v="4872"/>
    <n v="1750"/>
    <n v="0"/>
    <m/>
    <x v="17"/>
  </r>
  <r>
    <x v="105"/>
    <s v="rom_fact_rhurim"/>
    <n v="487"/>
    <x v="30"/>
    <n v="421.7"/>
    <n v="57412"/>
    <n v="50009"/>
    <n v="2686"/>
    <m/>
    <x v="18"/>
  </r>
  <r>
    <x v="105"/>
    <s v="rom_fact_feredrim"/>
    <n v="0"/>
    <x v="11"/>
    <n v="0"/>
    <n v="7360"/>
    <n v="1750"/>
    <n v="0"/>
    <m/>
    <x v="19"/>
  </r>
  <r>
    <x v="105"/>
    <s v="rom_fact_wainriders"/>
    <n v="0"/>
    <x v="11"/>
    <n v="0"/>
    <n v="6395"/>
    <n v="1750"/>
    <n v="0"/>
    <m/>
    <x v="20"/>
  </r>
  <r>
    <x v="105"/>
    <s v="rom_fact_blacklock"/>
    <n v="2"/>
    <x v="10"/>
    <n v="26.4"/>
    <n v="3867"/>
    <n v="4992"/>
    <n v="0"/>
    <m/>
    <x v="21"/>
  </r>
  <r>
    <x v="105"/>
    <s v="rom_fact_ironfist"/>
    <n v="7"/>
    <x v="9"/>
    <n v="48"/>
    <n v="13448"/>
    <n v="11217"/>
    <n v="0"/>
    <m/>
    <x v="22"/>
  </r>
  <r>
    <x v="105"/>
    <s v="rom_fact_gundabad"/>
    <n v="245"/>
    <x v="11"/>
    <n v="0"/>
    <n v="9750"/>
    <n v="2500"/>
    <n v="0"/>
    <m/>
    <x v="23"/>
  </r>
  <r>
    <x v="105"/>
    <s v="rom_fact_rohan_scouts"/>
    <n v="0"/>
    <x v="11"/>
    <n v="3"/>
    <n v="123001"/>
    <n v="2354"/>
    <n v="0"/>
    <m/>
    <x v="24"/>
  </r>
  <r>
    <x v="105"/>
    <s v="rom_fact_northern_enedwaith"/>
    <n v="6"/>
    <x v="9"/>
    <n v="94"/>
    <n v="109029"/>
    <n v="20292"/>
    <n v="919"/>
    <m/>
    <x v="25"/>
  </r>
  <r>
    <x v="105"/>
    <s v="rom_fact_southern_enedwaith"/>
    <n v="0"/>
    <x v="11"/>
    <n v="0"/>
    <n v="54023"/>
    <n v="1750"/>
    <n v="0"/>
    <m/>
    <x v="26"/>
  </r>
  <r>
    <x v="105"/>
    <s v="rom_fact_druedain"/>
    <n v="0"/>
    <x v="11"/>
    <n v="0"/>
    <n v="32146"/>
    <n v="1750"/>
    <n v="0"/>
    <m/>
    <x v="27"/>
  </r>
  <r>
    <x v="105"/>
    <s v="rom_fact_harondor"/>
    <n v="0"/>
    <x v="11"/>
    <n v="0"/>
    <n v="15146"/>
    <n v="1750"/>
    <n v="0"/>
    <m/>
    <x v="28"/>
  </r>
  <r>
    <x v="105"/>
    <s v="rom_fact_southron_nomads"/>
    <n v="0"/>
    <x v="11"/>
    <n v="0"/>
    <n v="4000"/>
    <n v="1750"/>
    <n v="0"/>
    <m/>
    <x v="29"/>
  </r>
  <r>
    <x v="105"/>
    <s v="rom_fact_separatist_harad"/>
    <n v="0"/>
    <x v="11"/>
    <n v="0"/>
    <n v="4000"/>
    <n v="1750"/>
    <n v="0"/>
    <m/>
    <x v="30"/>
  </r>
  <r>
    <x v="105"/>
    <s v="rom_fact_separatist_khand"/>
    <n v="0"/>
    <x v="11"/>
    <n v="0"/>
    <n v="4000"/>
    <n v="1750"/>
    <n v="0"/>
    <m/>
    <x v="30"/>
  </r>
  <r>
    <x v="105"/>
    <s v="rom_fact_separatist_balchoth"/>
    <n v="0"/>
    <x v="11"/>
    <n v="0"/>
    <n v="4000"/>
    <n v="1750"/>
    <n v="0"/>
    <m/>
    <x v="30"/>
  </r>
  <r>
    <x v="105"/>
    <s v="rom_fact_separatist_feredrim"/>
    <n v="0"/>
    <x v="11"/>
    <n v="0"/>
    <n v="4000"/>
    <n v="1750"/>
    <n v="0"/>
    <m/>
    <x v="30"/>
  </r>
  <r>
    <x v="105"/>
    <s v="rom_fact_separatist_haerrim"/>
    <n v="0"/>
    <x v="11"/>
    <n v="0"/>
    <n v="4000"/>
    <n v="1750"/>
    <n v="0"/>
    <m/>
    <x v="30"/>
  </r>
  <r>
    <x v="105"/>
    <s v="rom_fact_separatist_wainriders"/>
    <n v="0"/>
    <x v="11"/>
    <n v="0"/>
    <n v="4000"/>
    <n v="1750"/>
    <n v="0"/>
    <m/>
    <x v="30"/>
  </r>
  <r>
    <x v="105"/>
    <s v="rom_fact_separatist_rhurim"/>
    <n v="0"/>
    <x v="11"/>
    <n v="0"/>
    <n v="4000"/>
    <n v="1750"/>
    <n v="0"/>
    <m/>
    <x v="30"/>
  </r>
  <r>
    <x v="105"/>
    <s v="rom_fact_separatist_mahuds"/>
    <n v="0"/>
    <x v="11"/>
    <n v="0"/>
    <n v="4000"/>
    <n v="1750"/>
    <n v="0"/>
    <m/>
    <x v="30"/>
  </r>
  <r>
    <x v="105"/>
    <s v="rom_fact_separatist_umbar"/>
    <n v="0"/>
    <x v="11"/>
    <n v="0"/>
    <n v="4000"/>
    <n v="1750"/>
    <n v="0"/>
    <m/>
    <x v="30"/>
  </r>
  <r>
    <x v="106"/>
    <s v="rom_fact_mordor"/>
    <n v="558"/>
    <x v="24"/>
    <n v="379.7"/>
    <n v="2054"/>
    <n v="49500"/>
    <n v="3272"/>
    <m/>
    <x v="0"/>
  </r>
  <r>
    <x v="106"/>
    <s v="rom_fact_gondor"/>
    <n v="146"/>
    <x v="11"/>
    <n v="0"/>
    <n v="55420"/>
    <n v="2500"/>
    <n v="0"/>
    <m/>
    <x v="1"/>
  </r>
  <r>
    <x v="106"/>
    <s v="rom_fact_dale"/>
    <n v="199"/>
    <x v="11"/>
    <n v="0"/>
    <n v="10343"/>
    <n v="2500"/>
    <n v="0"/>
    <m/>
    <x v="2"/>
  </r>
  <r>
    <x v="106"/>
    <s v="rom_fact_erebor"/>
    <n v="200"/>
    <x v="11"/>
    <n v="0"/>
    <n v="10040"/>
    <n v="2500"/>
    <n v="0"/>
    <m/>
    <x v="3"/>
  </r>
  <r>
    <x v="106"/>
    <s v="rom_fact_rohan"/>
    <n v="157"/>
    <x v="11"/>
    <n v="0"/>
    <n v="6638"/>
    <n v="2500"/>
    <n v="0"/>
    <m/>
    <x v="4"/>
  </r>
  <r>
    <x v="106"/>
    <s v="rom_fact_dol_guldur"/>
    <n v="446"/>
    <x v="27"/>
    <n v="321.8"/>
    <n v="104534"/>
    <n v="44854"/>
    <n v="3810"/>
    <m/>
    <x v="5"/>
  </r>
  <r>
    <x v="106"/>
    <s v="rom_fact_anduin_vale"/>
    <n v="58"/>
    <x v="11"/>
    <n v="0"/>
    <n v="4515"/>
    <n v="2500"/>
    <n v="0"/>
    <m/>
    <x v="6"/>
  </r>
  <r>
    <x v="106"/>
    <s v="rom_fact_isengard"/>
    <n v="277"/>
    <x v="12"/>
    <n v="224.7"/>
    <n v="92402"/>
    <n v="31837"/>
    <n v="1747"/>
    <m/>
    <x v="7"/>
  </r>
  <r>
    <x v="106"/>
    <s v="rom_fact_woodland_realm"/>
    <n v="30"/>
    <x v="11"/>
    <n v="0"/>
    <n v="8475"/>
    <n v="2500"/>
    <n v="0"/>
    <m/>
    <x v="8"/>
  </r>
  <r>
    <x v="106"/>
    <s v="rom_fact_lothlorien"/>
    <n v="64"/>
    <x v="11"/>
    <n v="0"/>
    <n v="4721"/>
    <n v="2500"/>
    <n v="0"/>
    <m/>
    <x v="9"/>
  </r>
  <r>
    <x v="106"/>
    <s v="rom_fact_khand"/>
    <n v="0"/>
    <x v="11"/>
    <n v="0"/>
    <n v="4919"/>
    <n v="1750"/>
    <n v="0"/>
    <m/>
    <x v="10"/>
  </r>
  <r>
    <x v="106"/>
    <s v="rom_fact_umbar"/>
    <n v="18"/>
    <x v="16"/>
    <n v="219.8"/>
    <n v="76714"/>
    <n v="45050"/>
    <n v="3464"/>
    <m/>
    <x v="11"/>
  </r>
  <r>
    <x v="106"/>
    <s v="rom_fact_mahuds"/>
    <n v="0"/>
    <x v="11"/>
    <n v="0"/>
    <n v="9228"/>
    <n v="1750"/>
    <n v="0"/>
    <m/>
    <x v="12"/>
  </r>
  <r>
    <x v="106"/>
    <s v="rom_fact_harad"/>
    <n v="222"/>
    <x v="16"/>
    <n v="256.89999999999998"/>
    <n v="32694"/>
    <n v="36709"/>
    <n v="2082"/>
    <m/>
    <x v="13"/>
  </r>
  <r>
    <x v="106"/>
    <s v="rom_fact_dunland"/>
    <n v="279"/>
    <x v="2"/>
    <n v="258"/>
    <n v="172726"/>
    <n v="46760"/>
    <n v="2292"/>
    <m/>
    <x v="14"/>
  </r>
  <r>
    <x v="106"/>
    <s v="rom_fact_haerrim"/>
    <n v="0"/>
    <x v="11"/>
    <n v="0"/>
    <n v="5352"/>
    <n v="1750"/>
    <n v="0"/>
    <m/>
    <x v="15"/>
  </r>
  <r>
    <x v="106"/>
    <s v="rom_fact_goblins"/>
    <n v="576"/>
    <x v="29"/>
    <n v="412.6"/>
    <n v="162300"/>
    <n v="59000"/>
    <n v="6106"/>
    <m/>
    <x v="16"/>
  </r>
  <r>
    <x v="106"/>
    <s v="rom_fact_balchoth"/>
    <n v="0"/>
    <x v="11"/>
    <n v="0"/>
    <n v="4872"/>
    <n v="1750"/>
    <n v="0"/>
    <m/>
    <x v="17"/>
  </r>
  <r>
    <x v="106"/>
    <s v="rom_fact_rhurim"/>
    <n v="495"/>
    <x v="30"/>
    <n v="424.9"/>
    <n v="57579"/>
    <n v="50375"/>
    <n v="2885"/>
    <m/>
    <x v="18"/>
  </r>
  <r>
    <x v="106"/>
    <s v="rom_fact_feredrim"/>
    <n v="0"/>
    <x v="11"/>
    <n v="0"/>
    <n v="7360"/>
    <n v="1750"/>
    <n v="0"/>
    <m/>
    <x v="19"/>
  </r>
  <r>
    <x v="106"/>
    <s v="rom_fact_wainriders"/>
    <n v="0"/>
    <x v="11"/>
    <n v="0"/>
    <n v="6395"/>
    <n v="1750"/>
    <n v="0"/>
    <m/>
    <x v="20"/>
  </r>
  <r>
    <x v="106"/>
    <s v="rom_fact_blacklock"/>
    <n v="2"/>
    <x v="10"/>
    <n v="25.4"/>
    <n v="6788"/>
    <n v="5880"/>
    <n v="426"/>
    <m/>
    <x v="21"/>
  </r>
  <r>
    <x v="106"/>
    <s v="rom_fact_ironfist"/>
    <n v="7"/>
    <x v="9"/>
    <n v="48"/>
    <n v="6033"/>
    <n v="11958"/>
    <n v="0"/>
    <m/>
    <x v="22"/>
  </r>
  <r>
    <x v="106"/>
    <s v="rom_fact_gundabad"/>
    <n v="245"/>
    <x v="11"/>
    <n v="0"/>
    <n v="9750"/>
    <n v="2500"/>
    <n v="0"/>
    <m/>
    <x v="23"/>
  </r>
  <r>
    <x v="106"/>
    <s v="rom_fact_rohan_scouts"/>
    <n v="0"/>
    <x v="11"/>
    <n v="3"/>
    <n v="124147"/>
    <n v="2354"/>
    <n v="0"/>
    <m/>
    <x v="24"/>
  </r>
  <r>
    <x v="106"/>
    <s v="rom_fact_northern_enedwaith"/>
    <n v="6"/>
    <x v="9"/>
    <n v="95"/>
    <n v="111839"/>
    <n v="20561"/>
    <n v="925"/>
    <m/>
    <x v="25"/>
  </r>
  <r>
    <x v="106"/>
    <s v="rom_fact_southern_enedwaith"/>
    <n v="0"/>
    <x v="11"/>
    <n v="0"/>
    <n v="54023"/>
    <n v="1750"/>
    <n v="0"/>
    <m/>
    <x v="26"/>
  </r>
  <r>
    <x v="106"/>
    <s v="rom_fact_druedain"/>
    <n v="0"/>
    <x v="11"/>
    <n v="0"/>
    <n v="32146"/>
    <n v="1750"/>
    <n v="0"/>
    <m/>
    <x v="27"/>
  </r>
  <r>
    <x v="106"/>
    <s v="rom_fact_harondor"/>
    <n v="0"/>
    <x v="11"/>
    <n v="0"/>
    <n v="15146"/>
    <n v="1750"/>
    <n v="0"/>
    <m/>
    <x v="28"/>
  </r>
  <r>
    <x v="106"/>
    <s v="rom_fact_southron_nomads"/>
    <n v="0"/>
    <x v="11"/>
    <n v="0"/>
    <n v="4000"/>
    <n v="1750"/>
    <n v="0"/>
    <m/>
    <x v="29"/>
  </r>
  <r>
    <x v="106"/>
    <s v="rom_fact_separatist_harad"/>
    <n v="0"/>
    <x v="11"/>
    <n v="0"/>
    <n v="4000"/>
    <n v="1750"/>
    <n v="0"/>
    <m/>
    <x v="30"/>
  </r>
  <r>
    <x v="106"/>
    <s v="rom_fact_separatist_khand"/>
    <n v="0"/>
    <x v="11"/>
    <n v="0"/>
    <n v="4000"/>
    <n v="1750"/>
    <n v="0"/>
    <m/>
    <x v="30"/>
  </r>
  <r>
    <x v="106"/>
    <s v="rom_fact_separatist_balchoth"/>
    <n v="0"/>
    <x v="11"/>
    <n v="0"/>
    <n v="4000"/>
    <n v="1750"/>
    <n v="0"/>
    <m/>
    <x v="30"/>
  </r>
  <r>
    <x v="106"/>
    <s v="rom_fact_separatist_feredrim"/>
    <n v="0"/>
    <x v="11"/>
    <n v="0"/>
    <n v="4000"/>
    <n v="1750"/>
    <n v="0"/>
    <m/>
    <x v="30"/>
  </r>
  <r>
    <x v="106"/>
    <s v="rom_fact_separatist_haerrim"/>
    <n v="0"/>
    <x v="11"/>
    <n v="0"/>
    <n v="4000"/>
    <n v="1750"/>
    <n v="0"/>
    <m/>
    <x v="30"/>
  </r>
  <r>
    <x v="106"/>
    <s v="rom_fact_separatist_wainriders"/>
    <n v="0"/>
    <x v="11"/>
    <n v="0"/>
    <n v="4000"/>
    <n v="1750"/>
    <n v="0"/>
    <m/>
    <x v="30"/>
  </r>
  <r>
    <x v="106"/>
    <s v="rom_fact_separatist_rhurim"/>
    <n v="0"/>
    <x v="11"/>
    <n v="0"/>
    <n v="4000"/>
    <n v="1750"/>
    <n v="0"/>
    <m/>
    <x v="30"/>
  </r>
  <r>
    <x v="106"/>
    <s v="rom_fact_separatist_mahuds"/>
    <n v="0"/>
    <x v="11"/>
    <n v="0"/>
    <n v="4000"/>
    <n v="1750"/>
    <n v="0"/>
    <m/>
    <x v="30"/>
  </r>
  <r>
    <x v="106"/>
    <s v="rom_fact_separatist_umbar"/>
    <n v="0"/>
    <x v="11"/>
    <n v="0"/>
    <n v="4000"/>
    <n v="1750"/>
    <n v="0"/>
    <m/>
    <x v="30"/>
  </r>
  <r>
    <x v="107"/>
    <s v="rom_fact_mordor"/>
    <n v="575"/>
    <x v="24"/>
    <n v="395.1"/>
    <n v="2759"/>
    <n v="53236"/>
    <n v="3287"/>
    <m/>
    <x v="0"/>
  </r>
  <r>
    <x v="107"/>
    <s v="rom_fact_gondor"/>
    <n v="146"/>
    <x v="11"/>
    <n v="0"/>
    <n v="55420"/>
    <n v="2500"/>
    <n v="0"/>
    <m/>
    <x v="1"/>
  </r>
  <r>
    <x v="107"/>
    <s v="rom_fact_dale"/>
    <n v="199"/>
    <x v="11"/>
    <n v="0"/>
    <n v="10343"/>
    <n v="2500"/>
    <n v="0"/>
    <m/>
    <x v="2"/>
  </r>
  <r>
    <x v="107"/>
    <s v="rom_fact_erebor"/>
    <n v="200"/>
    <x v="11"/>
    <n v="0"/>
    <n v="10040"/>
    <n v="2500"/>
    <n v="0"/>
    <m/>
    <x v="3"/>
  </r>
  <r>
    <x v="107"/>
    <s v="rom_fact_rohan"/>
    <n v="157"/>
    <x v="11"/>
    <n v="0"/>
    <n v="6638"/>
    <n v="2500"/>
    <n v="0"/>
    <m/>
    <x v="4"/>
  </r>
  <r>
    <x v="107"/>
    <s v="rom_fact_dol_guldur"/>
    <n v="454"/>
    <x v="27"/>
    <n v="338.6"/>
    <n v="110165"/>
    <n v="46636"/>
    <n v="3814"/>
    <m/>
    <x v="5"/>
  </r>
  <r>
    <x v="107"/>
    <s v="rom_fact_anduin_vale"/>
    <n v="58"/>
    <x v="11"/>
    <n v="0"/>
    <n v="4515"/>
    <n v="2500"/>
    <n v="0"/>
    <m/>
    <x v="6"/>
  </r>
  <r>
    <x v="107"/>
    <s v="rom_fact_isengard"/>
    <n v="282"/>
    <x v="12"/>
    <n v="228"/>
    <n v="55861"/>
    <n v="31204"/>
    <n v="1749"/>
    <m/>
    <x v="7"/>
  </r>
  <r>
    <x v="107"/>
    <s v="rom_fact_woodland_realm"/>
    <n v="30"/>
    <x v="11"/>
    <n v="0"/>
    <n v="8475"/>
    <n v="2500"/>
    <n v="0"/>
    <m/>
    <x v="8"/>
  </r>
  <r>
    <x v="107"/>
    <s v="rom_fact_lothlorien"/>
    <n v="64"/>
    <x v="11"/>
    <n v="0"/>
    <n v="4721"/>
    <n v="2500"/>
    <n v="0"/>
    <m/>
    <x v="9"/>
  </r>
  <r>
    <x v="107"/>
    <s v="rom_fact_khand"/>
    <n v="0"/>
    <x v="11"/>
    <n v="0"/>
    <n v="4919"/>
    <n v="1750"/>
    <n v="0"/>
    <m/>
    <x v="10"/>
  </r>
  <r>
    <x v="107"/>
    <s v="rom_fact_umbar"/>
    <n v="20"/>
    <x v="4"/>
    <n v="224.8"/>
    <n v="68313"/>
    <n v="48052"/>
    <n v="3887"/>
    <m/>
    <x v="11"/>
  </r>
  <r>
    <x v="107"/>
    <s v="rom_fact_mahuds"/>
    <n v="0"/>
    <x v="11"/>
    <n v="0"/>
    <n v="9228"/>
    <n v="1750"/>
    <n v="0"/>
    <m/>
    <x v="12"/>
  </r>
  <r>
    <x v="107"/>
    <s v="rom_fact_harad"/>
    <n v="229"/>
    <x v="4"/>
    <n v="257.89999999999998"/>
    <n v="36162"/>
    <n v="39080"/>
    <n v="2214"/>
    <m/>
    <x v="13"/>
  </r>
  <r>
    <x v="107"/>
    <s v="rom_fact_dunland"/>
    <n v="284"/>
    <x v="2"/>
    <n v="258"/>
    <n v="163330"/>
    <n v="47243"/>
    <n v="2296"/>
    <m/>
    <x v="14"/>
  </r>
  <r>
    <x v="107"/>
    <s v="rom_fact_haerrim"/>
    <n v="0"/>
    <x v="11"/>
    <n v="0"/>
    <n v="5352"/>
    <n v="1750"/>
    <n v="0"/>
    <m/>
    <x v="15"/>
  </r>
  <r>
    <x v="107"/>
    <s v="rom_fact_goblins"/>
    <n v="576"/>
    <x v="29"/>
    <n v="430"/>
    <n v="176320"/>
    <n v="60725"/>
    <n v="6109"/>
    <m/>
    <x v="16"/>
  </r>
  <r>
    <x v="107"/>
    <s v="rom_fact_balchoth"/>
    <n v="0"/>
    <x v="11"/>
    <n v="0"/>
    <n v="4872"/>
    <n v="1750"/>
    <n v="0"/>
    <m/>
    <x v="17"/>
  </r>
  <r>
    <x v="107"/>
    <s v="rom_fact_rhurim"/>
    <n v="491"/>
    <x v="21"/>
    <n v="379.9"/>
    <n v="66432"/>
    <n v="44524"/>
    <n v="2544"/>
    <m/>
    <x v="18"/>
  </r>
  <r>
    <x v="107"/>
    <s v="rom_fact_feredrim"/>
    <n v="0"/>
    <x v="11"/>
    <n v="0"/>
    <n v="7360"/>
    <n v="1750"/>
    <n v="0"/>
    <m/>
    <x v="19"/>
  </r>
  <r>
    <x v="107"/>
    <s v="rom_fact_wainriders"/>
    <n v="0"/>
    <x v="11"/>
    <n v="0"/>
    <n v="6395"/>
    <n v="1750"/>
    <n v="0"/>
    <m/>
    <x v="20"/>
  </r>
  <r>
    <x v="107"/>
    <s v="rom_fact_blacklock"/>
    <n v="2"/>
    <x v="10"/>
    <n v="26.5"/>
    <n v="6822"/>
    <n v="5973"/>
    <n v="436"/>
    <m/>
    <x v="21"/>
  </r>
  <r>
    <x v="107"/>
    <s v="rom_fact_ironfist"/>
    <n v="5"/>
    <x v="10"/>
    <n v="40"/>
    <n v="6702"/>
    <n v="6628"/>
    <n v="0"/>
    <m/>
    <x v="22"/>
  </r>
  <r>
    <x v="107"/>
    <s v="rom_fact_gundabad"/>
    <n v="245"/>
    <x v="11"/>
    <n v="0"/>
    <n v="9750"/>
    <n v="2500"/>
    <n v="0"/>
    <m/>
    <x v="23"/>
  </r>
  <r>
    <x v="107"/>
    <s v="rom_fact_rohan_scouts"/>
    <n v="0"/>
    <x v="11"/>
    <n v="3"/>
    <n v="125293"/>
    <n v="2354"/>
    <n v="0"/>
    <m/>
    <x v="24"/>
  </r>
  <r>
    <x v="107"/>
    <s v="rom_fact_northern_enedwaith"/>
    <n v="6"/>
    <x v="9"/>
    <n v="95"/>
    <n v="114701"/>
    <n v="20885"/>
    <n v="928"/>
    <m/>
    <x v="25"/>
  </r>
  <r>
    <x v="107"/>
    <s v="rom_fact_southern_enedwaith"/>
    <n v="0"/>
    <x v="11"/>
    <n v="0"/>
    <n v="54023"/>
    <n v="1750"/>
    <n v="0"/>
    <m/>
    <x v="26"/>
  </r>
  <r>
    <x v="107"/>
    <s v="rom_fact_druedain"/>
    <n v="0"/>
    <x v="11"/>
    <n v="0"/>
    <n v="32146"/>
    <n v="1750"/>
    <n v="0"/>
    <m/>
    <x v="27"/>
  </r>
  <r>
    <x v="107"/>
    <s v="rom_fact_harondor"/>
    <n v="0"/>
    <x v="11"/>
    <n v="0"/>
    <n v="15146"/>
    <n v="1750"/>
    <n v="0"/>
    <m/>
    <x v="28"/>
  </r>
  <r>
    <x v="107"/>
    <s v="rom_fact_southron_nomads"/>
    <n v="0"/>
    <x v="11"/>
    <n v="0"/>
    <n v="4000"/>
    <n v="1750"/>
    <n v="0"/>
    <m/>
    <x v="29"/>
  </r>
  <r>
    <x v="107"/>
    <s v="rom_fact_separatist_harad"/>
    <n v="0"/>
    <x v="11"/>
    <n v="0"/>
    <n v="4000"/>
    <n v="1750"/>
    <n v="0"/>
    <m/>
    <x v="30"/>
  </r>
  <r>
    <x v="107"/>
    <s v="rom_fact_separatist_khand"/>
    <n v="0"/>
    <x v="11"/>
    <n v="0"/>
    <n v="4000"/>
    <n v="1750"/>
    <n v="0"/>
    <m/>
    <x v="30"/>
  </r>
  <r>
    <x v="107"/>
    <s v="rom_fact_separatist_balchoth"/>
    <n v="0"/>
    <x v="11"/>
    <n v="0"/>
    <n v="4000"/>
    <n v="1750"/>
    <n v="0"/>
    <m/>
    <x v="30"/>
  </r>
  <r>
    <x v="107"/>
    <s v="rom_fact_separatist_feredrim"/>
    <n v="0"/>
    <x v="11"/>
    <n v="0"/>
    <n v="4000"/>
    <n v="1750"/>
    <n v="0"/>
    <m/>
    <x v="30"/>
  </r>
  <r>
    <x v="107"/>
    <s v="rom_fact_separatist_haerrim"/>
    <n v="0"/>
    <x v="11"/>
    <n v="0"/>
    <n v="4000"/>
    <n v="1750"/>
    <n v="0"/>
    <m/>
    <x v="30"/>
  </r>
  <r>
    <x v="107"/>
    <s v="rom_fact_separatist_wainriders"/>
    <n v="0"/>
    <x v="11"/>
    <n v="0"/>
    <n v="4000"/>
    <n v="1750"/>
    <n v="0"/>
    <m/>
    <x v="30"/>
  </r>
  <r>
    <x v="107"/>
    <s v="rom_fact_separatist_rhurim"/>
    <n v="0"/>
    <x v="11"/>
    <n v="0"/>
    <n v="4000"/>
    <n v="1750"/>
    <n v="0"/>
    <m/>
    <x v="30"/>
  </r>
  <r>
    <x v="107"/>
    <s v="rom_fact_separatist_mahuds"/>
    <n v="0"/>
    <x v="11"/>
    <n v="0"/>
    <n v="4000"/>
    <n v="1750"/>
    <n v="0"/>
    <m/>
    <x v="30"/>
  </r>
  <r>
    <x v="107"/>
    <s v="rom_fact_separatist_umbar"/>
    <n v="0"/>
    <x v="11"/>
    <n v="0"/>
    <n v="4000"/>
    <n v="1750"/>
    <n v="0"/>
    <m/>
    <x v="30"/>
  </r>
  <r>
    <x v="108"/>
    <s v="rom_fact_mordor"/>
    <n v="580"/>
    <x v="24"/>
    <n v="400.1"/>
    <n v="1075"/>
    <n v="55318"/>
    <n v="3286"/>
    <m/>
    <x v="0"/>
  </r>
  <r>
    <x v="108"/>
    <s v="rom_fact_gondor"/>
    <n v="146"/>
    <x v="11"/>
    <n v="0"/>
    <n v="55420"/>
    <n v="2500"/>
    <n v="0"/>
    <m/>
    <x v="1"/>
  </r>
  <r>
    <x v="108"/>
    <s v="rom_fact_dale"/>
    <n v="199"/>
    <x v="11"/>
    <n v="0"/>
    <n v="10343"/>
    <n v="2500"/>
    <n v="0"/>
    <m/>
    <x v="2"/>
  </r>
  <r>
    <x v="108"/>
    <s v="rom_fact_erebor"/>
    <n v="200"/>
    <x v="11"/>
    <n v="0"/>
    <n v="10040"/>
    <n v="2500"/>
    <n v="0"/>
    <m/>
    <x v="3"/>
  </r>
  <r>
    <x v="108"/>
    <s v="rom_fact_rohan"/>
    <n v="157"/>
    <x v="11"/>
    <n v="0"/>
    <n v="6638"/>
    <n v="2500"/>
    <n v="0"/>
    <m/>
    <x v="4"/>
  </r>
  <r>
    <x v="108"/>
    <s v="rom_fact_dol_guldur"/>
    <n v="454"/>
    <x v="27"/>
    <n v="358.1"/>
    <n v="124188"/>
    <n v="50695"/>
    <n v="3817"/>
    <m/>
    <x v="5"/>
  </r>
  <r>
    <x v="108"/>
    <s v="rom_fact_anduin_vale"/>
    <n v="58"/>
    <x v="11"/>
    <n v="0"/>
    <n v="4515"/>
    <n v="2500"/>
    <n v="0"/>
    <m/>
    <x v="6"/>
  </r>
  <r>
    <x v="108"/>
    <s v="rom_fact_isengard"/>
    <n v="282"/>
    <x v="12"/>
    <n v="216"/>
    <n v="52600"/>
    <n v="31833"/>
    <n v="1755"/>
    <m/>
    <x v="7"/>
  </r>
  <r>
    <x v="108"/>
    <s v="rom_fact_woodland_realm"/>
    <n v="30"/>
    <x v="11"/>
    <n v="0"/>
    <n v="8475"/>
    <n v="2500"/>
    <n v="0"/>
    <m/>
    <x v="8"/>
  </r>
  <r>
    <x v="108"/>
    <s v="rom_fact_lothlorien"/>
    <n v="64"/>
    <x v="11"/>
    <n v="0"/>
    <n v="4721"/>
    <n v="2500"/>
    <n v="0"/>
    <m/>
    <x v="9"/>
  </r>
  <r>
    <x v="108"/>
    <s v="rom_fact_khand"/>
    <n v="0"/>
    <x v="11"/>
    <n v="0"/>
    <n v="4919"/>
    <n v="1750"/>
    <n v="0"/>
    <m/>
    <x v="10"/>
  </r>
  <r>
    <x v="108"/>
    <s v="rom_fact_umbar"/>
    <n v="20"/>
    <x v="4"/>
    <n v="230.8"/>
    <n v="72470"/>
    <n v="47323"/>
    <n v="3888"/>
    <m/>
    <x v="11"/>
  </r>
  <r>
    <x v="108"/>
    <s v="rom_fact_mahuds"/>
    <n v="0"/>
    <x v="11"/>
    <n v="0"/>
    <n v="9228"/>
    <n v="1750"/>
    <n v="0"/>
    <m/>
    <x v="12"/>
  </r>
  <r>
    <x v="108"/>
    <s v="rom_fact_harad"/>
    <n v="229"/>
    <x v="4"/>
    <n v="256.89999999999998"/>
    <n v="38202"/>
    <n v="39731"/>
    <n v="2296"/>
    <m/>
    <x v="13"/>
  </r>
  <r>
    <x v="108"/>
    <s v="rom_fact_dunland"/>
    <n v="284"/>
    <x v="2"/>
    <n v="258"/>
    <n v="169629"/>
    <n v="47299"/>
    <n v="2298"/>
    <m/>
    <x v="14"/>
  </r>
  <r>
    <x v="108"/>
    <s v="rom_fact_haerrim"/>
    <n v="0"/>
    <x v="11"/>
    <n v="0"/>
    <n v="5352"/>
    <n v="1750"/>
    <n v="0"/>
    <m/>
    <x v="15"/>
  </r>
  <r>
    <x v="108"/>
    <s v="rom_fact_goblins"/>
    <n v="576"/>
    <x v="29"/>
    <n v="444"/>
    <n v="167322"/>
    <n v="62777"/>
    <n v="6114"/>
    <m/>
    <x v="16"/>
  </r>
  <r>
    <x v="108"/>
    <s v="rom_fact_balchoth"/>
    <n v="0"/>
    <x v="11"/>
    <n v="0"/>
    <n v="4872"/>
    <n v="1750"/>
    <n v="0"/>
    <m/>
    <x v="17"/>
  </r>
  <r>
    <x v="108"/>
    <s v="rom_fact_rhurim"/>
    <n v="524"/>
    <x v="21"/>
    <n v="380.9"/>
    <n v="72389"/>
    <n v="45246"/>
    <n v="2785"/>
    <m/>
    <x v="18"/>
  </r>
  <r>
    <x v="108"/>
    <s v="rom_fact_feredrim"/>
    <n v="0"/>
    <x v="11"/>
    <n v="0"/>
    <n v="7360"/>
    <n v="1750"/>
    <n v="0"/>
    <m/>
    <x v="19"/>
  </r>
  <r>
    <x v="108"/>
    <s v="rom_fact_wainriders"/>
    <n v="0"/>
    <x v="11"/>
    <n v="0"/>
    <n v="6395"/>
    <n v="1750"/>
    <n v="0"/>
    <m/>
    <x v="20"/>
  </r>
  <r>
    <x v="108"/>
    <s v="rom_fact_blacklock"/>
    <n v="2"/>
    <x v="10"/>
    <n v="27.6"/>
    <n v="8800"/>
    <n v="6319"/>
    <n v="437"/>
    <m/>
    <x v="21"/>
  </r>
  <r>
    <x v="108"/>
    <s v="rom_fact_ironfist"/>
    <n v="5"/>
    <x v="10"/>
    <n v="35"/>
    <n v="1818"/>
    <n v="6648"/>
    <n v="0"/>
    <m/>
    <x v="22"/>
  </r>
  <r>
    <x v="108"/>
    <s v="rom_fact_gundabad"/>
    <n v="245"/>
    <x v="11"/>
    <n v="0"/>
    <n v="9750"/>
    <n v="2500"/>
    <n v="0"/>
    <m/>
    <x v="23"/>
  </r>
  <r>
    <x v="108"/>
    <s v="rom_fact_rohan_scouts"/>
    <n v="0"/>
    <x v="11"/>
    <n v="3"/>
    <n v="126439"/>
    <n v="2354"/>
    <n v="0"/>
    <m/>
    <x v="24"/>
  </r>
  <r>
    <x v="108"/>
    <s v="rom_fact_northern_enedwaith"/>
    <n v="6"/>
    <x v="9"/>
    <n v="95"/>
    <n v="117968"/>
    <n v="20754"/>
    <n v="929"/>
    <m/>
    <x v="25"/>
  </r>
  <r>
    <x v="108"/>
    <s v="rom_fact_southern_enedwaith"/>
    <n v="0"/>
    <x v="11"/>
    <n v="0"/>
    <n v="54023"/>
    <n v="1750"/>
    <n v="0"/>
    <m/>
    <x v="26"/>
  </r>
  <r>
    <x v="108"/>
    <s v="rom_fact_druedain"/>
    <n v="0"/>
    <x v="11"/>
    <n v="0"/>
    <n v="32146"/>
    <n v="1750"/>
    <n v="0"/>
    <m/>
    <x v="27"/>
  </r>
  <r>
    <x v="108"/>
    <s v="rom_fact_harondor"/>
    <n v="0"/>
    <x v="11"/>
    <n v="0"/>
    <n v="15146"/>
    <n v="1750"/>
    <n v="0"/>
    <m/>
    <x v="28"/>
  </r>
  <r>
    <x v="108"/>
    <s v="rom_fact_southron_nomads"/>
    <n v="0"/>
    <x v="11"/>
    <n v="0"/>
    <n v="4000"/>
    <n v="1750"/>
    <n v="0"/>
    <m/>
    <x v="29"/>
  </r>
  <r>
    <x v="108"/>
    <s v="rom_fact_separatist_harad"/>
    <n v="0"/>
    <x v="11"/>
    <n v="0"/>
    <n v="4000"/>
    <n v="1750"/>
    <n v="0"/>
    <m/>
    <x v="30"/>
  </r>
  <r>
    <x v="108"/>
    <s v="rom_fact_separatist_khand"/>
    <n v="0"/>
    <x v="11"/>
    <n v="0"/>
    <n v="4000"/>
    <n v="1750"/>
    <n v="0"/>
    <m/>
    <x v="30"/>
  </r>
  <r>
    <x v="108"/>
    <s v="rom_fact_separatist_balchoth"/>
    <n v="0"/>
    <x v="11"/>
    <n v="0"/>
    <n v="4000"/>
    <n v="1750"/>
    <n v="0"/>
    <m/>
    <x v="30"/>
  </r>
  <r>
    <x v="108"/>
    <s v="rom_fact_separatist_feredrim"/>
    <n v="0"/>
    <x v="11"/>
    <n v="0"/>
    <n v="4000"/>
    <n v="1750"/>
    <n v="0"/>
    <m/>
    <x v="30"/>
  </r>
  <r>
    <x v="108"/>
    <s v="rom_fact_separatist_haerrim"/>
    <n v="0"/>
    <x v="11"/>
    <n v="0"/>
    <n v="4000"/>
    <n v="1750"/>
    <n v="0"/>
    <m/>
    <x v="30"/>
  </r>
  <r>
    <x v="108"/>
    <s v="rom_fact_separatist_wainriders"/>
    <n v="0"/>
    <x v="11"/>
    <n v="0"/>
    <n v="4000"/>
    <n v="1750"/>
    <n v="0"/>
    <m/>
    <x v="30"/>
  </r>
  <r>
    <x v="108"/>
    <s v="rom_fact_separatist_rhurim"/>
    <n v="0"/>
    <x v="11"/>
    <n v="0"/>
    <n v="4000"/>
    <n v="1750"/>
    <n v="0"/>
    <m/>
    <x v="30"/>
  </r>
  <r>
    <x v="108"/>
    <s v="rom_fact_separatist_mahuds"/>
    <n v="0"/>
    <x v="11"/>
    <n v="0"/>
    <n v="4000"/>
    <n v="1750"/>
    <n v="0"/>
    <m/>
    <x v="30"/>
  </r>
  <r>
    <x v="108"/>
    <s v="rom_fact_separatist_umbar"/>
    <n v="0"/>
    <x v="11"/>
    <n v="0"/>
    <n v="4000"/>
    <n v="1750"/>
    <n v="0"/>
    <m/>
    <x v="30"/>
  </r>
  <r>
    <x v="109"/>
    <s v="rom_fact_mordor"/>
    <n v="580"/>
    <x v="24"/>
    <n v="400.1"/>
    <n v="8240"/>
    <n v="55611"/>
    <n v="3293"/>
    <m/>
    <x v="0"/>
  </r>
  <r>
    <x v="109"/>
    <s v="rom_fact_gondor"/>
    <n v="146"/>
    <x v="11"/>
    <n v="0"/>
    <n v="55420"/>
    <n v="2500"/>
    <n v="0"/>
    <m/>
    <x v="1"/>
  </r>
  <r>
    <x v="109"/>
    <s v="rom_fact_dale"/>
    <n v="199"/>
    <x v="11"/>
    <n v="0"/>
    <n v="10343"/>
    <n v="2500"/>
    <n v="0"/>
    <m/>
    <x v="2"/>
  </r>
  <r>
    <x v="109"/>
    <s v="rom_fact_erebor"/>
    <n v="200"/>
    <x v="11"/>
    <n v="0"/>
    <n v="10040"/>
    <n v="2500"/>
    <n v="0"/>
    <m/>
    <x v="3"/>
  </r>
  <r>
    <x v="109"/>
    <s v="rom_fact_rohan"/>
    <n v="157"/>
    <x v="11"/>
    <n v="0"/>
    <n v="6638"/>
    <n v="2500"/>
    <n v="0"/>
    <m/>
    <x v="4"/>
  </r>
  <r>
    <x v="109"/>
    <s v="rom_fact_dol_guldur"/>
    <n v="454"/>
    <x v="27"/>
    <n v="367.1"/>
    <n v="138033"/>
    <n v="52394"/>
    <n v="3821"/>
    <m/>
    <x v="5"/>
  </r>
  <r>
    <x v="109"/>
    <s v="rom_fact_anduin_vale"/>
    <n v="58"/>
    <x v="11"/>
    <n v="0"/>
    <n v="4515"/>
    <n v="2500"/>
    <n v="0"/>
    <m/>
    <x v="6"/>
  </r>
  <r>
    <x v="109"/>
    <s v="rom_fact_isengard"/>
    <n v="282"/>
    <x v="12"/>
    <n v="199.3"/>
    <n v="57422"/>
    <n v="31586"/>
    <n v="1758"/>
    <m/>
    <x v="7"/>
  </r>
  <r>
    <x v="109"/>
    <s v="rom_fact_woodland_realm"/>
    <n v="30"/>
    <x v="11"/>
    <n v="0"/>
    <n v="8475"/>
    <n v="2500"/>
    <n v="0"/>
    <m/>
    <x v="8"/>
  </r>
  <r>
    <x v="109"/>
    <s v="rom_fact_lothlorien"/>
    <n v="64"/>
    <x v="11"/>
    <n v="0"/>
    <n v="4721"/>
    <n v="2500"/>
    <n v="0"/>
    <m/>
    <x v="9"/>
  </r>
  <r>
    <x v="109"/>
    <s v="rom_fact_khand"/>
    <n v="0"/>
    <x v="11"/>
    <n v="0"/>
    <n v="4919"/>
    <n v="1750"/>
    <n v="0"/>
    <m/>
    <x v="10"/>
  </r>
  <r>
    <x v="109"/>
    <s v="rom_fact_umbar"/>
    <n v="20"/>
    <x v="4"/>
    <n v="243.8"/>
    <n v="61021"/>
    <n v="49417"/>
    <n v="3901"/>
    <m/>
    <x v="11"/>
  </r>
  <r>
    <x v="109"/>
    <s v="rom_fact_mahuds"/>
    <n v="0"/>
    <x v="11"/>
    <n v="0"/>
    <n v="9228"/>
    <n v="1750"/>
    <n v="0"/>
    <m/>
    <x v="12"/>
  </r>
  <r>
    <x v="109"/>
    <s v="rom_fact_harad"/>
    <n v="234"/>
    <x v="15"/>
    <n v="272.3"/>
    <n v="40643"/>
    <n v="40918"/>
    <n v="2311"/>
    <m/>
    <x v="13"/>
  </r>
  <r>
    <x v="109"/>
    <s v="rom_fact_dunland"/>
    <n v="284"/>
    <x v="2"/>
    <n v="258"/>
    <n v="167733"/>
    <n v="48243"/>
    <n v="2388"/>
    <m/>
    <x v="14"/>
  </r>
  <r>
    <x v="109"/>
    <s v="rom_fact_haerrim"/>
    <n v="0"/>
    <x v="11"/>
    <n v="0"/>
    <n v="5352"/>
    <n v="1750"/>
    <n v="0"/>
    <m/>
    <x v="15"/>
  </r>
  <r>
    <x v="109"/>
    <s v="rom_fact_goblins"/>
    <n v="576"/>
    <x v="29"/>
    <n v="473.79999999999899"/>
    <n v="175413"/>
    <n v="65886"/>
    <n v="6118"/>
    <m/>
    <x v="16"/>
  </r>
  <r>
    <x v="109"/>
    <s v="rom_fact_balchoth"/>
    <n v="0"/>
    <x v="11"/>
    <n v="0"/>
    <n v="4872"/>
    <n v="1750"/>
    <n v="0"/>
    <m/>
    <x v="17"/>
  </r>
  <r>
    <x v="109"/>
    <s v="rom_fact_rhurim"/>
    <n v="531"/>
    <x v="19"/>
    <n v="377.3"/>
    <n v="66790"/>
    <n v="44589"/>
    <n v="2797"/>
    <m/>
    <x v="18"/>
  </r>
  <r>
    <x v="109"/>
    <s v="rom_fact_feredrim"/>
    <n v="0"/>
    <x v="11"/>
    <n v="0"/>
    <n v="7360"/>
    <n v="1750"/>
    <n v="0"/>
    <m/>
    <x v="19"/>
  </r>
  <r>
    <x v="109"/>
    <s v="rom_fact_wainriders"/>
    <n v="0"/>
    <x v="11"/>
    <n v="0"/>
    <n v="6395"/>
    <n v="1750"/>
    <n v="0"/>
    <m/>
    <x v="20"/>
  </r>
  <r>
    <x v="109"/>
    <s v="rom_fact_blacklock"/>
    <n v="2"/>
    <x v="10"/>
    <n v="29.7"/>
    <n v="6393"/>
    <n v="6635"/>
    <n v="442"/>
    <m/>
    <x v="21"/>
  </r>
  <r>
    <x v="109"/>
    <s v="rom_fact_ironfist"/>
    <n v="5"/>
    <x v="10"/>
    <n v="32"/>
    <n v="577"/>
    <n v="6216"/>
    <n v="0"/>
    <m/>
    <x v="22"/>
  </r>
  <r>
    <x v="109"/>
    <s v="rom_fact_gundabad"/>
    <n v="245"/>
    <x v="11"/>
    <n v="0"/>
    <n v="9750"/>
    <n v="2500"/>
    <n v="0"/>
    <m/>
    <x v="23"/>
  </r>
  <r>
    <x v="109"/>
    <s v="rom_fact_rohan_scouts"/>
    <n v="0"/>
    <x v="11"/>
    <n v="3"/>
    <n v="127585"/>
    <n v="2354"/>
    <n v="0"/>
    <m/>
    <x v="24"/>
  </r>
  <r>
    <x v="109"/>
    <s v="rom_fact_northern_enedwaith"/>
    <n v="6"/>
    <x v="9"/>
    <n v="95"/>
    <n v="121239"/>
    <n v="21782"/>
    <n v="1098"/>
    <m/>
    <x v="25"/>
  </r>
  <r>
    <x v="109"/>
    <s v="rom_fact_southern_enedwaith"/>
    <n v="0"/>
    <x v="11"/>
    <n v="0"/>
    <n v="54023"/>
    <n v="1750"/>
    <n v="0"/>
    <m/>
    <x v="26"/>
  </r>
  <r>
    <x v="109"/>
    <s v="rom_fact_druedain"/>
    <n v="0"/>
    <x v="11"/>
    <n v="0"/>
    <n v="32146"/>
    <n v="1750"/>
    <n v="0"/>
    <m/>
    <x v="27"/>
  </r>
  <r>
    <x v="109"/>
    <s v="rom_fact_harondor"/>
    <n v="0"/>
    <x v="11"/>
    <n v="0"/>
    <n v="15146"/>
    <n v="1750"/>
    <n v="0"/>
    <m/>
    <x v="28"/>
  </r>
  <r>
    <x v="109"/>
    <s v="rom_fact_southron_nomads"/>
    <n v="0"/>
    <x v="11"/>
    <n v="0"/>
    <n v="4000"/>
    <n v="1750"/>
    <n v="0"/>
    <m/>
    <x v="29"/>
  </r>
  <r>
    <x v="109"/>
    <s v="rom_fact_separatist_harad"/>
    <n v="0"/>
    <x v="11"/>
    <n v="0"/>
    <n v="4000"/>
    <n v="1750"/>
    <n v="0"/>
    <m/>
    <x v="30"/>
  </r>
  <r>
    <x v="109"/>
    <s v="rom_fact_separatist_khand"/>
    <n v="0"/>
    <x v="11"/>
    <n v="0"/>
    <n v="4000"/>
    <n v="1750"/>
    <n v="0"/>
    <m/>
    <x v="30"/>
  </r>
  <r>
    <x v="109"/>
    <s v="rom_fact_separatist_balchoth"/>
    <n v="0"/>
    <x v="11"/>
    <n v="0"/>
    <n v="4000"/>
    <n v="1750"/>
    <n v="0"/>
    <m/>
    <x v="30"/>
  </r>
  <r>
    <x v="109"/>
    <s v="rom_fact_separatist_feredrim"/>
    <n v="0"/>
    <x v="11"/>
    <n v="0"/>
    <n v="4000"/>
    <n v="1750"/>
    <n v="0"/>
    <m/>
    <x v="30"/>
  </r>
  <r>
    <x v="109"/>
    <s v="rom_fact_separatist_haerrim"/>
    <n v="0"/>
    <x v="11"/>
    <n v="0"/>
    <n v="4000"/>
    <n v="1750"/>
    <n v="0"/>
    <m/>
    <x v="30"/>
  </r>
  <r>
    <x v="109"/>
    <s v="rom_fact_separatist_wainriders"/>
    <n v="0"/>
    <x v="11"/>
    <n v="0"/>
    <n v="4000"/>
    <n v="1750"/>
    <n v="0"/>
    <m/>
    <x v="30"/>
  </r>
  <r>
    <x v="109"/>
    <s v="rom_fact_separatist_rhurim"/>
    <n v="0"/>
    <x v="11"/>
    <n v="0"/>
    <n v="4000"/>
    <n v="1750"/>
    <n v="0"/>
    <m/>
    <x v="30"/>
  </r>
  <r>
    <x v="109"/>
    <s v="rom_fact_separatist_mahuds"/>
    <n v="0"/>
    <x v="11"/>
    <n v="0"/>
    <n v="4000"/>
    <n v="1750"/>
    <n v="0"/>
    <m/>
    <x v="30"/>
  </r>
  <r>
    <x v="109"/>
    <s v="rom_fact_separatist_umbar"/>
    <n v="0"/>
    <x v="11"/>
    <n v="0"/>
    <n v="4000"/>
    <n v="1750"/>
    <n v="0"/>
    <m/>
    <x v="30"/>
  </r>
  <r>
    <x v="110"/>
    <s v="rom_fact_mordor"/>
    <n v="581"/>
    <x v="22"/>
    <n v="390.4"/>
    <n v="8873"/>
    <n v="55637"/>
    <n v="3216"/>
    <m/>
    <x v="0"/>
  </r>
  <r>
    <x v="110"/>
    <s v="rom_fact_gondor"/>
    <n v="146"/>
    <x v="11"/>
    <n v="0"/>
    <n v="55420"/>
    <n v="2500"/>
    <n v="0"/>
    <m/>
    <x v="1"/>
  </r>
  <r>
    <x v="110"/>
    <s v="rom_fact_dale"/>
    <n v="199"/>
    <x v="11"/>
    <n v="0"/>
    <n v="10343"/>
    <n v="2500"/>
    <n v="0"/>
    <m/>
    <x v="2"/>
  </r>
  <r>
    <x v="110"/>
    <s v="rom_fact_erebor"/>
    <n v="200"/>
    <x v="11"/>
    <n v="0"/>
    <n v="10040"/>
    <n v="2500"/>
    <n v="0"/>
    <m/>
    <x v="3"/>
  </r>
  <r>
    <x v="110"/>
    <s v="rom_fact_rohan"/>
    <n v="157"/>
    <x v="11"/>
    <n v="0"/>
    <n v="6638"/>
    <n v="2500"/>
    <n v="0"/>
    <m/>
    <x v="4"/>
  </r>
  <r>
    <x v="110"/>
    <s v="rom_fact_dol_guldur"/>
    <n v="459"/>
    <x v="27"/>
    <n v="367.1"/>
    <n v="142402"/>
    <n v="51185"/>
    <n v="3831"/>
    <m/>
    <x v="5"/>
  </r>
  <r>
    <x v="110"/>
    <s v="rom_fact_anduin_vale"/>
    <n v="58"/>
    <x v="11"/>
    <n v="0"/>
    <n v="4515"/>
    <n v="2500"/>
    <n v="0"/>
    <m/>
    <x v="6"/>
  </r>
  <r>
    <x v="110"/>
    <s v="rom_fact_isengard"/>
    <n v="282"/>
    <x v="12"/>
    <n v="194.5"/>
    <n v="70121"/>
    <n v="30341"/>
    <n v="1757"/>
    <m/>
    <x v="7"/>
  </r>
  <r>
    <x v="110"/>
    <s v="rom_fact_woodland_realm"/>
    <n v="30"/>
    <x v="11"/>
    <n v="0"/>
    <n v="8475"/>
    <n v="2500"/>
    <n v="0"/>
    <m/>
    <x v="8"/>
  </r>
  <r>
    <x v="110"/>
    <s v="rom_fact_lothlorien"/>
    <n v="64"/>
    <x v="11"/>
    <n v="0"/>
    <n v="4721"/>
    <n v="2500"/>
    <n v="0"/>
    <m/>
    <x v="9"/>
  </r>
  <r>
    <x v="110"/>
    <s v="rom_fact_khand"/>
    <n v="0"/>
    <x v="11"/>
    <n v="0"/>
    <n v="4919"/>
    <n v="1750"/>
    <n v="0"/>
    <m/>
    <x v="10"/>
  </r>
  <r>
    <x v="110"/>
    <s v="rom_fact_umbar"/>
    <n v="19"/>
    <x v="16"/>
    <n v="241.8"/>
    <n v="54072"/>
    <n v="51518"/>
    <n v="3911"/>
    <m/>
    <x v="11"/>
  </r>
  <r>
    <x v="110"/>
    <s v="rom_fact_mahuds"/>
    <n v="0"/>
    <x v="11"/>
    <n v="0"/>
    <n v="9228"/>
    <n v="1750"/>
    <n v="0"/>
    <m/>
    <x v="12"/>
  </r>
  <r>
    <x v="110"/>
    <s v="rom_fact_harad"/>
    <n v="250"/>
    <x v="15"/>
    <n v="274.3"/>
    <n v="45361"/>
    <n v="41526"/>
    <n v="2321"/>
    <m/>
    <x v="13"/>
  </r>
  <r>
    <x v="110"/>
    <s v="rom_fact_dunland"/>
    <n v="284"/>
    <x v="2"/>
    <n v="253"/>
    <n v="159817"/>
    <n v="46229"/>
    <n v="2408"/>
    <m/>
    <x v="14"/>
  </r>
  <r>
    <x v="110"/>
    <s v="rom_fact_haerrim"/>
    <n v="0"/>
    <x v="11"/>
    <n v="0"/>
    <n v="5352"/>
    <n v="1750"/>
    <n v="0"/>
    <m/>
    <x v="15"/>
  </r>
  <r>
    <x v="110"/>
    <s v="rom_fact_goblins"/>
    <n v="581"/>
    <x v="29"/>
    <n v="503.1"/>
    <n v="185282"/>
    <n v="70116"/>
    <n v="6119"/>
    <m/>
    <x v="16"/>
  </r>
  <r>
    <x v="110"/>
    <s v="rom_fact_balchoth"/>
    <n v="0"/>
    <x v="11"/>
    <n v="0"/>
    <n v="4872"/>
    <n v="1750"/>
    <n v="0"/>
    <m/>
    <x v="17"/>
  </r>
  <r>
    <x v="110"/>
    <s v="rom_fact_rhurim"/>
    <n v="531"/>
    <x v="19"/>
    <n v="377.3"/>
    <n v="65451"/>
    <n v="44476"/>
    <n v="3009"/>
    <m/>
    <x v="18"/>
  </r>
  <r>
    <x v="110"/>
    <s v="rom_fact_feredrim"/>
    <n v="0"/>
    <x v="11"/>
    <n v="0"/>
    <n v="7360"/>
    <n v="1750"/>
    <n v="0"/>
    <m/>
    <x v="19"/>
  </r>
  <r>
    <x v="110"/>
    <s v="rom_fact_wainriders"/>
    <n v="0"/>
    <x v="11"/>
    <n v="0"/>
    <n v="6395"/>
    <n v="1750"/>
    <n v="0"/>
    <m/>
    <x v="20"/>
  </r>
  <r>
    <x v="110"/>
    <s v="rom_fact_blacklock"/>
    <n v="2"/>
    <x v="10"/>
    <n v="33"/>
    <n v="6130"/>
    <n v="7090"/>
    <n v="444"/>
    <m/>
    <x v="21"/>
  </r>
  <r>
    <x v="110"/>
    <s v="rom_fact_ironfist"/>
    <n v="5"/>
    <x v="10"/>
    <n v="29"/>
    <n v="785"/>
    <n v="5746"/>
    <n v="0"/>
    <m/>
    <x v="22"/>
  </r>
  <r>
    <x v="110"/>
    <s v="rom_fact_gundabad"/>
    <n v="245"/>
    <x v="11"/>
    <n v="0"/>
    <n v="9750"/>
    <n v="2500"/>
    <n v="0"/>
    <m/>
    <x v="23"/>
  </r>
  <r>
    <x v="110"/>
    <s v="rom_fact_rohan_scouts"/>
    <n v="0"/>
    <x v="11"/>
    <n v="3"/>
    <n v="128731"/>
    <n v="2354"/>
    <n v="0"/>
    <m/>
    <x v="24"/>
  </r>
  <r>
    <x v="110"/>
    <s v="rom_fact_northern_enedwaith"/>
    <n v="6"/>
    <x v="9"/>
    <n v="95"/>
    <n v="125553"/>
    <n v="22065"/>
    <n v="1106"/>
    <m/>
    <x v="25"/>
  </r>
  <r>
    <x v="110"/>
    <s v="rom_fact_southern_enedwaith"/>
    <n v="0"/>
    <x v="11"/>
    <n v="0"/>
    <n v="54023"/>
    <n v="1750"/>
    <n v="0"/>
    <m/>
    <x v="26"/>
  </r>
  <r>
    <x v="110"/>
    <s v="rom_fact_druedain"/>
    <n v="0"/>
    <x v="11"/>
    <n v="0"/>
    <n v="32146"/>
    <n v="1750"/>
    <n v="0"/>
    <m/>
    <x v="27"/>
  </r>
  <r>
    <x v="110"/>
    <s v="rom_fact_harondor"/>
    <n v="0"/>
    <x v="11"/>
    <n v="0"/>
    <n v="15146"/>
    <n v="1750"/>
    <n v="0"/>
    <m/>
    <x v="28"/>
  </r>
  <r>
    <x v="110"/>
    <s v="rom_fact_southron_nomads"/>
    <n v="0"/>
    <x v="11"/>
    <n v="0"/>
    <n v="4000"/>
    <n v="1750"/>
    <n v="0"/>
    <m/>
    <x v="29"/>
  </r>
  <r>
    <x v="110"/>
    <s v="rom_fact_separatist_harad"/>
    <n v="0"/>
    <x v="11"/>
    <n v="0"/>
    <n v="4000"/>
    <n v="1750"/>
    <n v="0"/>
    <m/>
    <x v="30"/>
  </r>
  <r>
    <x v="110"/>
    <s v="rom_fact_separatist_khand"/>
    <n v="0"/>
    <x v="11"/>
    <n v="0"/>
    <n v="4000"/>
    <n v="1750"/>
    <n v="0"/>
    <m/>
    <x v="30"/>
  </r>
  <r>
    <x v="110"/>
    <s v="rom_fact_separatist_balchoth"/>
    <n v="0"/>
    <x v="11"/>
    <n v="0"/>
    <n v="4000"/>
    <n v="1750"/>
    <n v="0"/>
    <m/>
    <x v="30"/>
  </r>
  <r>
    <x v="110"/>
    <s v="rom_fact_separatist_feredrim"/>
    <n v="0"/>
    <x v="11"/>
    <n v="0"/>
    <n v="4000"/>
    <n v="1750"/>
    <n v="0"/>
    <m/>
    <x v="30"/>
  </r>
  <r>
    <x v="110"/>
    <s v="rom_fact_separatist_haerrim"/>
    <n v="0"/>
    <x v="11"/>
    <n v="0"/>
    <n v="4000"/>
    <n v="1750"/>
    <n v="0"/>
    <m/>
    <x v="30"/>
  </r>
  <r>
    <x v="110"/>
    <s v="rom_fact_separatist_wainriders"/>
    <n v="0"/>
    <x v="11"/>
    <n v="0"/>
    <n v="4000"/>
    <n v="1750"/>
    <n v="0"/>
    <m/>
    <x v="30"/>
  </r>
  <r>
    <x v="110"/>
    <s v="rom_fact_separatist_rhurim"/>
    <n v="0"/>
    <x v="11"/>
    <n v="0"/>
    <n v="4000"/>
    <n v="1750"/>
    <n v="0"/>
    <m/>
    <x v="30"/>
  </r>
  <r>
    <x v="110"/>
    <s v="rom_fact_separatist_mahuds"/>
    <n v="0"/>
    <x v="11"/>
    <n v="0"/>
    <n v="4000"/>
    <n v="1750"/>
    <n v="0"/>
    <m/>
    <x v="30"/>
  </r>
  <r>
    <x v="110"/>
    <s v="rom_fact_separatist_umbar"/>
    <n v="0"/>
    <x v="11"/>
    <n v="0"/>
    <n v="4000"/>
    <n v="1750"/>
    <n v="0"/>
    <m/>
    <x v="30"/>
  </r>
  <r>
    <x v="111"/>
    <s v="rom_fact_mordor"/>
    <n v="581"/>
    <x v="22"/>
    <n v="401.4"/>
    <n v="9947"/>
    <n v="57365"/>
    <n v="3328"/>
    <m/>
    <x v="0"/>
  </r>
  <r>
    <x v="111"/>
    <s v="rom_fact_gondor"/>
    <n v="146"/>
    <x v="11"/>
    <n v="0"/>
    <n v="55420"/>
    <n v="2500"/>
    <n v="0"/>
    <m/>
    <x v="1"/>
  </r>
  <r>
    <x v="111"/>
    <s v="rom_fact_dale"/>
    <n v="199"/>
    <x v="11"/>
    <n v="0"/>
    <n v="10343"/>
    <n v="2500"/>
    <n v="0"/>
    <m/>
    <x v="2"/>
  </r>
  <r>
    <x v="111"/>
    <s v="rom_fact_erebor"/>
    <n v="200"/>
    <x v="11"/>
    <n v="0"/>
    <n v="10040"/>
    <n v="2500"/>
    <n v="0"/>
    <m/>
    <x v="3"/>
  </r>
  <r>
    <x v="111"/>
    <s v="rom_fact_rohan"/>
    <n v="157"/>
    <x v="11"/>
    <n v="0"/>
    <n v="6638"/>
    <n v="2500"/>
    <n v="0"/>
    <m/>
    <x v="4"/>
  </r>
  <r>
    <x v="111"/>
    <s v="rom_fact_dol_guldur"/>
    <n v="464"/>
    <x v="27"/>
    <n v="367.1"/>
    <n v="155794"/>
    <n v="52882"/>
    <n v="3840"/>
    <m/>
    <x v="5"/>
  </r>
  <r>
    <x v="111"/>
    <s v="rom_fact_anduin_vale"/>
    <n v="58"/>
    <x v="11"/>
    <n v="0"/>
    <n v="4515"/>
    <n v="2500"/>
    <n v="0"/>
    <m/>
    <x v="6"/>
  </r>
  <r>
    <x v="111"/>
    <s v="rom_fact_isengard"/>
    <n v="287"/>
    <x v="12"/>
    <n v="168.89999999999901"/>
    <n v="47268"/>
    <n v="28384"/>
    <n v="1752"/>
    <m/>
    <x v="7"/>
  </r>
  <r>
    <x v="111"/>
    <s v="rom_fact_woodland_realm"/>
    <n v="30"/>
    <x v="11"/>
    <n v="0"/>
    <n v="8475"/>
    <n v="2500"/>
    <n v="0"/>
    <m/>
    <x v="8"/>
  </r>
  <r>
    <x v="111"/>
    <s v="rom_fact_lothlorien"/>
    <n v="64"/>
    <x v="11"/>
    <n v="0"/>
    <n v="4721"/>
    <n v="2500"/>
    <n v="0"/>
    <m/>
    <x v="9"/>
  </r>
  <r>
    <x v="111"/>
    <s v="rom_fact_khand"/>
    <n v="0"/>
    <x v="11"/>
    <n v="0"/>
    <n v="4919"/>
    <n v="1750"/>
    <n v="0"/>
    <m/>
    <x v="10"/>
  </r>
  <r>
    <x v="111"/>
    <s v="rom_fact_umbar"/>
    <n v="19"/>
    <x v="16"/>
    <n v="244.8"/>
    <n v="62069"/>
    <n v="49771"/>
    <n v="3981"/>
    <m/>
    <x v="11"/>
  </r>
  <r>
    <x v="111"/>
    <s v="rom_fact_mahuds"/>
    <n v="0"/>
    <x v="11"/>
    <n v="0"/>
    <n v="9228"/>
    <n v="1750"/>
    <n v="0"/>
    <m/>
    <x v="12"/>
  </r>
  <r>
    <x v="111"/>
    <s v="rom_fact_harad"/>
    <n v="250"/>
    <x v="15"/>
    <n v="235.3"/>
    <n v="39139"/>
    <n v="36242"/>
    <n v="2490"/>
    <m/>
    <x v="13"/>
  </r>
  <r>
    <x v="111"/>
    <s v="rom_fact_dunland"/>
    <n v="284"/>
    <x v="2"/>
    <n v="253"/>
    <n v="159204"/>
    <n v="47182"/>
    <n v="2565"/>
    <m/>
    <x v="14"/>
  </r>
  <r>
    <x v="111"/>
    <s v="rom_fact_haerrim"/>
    <n v="0"/>
    <x v="11"/>
    <n v="0"/>
    <n v="5352"/>
    <n v="1750"/>
    <n v="0"/>
    <m/>
    <x v="15"/>
  </r>
  <r>
    <x v="111"/>
    <s v="rom_fact_goblins"/>
    <n v="581"/>
    <x v="29"/>
    <n v="515.5"/>
    <n v="196194"/>
    <n v="71086"/>
    <n v="6117"/>
    <m/>
    <x v="16"/>
  </r>
  <r>
    <x v="111"/>
    <s v="rom_fact_balchoth"/>
    <n v="0"/>
    <x v="11"/>
    <n v="0"/>
    <n v="4872"/>
    <n v="1750"/>
    <n v="0"/>
    <m/>
    <x v="17"/>
  </r>
  <r>
    <x v="111"/>
    <s v="rom_fact_rhurim"/>
    <n v="539"/>
    <x v="19"/>
    <n v="368.9"/>
    <n v="72020"/>
    <n v="45493"/>
    <n v="3025"/>
    <m/>
    <x v="18"/>
  </r>
  <r>
    <x v="111"/>
    <s v="rom_fact_feredrim"/>
    <n v="0"/>
    <x v="11"/>
    <n v="0"/>
    <n v="7360"/>
    <n v="1750"/>
    <n v="0"/>
    <m/>
    <x v="19"/>
  </r>
  <r>
    <x v="111"/>
    <s v="rom_fact_wainriders"/>
    <n v="0"/>
    <x v="11"/>
    <n v="0"/>
    <n v="6395"/>
    <n v="1750"/>
    <n v="0"/>
    <m/>
    <x v="20"/>
  </r>
  <r>
    <x v="111"/>
    <s v="rom_fact_blacklock"/>
    <n v="2"/>
    <x v="10"/>
    <n v="35.200000000000003"/>
    <n v="8234"/>
    <n v="7109"/>
    <n v="443"/>
    <m/>
    <x v="21"/>
  </r>
  <r>
    <x v="111"/>
    <s v="rom_fact_ironfist"/>
    <n v="5"/>
    <x v="10"/>
    <n v="17"/>
    <n v="3259"/>
    <n v="3444"/>
    <n v="0"/>
    <m/>
    <x v="22"/>
  </r>
  <r>
    <x v="111"/>
    <s v="rom_fact_gundabad"/>
    <n v="245"/>
    <x v="11"/>
    <n v="0"/>
    <n v="9750"/>
    <n v="2500"/>
    <n v="0"/>
    <m/>
    <x v="23"/>
  </r>
  <r>
    <x v="111"/>
    <s v="rom_fact_rohan_scouts"/>
    <n v="0"/>
    <x v="11"/>
    <n v="3"/>
    <n v="129877"/>
    <n v="2354"/>
    <n v="0"/>
    <m/>
    <x v="24"/>
  </r>
  <r>
    <x v="111"/>
    <s v="rom_fact_northern_enedwaith"/>
    <n v="6"/>
    <x v="9"/>
    <n v="95"/>
    <n v="125177"/>
    <n v="22066"/>
    <n v="1107"/>
    <m/>
    <x v="25"/>
  </r>
  <r>
    <x v="111"/>
    <s v="rom_fact_southern_enedwaith"/>
    <n v="0"/>
    <x v="11"/>
    <n v="0"/>
    <n v="54023"/>
    <n v="1750"/>
    <n v="0"/>
    <m/>
    <x v="26"/>
  </r>
  <r>
    <x v="111"/>
    <s v="rom_fact_druedain"/>
    <n v="0"/>
    <x v="11"/>
    <n v="0"/>
    <n v="32146"/>
    <n v="1750"/>
    <n v="0"/>
    <m/>
    <x v="27"/>
  </r>
  <r>
    <x v="111"/>
    <s v="rom_fact_harondor"/>
    <n v="0"/>
    <x v="11"/>
    <n v="0"/>
    <n v="15146"/>
    <n v="1750"/>
    <n v="0"/>
    <m/>
    <x v="28"/>
  </r>
  <r>
    <x v="111"/>
    <s v="rom_fact_southron_nomads"/>
    <n v="0"/>
    <x v="11"/>
    <n v="0"/>
    <n v="4000"/>
    <n v="1750"/>
    <n v="0"/>
    <m/>
    <x v="29"/>
  </r>
  <r>
    <x v="111"/>
    <s v="rom_fact_separatist_harad"/>
    <n v="0"/>
    <x v="11"/>
    <n v="0"/>
    <n v="4000"/>
    <n v="1750"/>
    <n v="0"/>
    <m/>
    <x v="30"/>
  </r>
  <r>
    <x v="111"/>
    <s v="rom_fact_separatist_khand"/>
    <n v="0"/>
    <x v="11"/>
    <n v="0"/>
    <n v="4000"/>
    <n v="1750"/>
    <n v="0"/>
    <m/>
    <x v="30"/>
  </r>
  <r>
    <x v="111"/>
    <s v="rom_fact_separatist_balchoth"/>
    <n v="0"/>
    <x v="11"/>
    <n v="0"/>
    <n v="4000"/>
    <n v="1750"/>
    <n v="0"/>
    <m/>
    <x v="30"/>
  </r>
  <r>
    <x v="111"/>
    <s v="rom_fact_separatist_feredrim"/>
    <n v="0"/>
    <x v="11"/>
    <n v="0"/>
    <n v="4000"/>
    <n v="1750"/>
    <n v="0"/>
    <m/>
    <x v="30"/>
  </r>
  <r>
    <x v="111"/>
    <s v="rom_fact_separatist_haerrim"/>
    <n v="0"/>
    <x v="11"/>
    <n v="0"/>
    <n v="4000"/>
    <n v="1750"/>
    <n v="0"/>
    <m/>
    <x v="30"/>
  </r>
  <r>
    <x v="111"/>
    <s v="rom_fact_separatist_wainriders"/>
    <n v="0"/>
    <x v="11"/>
    <n v="0"/>
    <n v="4000"/>
    <n v="1750"/>
    <n v="0"/>
    <m/>
    <x v="30"/>
  </r>
  <r>
    <x v="111"/>
    <s v="rom_fact_separatist_rhurim"/>
    <n v="0"/>
    <x v="11"/>
    <n v="0"/>
    <n v="4000"/>
    <n v="1750"/>
    <n v="0"/>
    <m/>
    <x v="30"/>
  </r>
  <r>
    <x v="111"/>
    <s v="rom_fact_separatist_mahuds"/>
    <n v="0"/>
    <x v="11"/>
    <n v="0"/>
    <n v="4000"/>
    <n v="1750"/>
    <n v="0"/>
    <m/>
    <x v="30"/>
  </r>
  <r>
    <x v="111"/>
    <s v="rom_fact_separatist_umbar"/>
    <n v="0"/>
    <x v="11"/>
    <n v="0"/>
    <n v="4000"/>
    <n v="1750"/>
    <n v="0"/>
    <m/>
    <x v="30"/>
  </r>
  <r>
    <x v="112"/>
    <s v="rom_fact_mordor"/>
    <n v="582"/>
    <x v="23"/>
    <n v="416.4"/>
    <n v="3033"/>
    <n v="60855"/>
    <n v="3558"/>
    <m/>
    <x v="0"/>
  </r>
  <r>
    <x v="112"/>
    <s v="rom_fact_gondor"/>
    <n v="146"/>
    <x v="11"/>
    <n v="0"/>
    <n v="55420"/>
    <n v="2500"/>
    <n v="0"/>
    <m/>
    <x v="1"/>
  </r>
  <r>
    <x v="112"/>
    <s v="rom_fact_dale"/>
    <n v="199"/>
    <x v="11"/>
    <n v="0"/>
    <n v="10343"/>
    <n v="2500"/>
    <n v="0"/>
    <m/>
    <x v="2"/>
  </r>
  <r>
    <x v="112"/>
    <s v="rom_fact_erebor"/>
    <n v="200"/>
    <x v="11"/>
    <n v="0"/>
    <n v="10040"/>
    <n v="2500"/>
    <n v="0"/>
    <m/>
    <x v="3"/>
  </r>
  <r>
    <x v="112"/>
    <s v="rom_fact_rohan"/>
    <n v="157"/>
    <x v="11"/>
    <n v="0"/>
    <n v="6638"/>
    <n v="2500"/>
    <n v="0"/>
    <m/>
    <x v="4"/>
  </r>
  <r>
    <x v="112"/>
    <s v="rom_fact_dol_guldur"/>
    <n v="464"/>
    <x v="27"/>
    <n v="323.10000000000002"/>
    <n v="183448"/>
    <n v="44921"/>
    <n v="3533"/>
    <m/>
    <x v="5"/>
  </r>
  <r>
    <x v="112"/>
    <s v="rom_fact_anduin_vale"/>
    <n v="58"/>
    <x v="11"/>
    <n v="0"/>
    <n v="4515"/>
    <n v="2500"/>
    <n v="0"/>
    <m/>
    <x v="6"/>
  </r>
  <r>
    <x v="112"/>
    <s v="rom_fact_isengard"/>
    <n v="286"/>
    <x v="13"/>
    <n v="173.8"/>
    <n v="33340"/>
    <n v="28092"/>
    <n v="1548"/>
    <m/>
    <x v="7"/>
  </r>
  <r>
    <x v="112"/>
    <s v="rom_fact_woodland_realm"/>
    <n v="30"/>
    <x v="11"/>
    <n v="0"/>
    <n v="8475"/>
    <n v="2500"/>
    <n v="0"/>
    <m/>
    <x v="8"/>
  </r>
  <r>
    <x v="112"/>
    <s v="rom_fact_lothlorien"/>
    <n v="64"/>
    <x v="11"/>
    <n v="0"/>
    <n v="4721"/>
    <n v="2500"/>
    <n v="0"/>
    <m/>
    <x v="9"/>
  </r>
  <r>
    <x v="112"/>
    <s v="rom_fact_khand"/>
    <n v="0"/>
    <x v="11"/>
    <n v="0"/>
    <n v="4919"/>
    <n v="1750"/>
    <n v="0"/>
    <m/>
    <x v="10"/>
  </r>
  <r>
    <x v="112"/>
    <s v="rom_fact_umbar"/>
    <n v="19"/>
    <x v="16"/>
    <n v="247.8"/>
    <n v="74807"/>
    <n v="50284"/>
    <n v="3992"/>
    <m/>
    <x v="11"/>
  </r>
  <r>
    <x v="112"/>
    <s v="rom_fact_mahuds"/>
    <n v="0"/>
    <x v="11"/>
    <n v="0"/>
    <n v="9228"/>
    <n v="1750"/>
    <n v="0"/>
    <m/>
    <x v="12"/>
  </r>
  <r>
    <x v="112"/>
    <s v="rom_fact_harad"/>
    <n v="255"/>
    <x v="15"/>
    <n v="244.6"/>
    <n v="46441"/>
    <n v="37100"/>
    <n v="2500"/>
    <m/>
    <x v="13"/>
  </r>
  <r>
    <x v="112"/>
    <s v="rom_fact_dunland"/>
    <n v="289"/>
    <x v="2"/>
    <n v="253"/>
    <n v="137058"/>
    <n v="49175"/>
    <n v="2727"/>
    <m/>
    <x v="14"/>
  </r>
  <r>
    <x v="112"/>
    <s v="rom_fact_haerrim"/>
    <n v="0"/>
    <x v="11"/>
    <n v="0"/>
    <n v="5352"/>
    <n v="1750"/>
    <n v="0"/>
    <m/>
    <x v="15"/>
  </r>
  <r>
    <x v="112"/>
    <s v="rom_fact_goblins"/>
    <n v="581"/>
    <x v="29"/>
    <n v="522.5"/>
    <n v="185501"/>
    <n v="71150"/>
    <n v="5332"/>
    <m/>
    <x v="16"/>
  </r>
  <r>
    <x v="112"/>
    <s v="rom_fact_balchoth"/>
    <n v="0"/>
    <x v="11"/>
    <n v="0"/>
    <n v="4872"/>
    <n v="1750"/>
    <n v="0"/>
    <m/>
    <x v="17"/>
  </r>
  <r>
    <x v="112"/>
    <s v="rom_fact_rhurim"/>
    <n v="547"/>
    <x v="19"/>
    <n v="368.6"/>
    <n v="62177"/>
    <n v="44561"/>
    <n v="3034"/>
    <m/>
    <x v="18"/>
  </r>
  <r>
    <x v="112"/>
    <s v="rom_fact_feredrim"/>
    <n v="0"/>
    <x v="11"/>
    <n v="0"/>
    <n v="7360"/>
    <n v="1750"/>
    <n v="0"/>
    <m/>
    <x v="19"/>
  </r>
  <r>
    <x v="112"/>
    <s v="rom_fact_wainriders"/>
    <n v="0"/>
    <x v="11"/>
    <n v="0"/>
    <n v="6395"/>
    <n v="1750"/>
    <n v="0"/>
    <m/>
    <x v="20"/>
  </r>
  <r>
    <x v="112"/>
    <s v="rom_fact_blacklock"/>
    <n v="2"/>
    <x v="10"/>
    <n v="41.2"/>
    <n v="5984"/>
    <n v="7110"/>
    <n v="443"/>
    <m/>
    <x v="21"/>
  </r>
  <r>
    <x v="112"/>
    <s v="rom_fact_ironfist"/>
    <n v="5"/>
    <x v="10"/>
    <n v="17"/>
    <n v="6022"/>
    <n v="3847"/>
    <n v="0"/>
    <m/>
    <x v="22"/>
  </r>
  <r>
    <x v="112"/>
    <s v="rom_fact_gundabad"/>
    <n v="245"/>
    <x v="11"/>
    <n v="0"/>
    <n v="9750"/>
    <n v="2500"/>
    <n v="0"/>
    <m/>
    <x v="23"/>
  </r>
  <r>
    <x v="112"/>
    <s v="rom_fact_rohan_scouts"/>
    <n v="0"/>
    <x v="11"/>
    <n v="3"/>
    <n v="131023"/>
    <n v="2354"/>
    <n v="0"/>
    <m/>
    <x v="24"/>
  </r>
  <r>
    <x v="112"/>
    <s v="rom_fact_northern_enedwaith"/>
    <n v="6"/>
    <x v="9"/>
    <n v="95"/>
    <n v="129635"/>
    <n v="21946"/>
    <n v="1119"/>
    <m/>
    <x v="25"/>
  </r>
  <r>
    <x v="112"/>
    <s v="rom_fact_southern_enedwaith"/>
    <n v="0"/>
    <x v="11"/>
    <n v="0"/>
    <n v="54023"/>
    <n v="1750"/>
    <n v="0"/>
    <m/>
    <x v="26"/>
  </r>
  <r>
    <x v="112"/>
    <s v="rom_fact_druedain"/>
    <n v="0"/>
    <x v="11"/>
    <n v="0"/>
    <n v="32146"/>
    <n v="1750"/>
    <n v="0"/>
    <m/>
    <x v="27"/>
  </r>
  <r>
    <x v="112"/>
    <s v="rom_fact_harondor"/>
    <n v="0"/>
    <x v="11"/>
    <n v="0"/>
    <n v="15146"/>
    <n v="1750"/>
    <n v="0"/>
    <m/>
    <x v="28"/>
  </r>
  <r>
    <x v="112"/>
    <s v="rom_fact_southron_nomads"/>
    <n v="0"/>
    <x v="11"/>
    <n v="0"/>
    <n v="4000"/>
    <n v="1750"/>
    <n v="0"/>
    <m/>
    <x v="29"/>
  </r>
  <r>
    <x v="112"/>
    <s v="rom_fact_separatist_harad"/>
    <n v="0"/>
    <x v="11"/>
    <n v="0"/>
    <n v="4000"/>
    <n v="1750"/>
    <n v="0"/>
    <m/>
    <x v="30"/>
  </r>
  <r>
    <x v="112"/>
    <s v="rom_fact_separatist_khand"/>
    <n v="0"/>
    <x v="11"/>
    <n v="0"/>
    <n v="4000"/>
    <n v="1750"/>
    <n v="0"/>
    <m/>
    <x v="30"/>
  </r>
  <r>
    <x v="112"/>
    <s v="rom_fact_separatist_balchoth"/>
    <n v="0"/>
    <x v="11"/>
    <n v="0"/>
    <n v="4000"/>
    <n v="1750"/>
    <n v="0"/>
    <m/>
    <x v="30"/>
  </r>
  <r>
    <x v="112"/>
    <s v="rom_fact_separatist_feredrim"/>
    <n v="0"/>
    <x v="11"/>
    <n v="0"/>
    <n v="4000"/>
    <n v="1750"/>
    <n v="0"/>
    <m/>
    <x v="30"/>
  </r>
  <r>
    <x v="112"/>
    <s v="rom_fact_separatist_haerrim"/>
    <n v="0"/>
    <x v="11"/>
    <n v="0"/>
    <n v="4000"/>
    <n v="1750"/>
    <n v="0"/>
    <m/>
    <x v="30"/>
  </r>
  <r>
    <x v="112"/>
    <s v="rom_fact_separatist_wainriders"/>
    <n v="0"/>
    <x v="11"/>
    <n v="0"/>
    <n v="4000"/>
    <n v="1750"/>
    <n v="0"/>
    <m/>
    <x v="30"/>
  </r>
  <r>
    <x v="112"/>
    <s v="rom_fact_separatist_rhurim"/>
    <n v="0"/>
    <x v="11"/>
    <n v="0"/>
    <n v="4000"/>
    <n v="1750"/>
    <n v="0"/>
    <m/>
    <x v="30"/>
  </r>
  <r>
    <x v="112"/>
    <s v="rom_fact_separatist_mahuds"/>
    <n v="0"/>
    <x v="11"/>
    <n v="0"/>
    <n v="4000"/>
    <n v="1750"/>
    <n v="0"/>
    <m/>
    <x v="30"/>
  </r>
  <r>
    <x v="112"/>
    <s v="rom_fact_separatist_umbar"/>
    <n v="0"/>
    <x v="11"/>
    <n v="0"/>
    <n v="4000"/>
    <n v="1750"/>
    <n v="0"/>
    <m/>
    <x v="30"/>
  </r>
  <r>
    <x v="113"/>
    <s v="rom_fact_mordor"/>
    <n v="592"/>
    <x v="26"/>
    <n v="438.4"/>
    <n v="5012"/>
    <n v="62049"/>
    <n v="3572"/>
    <m/>
    <x v="0"/>
  </r>
  <r>
    <x v="113"/>
    <s v="rom_fact_gondor"/>
    <n v="146"/>
    <x v="11"/>
    <n v="0"/>
    <n v="55420"/>
    <n v="2500"/>
    <n v="0"/>
    <m/>
    <x v="1"/>
  </r>
  <r>
    <x v="113"/>
    <s v="rom_fact_dale"/>
    <n v="199"/>
    <x v="11"/>
    <n v="0"/>
    <n v="10343"/>
    <n v="2500"/>
    <n v="0"/>
    <m/>
    <x v="2"/>
  </r>
  <r>
    <x v="113"/>
    <s v="rom_fact_erebor"/>
    <n v="200"/>
    <x v="11"/>
    <n v="0"/>
    <n v="10040"/>
    <n v="2500"/>
    <n v="0"/>
    <m/>
    <x v="3"/>
  </r>
  <r>
    <x v="113"/>
    <s v="rom_fact_rohan"/>
    <n v="157"/>
    <x v="11"/>
    <n v="0"/>
    <n v="6638"/>
    <n v="2500"/>
    <n v="0"/>
    <m/>
    <x v="4"/>
  </r>
  <r>
    <x v="113"/>
    <s v="rom_fact_dol_guldur"/>
    <n v="464"/>
    <x v="27"/>
    <n v="323.10000000000002"/>
    <n v="200205"/>
    <n v="46798"/>
    <n v="3540"/>
    <m/>
    <x v="5"/>
  </r>
  <r>
    <x v="113"/>
    <s v="rom_fact_anduin_vale"/>
    <n v="58"/>
    <x v="11"/>
    <n v="0"/>
    <n v="4515"/>
    <n v="2500"/>
    <n v="0"/>
    <m/>
    <x v="6"/>
  </r>
  <r>
    <x v="113"/>
    <s v="rom_fact_isengard"/>
    <n v="286"/>
    <x v="13"/>
    <n v="186"/>
    <n v="26165"/>
    <n v="28650"/>
    <n v="1547"/>
    <m/>
    <x v="7"/>
  </r>
  <r>
    <x v="113"/>
    <s v="rom_fact_woodland_realm"/>
    <n v="30"/>
    <x v="11"/>
    <n v="0"/>
    <n v="8475"/>
    <n v="2500"/>
    <n v="0"/>
    <m/>
    <x v="8"/>
  </r>
  <r>
    <x v="113"/>
    <s v="rom_fact_lothlorien"/>
    <n v="64"/>
    <x v="11"/>
    <n v="0"/>
    <n v="4721"/>
    <n v="2500"/>
    <n v="0"/>
    <m/>
    <x v="9"/>
  </r>
  <r>
    <x v="113"/>
    <s v="rom_fact_khand"/>
    <n v="0"/>
    <x v="11"/>
    <n v="0"/>
    <n v="4919"/>
    <n v="1750"/>
    <n v="0"/>
    <m/>
    <x v="10"/>
  </r>
  <r>
    <x v="113"/>
    <s v="rom_fact_umbar"/>
    <n v="19"/>
    <x v="16"/>
    <n v="247.8"/>
    <n v="86815"/>
    <n v="50794"/>
    <n v="4002"/>
    <m/>
    <x v="11"/>
  </r>
  <r>
    <x v="113"/>
    <s v="rom_fact_mahuds"/>
    <n v="0"/>
    <x v="11"/>
    <n v="0"/>
    <n v="9228"/>
    <n v="1750"/>
    <n v="0"/>
    <m/>
    <x v="12"/>
  </r>
  <r>
    <x v="113"/>
    <s v="rom_fact_harad"/>
    <n v="255"/>
    <x v="15"/>
    <n v="227.5"/>
    <n v="41985"/>
    <n v="36327"/>
    <n v="2591"/>
    <m/>
    <x v="13"/>
  </r>
  <r>
    <x v="113"/>
    <s v="rom_fact_dunland"/>
    <n v="289"/>
    <x v="2"/>
    <n v="247"/>
    <n v="140063"/>
    <n v="48687"/>
    <n v="2726"/>
    <m/>
    <x v="14"/>
  </r>
  <r>
    <x v="113"/>
    <s v="rom_fact_haerrim"/>
    <n v="0"/>
    <x v="11"/>
    <n v="0"/>
    <n v="5352"/>
    <n v="1750"/>
    <n v="0"/>
    <m/>
    <x v="15"/>
  </r>
  <r>
    <x v="113"/>
    <s v="rom_fact_goblins"/>
    <n v="579"/>
    <x v="28"/>
    <n v="518.5"/>
    <n v="189122"/>
    <n v="72188"/>
    <n v="5329"/>
    <m/>
    <x v="16"/>
  </r>
  <r>
    <x v="113"/>
    <s v="rom_fact_balchoth"/>
    <n v="0"/>
    <x v="11"/>
    <n v="0"/>
    <n v="4872"/>
    <n v="1750"/>
    <n v="0"/>
    <m/>
    <x v="17"/>
  </r>
  <r>
    <x v="113"/>
    <s v="rom_fact_rhurim"/>
    <n v="555"/>
    <x v="19"/>
    <n v="391"/>
    <n v="74400"/>
    <n v="44156"/>
    <n v="2943"/>
    <m/>
    <x v="18"/>
  </r>
  <r>
    <x v="113"/>
    <s v="rom_fact_feredrim"/>
    <n v="0"/>
    <x v="11"/>
    <n v="0"/>
    <n v="7360"/>
    <n v="1750"/>
    <n v="0"/>
    <m/>
    <x v="19"/>
  </r>
  <r>
    <x v="113"/>
    <s v="rom_fact_wainriders"/>
    <n v="0"/>
    <x v="11"/>
    <n v="0"/>
    <n v="6395"/>
    <n v="1750"/>
    <n v="0"/>
    <m/>
    <x v="20"/>
  </r>
  <r>
    <x v="113"/>
    <s v="rom_fact_blacklock"/>
    <n v="2"/>
    <x v="10"/>
    <n v="43.4"/>
    <n v="7251"/>
    <n v="7326"/>
    <n v="446"/>
    <m/>
    <x v="21"/>
  </r>
  <r>
    <x v="113"/>
    <s v="rom_fact_ironfist"/>
    <n v="5"/>
    <x v="10"/>
    <n v="17"/>
    <n v="6064"/>
    <n v="3915"/>
    <n v="0"/>
    <m/>
    <x v="22"/>
  </r>
  <r>
    <x v="113"/>
    <s v="rom_fact_gundabad"/>
    <n v="245"/>
    <x v="11"/>
    <n v="0"/>
    <n v="9750"/>
    <n v="2500"/>
    <n v="0"/>
    <m/>
    <x v="23"/>
  </r>
  <r>
    <x v="113"/>
    <s v="rom_fact_rohan_scouts"/>
    <n v="0"/>
    <x v="11"/>
    <n v="3"/>
    <n v="132169"/>
    <n v="2354"/>
    <n v="0"/>
    <m/>
    <x v="24"/>
  </r>
  <r>
    <x v="113"/>
    <s v="rom_fact_northern_enedwaith"/>
    <n v="6"/>
    <x v="9"/>
    <n v="95"/>
    <n v="134097"/>
    <n v="21950"/>
    <n v="1123"/>
    <m/>
    <x v="25"/>
  </r>
  <r>
    <x v="113"/>
    <s v="rom_fact_southern_enedwaith"/>
    <n v="0"/>
    <x v="11"/>
    <n v="0"/>
    <n v="54023"/>
    <n v="1750"/>
    <n v="0"/>
    <m/>
    <x v="26"/>
  </r>
  <r>
    <x v="113"/>
    <s v="rom_fact_druedain"/>
    <n v="0"/>
    <x v="11"/>
    <n v="0"/>
    <n v="32146"/>
    <n v="1750"/>
    <n v="0"/>
    <m/>
    <x v="27"/>
  </r>
  <r>
    <x v="113"/>
    <s v="rom_fact_harondor"/>
    <n v="0"/>
    <x v="11"/>
    <n v="0"/>
    <n v="15146"/>
    <n v="1750"/>
    <n v="0"/>
    <m/>
    <x v="28"/>
  </r>
  <r>
    <x v="113"/>
    <s v="rom_fact_southron_nomads"/>
    <n v="0"/>
    <x v="11"/>
    <n v="0"/>
    <n v="4000"/>
    <n v="1750"/>
    <n v="0"/>
    <m/>
    <x v="29"/>
  </r>
  <r>
    <x v="113"/>
    <s v="rom_fact_separatist_harad"/>
    <n v="0"/>
    <x v="11"/>
    <n v="0"/>
    <n v="4000"/>
    <n v="1750"/>
    <n v="0"/>
    <m/>
    <x v="30"/>
  </r>
  <r>
    <x v="113"/>
    <s v="rom_fact_separatist_khand"/>
    <n v="0"/>
    <x v="11"/>
    <n v="0"/>
    <n v="4000"/>
    <n v="1750"/>
    <n v="0"/>
    <m/>
    <x v="30"/>
  </r>
  <r>
    <x v="113"/>
    <s v="rom_fact_separatist_balchoth"/>
    <n v="0"/>
    <x v="11"/>
    <n v="0"/>
    <n v="4000"/>
    <n v="1750"/>
    <n v="0"/>
    <m/>
    <x v="30"/>
  </r>
  <r>
    <x v="113"/>
    <s v="rom_fact_separatist_feredrim"/>
    <n v="0"/>
    <x v="11"/>
    <n v="0"/>
    <n v="4000"/>
    <n v="1750"/>
    <n v="0"/>
    <m/>
    <x v="30"/>
  </r>
  <r>
    <x v="113"/>
    <s v="rom_fact_separatist_haerrim"/>
    <n v="0"/>
    <x v="11"/>
    <n v="0"/>
    <n v="4000"/>
    <n v="1750"/>
    <n v="0"/>
    <m/>
    <x v="30"/>
  </r>
  <r>
    <x v="113"/>
    <s v="rom_fact_separatist_wainriders"/>
    <n v="0"/>
    <x v="11"/>
    <n v="0"/>
    <n v="4000"/>
    <n v="1750"/>
    <n v="0"/>
    <m/>
    <x v="30"/>
  </r>
  <r>
    <x v="113"/>
    <s v="rom_fact_separatist_rhurim"/>
    <n v="0"/>
    <x v="11"/>
    <n v="0"/>
    <n v="4000"/>
    <n v="1750"/>
    <n v="0"/>
    <m/>
    <x v="30"/>
  </r>
  <r>
    <x v="113"/>
    <s v="rom_fact_separatist_mahuds"/>
    <n v="0"/>
    <x v="11"/>
    <n v="0"/>
    <n v="4000"/>
    <n v="1750"/>
    <n v="0"/>
    <m/>
    <x v="30"/>
  </r>
  <r>
    <x v="113"/>
    <s v="rom_fact_separatist_umbar"/>
    <n v="0"/>
    <x v="11"/>
    <n v="0"/>
    <n v="4000"/>
    <n v="1750"/>
    <n v="0"/>
    <m/>
    <x v="30"/>
  </r>
  <r>
    <x v="114"/>
    <s v="rom_fact_mordor"/>
    <n v="597"/>
    <x v="26"/>
    <n v="446.4"/>
    <n v="8216"/>
    <n v="62490"/>
    <n v="3801"/>
    <m/>
    <x v="0"/>
  </r>
  <r>
    <x v="114"/>
    <s v="rom_fact_gondor"/>
    <n v="146"/>
    <x v="11"/>
    <n v="0"/>
    <n v="55420"/>
    <n v="2500"/>
    <n v="0"/>
    <m/>
    <x v="1"/>
  </r>
  <r>
    <x v="114"/>
    <s v="rom_fact_dale"/>
    <n v="199"/>
    <x v="11"/>
    <n v="0"/>
    <n v="10343"/>
    <n v="2500"/>
    <n v="0"/>
    <m/>
    <x v="2"/>
  </r>
  <r>
    <x v="114"/>
    <s v="rom_fact_erebor"/>
    <n v="200"/>
    <x v="11"/>
    <n v="0"/>
    <n v="10040"/>
    <n v="2500"/>
    <n v="0"/>
    <m/>
    <x v="3"/>
  </r>
  <r>
    <x v="114"/>
    <s v="rom_fact_rohan"/>
    <n v="157"/>
    <x v="11"/>
    <n v="0"/>
    <n v="6638"/>
    <n v="2500"/>
    <n v="0"/>
    <m/>
    <x v="4"/>
  </r>
  <r>
    <x v="114"/>
    <s v="rom_fact_dol_guldur"/>
    <n v="466"/>
    <x v="28"/>
    <n v="325.10000000000002"/>
    <n v="210684"/>
    <n v="45901"/>
    <n v="1755"/>
    <m/>
    <x v="5"/>
  </r>
  <r>
    <x v="114"/>
    <s v="rom_fact_anduin_vale"/>
    <n v="58"/>
    <x v="11"/>
    <n v="0"/>
    <n v="4515"/>
    <n v="2500"/>
    <n v="0"/>
    <m/>
    <x v="6"/>
  </r>
  <r>
    <x v="114"/>
    <s v="rom_fact_isengard"/>
    <n v="284"/>
    <x v="5"/>
    <n v="179.2"/>
    <n v="23562"/>
    <n v="27584"/>
    <n v="1526"/>
    <m/>
    <x v="7"/>
  </r>
  <r>
    <x v="114"/>
    <s v="rom_fact_woodland_realm"/>
    <n v="30"/>
    <x v="11"/>
    <n v="0"/>
    <n v="8475"/>
    <n v="2500"/>
    <n v="0"/>
    <m/>
    <x v="8"/>
  </r>
  <r>
    <x v="114"/>
    <s v="rom_fact_lothlorien"/>
    <n v="64"/>
    <x v="11"/>
    <n v="0"/>
    <n v="4721"/>
    <n v="2500"/>
    <n v="0"/>
    <m/>
    <x v="9"/>
  </r>
  <r>
    <x v="114"/>
    <s v="rom_fact_khand"/>
    <n v="0"/>
    <x v="11"/>
    <n v="0"/>
    <n v="4919"/>
    <n v="1750"/>
    <n v="0"/>
    <m/>
    <x v="10"/>
  </r>
  <r>
    <x v="114"/>
    <s v="rom_fact_umbar"/>
    <n v="19"/>
    <x v="16"/>
    <n v="244.8"/>
    <n v="149792"/>
    <n v="47038"/>
    <n v="3983"/>
    <m/>
    <x v="11"/>
  </r>
  <r>
    <x v="114"/>
    <s v="rom_fact_mahuds"/>
    <n v="0"/>
    <x v="11"/>
    <n v="0"/>
    <n v="9228"/>
    <n v="1750"/>
    <n v="0"/>
    <m/>
    <x v="12"/>
  </r>
  <r>
    <x v="114"/>
    <s v="rom_fact_harad"/>
    <n v="262"/>
    <x v="4"/>
    <n v="239"/>
    <n v="41549"/>
    <n v="34099"/>
    <n v="2550"/>
    <m/>
    <x v="13"/>
  </r>
  <r>
    <x v="114"/>
    <s v="rom_fact_dunland"/>
    <n v="297"/>
    <x v="2"/>
    <n v="244.6"/>
    <n v="141671"/>
    <n v="46926"/>
    <n v="2809"/>
    <m/>
    <x v="14"/>
  </r>
  <r>
    <x v="114"/>
    <s v="rom_fact_haerrim"/>
    <n v="0"/>
    <x v="11"/>
    <n v="0"/>
    <n v="5352"/>
    <n v="1750"/>
    <n v="0"/>
    <m/>
    <x v="15"/>
  </r>
  <r>
    <x v="114"/>
    <s v="rom_fact_goblins"/>
    <n v="579"/>
    <x v="28"/>
    <n v="530.5"/>
    <n v="187277"/>
    <n v="67990"/>
    <n v="5295"/>
    <m/>
    <x v="16"/>
  </r>
  <r>
    <x v="114"/>
    <s v="rom_fact_balchoth"/>
    <n v="0"/>
    <x v="11"/>
    <n v="0"/>
    <n v="4872"/>
    <n v="1750"/>
    <n v="0"/>
    <m/>
    <x v="17"/>
  </r>
  <r>
    <x v="114"/>
    <s v="rom_fact_rhurim"/>
    <n v="562"/>
    <x v="30"/>
    <n v="416.7"/>
    <n v="64232"/>
    <n v="39983"/>
    <n v="0"/>
    <m/>
    <x v="18"/>
  </r>
  <r>
    <x v="114"/>
    <s v="rom_fact_feredrim"/>
    <n v="0"/>
    <x v="11"/>
    <n v="0"/>
    <n v="7360"/>
    <n v="1750"/>
    <n v="0"/>
    <m/>
    <x v="19"/>
  </r>
  <r>
    <x v="114"/>
    <s v="rom_fact_wainriders"/>
    <n v="0"/>
    <x v="11"/>
    <n v="0"/>
    <n v="6395"/>
    <n v="1750"/>
    <n v="0"/>
    <m/>
    <x v="20"/>
  </r>
  <r>
    <x v="114"/>
    <s v="rom_fact_blacklock"/>
    <n v="2"/>
    <x v="10"/>
    <n v="45.6"/>
    <n v="7854"/>
    <n v="7537"/>
    <n v="433"/>
    <m/>
    <x v="21"/>
  </r>
  <r>
    <x v="114"/>
    <s v="rom_fact_ironfist"/>
    <n v="5"/>
    <x v="10"/>
    <n v="17"/>
    <n v="7121"/>
    <n v="3693"/>
    <n v="0"/>
    <m/>
    <x v="22"/>
  </r>
  <r>
    <x v="114"/>
    <s v="rom_fact_gundabad"/>
    <n v="245"/>
    <x v="11"/>
    <n v="0"/>
    <n v="9750"/>
    <n v="2500"/>
    <n v="0"/>
    <m/>
    <x v="23"/>
  </r>
  <r>
    <x v="114"/>
    <s v="rom_fact_rohan_scouts"/>
    <n v="0"/>
    <x v="11"/>
    <n v="3"/>
    <n v="133315"/>
    <n v="2354"/>
    <n v="0"/>
    <m/>
    <x v="24"/>
  </r>
  <r>
    <x v="114"/>
    <s v="rom_fact_northern_enedwaith"/>
    <n v="6"/>
    <x v="9"/>
    <n v="95"/>
    <n v="138429"/>
    <n v="22083"/>
    <n v="1124"/>
    <m/>
    <x v="25"/>
  </r>
  <r>
    <x v="114"/>
    <s v="rom_fact_southern_enedwaith"/>
    <n v="0"/>
    <x v="11"/>
    <n v="0"/>
    <n v="54023"/>
    <n v="1750"/>
    <n v="0"/>
    <m/>
    <x v="26"/>
  </r>
  <r>
    <x v="114"/>
    <s v="rom_fact_druedain"/>
    <n v="0"/>
    <x v="11"/>
    <n v="0"/>
    <n v="32146"/>
    <n v="1750"/>
    <n v="0"/>
    <m/>
    <x v="27"/>
  </r>
  <r>
    <x v="114"/>
    <s v="rom_fact_harondor"/>
    <n v="0"/>
    <x v="11"/>
    <n v="0"/>
    <n v="15146"/>
    <n v="1750"/>
    <n v="0"/>
    <m/>
    <x v="28"/>
  </r>
  <r>
    <x v="114"/>
    <s v="rom_fact_southron_nomads"/>
    <n v="0"/>
    <x v="11"/>
    <n v="0"/>
    <n v="4000"/>
    <n v="1750"/>
    <n v="0"/>
    <m/>
    <x v="29"/>
  </r>
  <r>
    <x v="114"/>
    <s v="rom_fact_separatist_harad"/>
    <n v="0"/>
    <x v="11"/>
    <n v="0"/>
    <n v="4000"/>
    <n v="1750"/>
    <n v="0"/>
    <m/>
    <x v="30"/>
  </r>
  <r>
    <x v="114"/>
    <s v="rom_fact_separatist_khand"/>
    <n v="0"/>
    <x v="11"/>
    <n v="0"/>
    <n v="4000"/>
    <n v="1750"/>
    <n v="0"/>
    <m/>
    <x v="30"/>
  </r>
  <r>
    <x v="114"/>
    <s v="rom_fact_separatist_balchoth"/>
    <n v="0"/>
    <x v="11"/>
    <n v="0"/>
    <n v="4000"/>
    <n v="1750"/>
    <n v="0"/>
    <m/>
    <x v="30"/>
  </r>
  <r>
    <x v="114"/>
    <s v="rom_fact_separatist_feredrim"/>
    <n v="0"/>
    <x v="11"/>
    <n v="0"/>
    <n v="4000"/>
    <n v="1750"/>
    <n v="0"/>
    <m/>
    <x v="30"/>
  </r>
  <r>
    <x v="114"/>
    <s v="rom_fact_separatist_haerrim"/>
    <n v="0"/>
    <x v="11"/>
    <n v="0"/>
    <n v="4000"/>
    <n v="1750"/>
    <n v="0"/>
    <m/>
    <x v="30"/>
  </r>
  <r>
    <x v="114"/>
    <s v="rom_fact_separatist_wainriders"/>
    <n v="0"/>
    <x v="11"/>
    <n v="0"/>
    <n v="4000"/>
    <n v="1750"/>
    <n v="0"/>
    <m/>
    <x v="30"/>
  </r>
  <r>
    <x v="114"/>
    <s v="rom_fact_separatist_rhurim"/>
    <n v="0"/>
    <x v="11"/>
    <n v="0"/>
    <n v="4000"/>
    <n v="1750"/>
    <n v="0"/>
    <m/>
    <x v="30"/>
  </r>
  <r>
    <x v="114"/>
    <s v="rom_fact_separatist_mahuds"/>
    <n v="0"/>
    <x v="11"/>
    <n v="0"/>
    <n v="4000"/>
    <n v="1750"/>
    <n v="0"/>
    <m/>
    <x v="30"/>
  </r>
  <r>
    <x v="114"/>
    <s v="rom_fact_separatist_umbar"/>
    <n v="0"/>
    <x v="11"/>
    <n v="0"/>
    <n v="4000"/>
    <n v="1750"/>
    <n v="0"/>
    <m/>
    <x v="30"/>
  </r>
  <r>
    <x v="115"/>
    <s v="rom_fact_mordor"/>
    <n v="600"/>
    <x v="34"/>
    <n v="467.2"/>
    <n v="8455"/>
    <n v="63653"/>
    <n v="4422"/>
    <m/>
    <x v="0"/>
  </r>
  <r>
    <x v="115"/>
    <s v="rom_fact_gondor"/>
    <n v="146"/>
    <x v="11"/>
    <n v="0"/>
    <n v="55420"/>
    <n v="2500"/>
    <n v="0"/>
    <m/>
    <x v="1"/>
  </r>
  <r>
    <x v="115"/>
    <s v="rom_fact_dale"/>
    <n v="199"/>
    <x v="11"/>
    <n v="0"/>
    <n v="10343"/>
    <n v="2500"/>
    <n v="0"/>
    <m/>
    <x v="2"/>
  </r>
  <r>
    <x v="115"/>
    <s v="rom_fact_erebor"/>
    <n v="200"/>
    <x v="11"/>
    <n v="0"/>
    <n v="10040"/>
    <n v="2500"/>
    <n v="0"/>
    <m/>
    <x v="3"/>
  </r>
  <r>
    <x v="115"/>
    <s v="rom_fact_rohan"/>
    <n v="157"/>
    <x v="11"/>
    <n v="0"/>
    <n v="6638"/>
    <n v="2500"/>
    <n v="0"/>
    <m/>
    <x v="4"/>
  </r>
  <r>
    <x v="115"/>
    <s v="rom_fact_dol_guldur"/>
    <n v="471"/>
    <x v="28"/>
    <n v="325.10000000000002"/>
    <n v="206556"/>
    <n v="44003"/>
    <n v="1762"/>
    <m/>
    <x v="5"/>
  </r>
  <r>
    <x v="115"/>
    <s v="rom_fact_anduin_vale"/>
    <n v="58"/>
    <x v="11"/>
    <n v="0"/>
    <n v="4515"/>
    <n v="2500"/>
    <n v="0"/>
    <m/>
    <x v="6"/>
  </r>
  <r>
    <x v="115"/>
    <s v="rom_fact_isengard"/>
    <n v="297"/>
    <x v="5"/>
    <n v="179"/>
    <n v="30326"/>
    <n v="28453"/>
    <n v="1515"/>
    <m/>
    <x v="7"/>
  </r>
  <r>
    <x v="115"/>
    <s v="rom_fact_woodland_realm"/>
    <n v="30"/>
    <x v="11"/>
    <n v="0"/>
    <n v="8475"/>
    <n v="2500"/>
    <n v="0"/>
    <m/>
    <x v="8"/>
  </r>
  <r>
    <x v="115"/>
    <s v="rom_fact_lothlorien"/>
    <n v="64"/>
    <x v="11"/>
    <n v="0"/>
    <n v="4721"/>
    <n v="2500"/>
    <n v="0"/>
    <m/>
    <x v="9"/>
  </r>
  <r>
    <x v="115"/>
    <s v="rom_fact_khand"/>
    <n v="0"/>
    <x v="11"/>
    <n v="0"/>
    <n v="4919"/>
    <n v="1750"/>
    <n v="0"/>
    <m/>
    <x v="10"/>
  </r>
  <r>
    <x v="115"/>
    <s v="rom_fact_umbar"/>
    <n v="19"/>
    <x v="16"/>
    <n v="245.8"/>
    <n v="165854"/>
    <n v="49673"/>
    <n v="4021"/>
    <m/>
    <x v="11"/>
  </r>
  <r>
    <x v="115"/>
    <s v="rom_fact_mahuds"/>
    <n v="0"/>
    <x v="11"/>
    <n v="0"/>
    <n v="9228"/>
    <n v="1750"/>
    <n v="0"/>
    <m/>
    <x v="12"/>
  </r>
  <r>
    <x v="115"/>
    <s v="rom_fact_harad"/>
    <n v="270"/>
    <x v="4"/>
    <n v="208.1"/>
    <n v="62903"/>
    <n v="30553"/>
    <n v="2576"/>
    <m/>
    <x v="13"/>
  </r>
  <r>
    <x v="115"/>
    <s v="rom_fact_dunland"/>
    <n v="296"/>
    <x v="0"/>
    <n v="227.39999999999901"/>
    <n v="146840"/>
    <n v="44336"/>
    <n v="2269"/>
    <m/>
    <x v="14"/>
  </r>
  <r>
    <x v="115"/>
    <s v="rom_fact_haerrim"/>
    <n v="0"/>
    <x v="11"/>
    <n v="0"/>
    <n v="5352"/>
    <n v="1750"/>
    <n v="0"/>
    <m/>
    <x v="15"/>
  </r>
  <r>
    <x v="115"/>
    <s v="rom_fact_goblins"/>
    <n v="582"/>
    <x v="25"/>
    <n v="504.5"/>
    <n v="251519"/>
    <n v="64944"/>
    <n v="4951"/>
    <m/>
    <x v="16"/>
  </r>
  <r>
    <x v="115"/>
    <s v="rom_fact_balchoth"/>
    <n v="0"/>
    <x v="11"/>
    <n v="0"/>
    <n v="4872"/>
    <n v="1750"/>
    <n v="0"/>
    <m/>
    <x v="17"/>
  </r>
  <r>
    <x v="115"/>
    <s v="rom_fact_rhurim"/>
    <n v="562"/>
    <x v="30"/>
    <n v="407.5"/>
    <n v="88296"/>
    <n v="41216"/>
    <n v="0"/>
    <m/>
    <x v="18"/>
  </r>
  <r>
    <x v="115"/>
    <s v="rom_fact_feredrim"/>
    <n v="0"/>
    <x v="11"/>
    <n v="0"/>
    <n v="7360"/>
    <n v="1750"/>
    <n v="0"/>
    <m/>
    <x v="19"/>
  </r>
  <r>
    <x v="115"/>
    <s v="rom_fact_wainriders"/>
    <n v="0"/>
    <x v="11"/>
    <n v="0"/>
    <n v="6395"/>
    <n v="1750"/>
    <n v="0"/>
    <m/>
    <x v="20"/>
  </r>
  <r>
    <x v="115"/>
    <s v="rom_fact_blacklock"/>
    <n v="2"/>
    <x v="10"/>
    <n v="47.8"/>
    <n v="9153"/>
    <n v="7573"/>
    <n v="436"/>
    <m/>
    <x v="21"/>
  </r>
  <r>
    <x v="115"/>
    <s v="rom_fact_ironfist"/>
    <n v="5"/>
    <x v="10"/>
    <n v="17"/>
    <n v="6994"/>
    <n v="4259"/>
    <n v="0"/>
    <m/>
    <x v="22"/>
  </r>
  <r>
    <x v="115"/>
    <s v="rom_fact_gundabad"/>
    <n v="245"/>
    <x v="11"/>
    <n v="0"/>
    <n v="9750"/>
    <n v="2500"/>
    <n v="0"/>
    <m/>
    <x v="23"/>
  </r>
  <r>
    <x v="115"/>
    <s v="rom_fact_rohan_scouts"/>
    <n v="0"/>
    <x v="11"/>
    <n v="3"/>
    <n v="134461"/>
    <n v="2354"/>
    <n v="0"/>
    <m/>
    <x v="24"/>
  </r>
  <r>
    <x v="115"/>
    <s v="rom_fact_northern_enedwaith"/>
    <n v="6"/>
    <x v="9"/>
    <n v="95"/>
    <n v="139405"/>
    <n v="21851"/>
    <n v="1132"/>
    <m/>
    <x v="25"/>
  </r>
  <r>
    <x v="115"/>
    <s v="rom_fact_southern_enedwaith"/>
    <n v="0"/>
    <x v="11"/>
    <n v="0"/>
    <n v="54023"/>
    <n v="1750"/>
    <n v="0"/>
    <m/>
    <x v="26"/>
  </r>
  <r>
    <x v="115"/>
    <s v="rom_fact_druedain"/>
    <n v="0"/>
    <x v="11"/>
    <n v="0"/>
    <n v="32146"/>
    <n v="1750"/>
    <n v="0"/>
    <m/>
    <x v="27"/>
  </r>
  <r>
    <x v="115"/>
    <s v="rom_fact_harondor"/>
    <n v="0"/>
    <x v="11"/>
    <n v="0"/>
    <n v="15146"/>
    <n v="1750"/>
    <n v="0"/>
    <m/>
    <x v="28"/>
  </r>
  <r>
    <x v="115"/>
    <s v="rom_fact_southron_nomads"/>
    <n v="0"/>
    <x v="11"/>
    <n v="0"/>
    <n v="4000"/>
    <n v="1750"/>
    <n v="0"/>
    <m/>
    <x v="29"/>
  </r>
  <r>
    <x v="115"/>
    <s v="rom_fact_separatist_harad"/>
    <n v="0"/>
    <x v="11"/>
    <n v="0"/>
    <n v="4000"/>
    <n v="1750"/>
    <n v="0"/>
    <m/>
    <x v="30"/>
  </r>
  <r>
    <x v="115"/>
    <s v="rom_fact_separatist_khand"/>
    <n v="0"/>
    <x v="11"/>
    <n v="0"/>
    <n v="4000"/>
    <n v="1750"/>
    <n v="0"/>
    <m/>
    <x v="30"/>
  </r>
  <r>
    <x v="115"/>
    <s v="rom_fact_separatist_balchoth"/>
    <n v="0"/>
    <x v="11"/>
    <n v="0"/>
    <n v="4000"/>
    <n v="1750"/>
    <n v="0"/>
    <m/>
    <x v="30"/>
  </r>
  <r>
    <x v="115"/>
    <s v="rom_fact_separatist_feredrim"/>
    <n v="0"/>
    <x v="11"/>
    <n v="0"/>
    <n v="4000"/>
    <n v="1750"/>
    <n v="0"/>
    <m/>
    <x v="30"/>
  </r>
  <r>
    <x v="115"/>
    <s v="rom_fact_separatist_haerrim"/>
    <n v="0"/>
    <x v="11"/>
    <n v="0"/>
    <n v="4000"/>
    <n v="1750"/>
    <n v="0"/>
    <m/>
    <x v="30"/>
  </r>
  <r>
    <x v="115"/>
    <s v="rom_fact_separatist_wainriders"/>
    <n v="0"/>
    <x v="11"/>
    <n v="0"/>
    <n v="4000"/>
    <n v="1750"/>
    <n v="0"/>
    <m/>
    <x v="30"/>
  </r>
  <r>
    <x v="115"/>
    <s v="rom_fact_separatist_rhurim"/>
    <n v="0"/>
    <x v="11"/>
    <n v="0"/>
    <n v="4000"/>
    <n v="1750"/>
    <n v="0"/>
    <m/>
    <x v="30"/>
  </r>
  <r>
    <x v="115"/>
    <s v="rom_fact_separatist_mahuds"/>
    <n v="0"/>
    <x v="11"/>
    <n v="0"/>
    <n v="4000"/>
    <n v="1750"/>
    <n v="0"/>
    <m/>
    <x v="30"/>
  </r>
  <r>
    <x v="115"/>
    <s v="rom_fact_separatist_umbar"/>
    <n v="0"/>
    <x v="11"/>
    <n v="0"/>
    <n v="4000"/>
    <n v="1750"/>
    <n v="0"/>
    <m/>
    <x v="30"/>
  </r>
  <r>
    <x v="116"/>
    <s v="rom_fact_mordor"/>
    <n v="600"/>
    <x v="35"/>
    <n v="464.3"/>
    <n v="1484"/>
    <n v="65930"/>
    <n v="4369"/>
    <m/>
    <x v="0"/>
  </r>
  <r>
    <x v="116"/>
    <s v="rom_fact_gondor"/>
    <n v="146"/>
    <x v="11"/>
    <n v="0"/>
    <n v="55420"/>
    <n v="2500"/>
    <n v="0"/>
    <m/>
    <x v="1"/>
  </r>
  <r>
    <x v="116"/>
    <s v="rom_fact_dale"/>
    <n v="199"/>
    <x v="11"/>
    <n v="0"/>
    <n v="10343"/>
    <n v="2500"/>
    <n v="0"/>
    <m/>
    <x v="2"/>
  </r>
  <r>
    <x v="116"/>
    <s v="rom_fact_erebor"/>
    <n v="200"/>
    <x v="11"/>
    <n v="0"/>
    <n v="10040"/>
    <n v="2500"/>
    <n v="0"/>
    <m/>
    <x v="3"/>
  </r>
  <r>
    <x v="116"/>
    <s v="rom_fact_rohan"/>
    <n v="157"/>
    <x v="11"/>
    <n v="0"/>
    <n v="6638"/>
    <n v="2500"/>
    <n v="0"/>
    <m/>
    <x v="4"/>
  </r>
  <r>
    <x v="116"/>
    <s v="rom_fact_dol_guldur"/>
    <n v="472"/>
    <x v="29"/>
    <n v="331.7"/>
    <n v="211836"/>
    <n v="46952"/>
    <n v="1890"/>
    <m/>
    <x v="5"/>
  </r>
  <r>
    <x v="116"/>
    <s v="rom_fact_anduin_vale"/>
    <n v="58"/>
    <x v="11"/>
    <n v="0"/>
    <n v="4515"/>
    <n v="2500"/>
    <n v="0"/>
    <m/>
    <x v="6"/>
  </r>
  <r>
    <x v="116"/>
    <s v="rom_fact_isengard"/>
    <n v="305"/>
    <x v="5"/>
    <n v="167.6"/>
    <n v="31270"/>
    <n v="27058"/>
    <n v="1528"/>
    <m/>
    <x v="7"/>
  </r>
  <r>
    <x v="116"/>
    <s v="rom_fact_woodland_realm"/>
    <n v="30"/>
    <x v="11"/>
    <n v="0"/>
    <n v="8475"/>
    <n v="2500"/>
    <n v="0"/>
    <m/>
    <x v="8"/>
  </r>
  <r>
    <x v="116"/>
    <s v="rom_fact_lothlorien"/>
    <n v="64"/>
    <x v="11"/>
    <n v="0"/>
    <n v="4721"/>
    <n v="2500"/>
    <n v="0"/>
    <m/>
    <x v="9"/>
  </r>
  <r>
    <x v="116"/>
    <s v="rom_fact_khand"/>
    <n v="0"/>
    <x v="11"/>
    <n v="0"/>
    <n v="4919"/>
    <n v="1750"/>
    <n v="0"/>
    <m/>
    <x v="10"/>
  </r>
  <r>
    <x v="116"/>
    <s v="rom_fact_umbar"/>
    <n v="19"/>
    <x v="16"/>
    <n v="246.8"/>
    <n v="178006"/>
    <n v="54527"/>
    <n v="4452"/>
    <m/>
    <x v="11"/>
  </r>
  <r>
    <x v="116"/>
    <s v="rom_fact_mahuds"/>
    <n v="0"/>
    <x v="11"/>
    <n v="0"/>
    <n v="9228"/>
    <n v="1750"/>
    <n v="0"/>
    <m/>
    <x v="12"/>
  </r>
  <r>
    <x v="116"/>
    <s v="rom_fact_harad"/>
    <n v="278"/>
    <x v="4"/>
    <n v="209.1"/>
    <n v="103319"/>
    <n v="29394"/>
    <n v="2371"/>
    <m/>
    <x v="13"/>
  </r>
  <r>
    <x v="116"/>
    <s v="rom_fact_dunland"/>
    <n v="296"/>
    <x v="0"/>
    <n v="214.6"/>
    <n v="150318"/>
    <n v="42181"/>
    <n v="2287"/>
    <m/>
    <x v="14"/>
  </r>
  <r>
    <x v="116"/>
    <s v="rom_fact_haerrim"/>
    <n v="0"/>
    <x v="11"/>
    <n v="0"/>
    <n v="5352"/>
    <n v="1750"/>
    <n v="0"/>
    <m/>
    <x v="15"/>
  </r>
  <r>
    <x v="116"/>
    <s v="rom_fact_goblins"/>
    <n v="587"/>
    <x v="25"/>
    <n v="504.5"/>
    <n v="244805"/>
    <n v="68430"/>
    <n v="4975"/>
    <m/>
    <x v="16"/>
  </r>
  <r>
    <x v="116"/>
    <s v="rom_fact_balchoth"/>
    <n v="0"/>
    <x v="11"/>
    <n v="0"/>
    <n v="4872"/>
    <n v="1750"/>
    <n v="0"/>
    <m/>
    <x v="17"/>
  </r>
  <r>
    <x v="116"/>
    <s v="rom_fact_rhurim"/>
    <n v="578"/>
    <x v="30"/>
    <n v="414.9"/>
    <n v="76815"/>
    <n v="46216"/>
    <n v="0"/>
    <m/>
    <x v="18"/>
  </r>
  <r>
    <x v="116"/>
    <s v="rom_fact_feredrim"/>
    <n v="0"/>
    <x v="11"/>
    <n v="0"/>
    <n v="7360"/>
    <n v="1750"/>
    <n v="0"/>
    <m/>
    <x v="19"/>
  </r>
  <r>
    <x v="116"/>
    <s v="rom_fact_wainriders"/>
    <n v="0"/>
    <x v="11"/>
    <n v="0"/>
    <n v="6395"/>
    <n v="1750"/>
    <n v="0"/>
    <m/>
    <x v="20"/>
  </r>
  <r>
    <x v="116"/>
    <s v="rom_fact_blacklock"/>
    <n v="2"/>
    <x v="10"/>
    <n v="47.8"/>
    <n v="9902"/>
    <n v="7642"/>
    <n v="428"/>
    <m/>
    <x v="21"/>
  </r>
  <r>
    <x v="116"/>
    <s v="rom_fact_ironfist"/>
    <n v="5"/>
    <x v="10"/>
    <n v="19"/>
    <n v="6120"/>
    <n v="3855"/>
    <n v="0"/>
    <m/>
    <x v="22"/>
  </r>
  <r>
    <x v="116"/>
    <s v="rom_fact_gundabad"/>
    <n v="245"/>
    <x v="11"/>
    <n v="0"/>
    <n v="9750"/>
    <n v="2500"/>
    <n v="0"/>
    <m/>
    <x v="23"/>
  </r>
  <r>
    <x v="116"/>
    <s v="rom_fact_rohan_scouts"/>
    <n v="0"/>
    <x v="11"/>
    <n v="3"/>
    <n v="135607"/>
    <n v="2354"/>
    <n v="0"/>
    <m/>
    <x v="24"/>
  </r>
  <r>
    <x v="116"/>
    <s v="rom_fact_northern_enedwaith"/>
    <n v="6"/>
    <x v="9"/>
    <n v="96"/>
    <n v="139510"/>
    <n v="22226"/>
    <n v="1139"/>
    <m/>
    <x v="25"/>
  </r>
  <r>
    <x v="116"/>
    <s v="rom_fact_southern_enedwaith"/>
    <n v="0"/>
    <x v="11"/>
    <n v="0"/>
    <n v="54023"/>
    <n v="1750"/>
    <n v="0"/>
    <m/>
    <x v="26"/>
  </r>
  <r>
    <x v="116"/>
    <s v="rom_fact_druedain"/>
    <n v="0"/>
    <x v="11"/>
    <n v="0"/>
    <n v="32146"/>
    <n v="1750"/>
    <n v="0"/>
    <m/>
    <x v="27"/>
  </r>
  <r>
    <x v="116"/>
    <s v="rom_fact_harondor"/>
    <n v="0"/>
    <x v="11"/>
    <n v="0"/>
    <n v="15146"/>
    <n v="1750"/>
    <n v="0"/>
    <m/>
    <x v="28"/>
  </r>
  <r>
    <x v="116"/>
    <s v="rom_fact_southron_nomads"/>
    <n v="0"/>
    <x v="11"/>
    <n v="0"/>
    <n v="4000"/>
    <n v="1750"/>
    <n v="0"/>
    <m/>
    <x v="29"/>
  </r>
  <r>
    <x v="116"/>
    <s v="rom_fact_separatist_harad"/>
    <n v="0"/>
    <x v="11"/>
    <n v="0"/>
    <n v="4000"/>
    <n v="1750"/>
    <n v="0"/>
    <m/>
    <x v="30"/>
  </r>
  <r>
    <x v="116"/>
    <s v="rom_fact_separatist_khand"/>
    <n v="0"/>
    <x v="11"/>
    <n v="0"/>
    <n v="4000"/>
    <n v="1750"/>
    <n v="0"/>
    <m/>
    <x v="30"/>
  </r>
  <r>
    <x v="116"/>
    <s v="rom_fact_separatist_balchoth"/>
    <n v="0"/>
    <x v="11"/>
    <n v="0"/>
    <n v="4000"/>
    <n v="1750"/>
    <n v="0"/>
    <m/>
    <x v="30"/>
  </r>
  <r>
    <x v="116"/>
    <s v="rom_fact_separatist_feredrim"/>
    <n v="0"/>
    <x v="11"/>
    <n v="0"/>
    <n v="4000"/>
    <n v="1750"/>
    <n v="0"/>
    <m/>
    <x v="30"/>
  </r>
  <r>
    <x v="116"/>
    <s v="rom_fact_separatist_haerrim"/>
    <n v="0"/>
    <x v="11"/>
    <n v="0"/>
    <n v="4000"/>
    <n v="1750"/>
    <n v="0"/>
    <m/>
    <x v="30"/>
  </r>
  <r>
    <x v="116"/>
    <s v="rom_fact_separatist_wainriders"/>
    <n v="0"/>
    <x v="11"/>
    <n v="0"/>
    <n v="4000"/>
    <n v="1750"/>
    <n v="0"/>
    <m/>
    <x v="30"/>
  </r>
  <r>
    <x v="116"/>
    <s v="rom_fact_separatist_rhurim"/>
    <n v="0"/>
    <x v="11"/>
    <n v="0"/>
    <n v="4000"/>
    <n v="1750"/>
    <n v="0"/>
    <m/>
    <x v="30"/>
  </r>
  <r>
    <x v="116"/>
    <s v="rom_fact_separatist_mahuds"/>
    <n v="0"/>
    <x v="11"/>
    <n v="0"/>
    <n v="4000"/>
    <n v="1750"/>
    <n v="0"/>
    <m/>
    <x v="30"/>
  </r>
  <r>
    <x v="116"/>
    <s v="rom_fact_separatist_umbar"/>
    <n v="0"/>
    <x v="11"/>
    <n v="0"/>
    <n v="4000"/>
    <n v="1750"/>
    <n v="0"/>
    <m/>
    <x v="30"/>
  </r>
  <r>
    <x v="117"/>
    <s v="rom_fact_mordor"/>
    <n v="609"/>
    <x v="34"/>
    <n v="484.3"/>
    <n v="457"/>
    <n v="66993"/>
    <n v="4597"/>
    <m/>
    <x v="0"/>
  </r>
  <r>
    <x v="117"/>
    <s v="rom_fact_gondor"/>
    <n v="146"/>
    <x v="11"/>
    <n v="0"/>
    <n v="55420"/>
    <n v="2500"/>
    <n v="0"/>
    <m/>
    <x v="1"/>
  </r>
  <r>
    <x v="117"/>
    <s v="rom_fact_dale"/>
    <n v="199"/>
    <x v="11"/>
    <n v="0"/>
    <n v="10343"/>
    <n v="2500"/>
    <n v="0"/>
    <m/>
    <x v="2"/>
  </r>
  <r>
    <x v="117"/>
    <s v="rom_fact_erebor"/>
    <n v="200"/>
    <x v="11"/>
    <n v="0"/>
    <n v="10040"/>
    <n v="2500"/>
    <n v="0"/>
    <m/>
    <x v="3"/>
  </r>
  <r>
    <x v="117"/>
    <s v="rom_fact_rohan"/>
    <n v="157"/>
    <x v="11"/>
    <n v="0"/>
    <n v="6638"/>
    <n v="2500"/>
    <n v="0"/>
    <m/>
    <x v="4"/>
  </r>
  <r>
    <x v="117"/>
    <s v="rom_fact_dol_guldur"/>
    <n v="470"/>
    <x v="28"/>
    <n v="330.6"/>
    <n v="219215"/>
    <n v="46648"/>
    <n v="1892"/>
    <m/>
    <x v="5"/>
  </r>
  <r>
    <x v="117"/>
    <s v="rom_fact_anduin_vale"/>
    <n v="58"/>
    <x v="11"/>
    <n v="0"/>
    <n v="4515"/>
    <n v="2500"/>
    <n v="0"/>
    <m/>
    <x v="6"/>
  </r>
  <r>
    <x v="117"/>
    <s v="rom_fact_isengard"/>
    <n v="305"/>
    <x v="5"/>
    <n v="180.6"/>
    <n v="31874"/>
    <n v="26623"/>
    <n v="1523"/>
    <m/>
    <x v="7"/>
  </r>
  <r>
    <x v="117"/>
    <s v="rom_fact_woodland_realm"/>
    <n v="30"/>
    <x v="11"/>
    <n v="0"/>
    <n v="8475"/>
    <n v="2500"/>
    <n v="0"/>
    <m/>
    <x v="8"/>
  </r>
  <r>
    <x v="117"/>
    <s v="rom_fact_lothlorien"/>
    <n v="64"/>
    <x v="11"/>
    <n v="0"/>
    <n v="4721"/>
    <n v="2500"/>
    <n v="0"/>
    <m/>
    <x v="9"/>
  </r>
  <r>
    <x v="117"/>
    <s v="rom_fact_khand"/>
    <n v="0"/>
    <x v="11"/>
    <n v="0"/>
    <n v="4919"/>
    <n v="1750"/>
    <n v="0"/>
    <m/>
    <x v="10"/>
  </r>
  <r>
    <x v="117"/>
    <s v="rom_fact_umbar"/>
    <n v="19"/>
    <x v="16"/>
    <n v="245.8"/>
    <n v="197743"/>
    <n v="52510"/>
    <n v="4468"/>
    <m/>
    <x v="11"/>
  </r>
  <r>
    <x v="117"/>
    <s v="rom_fact_mahuds"/>
    <n v="0"/>
    <x v="11"/>
    <n v="0"/>
    <n v="9228"/>
    <n v="1750"/>
    <n v="0"/>
    <m/>
    <x v="12"/>
  </r>
  <r>
    <x v="117"/>
    <s v="rom_fact_harad"/>
    <n v="278"/>
    <x v="4"/>
    <n v="212.7"/>
    <n v="85595"/>
    <n v="33471"/>
    <n v="2403"/>
    <m/>
    <x v="13"/>
  </r>
  <r>
    <x v="117"/>
    <s v="rom_fact_dunland"/>
    <n v="301"/>
    <x v="0"/>
    <n v="217.6"/>
    <n v="162371"/>
    <n v="42784"/>
    <n v="2287"/>
    <m/>
    <x v="14"/>
  </r>
  <r>
    <x v="117"/>
    <s v="rom_fact_haerrim"/>
    <n v="0"/>
    <x v="11"/>
    <n v="0"/>
    <n v="5352"/>
    <n v="1750"/>
    <n v="0"/>
    <m/>
    <x v="15"/>
  </r>
  <r>
    <x v="117"/>
    <s v="rom_fact_goblins"/>
    <n v="587"/>
    <x v="25"/>
    <n v="496.5"/>
    <n v="246361"/>
    <n v="70148"/>
    <n v="4777"/>
    <m/>
    <x v="16"/>
  </r>
  <r>
    <x v="117"/>
    <s v="rom_fact_balchoth"/>
    <n v="0"/>
    <x v="11"/>
    <n v="0"/>
    <n v="4872"/>
    <n v="1750"/>
    <n v="0"/>
    <m/>
    <x v="17"/>
  </r>
  <r>
    <x v="117"/>
    <s v="rom_fact_rhurim"/>
    <n v="578"/>
    <x v="30"/>
    <n v="429.29999999999899"/>
    <n v="70237"/>
    <n v="48188"/>
    <n v="0"/>
    <m/>
    <x v="18"/>
  </r>
  <r>
    <x v="117"/>
    <s v="rom_fact_feredrim"/>
    <n v="0"/>
    <x v="11"/>
    <n v="0"/>
    <n v="7360"/>
    <n v="1750"/>
    <n v="0"/>
    <m/>
    <x v="19"/>
  </r>
  <r>
    <x v="117"/>
    <s v="rom_fact_wainriders"/>
    <n v="0"/>
    <x v="11"/>
    <n v="0"/>
    <n v="6395"/>
    <n v="1750"/>
    <n v="0"/>
    <m/>
    <x v="20"/>
  </r>
  <r>
    <x v="117"/>
    <s v="rom_fact_blacklock"/>
    <n v="2"/>
    <x v="10"/>
    <n v="50"/>
    <n v="5144"/>
    <n v="8045"/>
    <n v="442"/>
    <m/>
    <x v="21"/>
  </r>
  <r>
    <x v="117"/>
    <s v="rom_fact_ironfist"/>
    <n v="5"/>
    <x v="10"/>
    <n v="19"/>
    <n v="6618"/>
    <n v="4282"/>
    <n v="0"/>
    <m/>
    <x v="22"/>
  </r>
  <r>
    <x v="117"/>
    <s v="rom_fact_gundabad"/>
    <n v="245"/>
    <x v="11"/>
    <n v="0"/>
    <n v="9750"/>
    <n v="2500"/>
    <n v="0"/>
    <m/>
    <x v="23"/>
  </r>
  <r>
    <x v="117"/>
    <s v="rom_fact_rohan_scouts"/>
    <n v="0"/>
    <x v="11"/>
    <n v="3"/>
    <n v="136753"/>
    <n v="2354"/>
    <n v="0"/>
    <m/>
    <x v="24"/>
  </r>
  <r>
    <x v="117"/>
    <s v="rom_fact_northern_enedwaith"/>
    <n v="6"/>
    <x v="9"/>
    <n v="100"/>
    <n v="142756"/>
    <n v="23574"/>
    <n v="1146"/>
    <m/>
    <x v="25"/>
  </r>
  <r>
    <x v="117"/>
    <s v="rom_fact_southern_enedwaith"/>
    <n v="0"/>
    <x v="11"/>
    <n v="0"/>
    <n v="54023"/>
    <n v="1750"/>
    <n v="0"/>
    <m/>
    <x v="26"/>
  </r>
  <r>
    <x v="117"/>
    <s v="rom_fact_druedain"/>
    <n v="0"/>
    <x v="11"/>
    <n v="0"/>
    <n v="32146"/>
    <n v="1750"/>
    <n v="0"/>
    <m/>
    <x v="27"/>
  </r>
  <r>
    <x v="117"/>
    <s v="rom_fact_harondor"/>
    <n v="0"/>
    <x v="11"/>
    <n v="0"/>
    <n v="15146"/>
    <n v="1750"/>
    <n v="0"/>
    <m/>
    <x v="28"/>
  </r>
  <r>
    <x v="117"/>
    <s v="rom_fact_southron_nomads"/>
    <n v="0"/>
    <x v="11"/>
    <n v="0"/>
    <n v="4000"/>
    <n v="1750"/>
    <n v="0"/>
    <m/>
    <x v="29"/>
  </r>
  <r>
    <x v="117"/>
    <s v="rom_fact_separatist_harad"/>
    <n v="0"/>
    <x v="11"/>
    <n v="0"/>
    <n v="4000"/>
    <n v="1750"/>
    <n v="0"/>
    <m/>
    <x v="30"/>
  </r>
  <r>
    <x v="117"/>
    <s v="rom_fact_separatist_khand"/>
    <n v="0"/>
    <x v="11"/>
    <n v="0"/>
    <n v="4000"/>
    <n v="1750"/>
    <n v="0"/>
    <m/>
    <x v="30"/>
  </r>
  <r>
    <x v="117"/>
    <s v="rom_fact_separatist_balchoth"/>
    <n v="0"/>
    <x v="11"/>
    <n v="0"/>
    <n v="4000"/>
    <n v="1750"/>
    <n v="0"/>
    <m/>
    <x v="30"/>
  </r>
  <r>
    <x v="117"/>
    <s v="rom_fact_separatist_feredrim"/>
    <n v="0"/>
    <x v="11"/>
    <n v="0"/>
    <n v="4000"/>
    <n v="1750"/>
    <n v="0"/>
    <m/>
    <x v="30"/>
  </r>
  <r>
    <x v="117"/>
    <s v="rom_fact_separatist_haerrim"/>
    <n v="0"/>
    <x v="11"/>
    <n v="0"/>
    <n v="4000"/>
    <n v="1750"/>
    <n v="0"/>
    <m/>
    <x v="30"/>
  </r>
  <r>
    <x v="117"/>
    <s v="rom_fact_separatist_wainriders"/>
    <n v="0"/>
    <x v="11"/>
    <n v="0"/>
    <n v="4000"/>
    <n v="1750"/>
    <n v="0"/>
    <m/>
    <x v="30"/>
  </r>
  <r>
    <x v="117"/>
    <s v="rom_fact_separatist_rhurim"/>
    <n v="0"/>
    <x v="11"/>
    <n v="0"/>
    <n v="4000"/>
    <n v="1750"/>
    <n v="0"/>
    <m/>
    <x v="30"/>
  </r>
  <r>
    <x v="117"/>
    <s v="rom_fact_separatist_mahuds"/>
    <n v="0"/>
    <x v="11"/>
    <n v="0"/>
    <n v="4000"/>
    <n v="1750"/>
    <n v="0"/>
    <m/>
    <x v="30"/>
  </r>
  <r>
    <x v="117"/>
    <s v="rom_fact_separatist_umbar"/>
    <n v="0"/>
    <x v="11"/>
    <n v="0"/>
    <n v="4000"/>
    <n v="1750"/>
    <n v="0"/>
    <m/>
    <x v="30"/>
  </r>
  <r>
    <x v="118"/>
    <s v="rom_fact_mordor"/>
    <n v="609"/>
    <x v="34"/>
    <n v="484.3"/>
    <n v="8143"/>
    <n v="67637"/>
    <n v="4607"/>
    <m/>
    <x v="0"/>
  </r>
  <r>
    <x v="118"/>
    <s v="rom_fact_gondor"/>
    <n v="146"/>
    <x v="11"/>
    <n v="0"/>
    <n v="55420"/>
    <n v="2500"/>
    <n v="0"/>
    <m/>
    <x v="1"/>
  </r>
  <r>
    <x v="118"/>
    <s v="rom_fact_dale"/>
    <n v="199"/>
    <x v="11"/>
    <n v="0"/>
    <n v="10343"/>
    <n v="2500"/>
    <n v="0"/>
    <m/>
    <x v="2"/>
  </r>
  <r>
    <x v="118"/>
    <s v="rom_fact_erebor"/>
    <n v="200"/>
    <x v="11"/>
    <n v="0"/>
    <n v="10040"/>
    <n v="2500"/>
    <n v="0"/>
    <m/>
    <x v="3"/>
  </r>
  <r>
    <x v="118"/>
    <s v="rom_fact_rohan"/>
    <n v="157"/>
    <x v="11"/>
    <n v="0"/>
    <n v="6638"/>
    <n v="2500"/>
    <n v="0"/>
    <m/>
    <x v="4"/>
  </r>
  <r>
    <x v="118"/>
    <s v="rom_fact_dol_guldur"/>
    <n v="470"/>
    <x v="28"/>
    <n v="330.6"/>
    <n v="237901"/>
    <n v="46491"/>
    <n v="1893"/>
    <m/>
    <x v="5"/>
  </r>
  <r>
    <x v="118"/>
    <s v="rom_fact_anduin_vale"/>
    <n v="58"/>
    <x v="11"/>
    <n v="0"/>
    <n v="4515"/>
    <n v="2500"/>
    <n v="0"/>
    <m/>
    <x v="6"/>
  </r>
  <r>
    <x v="118"/>
    <s v="rom_fact_isengard"/>
    <n v="313"/>
    <x v="5"/>
    <n v="185.2"/>
    <n v="30392"/>
    <n v="29738"/>
    <n v="1534"/>
    <m/>
    <x v="7"/>
  </r>
  <r>
    <x v="118"/>
    <s v="rom_fact_woodland_realm"/>
    <n v="30"/>
    <x v="11"/>
    <n v="0"/>
    <n v="8475"/>
    <n v="2500"/>
    <n v="0"/>
    <m/>
    <x v="8"/>
  </r>
  <r>
    <x v="118"/>
    <s v="rom_fact_lothlorien"/>
    <n v="64"/>
    <x v="11"/>
    <n v="0"/>
    <n v="4721"/>
    <n v="2500"/>
    <n v="0"/>
    <m/>
    <x v="9"/>
  </r>
  <r>
    <x v="118"/>
    <s v="rom_fact_khand"/>
    <n v="0"/>
    <x v="11"/>
    <n v="0"/>
    <n v="4919"/>
    <n v="1750"/>
    <n v="0"/>
    <m/>
    <x v="10"/>
  </r>
  <r>
    <x v="118"/>
    <s v="rom_fact_umbar"/>
    <n v="19"/>
    <x v="16"/>
    <n v="249.8"/>
    <n v="208482"/>
    <n v="55081"/>
    <n v="4491"/>
    <m/>
    <x v="11"/>
  </r>
  <r>
    <x v="118"/>
    <s v="rom_fact_mahuds"/>
    <n v="0"/>
    <x v="11"/>
    <n v="0"/>
    <n v="9228"/>
    <n v="1750"/>
    <n v="0"/>
    <m/>
    <x v="12"/>
  </r>
  <r>
    <x v="118"/>
    <s v="rom_fact_harad"/>
    <n v="291"/>
    <x v="4"/>
    <n v="221.89999999999901"/>
    <n v="71204"/>
    <n v="33972"/>
    <n v="2409"/>
    <m/>
    <x v="13"/>
  </r>
  <r>
    <x v="118"/>
    <s v="rom_fact_dunland"/>
    <n v="301"/>
    <x v="0"/>
    <n v="226.6"/>
    <n v="169303"/>
    <n v="43521"/>
    <n v="2296"/>
    <m/>
    <x v="14"/>
  </r>
  <r>
    <x v="118"/>
    <s v="rom_fact_haerrim"/>
    <n v="0"/>
    <x v="11"/>
    <n v="0"/>
    <n v="5352"/>
    <n v="1750"/>
    <n v="0"/>
    <m/>
    <x v="15"/>
  </r>
  <r>
    <x v="118"/>
    <s v="rom_fact_goblins"/>
    <n v="587"/>
    <x v="25"/>
    <n v="496.5"/>
    <n v="243962"/>
    <n v="70234"/>
    <n v="4784"/>
    <m/>
    <x v="16"/>
  </r>
  <r>
    <x v="118"/>
    <s v="rom_fact_balchoth"/>
    <n v="0"/>
    <x v="11"/>
    <n v="0"/>
    <n v="4872"/>
    <n v="1750"/>
    <n v="0"/>
    <m/>
    <x v="17"/>
  </r>
  <r>
    <x v="118"/>
    <s v="rom_fact_rhurim"/>
    <n v="583"/>
    <x v="30"/>
    <n v="430.9"/>
    <n v="75768"/>
    <n v="46440"/>
    <n v="0"/>
    <m/>
    <x v="18"/>
  </r>
  <r>
    <x v="118"/>
    <s v="rom_fact_feredrim"/>
    <n v="0"/>
    <x v="11"/>
    <n v="0"/>
    <n v="7360"/>
    <n v="1750"/>
    <n v="0"/>
    <m/>
    <x v="19"/>
  </r>
  <r>
    <x v="118"/>
    <s v="rom_fact_wainriders"/>
    <n v="0"/>
    <x v="11"/>
    <n v="0"/>
    <n v="6395"/>
    <n v="1750"/>
    <n v="0"/>
    <m/>
    <x v="20"/>
  </r>
  <r>
    <x v="118"/>
    <s v="rom_fact_blacklock"/>
    <n v="2"/>
    <x v="10"/>
    <n v="51.1"/>
    <n v="6151"/>
    <n v="8291"/>
    <n v="442"/>
    <m/>
    <x v="21"/>
  </r>
  <r>
    <x v="118"/>
    <s v="rom_fact_ironfist"/>
    <n v="5"/>
    <x v="10"/>
    <n v="17"/>
    <n v="7851"/>
    <n v="3457"/>
    <n v="0"/>
    <m/>
    <x v="22"/>
  </r>
  <r>
    <x v="118"/>
    <s v="rom_fact_gundabad"/>
    <n v="245"/>
    <x v="11"/>
    <n v="0"/>
    <n v="9750"/>
    <n v="2500"/>
    <n v="0"/>
    <m/>
    <x v="23"/>
  </r>
  <r>
    <x v="118"/>
    <s v="rom_fact_rohan_scouts"/>
    <n v="0"/>
    <x v="11"/>
    <n v="3"/>
    <n v="137899"/>
    <n v="2354"/>
    <n v="0"/>
    <m/>
    <x v="24"/>
  </r>
  <r>
    <x v="118"/>
    <s v="rom_fact_northern_enedwaith"/>
    <n v="6"/>
    <x v="9"/>
    <n v="101"/>
    <n v="146034"/>
    <n v="23725"/>
    <n v="1148"/>
    <m/>
    <x v="25"/>
  </r>
  <r>
    <x v="118"/>
    <s v="rom_fact_southern_enedwaith"/>
    <n v="0"/>
    <x v="11"/>
    <n v="0"/>
    <n v="54023"/>
    <n v="1750"/>
    <n v="0"/>
    <m/>
    <x v="26"/>
  </r>
  <r>
    <x v="118"/>
    <s v="rom_fact_druedain"/>
    <n v="0"/>
    <x v="11"/>
    <n v="0"/>
    <n v="32146"/>
    <n v="1750"/>
    <n v="0"/>
    <m/>
    <x v="27"/>
  </r>
  <r>
    <x v="118"/>
    <s v="rom_fact_harondor"/>
    <n v="0"/>
    <x v="11"/>
    <n v="0"/>
    <n v="15146"/>
    <n v="1750"/>
    <n v="0"/>
    <m/>
    <x v="28"/>
  </r>
  <r>
    <x v="118"/>
    <s v="rom_fact_southron_nomads"/>
    <n v="0"/>
    <x v="11"/>
    <n v="0"/>
    <n v="4000"/>
    <n v="1750"/>
    <n v="0"/>
    <m/>
    <x v="29"/>
  </r>
  <r>
    <x v="118"/>
    <s v="rom_fact_separatist_harad"/>
    <n v="0"/>
    <x v="11"/>
    <n v="0"/>
    <n v="4000"/>
    <n v="1750"/>
    <n v="0"/>
    <m/>
    <x v="30"/>
  </r>
  <r>
    <x v="118"/>
    <s v="rom_fact_separatist_khand"/>
    <n v="0"/>
    <x v="11"/>
    <n v="0"/>
    <n v="4000"/>
    <n v="1750"/>
    <n v="0"/>
    <m/>
    <x v="30"/>
  </r>
  <r>
    <x v="118"/>
    <s v="rom_fact_separatist_balchoth"/>
    <n v="0"/>
    <x v="11"/>
    <n v="0"/>
    <n v="4000"/>
    <n v="1750"/>
    <n v="0"/>
    <m/>
    <x v="30"/>
  </r>
  <r>
    <x v="118"/>
    <s v="rom_fact_separatist_feredrim"/>
    <n v="0"/>
    <x v="11"/>
    <n v="0"/>
    <n v="4000"/>
    <n v="1750"/>
    <n v="0"/>
    <m/>
    <x v="30"/>
  </r>
  <r>
    <x v="118"/>
    <s v="rom_fact_separatist_haerrim"/>
    <n v="0"/>
    <x v="11"/>
    <n v="0"/>
    <n v="4000"/>
    <n v="1750"/>
    <n v="0"/>
    <m/>
    <x v="30"/>
  </r>
  <r>
    <x v="118"/>
    <s v="rom_fact_separatist_wainriders"/>
    <n v="0"/>
    <x v="11"/>
    <n v="0"/>
    <n v="4000"/>
    <n v="1750"/>
    <n v="0"/>
    <m/>
    <x v="30"/>
  </r>
  <r>
    <x v="118"/>
    <s v="rom_fact_separatist_rhurim"/>
    <n v="0"/>
    <x v="11"/>
    <n v="0"/>
    <n v="4000"/>
    <n v="1750"/>
    <n v="0"/>
    <m/>
    <x v="30"/>
  </r>
  <r>
    <x v="118"/>
    <s v="rom_fact_separatist_mahuds"/>
    <n v="0"/>
    <x v="11"/>
    <n v="0"/>
    <n v="4000"/>
    <n v="1750"/>
    <n v="0"/>
    <m/>
    <x v="30"/>
  </r>
  <r>
    <x v="118"/>
    <s v="rom_fact_separatist_umbar"/>
    <n v="0"/>
    <x v="11"/>
    <n v="0"/>
    <n v="4000"/>
    <n v="1750"/>
    <n v="0"/>
    <m/>
    <x v="30"/>
  </r>
  <r>
    <x v="119"/>
    <s v="rom_fact_mordor"/>
    <n v="609"/>
    <x v="35"/>
    <n v="478.3"/>
    <n v="15407"/>
    <n v="66961"/>
    <n v="4213"/>
    <m/>
    <x v="0"/>
  </r>
  <r>
    <x v="119"/>
    <s v="rom_fact_gondor"/>
    <n v="146"/>
    <x v="11"/>
    <n v="0"/>
    <n v="55420"/>
    <n v="2500"/>
    <n v="0"/>
    <m/>
    <x v="1"/>
  </r>
  <r>
    <x v="119"/>
    <s v="rom_fact_dale"/>
    <n v="199"/>
    <x v="11"/>
    <n v="0"/>
    <n v="10343"/>
    <n v="2500"/>
    <n v="0"/>
    <m/>
    <x v="2"/>
  </r>
  <r>
    <x v="119"/>
    <s v="rom_fact_erebor"/>
    <n v="200"/>
    <x v="11"/>
    <n v="0"/>
    <n v="10040"/>
    <n v="2500"/>
    <n v="0"/>
    <m/>
    <x v="3"/>
  </r>
  <r>
    <x v="119"/>
    <s v="rom_fact_rohan"/>
    <n v="157"/>
    <x v="11"/>
    <n v="0"/>
    <n v="6638"/>
    <n v="2500"/>
    <n v="0"/>
    <m/>
    <x v="4"/>
  </r>
  <r>
    <x v="119"/>
    <s v="rom_fact_dol_guldur"/>
    <n v="477"/>
    <x v="29"/>
    <n v="335.6"/>
    <n v="232120"/>
    <n v="47824"/>
    <n v="4026"/>
    <m/>
    <x v="5"/>
  </r>
  <r>
    <x v="119"/>
    <s v="rom_fact_anduin_vale"/>
    <n v="58"/>
    <x v="11"/>
    <n v="0"/>
    <n v="4515"/>
    <n v="2500"/>
    <n v="0"/>
    <m/>
    <x v="6"/>
  </r>
  <r>
    <x v="119"/>
    <s v="rom_fact_isengard"/>
    <n v="318"/>
    <x v="5"/>
    <n v="194.2"/>
    <n v="29133"/>
    <n v="29063"/>
    <n v="1523"/>
    <m/>
    <x v="7"/>
  </r>
  <r>
    <x v="119"/>
    <s v="rom_fact_woodland_realm"/>
    <n v="30"/>
    <x v="11"/>
    <n v="0"/>
    <n v="8475"/>
    <n v="2500"/>
    <n v="0"/>
    <m/>
    <x v="8"/>
  </r>
  <r>
    <x v="119"/>
    <s v="rom_fact_lothlorien"/>
    <n v="64"/>
    <x v="11"/>
    <n v="0"/>
    <n v="4721"/>
    <n v="2500"/>
    <n v="0"/>
    <m/>
    <x v="9"/>
  </r>
  <r>
    <x v="119"/>
    <s v="rom_fact_khand"/>
    <n v="0"/>
    <x v="11"/>
    <n v="0"/>
    <n v="4919"/>
    <n v="1750"/>
    <n v="0"/>
    <m/>
    <x v="10"/>
  </r>
  <r>
    <x v="119"/>
    <s v="rom_fact_umbar"/>
    <n v="20"/>
    <x v="4"/>
    <n v="253.8"/>
    <n v="219937"/>
    <n v="54575"/>
    <n v="4730"/>
    <m/>
    <x v="11"/>
  </r>
  <r>
    <x v="119"/>
    <s v="rom_fact_mahuds"/>
    <n v="0"/>
    <x v="11"/>
    <n v="0"/>
    <n v="9228"/>
    <n v="1750"/>
    <n v="0"/>
    <m/>
    <x v="12"/>
  </r>
  <r>
    <x v="119"/>
    <s v="rom_fact_harad"/>
    <n v="304"/>
    <x v="4"/>
    <n v="220.8"/>
    <n v="68960"/>
    <n v="32865"/>
    <n v="2341"/>
    <m/>
    <x v="13"/>
  </r>
  <r>
    <x v="119"/>
    <s v="rom_fact_dunland"/>
    <n v="301"/>
    <x v="0"/>
    <n v="234"/>
    <n v="180185"/>
    <n v="44676"/>
    <n v="2290"/>
    <m/>
    <x v="14"/>
  </r>
  <r>
    <x v="119"/>
    <s v="rom_fact_haerrim"/>
    <n v="0"/>
    <x v="11"/>
    <n v="0"/>
    <n v="5352"/>
    <n v="1750"/>
    <n v="0"/>
    <m/>
    <x v="15"/>
  </r>
  <r>
    <x v="119"/>
    <s v="rom_fact_goblins"/>
    <n v="605"/>
    <x v="1"/>
    <n v="488.5"/>
    <n v="246629"/>
    <n v="68520"/>
    <n v="4774"/>
    <m/>
    <x v="16"/>
  </r>
  <r>
    <x v="119"/>
    <s v="rom_fact_balchoth"/>
    <n v="0"/>
    <x v="11"/>
    <n v="0"/>
    <n v="4872"/>
    <n v="1750"/>
    <n v="0"/>
    <m/>
    <x v="17"/>
  </r>
  <r>
    <x v="119"/>
    <s v="rom_fact_rhurim"/>
    <n v="583"/>
    <x v="30"/>
    <n v="398.9"/>
    <n v="75538"/>
    <n v="49634"/>
    <n v="3380"/>
    <m/>
    <x v="18"/>
  </r>
  <r>
    <x v="119"/>
    <s v="rom_fact_feredrim"/>
    <n v="0"/>
    <x v="11"/>
    <n v="0"/>
    <n v="7360"/>
    <n v="1750"/>
    <n v="0"/>
    <m/>
    <x v="19"/>
  </r>
  <r>
    <x v="119"/>
    <s v="rom_fact_wainriders"/>
    <n v="0"/>
    <x v="11"/>
    <n v="0"/>
    <n v="6395"/>
    <n v="1750"/>
    <n v="0"/>
    <m/>
    <x v="20"/>
  </r>
  <r>
    <x v="119"/>
    <s v="rom_fact_blacklock"/>
    <n v="2"/>
    <x v="10"/>
    <n v="52.2"/>
    <n v="7262"/>
    <n v="8611"/>
    <n v="436"/>
    <m/>
    <x v="21"/>
  </r>
  <r>
    <x v="119"/>
    <s v="rom_fact_ironfist"/>
    <n v="5"/>
    <x v="10"/>
    <n v="17"/>
    <n v="9054"/>
    <n v="4432"/>
    <n v="0"/>
    <m/>
    <x v="22"/>
  </r>
  <r>
    <x v="119"/>
    <s v="rom_fact_gundabad"/>
    <n v="245"/>
    <x v="11"/>
    <n v="0"/>
    <n v="9750"/>
    <n v="2500"/>
    <n v="0"/>
    <m/>
    <x v="23"/>
  </r>
  <r>
    <x v="119"/>
    <s v="rom_fact_rohan_scouts"/>
    <n v="0"/>
    <x v="11"/>
    <n v="3"/>
    <n v="139045"/>
    <n v="2354"/>
    <n v="0"/>
    <m/>
    <x v="24"/>
  </r>
  <r>
    <x v="119"/>
    <s v="rom_fact_northern_enedwaith"/>
    <n v="6"/>
    <x v="9"/>
    <n v="101"/>
    <n v="149551"/>
    <n v="23483"/>
    <n v="1147"/>
    <m/>
    <x v="25"/>
  </r>
  <r>
    <x v="119"/>
    <s v="rom_fact_southern_enedwaith"/>
    <n v="0"/>
    <x v="11"/>
    <n v="0"/>
    <n v="54023"/>
    <n v="1750"/>
    <n v="0"/>
    <m/>
    <x v="26"/>
  </r>
  <r>
    <x v="119"/>
    <s v="rom_fact_druedain"/>
    <n v="0"/>
    <x v="11"/>
    <n v="0"/>
    <n v="32146"/>
    <n v="1750"/>
    <n v="0"/>
    <m/>
    <x v="27"/>
  </r>
  <r>
    <x v="119"/>
    <s v="rom_fact_harondor"/>
    <n v="0"/>
    <x v="11"/>
    <n v="0"/>
    <n v="15146"/>
    <n v="1750"/>
    <n v="0"/>
    <m/>
    <x v="28"/>
  </r>
  <r>
    <x v="119"/>
    <s v="rom_fact_southron_nomads"/>
    <n v="0"/>
    <x v="11"/>
    <n v="0"/>
    <n v="4000"/>
    <n v="1750"/>
    <n v="0"/>
    <m/>
    <x v="29"/>
  </r>
  <r>
    <x v="119"/>
    <s v="rom_fact_separatist_harad"/>
    <n v="0"/>
    <x v="11"/>
    <n v="0"/>
    <n v="4000"/>
    <n v="1750"/>
    <n v="0"/>
    <m/>
    <x v="30"/>
  </r>
  <r>
    <x v="119"/>
    <s v="rom_fact_separatist_khand"/>
    <n v="0"/>
    <x v="11"/>
    <n v="0"/>
    <n v="4000"/>
    <n v="1750"/>
    <n v="0"/>
    <m/>
    <x v="30"/>
  </r>
  <r>
    <x v="119"/>
    <s v="rom_fact_separatist_balchoth"/>
    <n v="0"/>
    <x v="11"/>
    <n v="0"/>
    <n v="4000"/>
    <n v="1750"/>
    <n v="0"/>
    <m/>
    <x v="30"/>
  </r>
  <r>
    <x v="119"/>
    <s v="rom_fact_separatist_feredrim"/>
    <n v="0"/>
    <x v="11"/>
    <n v="0"/>
    <n v="4000"/>
    <n v="1750"/>
    <n v="0"/>
    <m/>
    <x v="30"/>
  </r>
  <r>
    <x v="119"/>
    <s v="rom_fact_separatist_haerrim"/>
    <n v="0"/>
    <x v="11"/>
    <n v="0"/>
    <n v="4000"/>
    <n v="1750"/>
    <n v="0"/>
    <m/>
    <x v="30"/>
  </r>
  <r>
    <x v="119"/>
    <s v="rom_fact_separatist_wainriders"/>
    <n v="0"/>
    <x v="11"/>
    <n v="0"/>
    <n v="4000"/>
    <n v="1750"/>
    <n v="0"/>
    <m/>
    <x v="30"/>
  </r>
  <r>
    <x v="119"/>
    <s v="rom_fact_separatist_rhurim"/>
    <n v="0"/>
    <x v="11"/>
    <n v="0"/>
    <n v="4000"/>
    <n v="1750"/>
    <n v="0"/>
    <m/>
    <x v="30"/>
  </r>
  <r>
    <x v="119"/>
    <s v="rom_fact_separatist_mahuds"/>
    <n v="0"/>
    <x v="11"/>
    <n v="0"/>
    <n v="4000"/>
    <n v="1750"/>
    <n v="0"/>
    <m/>
    <x v="30"/>
  </r>
  <r>
    <x v="119"/>
    <s v="rom_fact_separatist_umbar"/>
    <n v="0"/>
    <x v="11"/>
    <n v="0"/>
    <n v="4000"/>
    <n v="1750"/>
    <n v="0"/>
    <m/>
    <x v="30"/>
  </r>
  <r>
    <x v="120"/>
    <s v="rom_fact_mordor"/>
    <n v="610"/>
    <x v="34"/>
    <n v="478.6"/>
    <n v="5970"/>
    <n v="68944"/>
    <n v="4369"/>
    <m/>
    <x v="0"/>
  </r>
  <r>
    <x v="120"/>
    <s v="rom_fact_gondor"/>
    <n v="146"/>
    <x v="11"/>
    <n v="0"/>
    <n v="55420"/>
    <n v="2500"/>
    <n v="0"/>
    <m/>
    <x v="1"/>
  </r>
  <r>
    <x v="120"/>
    <s v="rom_fact_dale"/>
    <n v="199"/>
    <x v="11"/>
    <n v="0"/>
    <n v="10343"/>
    <n v="2500"/>
    <n v="0"/>
    <m/>
    <x v="2"/>
  </r>
  <r>
    <x v="120"/>
    <s v="rom_fact_erebor"/>
    <n v="200"/>
    <x v="11"/>
    <n v="0"/>
    <n v="10040"/>
    <n v="2500"/>
    <n v="0"/>
    <m/>
    <x v="3"/>
  </r>
  <r>
    <x v="120"/>
    <s v="rom_fact_rohan"/>
    <n v="157"/>
    <x v="11"/>
    <n v="0"/>
    <n v="6638"/>
    <n v="2500"/>
    <n v="0"/>
    <m/>
    <x v="4"/>
  </r>
  <r>
    <x v="120"/>
    <s v="rom_fact_dol_guldur"/>
    <n v="478"/>
    <x v="29"/>
    <n v="330.8"/>
    <n v="249693"/>
    <n v="44574"/>
    <n v="4007"/>
    <m/>
    <x v="5"/>
  </r>
  <r>
    <x v="120"/>
    <s v="rom_fact_anduin_vale"/>
    <n v="58"/>
    <x v="11"/>
    <n v="0"/>
    <n v="4515"/>
    <n v="2500"/>
    <n v="0"/>
    <m/>
    <x v="6"/>
  </r>
  <r>
    <x v="120"/>
    <s v="rom_fact_isengard"/>
    <n v="318"/>
    <x v="5"/>
    <n v="177.6"/>
    <n v="31958"/>
    <n v="26801"/>
    <n v="1268"/>
    <m/>
    <x v="7"/>
  </r>
  <r>
    <x v="120"/>
    <s v="rom_fact_woodland_realm"/>
    <n v="30"/>
    <x v="11"/>
    <n v="0"/>
    <n v="8475"/>
    <n v="2500"/>
    <n v="0"/>
    <m/>
    <x v="8"/>
  </r>
  <r>
    <x v="120"/>
    <s v="rom_fact_lothlorien"/>
    <n v="64"/>
    <x v="11"/>
    <n v="0"/>
    <n v="4721"/>
    <n v="2500"/>
    <n v="0"/>
    <m/>
    <x v="9"/>
  </r>
  <r>
    <x v="120"/>
    <s v="rom_fact_khand"/>
    <n v="0"/>
    <x v="11"/>
    <n v="0"/>
    <n v="4919"/>
    <n v="1750"/>
    <n v="0"/>
    <m/>
    <x v="10"/>
  </r>
  <r>
    <x v="120"/>
    <s v="rom_fact_umbar"/>
    <n v="20"/>
    <x v="4"/>
    <n v="254.8"/>
    <n v="235756"/>
    <n v="54862"/>
    <n v="4761"/>
    <m/>
    <x v="11"/>
  </r>
  <r>
    <x v="120"/>
    <s v="rom_fact_mahuds"/>
    <n v="0"/>
    <x v="11"/>
    <n v="0"/>
    <n v="9228"/>
    <n v="1750"/>
    <n v="0"/>
    <m/>
    <x v="12"/>
  </r>
  <r>
    <x v="120"/>
    <s v="rom_fact_harad"/>
    <n v="302"/>
    <x v="16"/>
    <n v="191.5"/>
    <n v="57191"/>
    <n v="33285"/>
    <n v="2426"/>
    <m/>
    <x v="13"/>
  </r>
  <r>
    <x v="120"/>
    <s v="rom_fact_dunland"/>
    <n v="301"/>
    <x v="0"/>
    <n v="242"/>
    <n v="189495"/>
    <n v="44413"/>
    <n v="680"/>
    <m/>
    <x v="14"/>
  </r>
  <r>
    <x v="120"/>
    <s v="rom_fact_haerrim"/>
    <n v="0"/>
    <x v="11"/>
    <n v="0"/>
    <n v="5352"/>
    <n v="1750"/>
    <n v="0"/>
    <m/>
    <x v="15"/>
  </r>
  <r>
    <x v="120"/>
    <s v="rom_fact_goblins"/>
    <n v="607"/>
    <x v="18"/>
    <n v="449.5"/>
    <n v="220545"/>
    <n v="60473"/>
    <n v="1"/>
    <m/>
    <x v="16"/>
  </r>
  <r>
    <x v="120"/>
    <s v="rom_fact_balchoth"/>
    <n v="0"/>
    <x v="11"/>
    <n v="0"/>
    <n v="4872"/>
    <n v="1750"/>
    <n v="0"/>
    <m/>
    <x v="17"/>
  </r>
  <r>
    <x v="120"/>
    <s v="rom_fact_rhurim"/>
    <n v="584"/>
    <x v="30"/>
    <n v="371.5"/>
    <n v="77217"/>
    <n v="46105"/>
    <n v="3368"/>
    <m/>
    <x v="18"/>
  </r>
  <r>
    <x v="120"/>
    <s v="rom_fact_feredrim"/>
    <n v="0"/>
    <x v="11"/>
    <n v="0"/>
    <n v="7360"/>
    <n v="1750"/>
    <n v="0"/>
    <m/>
    <x v="19"/>
  </r>
  <r>
    <x v="120"/>
    <s v="rom_fact_wainriders"/>
    <n v="0"/>
    <x v="11"/>
    <n v="0"/>
    <n v="6395"/>
    <n v="1750"/>
    <n v="0"/>
    <m/>
    <x v="20"/>
  </r>
  <r>
    <x v="120"/>
    <s v="rom_fact_blacklock"/>
    <n v="5"/>
    <x v="3"/>
    <n v="53.2"/>
    <n v="6768"/>
    <n v="12146"/>
    <n v="552"/>
    <m/>
    <x v="21"/>
  </r>
  <r>
    <x v="120"/>
    <s v="rom_fact_ironfist"/>
    <n v="5"/>
    <x v="10"/>
    <n v="17"/>
    <n v="11733"/>
    <n v="4805"/>
    <n v="0"/>
    <m/>
    <x v="22"/>
  </r>
  <r>
    <x v="120"/>
    <s v="rom_fact_gundabad"/>
    <n v="245"/>
    <x v="11"/>
    <n v="0"/>
    <n v="9750"/>
    <n v="2500"/>
    <n v="0"/>
    <m/>
    <x v="23"/>
  </r>
  <r>
    <x v="120"/>
    <s v="rom_fact_rohan_scouts"/>
    <n v="0"/>
    <x v="11"/>
    <n v="3"/>
    <n v="140191"/>
    <n v="2354"/>
    <n v="0"/>
    <m/>
    <x v="24"/>
  </r>
  <r>
    <x v="120"/>
    <s v="rom_fact_northern_enedwaith"/>
    <n v="6"/>
    <x v="9"/>
    <n v="103"/>
    <n v="144349"/>
    <n v="24027"/>
    <n v="1018"/>
    <m/>
    <x v="25"/>
  </r>
  <r>
    <x v="120"/>
    <s v="rom_fact_southern_enedwaith"/>
    <n v="0"/>
    <x v="11"/>
    <n v="0"/>
    <n v="54023"/>
    <n v="1750"/>
    <n v="0"/>
    <m/>
    <x v="26"/>
  </r>
  <r>
    <x v="120"/>
    <s v="rom_fact_druedain"/>
    <n v="0"/>
    <x v="11"/>
    <n v="0"/>
    <n v="32146"/>
    <n v="1750"/>
    <n v="0"/>
    <m/>
    <x v="27"/>
  </r>
  <r>
    <x v="120"/>
    <s v="rom_fact_harondor"/>
    <n v="0"/>
    <x v="11"/>
    <n v="0"/>
    <n v="15146"/>
    <n v="1750"/>
    <n v="0"/>
    <m/>
    <x v="28"/>
  </r>
  <r>
    <x v="120"/>
    <s v="rom_fact_southron_nomads"/>
    <n v="0"/>
    <x v="11"/>
    <n v="0"/>
    <n v="4000"/>
    <n v="1750"/>
    <n v="0"/>
    <m/>
    <x v="29"/>
  </r>
  <r>
    <x v="120"/>
    <s v="rom_fact_separatist_harad"/>
    <n v="0"/>
    <x v="11"/>
    <n v="0"/>
    <n v="4000"/>
    <n v="1750"/>
    <n v="0"/>
    <m/>
    <x v="30"/>
  </r>
  <r>
    <x v="120"/>
    <s v="rom_fact_separatist_khand"/>
    <n v="0"/>
    <x v="11"/>
    <n v="0"/>
    <n v="4000"/>
    <n v="1750"/>
    <n v="0"/>
    <m/>
    <x v="30"/>
  </r>
  <r>
    <x v="120"/>
    <s v="rom_fact_separatist_balchoth"/>
    <n v="0"/>
    <x v="11"/>
    <n v="0"/>
    <n v="4000"/>
    <n v="1750"/>
    <n v="0"/>
    <m/>
    <x v="30"/>
  </r>
  <r>
    <x v="120"/>
    <s v="rom_fact_separatist_feredrim"/>
    <n v="0"/>
    <x v="11"/>
    <n v="0"/>
    <n v="4000"/>
    <n v="1750"/>
    <n v="0"/>
    <m/>
    <x v="30"/>
  </r>
  <r>
    <x v="120"/>
    <s v="rom_fact_separatist_haerrim"/>
    <n v="0"/>
    <x v="11"/>
    <n v="0"/>
    <n v="4000"/>
    <n v="1750"/>
    <n v="0"/>
    <m/>
    <x v="30"/>
  </r>
  <r>
    <x v="120"/>
    <s v="rom_fact_separatist_wainriders"/>
    <n v="0"/>
    <x v="11"/>
    <n v="0"/>
    <n v="4000"/>
    <n v="1750"/>
    <n v="0"/>
    <m/>
    <x v="30"/>
  </r>
  <r>
    <x v="120"/>
    <s v="rom_fact_separatist_rhurim"/>
    <n v="0"/>
    <x v="11"/>
    <n v="0"/>
    <n v="4000"/>
    <n v="1750"/>
    <n v="0"/>
    <m/>
    <x v="30"/>
  </r>
  <r>
    <x v="120"/>
    <s v="rom_fact_separatist_mahuds"/>
    <n v="0"/>
    <x v="11"/>
    <n v="0"/>
    <n v="4000"/>
    <n v="1750"/>
    <n v="0"/>
    <m/>
    <x v="30"/>
  </r>
  <r>
    <x v="120"/>
    <s v="rom_fact_separatist_umbar"/>
    <n v="0"/>
    <x v="11"/>
    <n v="0"/>
    <n v="4000"/>
    <n v="1750"/>
    <n v="0"/>
    <m/>
    <x v="30"/>
  </r>
  <r>
    <x v="121"/>
    <s v="rom_fact_mordor"/>
    <n v="611"/>
    <x v="36"/>
    <n v="488.8"/>
    <n v="4583"/>
    <n v="69887"/>
    <n v="4441"/>
    <m/>
    <x v="0"/>
  </r>
  <r>
    <x v="121"/>
    <s v="rom_fact_gondor"/>
    <n v="146"/>
    <x v="11"/>
    <n v="0"/>
    <n v="55420"/>
    <n v="2500"/>
    <n v="0"/>
    <m/>
    <x v="1"/>
  </r>
  <r>
    <x v="121"/>
    <s v="rom_fact_dale"/>
    <n v="199"/>
    <x v="11"/>
    <n v="0"/>
    <n v="10343"/>
    <n v="2500"/>
    <n v="0"/>
    <m/>
    <x v="2"/>
  </r>
  <r>
    <x v="121"/>
    <s v="rom_fact_erebor"/>
    <n v="200"/>
    <x v="11"/>
    <n v="0"/>
    <n v="10040"/>
    <n v="2500"/>
    <n v="0"/>
    <m/>
    <x v="3"/>
  </r>
  <r>
    <x v="121"/>
    <s v="rom_fact_rohan"/>
    <n v="157"/>
    <x v="11"/>
    <n v="0"/>
    <n v="6638"/>
    <n v="2500"/>
    <n v="0"/>
    <m/>
    <x v="4"/>
  </r>
  <r>
    <x v="121"/>
    <s v="rom_fact_dol_guldur"/>
    <n v="486"/>
    <x v="29"/>
    <n v="316.60000000000002"/>
    <n v="265029"/>
    <n v="42595"/>
    <n v="4016"/>
    <m/>
    <x v="5"/>
  </r>
  <r>
    <x v="121"/>
    <s v="rom_fact_anduin_vale"/>
    <n v="58"/>
    <x v="11"/>
    <n v="0"/>
    <n v="4515"/>
    <n v="2500"/>
    <n v="0"/>
    <m/>
    <x v="6"/>
  </r>
  <r>
    <x v="121"/>
    <s v="rom_fact_isengard"/>
    <n v="318"/>
    <x v="5"/>
    <n v="181.5"/>
    <n v="33342"/>
    <n v="26431"/>
    <n v="1265"/>
    <m/>
    <x v="7"/>
  </r>
  <r>
    <x v="121"/>
    <s v="rom_fact_woodland_realm"/>
    <n v="30"/>
    <x v="11"/>
    <n v="0"/>
    <n v="8475"/>
    <n v="2500"/>
    <n v="0"/>
    <m/>
    <x v="8"/>
  </r>
  <r>
    <x v="121"/>
    <s v="rom_fact_lothlorien"/>
    <n v="64"/>
    <x v="11"/>
    <n v="0"/>
    <n v="4721"/>
    <n v="2500"/>
    <n v="0"/>
    <m/>
    <x v="9"/>
  </r>
  <r>
    <x v="121"/>
    <s v="rom_fact_khand"/>
    <n v="0"/>
    <x v="11"/>
    <n v="0"/>
    <n v="4919"/>
    <n v="1750"/>
    <n v="0"/>
    <m/>
    <x v="10"/>
  </r>
  <r>
    <x v="121"/>
    <s v="rom_fact_umbar"/>
    <n v="20"/>
    <x v="4"/>
    <n v="260.8"/>
    <n v="247348"/>
    <n v="53777"/>
    <n v="4769"/>
    <m/>
    <x v="11"/>
  </r>
  <r>
    <x v="121"/>
    <s v="rom_fact_mahuds"/>
    <n v="0"/>
    <x v="11"/>
    <n v="0"/>
    <n v="9228"/>
    <n v="1750"/>
    <n v="0"/>
    <m/>
    <x v="12"/>
  </r>
  <r>
    <x v="121"/>
    <s v="rom_fact_harad"/>
    <n v="312"/>
    <x v="4"/>
    <n v="199.2"/>
    <n v="56900"/>
    <n v="33985"/>
    <n v="2555"/>
    <m/>
    <x v="13"/>
  </r>
  <r>
    <x v="121"/>
    <s v="rom_fact_dunland"/>
    <n v="301"/>
    <x v="0"/>
    <n v="249"/>
    <n v="195104"/>
    <n v="45770"/>
    <n v="676"/>
    <m/>
    <x v="14"/>
  </r>
  <r>
    <x v="121"/>
    <s v="rom_fact_haerrim"/>
    <n v="0"/>
    <x v="11"/>
    <n v="0"/>
    <n v="5352"/>
    <n v="1750"/>
    <n v="0"/>
    <m/>
    <x v="15"/>
  </r>
  <r>
    <x v="121"/>
    <s v="rom_fact_goblins"/>
    <n v="610"/>
    <x v="20"/>
    <n v="430.5"/>
    <n v="217387"/>
    <n v="56966"/>
    <n v="1"/>
    <m/>
    <x v="16"/>
  </r>
  <r>
    <x v="121"/>
    <s v="rom_fact_balchoth"/>
    <n v="0"/>
    <x v="11"/>
    <n v="0"/>
    <n v="4872"/>
    <n v="1750"/>
    <n v="0"/>
    <m/>
    <x v="17"/>
  </r>
  <r>
    <x v="121"/>
    <s v="rom_fact_rhurim"/>
    <n v="605"/>
    <x v="21"/>
    <n v="378"/>
    <n v="70557"/>
    <n v="46573"/>
    <n v="3425"/>
    <m/>
    <x v="18"/>
  </r>
  <r>
    <x v="121"/>
    <s v="rom_fact_feredrim"/>
    <n v="0"/>
    <x v="11"/>
    <n v="0"/>
    <n v="7360"/>
    <n v="1750"/>
    <n v="0"/>
    <m/>
    <x v="19"/>
  </r>
  <r>
    <x v="121"/>
    <s v="rom_fact_wainriders"/>
    <n v="0"/>
    <x v="11"/>
    <n v="0"/>
    <n v="6395"/>
    <n v="1750"/>
    <n v="0"/>
    <m/>
    <x v="20"/>
  </r>
  <r>
    <x v="121"/>
    <s v="rom_fact_blacklock"/>
    <n v="5"/>
    <x v="3"/>
    <n v="52.2"/>
    <n v="9336"/>
    <n v="11612"/>
    <n v="551"/>
    <m/>
    <x v="21"/>
  </r>
  <r>
    <x v="121"/>
    <s v="rom_fact_ironfist"/>
    <n v="5"/>
    <x v="10"/>
    <n v="17"/>
    <n v="15147"/>
    <n v="5212"/>
    <n v="0"/>
    <m/>
    <x v="22"/>
  </r>
  <r>
    <x v="121"/>
    <s v="rom_fact_gundabad"/>
    <n v="245"/>
    <x v="11"/>
    <n v="0"/>
    <n v="9750"/>
    <n v="2500"/>
    <n v="0"/>
    <m/>
    <x v="23"/>
  </r>
  <r>
    <x v="121"/>
    <s v="rom_fact_rohan_scouts"/>
    <n v="0"/>
    <x v="11"/>
    <n v="3"/>
    <n v="141337"/>
    <n v="2354"/>
    <n v="0"/>
    <m/>
    <x v="24"/>
  </r>
  <r>
    <x v="121"/>
    <s v="rom_fact_northern_enedwaith"/>
    <n v="6"/>
    <x v="9"/>
    <n v="108"/>
    <n v="146151"/>
    <n v="23773"/>
    <n v="1020"/>
    <m/>
    <x v="25"/>
  </r>
  <r>
    <x v="121"/>
    <s v="rom_fact_southern_enedwaith"/>
    <n v="0"/>
    <x v="11"/>
    <n v="0"/>
    <n v="54023"/>
    <n v="1750"/>
    <n v="0"/>
    <m/>
    <x v="26"/>
  </r>
  <r>
    <x v="121"/>
    <s v="rom_fact_druedain"/>
    <n v="0"/>
    <x v="11"/>
    <n v="0"/>
    <n v="32146"/>
    <n v="1750"/>
    <n v="0"/>
    <m/>
    <x v="27"/>
  </r>
  <r>
    <x v="121"/>
    <s v="rom_fact_harondor"/>
    <n v="0"/>
    <x v="11"/>
    <n v="0"/>
    <n v="15146"/>
    <n v="1750"/>
    <n v="0"/>
    <m/>
    <x v="28"/>
  </r>
  <r>
    <x v="121"/>
    <s v="rom_fact_southron_nomads"/>
    <n v="0"/>
    <x v="11"/>
    <n v="0"/>
    <n v="4000"/>
    <n v="1750"/>
    <n v="0"/>
    <m/>
    <x v="29"/>
  </r>
  <r>
    <x v="121"/>
    <s v="rom_fact_separatist_harad"/>
    <n v="0"/>
    <x v="11"/>
    <n v="0"/>
    <n v="4000"/>
    <n v="1750"/>
    <n v="0"/>
    <m/>
    <x v="30"/>
  </r>
  <r>
    <x v="121"/>
    <s v="rom_fact_separatist_khand"/>
    <n v="0"/>
    <x v="11"/>
    <n v="0"/>
    <n v="4000"/>
    <n v="1750"/>
    <n v="0"/>
    <m/>
    <x v="30"/>
  </r>
  <r>
    <x v="121"/>
    <s v="rom_fact_separatist_balchoth"/>
    <n v="0"/>
    <x v="11"/>
    <n v="0"/>
    <n v="4000"/>
    <n v="1750"/>
    <n v="0"/>
    <m/>
    <x v="30"/>
  </r>
  <r>
    <x v="121"/>
    <s v="rom_fact_separatist_feredrim"/>
    <n v="0"/>
    <x v="11"/>
    <n v="0"/>
    <n v="4000"/>
    <n v="1750"/>
    <n v="0"/>
    <m/>
    <x v="30"/>
  </r>
  <r>
    <x v="121"/>
    <s v="rom_fact_separatist_haerrim"/>
    <n v="0"/>
    <x v="11"/>
    <n v="0"/>
    <n v="4000"/>
    <n v="1750"/>
    <n v="0"/>
    <m/>
    <x v="30"/>
  </r>
  <r>
    <x v="121"/>
    <s v="rom_fact_separatist_wainriders"/>
    <n v="0"/>
    <x v="11"/>
    <n v="0"/>
    <n v="4000"/>
    <n v="1750"/>
    <n v="0"/>
    <m/>
    <x v="30"/>
  </r>
  <r>
    <x v="121"/>
    <s v="rom_fact_separatist_rhurim"/>
    <n v="0"/>
    <x v="11"/>
    <n v="0"/>
    <n v="4000"/>
    <n v="1750"/>
    <n v="0"/>
    <m/>
    <x v="30"/>
  </r>
  <r>
    <x v="121"/>
    <s v="rom_fact_separatist_mahuds"/>
    <n v="0"/>
    <x v="11"/>
    <n v="0"/>
    <n v="4000"/>
    <n v="1750"/>
    <n v="0"/>
    <m/>
    <x v="30"/>
  </r>
  <r>
    <x v="121"/>
    <s v="rom_fact_separatist_umbar"/>
    <n v="0"/>
    <x v="11"/>
    <n v="0"/>
    <n v="4000"/>
    <n v="1750"/>
    <n v="0"/>
    <m/>
    <x v="30"/>
  </r>
  <r>
    <x v="122"/>
    <s v="rom_fact_mordor"/>
    <n v="623"/>
    <x v="36"/>
    <n v="492.8"/>
    <n v="165"/>
    <n v="69324"/>
    <n v="4097"/>
    <m/>
    <x v="0"/>
  </r>
  <r>
    <x v="122"/>
    <s v="rom_fact_gondor"/>
    <n v="146"/>
    <x v="11"/>
    <n v="0"/>
    <n v="55420"/>
    <n v="2500"/>
    <n v="0"/>
    <m/>
    <x v="1"/>
  </r>
  <r>
    <x v="122"/>
    <s v="rom_fact_dale"/>
    <n v="199"/>
    <x v="11"/>
    <n v="0"/>
    <n v="10343"/>
    <n v="2500"/>
    <n v="0"/>
    <m/>
    <x v="2"/>
  </r>
  <r>
    <x v="122"/>
    <s v="rom_fact_erebor"/>
    <n v="200"/>
    <x v="11"/>
    <n v="0"/>
    <n v="10040"/>
    <n v="2500"/>
    <n v="0"/>
    <m/>
    <x v="3"/>
  </r>
  <r>
    <x v="122"/>
    <s v="rom_fact_rohan"/>
    <n v="157"/>
    <x v="11"/>
    <n v="0"/>
    <n v="6638"/>
    <n v="2500"/>
    <n v="0"/>
    <m/>
    <x v="4"/>
  </r>
  <r>
    <x v="122"/>
    <s v="rom_fact_dol_guldur"/>
    <n v="486"/>
    <x v="29"/>
    <n v="318.60000000000002"/>
    <n v="263345"/>
    <n v="50277"/>
    <n v="4046"/>
    <m/>
    <x v="5"/>
  </r>
  <r>
    <x v="122"/>
    <s v="rom_fact_anduin_vale"/>
    <n v="58"/>
    <x v="11"/>
    <n v="0"/>
    <n v="4515"/>
    <n v="2500"/>
    <n v="0"/>
    <m/>
    <x v="6"/>
  </r>
  <r>
    <x v="122"/>
    <s v="rom_fact_isengard"/>
    <n v="318"/>
    <x v="5"/>
    <n v="184"/>
    <n v="30761"/>
    <n v="29140"/>
    <n v="1269"/>
    <m/>
    <x v="7"/>
  </r>
  <r>
    <x v="122"/>
    <s v="rom_fact_woodland_realm"/>
    <n v="30"/>
    <x v="11"/>
    <n v="0"/>
    <n v="8475"/>
    <n v="2500"/>
    <n v="0"/>
    <m/>
    <x v="8"/>
  </r>
  <r>
    <x v="122"/>
    <s v="rom_fact_lothlorien"/>
    <n v="64"/>
    <x v="11"/>
    <n v="0"/>
    <n v="4721"/>
    <n v="2500"/>
    <n v="0"/>
    <m/>
    <x v="9"/>
  </r>
  <r>
    <x v="122"/>
    <s v="rom_fact_khand"/>
    <n v="0"/>
    <x v="11"/>
    <n v="0"/>
    <n v="4919"/>
    <n v="1750"/>
    <n v="0"/>
    <m/>
    <x v="10"/>
  </r>
  <r>
    <x v="122"/>
    <s v="rom_fact_umbar"/>
    <n v="20"/>
    <x v="4"/>
    <n v="260.8"/>
    <n v="254379"/>
    <n v="57539"/>
    <n v="4799"/>
    <m/>
    <x v="11"/>
  </r>
  <r>
    <x v="122"/>
    <s v="rom_fact_mahuds"/>
    <n v="0"/>
    <x v="11"/>
    <n v="0"/>
    <n v="9228"/>
    <n v="1750"/>
    <n v="0"/>
    <m/>
    <x v="12"/>
  </r>
  <r>
    <x v="122"/>
    <s v="rom_fact_harad"/>
    <n v="320"/>
    <x v="4"/>
    <n v="208.39999999999901"/>
    <n v="55665"/>
    <n v="35619"/>
    <n v="2569"/>
    <m/>
    <x v="13"/>
  </r>
  <r>
    <x v="122"/>
    <s v="rom_fact_dunland"/>
    <n v="306"/>
    <x v="0"/>
    <n v="221"/>
    <n v="208092"/>
    <n v="40435"/>
    <n v="681"/>
    <m/>
    <x v="14"/>
  </r>
  <r>
    <x v="122"/>
    <s v="rom_fact_haerrim"/>
    <n v="0"/>
    <x v="11"/>
    <n v="0"/>
    <n v="5352"/>
    <n v="1750"/>
    <n v="0"/>
    <m/>
    <x v="15"/>
  </r>
  <r>
    <x v="122"/>
    <s v="rom_fact_goblins"/>
    <n v="630"/>
    <x v="20"/>
    <n v="431.5"/>
    <n v="217343"/>
    <n v="58671"/>
    <n v="1"/>
    <m/>
    <x v="16"/>
  </r>
  <r>
    <x v="122"/>
    <s v="rom_fact_balchoth"/>
    <n v="0"/>
    <x v="11"/>
    <n v="0"/>
    <n v="4872"/>
    <n v="1750"/>
    <n v="0"/>
    <m/>
    <x v="17"/>
  </r>
  <r>
    <x v="122"/>
    <s v="rom_fact_rhurim"/>
    <n v="610"/>
    <x v="21"/>
    <n v="396.29999999999899"/>
    <n v="71118"/>
    <n v="51083"/>
    <n v="3567"/>
    <m/>
    <x v="18"/>
  </r>
  <r>
    <x v="122"/>
    <s v="rom_fact_feredrim"/>
    <n v="0"/>
    <x v="11"/>
    <n v="0"/>
    <n v="7360"/>
    <n v="1750"/>
    <n v="0"/>
    <m/>
    <x v="19"/>
  </r>
  <r>
    <x v="122"/>
    <s v="rom_fact_wainriders"/>
    <n v="0"/>
    <x v="11"/>
    <n v="0"/>
    <n v="6395"/>
    <n v="1750"/>
    <n v="0"/>
    <m/>
    <x v="20"/>
  </r>
  <r>
    <x v="122"/>
    <s v="rom_fact_blacklock"/>
    <n v="5"/>
    <x v="3"/>
    <n v="52.2"/>
    <n v="11384"/>
    <n v="12147"/>
    <n v="553"/>
    <m/>
    <x v="21"/>
  </r>
  <r>
    <x v="122"/>
    <s v="rom_fact_ironfist"/>
    <n v="5"/>
    <x v="10"/>
    <n v="16"/>
    <n v="16622"/>
    <n v="5000"/>
    <n v="0"/>
    <m/>
    <x v="22"/>
  </r>
  <r>
    <x v="122"/>
    <s v="rom_fact_gundabad"/>
    <n v="245"/>
    <x v="11"/>
    <n v="0"/>
    <n v="9750"/>
    <n v="2500"/>
    <n v="0"/>
    <m/>
    <x v="23"/>
  </r>
  <r>
    <x v="122"/>
    <s v="rom_fact_rohan_scouts"/>
    <n v="0"/>
    <x v="11"/>
    <n v="3"/>
    <n v="142483"/>
    <n v="2354"/>
    <n v="0"/>
    <m/>
    <x v="24"/>
  </r>
  <r>
    <x v="122"/>
    <s v="rom_fact_northern_enedwaith"/>
    <n v="6"/>
    <x v="9"/>
    <n v="110.6"/>
    <n v="136626"/>
    <n v="25405"/>
    <n v="1019"/>
    <m/>
    <x v="25"/>
  </r>
  <r>
    <x v="122"/>
    <s v="rom_fact_southern_enedwaith"/>
    <n v="0"/>
    <x v="11"/>
    <n v="0"/>
    <n v="54023"/>
    <n v="1750"/>
    <n v="0"/>
    <m/>
    <x v="26"/>
  </r>
  <r>
    <x v="122"/>
    <s v="rom_fact_druedain"/>
    <n v="0"/>
    <x v="11"/>
    <n v="0"/>
    <n v="32146"/>
    <n v="1750"/>
    <n v="0"/>
    <m/>
    <x v="27"/>
  </r>
  <r>
    <x v="122"/>
    <s v="rom_fact_harondor"/>
    <n v="0"/>
    <x v="11"/>
    <n v="0"/>
    <n v="15146"/>
    <n v="1750"/>
    <n v="0"/>
    <m/>
    <x v="28"/>
  </r>
  <r>
    <x v="122"/>
    <s v="rom_fact_southron_nomads"/>
    <n v="0"/>
    <x v="11"/>
    <n v="0"/>
    <n v="4000"/>
    <n v="1750"/>
    <n v="0"/>
    <m/>
    <x v="29"/>
  </r>
  <r>
    <x v="122"/>
    <s v="rom_fact_separatist_harad"/>
    <n v="0"/>
    <x v="11"/>
    <n v="0"/>
    <n v="4000"/>
    <n v="1750"/>
    <n v="0"/>
    <m/>
    <x v="30"/>
  </r>
  <r>
    <x v="122"/>
    <s v="rom_fact_separatist_khand"/>
    <n v="0"/>
    <x v="11"/>
    <n v="0"/>
    <n v="4000"/>
    <n v="1750"/>
    <n v="0"/>
    <m/>
    <x v="30"/>
  </r>
  <r>
    <x v="122"/>
    <s v="rom_fact_separatist_balchoth"/>
    <n v="0"/>
    <x v="11"/>
    <n v="0"/>
    <n v="4000"/>
    <n v="1750"/>
    <n v="0"/>
    <m/>
    <x v="30"/>
  </r>
  <r>
    <x v="122"/>
    <s v="rom_fact_separatist_feredrim"/>
    <n v="0"/>
    <x v="11"/>
    <n v="0"/>
    <n v="4000"/>
    <n v="1750"/>
    <n v="0"/>
    <m/>
    <x v="30"/>
  </r>
  <r>
    <x v="122"/>
    <s v="rom_fact_separatist_haerrim"/>
    <n v="0"/>
    <x v="11"/>
    <n v="0"/>
    <n v="4000"/>
    <n v="1750"/>
    <n v="0"/>
    <m/>
    <x v="30"/>
  </r>
  <r>
    <x v="122"/>
    <s v="rom_fact_separatist_wainriders"/>
    <n v="0"/>
    <x v="11"/>
    <n v="0"/>
    <n v="4000"/>
    <n v="1750"/>
    <n v="0"/>
    <m/>
    <x v="30"/>
  </r>
  <r>
    <x v="122"/>
    <s v="rom_fact_separatist_rhurim"/>
    <n v="0"/>
    <x v="11"/>
    <n v="0"/>
    <n v="4000"/>
    <n v="1750"/>
    <n v="0"/>
    <m/>
    <x v="30"/>
  </r>
  <r>
    <x v="122"/>
    <s v="rom_fact_separatist_mahuds"/>
    <n v="0"/>
    <x v="11"/>
    <n v="0"/>
    <n v="4000"/>
    <n v="1750"/>
    <n v="0"/>
    <m/>
    <x v="30"/>
  </r>
  <r>
    <x v="122"/>
    <s v="rom_fact_separatist_umbar"/>
    <n v="0"/>
    <x v="11"/>
    <n v="0"/>
    <n v="4000"/>
    <n v="1750"/>
    <n v="0"/>
    <m/>
    <x v="30"/>
  </r>
  <r>
    <x v="123"/>
    <s v="rom_fact_mordor"/>
    <n v="623"/>
    <x v="36"/>
    <n v="486.8"/>
    <n v="8573"/>
    <n v="69032"/>
    <n v="3996"/>
    <m/>
    <x v="0"/>
  </r>
  <r>
    <x v="123"/>
    <s v="rom_fact_gondor"/>
    <n v="146"/>
    <x v="11"/>
    <n v="0"/>
    <n v="55420"/>
    <n v="2500"/>
    <n v="0"/>
    <m/>
    <x v="1"/>
  </r>
  <r>
    <x v="123"/>
    <s v="rom_fact_dale"/>
    <n v="199"/>
    <x v="11"/>
    <n v="0"/>
    <n v="10343"/>
    <n v="2500"/>
    <n v="0"/>
    <m/>
    <x v="2"/>
  </r>
  <r>
    <x v="123"/>
    <s v="rom_fact_erebor"/>
    <n v="200"/>
    <x v="11"/>
    <n v="0"/>
    <n v="10040"/>
    <n v="2500"/>
    <n v="0"/>
    <m/>
    <x v="3"/>
  </r>
  <r>
    <x v="123"/>
    <s v="rom_fact_rohan"/>
    <n v="157"/>
    <x v="11"/>
    <n v="0"/>
    <n v="6638"/>
    <n v="2500"/>
    <n v="0"/>
    <m/>
    <x v="4"/>
  </r>
  <r>
    <x v="123"/>
    <s v="rom_fact_dol_guldur"/>
    <n v="515"/>
    <x v="29"/>
    <n v="325.10000000000002"/>
    <n v="260411"/>
    <n v="51556"/>
    <n v="4052"/>
    <m/>
    <x v="5"/>
  </r>
  <r>
    <x v="123"/>
    <s v="rom_fact_anduin_vale"/>
    <n v="58"/>
    <x v="11"/>
    <n v="0"/>
    <n v="4515"/>
    <n v="2500"/>
    <n v="0"/>
    <m/>
    <x v="6"/>
  </r>
  <r>
    <x v="123"/>
    <s v="rom_fact_isengard"/>
    <n v="323"/>
    <x v="5"/>
    <n v="181.2"/>
    <n v="18026"/>
    <n v="27360"/>
    <n v="1260"/>
    <m/>
    <x v="7"/>
  </r>
  <r>
    <x v="123"/>
    <s v="rom_fact_woodland_realm"/>
    <n v="30"/>
    <x v="11"/>
    <n v="0"/>
    <n v="8475"/>
    <n v="2500"/>
    <n v="0"/>
    <m/>
    <x v="8"/>
  </r>
  <r>
    <x v="123"/>
    <s v="rom_fact_lothlorien"/>
    <n v="64"/>
    <x v="11"/>
    <n v="0"/>
    <n v="4721"/>
    <n v="2500"/>
    <n v="0"/>
    <m/>
    <x v="9"/>
  </r>
  <r>
    <x v="123"/>
    <s v="rom_fact_khand"/>
    <n v="0"/>
    <x v="11"/>
    <n v="0"/>
    <n v="4919"/>
    <n v="1750"/>
    <n v="0"/>
    <m/>
    <x v="10"/>
  </r>
  <r>
    <x v="123"/>
    <s v="rom_fact_umbar"/>
    <n v="20"/>
    <x v="4"/>
    <n v="260.8"/>
    <n v="268839"/>
    <n v="57898"/>
    <n v="4811"/>
    <m/>
    <x v="11"/>
  </r>
  <r>
    <x v="123"/>
    <s v="rom_fact_mahuds"/>
    <n v="0"/>
    <x v="11"/>
    <n v="0"/>
    <n v="9228"/>
    <n v="1750"/>
    <n v="0"/>
    <m/>
    <x v="12"/>
  </r>
  <r>
    <x v="123"/>
    <s v="rom_fact_harad"/>
    <n v="324"/>
    <x v="4"/>
    <n v="219"/>
    <n v="69271"/>
    <n v="37090"/>
    <n v="2571"/>
    <m/>
    <x v="13"/>
  </r>
  <r>
    <x v="123"/>
    <s v="rom_fact_dunland"/>
    <n v="306"/>
    <x v="0"/>
    <n v="222"/>
    <n v="210857"/>
    <n v="39680"/>
    <n v="671"/>
    <m/>
    <x v="14"/>
  </r>
  <r>
    <x v="123"/>
    <s v="rom_fact_haerrim"/>
    <n v="0"/>
    <x v="11"/>
    <n v="0"/>
    <n v="5352"/>
    <n v="1750"/>
    <n v="0"/>
    <m/>
    <x v="15"/>
  </r>
  <r>
    <x v="123"/>
    <s v="rom_fact_goblins"/>
    <n v="630"/>
    <x v="20"/>
    <n v="431.5"/>
    <n v="208216"/>
    <n v="58005"/>
    <n v="1"/>
    <m/>
    <x v="16"/>
  </r>
  <r>
    <x v="123"/>
    <s v="rom_fact_balchoth"/>
    <n v="0"/>
    <x v="11"/>
    <n v="0"/>
    <n v="4872"/>
    <n v="1750"/>
    <n v="0"/>
    <m/>
    <x v="17"/>
  </r>
  <r>
    <x v="123"/>
    <s v="rom_fact_rhurim"/>
    <n v="615"/>
    <x v="21"/>
    <n v="403.5"/>
    <n v="81577"/>
    <n v="53571"/>
    <n v="3696"/>
    <m/>
    <x v="18"/>
  </r>
  <r>
    <x v="123"/>
    <s v="rom_fact_feredrim"/>
    <n v="0"/>
    <x v="11"/>
    <n v="0"/>
    <n v="7360"/>
    <n v="1750"/>
    <n v="0"/>
    <m/>
    <x v="19"/>
  </r>
  <r>
    <x v="123"/>
    <s v="rom_fact_wainriders"/>
    <n v="0"/>
    <x v="11"/>
    <n v="0"/>
    <n v="6395"/>
    <n v="1750"/>
    <n v="0"/>
    <m/>
    <x v="20"/>
  </r>
  <r>
    <x v="123"/>
    <s v="rom_fact_blacklock"/>
    <n v="5"/>
    <x v="3"/>
    <n v="53.2"/>
    <n v="12348"/>
    <n v="11869"/>
    <n v="554"/>
    <m/>
    <x v="21"/>
  </r>
  <r>
    <x v="123"/>
    <s v="rom_fact_ironfist"/>
    <n v="5"/>
    <x v="10"/>
    <n v="18.100000000000001"/>
    <n v="13348"/>
    <n v="5209"/>
    <n v="0"/>
    <m/>
    <x v="22"/>
  </r>
  <r>
    <x v="123"/>
    <s v="rom_fact_gundabad"/>
    <n v="245"/>
    <x v="11"/>
    <n v="0"/>
    <n v="9750"/>
    <n v="2500"/>
    <n v="0"/>
    <m/>
    <x v="23"/>
  </r>
  <r>
    <x v="123"/>
    <s v="rom_fact_rohan_scouts"/>
    <n v="0"/>
    <x v="11"/>
    <n v="3"/>
    <n v="143629"/>
    <n v="2354"/>
    <n v="0"/>
    <m/>
    <x v="24"/>
  </r>
  <r>
    <x v="123"/>
    <s v="rom_fact_northern_enedwaith"/>
    <n v="6"/>
    <x v="9"/>
    <n v="110.6"/>
    <n v="131432"/>
    <n v="25411"/>
    <n v="1020"/>
    <m/>
    <x v="25"/>
  </r>
  <r>
    <x v="123"/>
    <s v="rom_fact_southern_enedwaith"/>
    <n v="0"/>
    <x v="11"/>
    <n v="0"/>
    <n v="54023"/>
    <n v="1750"/>
    <n v="0"/>
    <m/>
    <x v="26"/>
  </r>
  <r>
    <x v="123"/>
    <s v="rom_fact_druedain"/>
    <n v="0"/>
    <x v="11"/>
    <n v="0"/>
    <n v="32146"/>
    <n v="1750"/>
    <n v="0"/>
    <m/>
    <x v="27"/>
  </r>
  <r>
    <x v="123"/>
    <s v="rom_fact_harondor"/>
    <n v="0"/>
    <x v="11"/>
    <n v="0"/>
    <n v="15146"/>
    <n v="1750"/>
    <n v="0"/>
    <m/>
    <x v="28"/>
  </r>
  <r>
    <x v="123"/>
    <s v="rom_fact_southron_nomads"/>
    <n v="0"/>
    <x v="11"/>
    <n v="0"/>
    <n v="4000"/>
    <n v="1750"/>
    <n v="0"/>
    <m/>
    <x v="29"/>
  </r>
  <r>
    <x v="123"/>
    <s v="rom_fact_separatist_harad"/>
    <n v="0"/>
    <x v="11"/>
    <n v="0"/>
    <n v="4000"/>
    <n v="1750"/>
    <n v="0"/>
    <m/>
    <x v="30"/>
  </r>
  <r>
    <x v="123"/>
    <s v="rom_fact_separatist_khand"/>
    <n v="0"/>
    <x v="11"/>
    <n v="0"/>
    <n v="4000"/>
    <n v="1750"/>
    <n v="0"/>
    <m/>
    <x v="30"/>
  </r>
  <r>
    <x v="123"/>
    <s v="rom_fact_separatist_balchoth"/>
    <n v="0"/>
    <x v="11"/>
    <n v="0"/>
    <n v="4000"/>
    <n v="1750"/>
    <n v="0"/>
    <m/>
    <x v="30"/>
  </r>
  <r>
    <x v="123"/>
    <s v="rom_fact_separatist_feredrim"/>
    <n v="0"/>
    <x v="11"/>
    <n v="0"/>
    <n v="4000"/>
    <n v="1750"/>
    <n v="0"/>
    <m/>
    <x v="30"/>
  </r>
  <r>
    <x v="123"/>
    <s v="rom_fact_separatist_haerrim"/>
    <n v="0"/>
    <x v="11"/>
    <n v="0"/>
    <n v="4000"/>
    <n v="1750"/>
    <n v="0"/>
    <m/>
    <x v="30"/>
  </r>
  <r>
    <x v="123"/>
    <s v="rom_fact_separatist_wainriders"/>
    <n v="0"/>
    <x v="11"/>
    <n v="0"/>
    <n v="4000"/>
    <n v="1750"/>
    <n v="0"/>
    <m/>
    <x v="30"/>
  </r>
  <r>
    <x v="123"/>
    <s v="rom_fact_separatist_rhurim"/>
    <n v="0"/>
    <x v="11"/>
    <n v="0"/>
    <n v="4000"/>
    <n v="1750"/>
    <n v="0"/>
    <m/>
    <x v="30"/>
  </r>
  <r>
    <x v="123"/>
    <s v="rom_fact_separatist_mahuds"/>
    <n v="0"/>
    <x v="11"/>
    <n v="0"/>
    <n v="4000"/>
    <n v="1750"/>
    <n v="0"/>
    <m/>
    <x v="30"/>
  </r>
  <r>
    <x v="123"/>
    <s v="rom_fact_separatist_umbar"/>
    <n v="0"/>
    <x v="11"/>
    <n v="0"/>
    <n v="4000"/>
    <n v="1750"/>
    <n v="0"/>
    <m/>
    <x v="30"/>
  </r>
  <r>
    <x v="124"/>
    <s v="rom_fact_mordor"/>
    <n v="642"/>
    <x v="34"/>
    <n v="496.8"/>
    <n v="7177"/>
    <n v="69770"/>
    <n v="4000"/>
    <m/>
    <x v="0"/>
  </r>
  <r>
    <x v="124"/>
    <s v="rom_fact_gondor"/>
    <n v="146"/>
    <x v="11"/>
    <n v="0"/>
    <n v="55420"/>
    <n v="2500"/>
    <n v="0"/>
    <m/>
    <x v="1"/>
  </r>
  <r>
    <x v="124"/>
    <s v="rom_fact_dale"/>
    <n v="199"/>
    <x v="11"/>
    <n v="0"/>
    <n v="10343"/>
    <n v="2500"/>
    <n v="0"/>
    <m/>
    <x v="2"/>
  </r>
  <r>
    <x v="124"/>
    <s v="rom_fact_erebor"/>
    <n v="200"/>
    <x v="11"/>
    <n v="0"/>
    <n v="10040"/>
    <n v="2500"/>
    <n v="0"/>
    <m/>
    <x v="3"/>
  </r>
  <r>
    <x v="124"/>
    <s v="rom_fact_rohan"/>
    <n v="157"/>
    <x v="11"/>
    <n v="0"/>
    <n v="6638"/>
    <n v="2500"/>
    <n v="0"/>
    <m/>
    <x v="4"/>
  </r>
  <r>
    <x v="124"/>
    <s v="rom_fact_dol_guldur"/>
    <n v="515"/>
    <x v="29"/>
    <n v="330.6"/>
    <n v="270871"/>
    <n v="54162"/>
    <n v="4730"/>
    <m/>
    <x v="5"/>
  </r>
  <r>
    <x v="124"/>
    <s v="rom_fact_anduin_vale"/>
    <n v="58"/>
    <x v="11"/>
    <n v="0"/>
    <n v="4515"/>
    <n v="2500"/>
    <n v="0"/>
    <m/>
    <x v="6"/>
  </r>
  <r>
    <x v="124"/>
    <s v="rom_fact_isengard"/>
    <n v="324"/>
    <x v="13"/>
    <n v="161.6"/>
    <n v="17562"/>
    <n v="26788"/>
    <n v="1272"/>
    <m/>
    <x v="7"/>
  </r>
  <r>
    <x v="124"/>
    <s v="rom_fact_woodland_realm"/>
    <n v="30"/>
    <x v="11"/>
    <n v="0"/>
    <n v="8475"/>
    <n v="2500"/>
    <n v="0"/>
    <m/>
    <x v="8"/>
  </r>
  <r>
    <x v="124"/>
    <s v="rom_fact_lothlorien"/>
    <n v="64"/>
    <x v="11"/>
    <n v="0"/>
    <n v="4721"/>
    <n v="2500"/>
    <n v="0"/>
    <m/>
    <x v="9"/>
  </r>
  <r>
    <x v="124"/>
    <s v="rom_fact_khand"/>
    <n v="0"/>
    <x v="11"/>
    <n v="0"/>
    <n v="4919"/>
    <n v="1750"/>
    <n v="0"/>
    <m/>
    <x v="10"/>
  </r>
  <r>
    <x v="124"/>
    <s v="rom_fact_umbar"/>
    <n v="20"/>
    <x v="4"/>
    <n v="260.8"/>
    <n v="281334"/>
    <n v="58421"/>
    <n v="4825"/>
    <m/>
    <x v="11"/>
  </r>
  <r>
    <x v="124"/>
    <s v="rom_fact_mahuds"/>
    <n v="0"/>
    <x v="11"/>
    <n v="0"/>
    <n v="9228"/>
    <n v="1750"/>
    <n v="0"/>
    <m/>
    <x v="12"/>
  </r>
  <r>
    <x v="124"/>
    <s v="rom_fact_harad"/>
    <n v="337"/>
    <x v="4"/>
    <n v="231.6"/>
    <n v="65969"/>
    <n v="38406"/>
    <n v="2581"/>
    <m/>
    <x v="13"/>
  </r>
  <r>
    <x v="124"/>
    <s v="rom_fact_dunland"/>
    <n v="306"/>
    <x v="0"/>
    <n v="239.5"/>
    <n v="206723"/>
    <n v="43061"/>
    <n v="683"/>
    <m/>
    <x v="14"/>
  </r>
  <r>
    <x v="124"/>
    <s v="rom_fact_haerrim"/>
    <n v="0"/>
    <x v="11"/>
    <n v="0"/>
    <n v="5352"/>
    <n v="1750"/>
    <n v="0"/>
    <m/>
    <x v="15"/>
  </r>
  <r>
    <x v="124"/>
    <s v="rom_fact_goblins"/>
    <n v="635"/>
    <x v="20"/>
    <n v="418.5"/>
    <n v="208308"/>
    <n v="58160"/>
    <n v="1"/>
    <m/>
    <x v="16"/>
  </r>
  <r>
    <x v="124"/>
    <s v="rom_fact_balchoth"/>
    <n v="0"/>
    <x v="11"/>
    <n v="0"/>
    <n v="4872"/>
    <n v="1750"/>
    <n v="0"/>
    <m/>
    <x v="17"/>
  </r>
  <r>
    <x v="124"/>
    <s v="rom_fact_rhurim"/>
    <n v="615"/>
    <x v="21"/>
    <n v="408.2"/>
    <n v="103077"/>
    <n v="50067"/>
    <n v="3694"/>
    <m/>
    <x v="18"/>
  </r>
  <r>
    <x v="124"/>
    <s v="rom_fact_feredrim"/>
    <n v="0"/>
    <x v="11"/>
    <n v="0"/>
    <n v="7360"/>
    <n v="1750"/>
    <n v="0"/>
    <m/>
    <x v="19"/>
  </r>
  <r>
    <x v="124"/>
    <s v="rom_fact_wainriders"/>
    <n v="0"/>
    <x v="11"/>
    <n v="0"/>
    <n v="6395"/>
    <n v="1750"/>
    <n v="0"/>
    <m/>
    <x v="20"/>
  </r>
  <r>
    <x v="124"/>
    <s v="rom_fact_blacklock"/>
    <n v="5"/>
    <x v="3"/>
    <n v="57.7"/>
    <n v="12413"/>
    <n v="13927"/>
    <n v="559"/>
    <m/>
    <x v="21"/>
  </r>
  <r>
    <x v="124"/>
    <s v="rom_fact_ironfist"/>
    <n v="5"/>
    <x v="10"/>
    <n v="18.100000000000001"/>
    <n v="15031"/>
    <n v="5922"/>
    <n v="0"/>
    <m/>
    <x v="22"/>
  </r>
  <r>
    <x v="124"/>
    <s v="rom_fact_gundabad"/>
    <n v="245"/>
    <x v="11"/>
    <n v="0"/>
    <n v="9750"/>
    <n v="2500"/>
    <n v="0"/>
    <m/>
    <x v="23"/>
  </r>
  <r>
    <x v="124"/>
    <s v="rom_fact_rohan_scouts"/>
    <n v="0"/>
    <x v="11"/>
    <n v="3"/>
    <n v="144775"/>
    <n v="2354"/>
    <n v="0"/>
    <m/>
    <x v="24"/>
  </r>
  <r>
    <x v="124"/>
    <s v="rom_fact_northern_enedwaith"/>
    <n v="6"/>
    <x v="9"/>
    <n v="65.099999999999994"/>
    <n v="109506"/>
    <n v="17237"/>
    <n v="1019"/>
    <m/>
    <x v="25"/>
  </r>
  <r>
    <x v="124"/>
    <s v="rom_fact_southern_enedwaith"/>
    <n v="0"/>
    <x v="11"/>
    <n v="0"/>
    <n v="54023"/>
    <n v="1750"/>
    <n v="0"/>
    <m/>
    <x v="26"/>
  </r>
  <r>
    <x v="124"/>
    <s v="rom_fact_druedain"/>
    <n v="0"/>
    <x v="11"/>
    <n v="0"/>
    <n v="32146"/>
    <n v="1750"/>
    <n v="0"/>
    <m/>
    <x v="27"/>
  </r>
  <r>
    <x v="124"/>
    <s v="rom_fact_harondor"/>
    <n v="0"/>
    <x v="11"/>
    <n v="0"/>
    <n v="15146"/>
    <n v="1750"/>
    <n v="0"/>
    <m/>
    <x v="28"/>
  </r>
  <r>
    <x v="124"/>
    <s v="rom_fact_southron_nomads"/>
    <n v="0"/>
    <x v="11"/>
    <n v="0"/>
    <n v="4000"/>
    <n v="1750"/>
    <n v="0"/>
    <m/>
    <x v="29"/>
  </r>
  <r>
    <x v="124"/>
    <s v="rom_fact_separatist_harad"/>
    <n v="0"/>
    <x v="11"/>
    <n v="0"/>
    <n v="4000"/>
    <n v="1750"/>
    <n v="0"/>
    <m/>
    <x v="30"/>
  </r>
  <r>
    <x v="124"/>
    <s v="rom_fact_separatist_khand"/>
    <n v="0"/>
    <x v="11"/>
    <n v="0"/>
    <n v="4000"/>
    <n v="1750"/>
    <n v="0"/>
    <m/>
    <x v="30"/>
  </r>
  <r>
    <x v="124"/>
    <s v="rom_fact_separatist_balchoth"/>
    <n v="0"/>
    <x v="11"/>
    <n v="0"/>
    <n v="4000"/>
    <n v="1750"/>
    <n v="0"/>
    <m/>
    <x v="30"/>
  </r>
  <r>
    <x v="124"/>
    <s v="rom_fact_separatist_feredrim"/>
    <n v="0"/>
    <x v="11"/>
    <n v="0"/>
    <n v="4000"/>
    <n v="1750"/>
    <n v="0"/>
    <m/>
    <x v="30"/>
  </r>
  <r>
    <x v="124"/>
    <s v="rom_fact_separatist_haerrim"/>
    <n v="0"/>
    <x v="11"/>
    <n v="0"/>
    <n v="4000"/>
    <n v="1750"/>
    <n v="0"/>
    <m/>
    <x v="30"/>
  </r>
  <r>
    <x v="124"/>
    <s v="rom_fact_separatist_wainriders"/>
    <n v="0"/>
    <x v="11"/>
    <n v="0"/>
    <n v="4000"/>
    <n v="1750"/>
    <n v="0"/>
    <m/>
    <x v="30"/>
  </r>
  <r>
    <x v="124"/>
    <s v="rom_fact_separatist_rhurim"/>
    <n v="0"/>
    <x v="11"/>
    <n v="0"/>
    <n v="4000"/>
    <n v="1750"/>
    <n v="0"/>
    <m/>
    <x v="30"/>
  </r>
  <r>
    <x v="124"/>
    <s v="rom_fact_separatist_mahuds"/>
    <n v="0"/>
    <x v="11"/>
    <n v="0"/>
    <n v="4000"/>
    <n v="1750"/>
    <n v="0"/>
    <m/>
    <x v="30"/>
  </r>
  <r>
    <x v="124"/>
    <s v="rom_fact_separatist_umbar"/>
    <n v="0"/>
    <x v="11"/>
    <n v="0"/>
    <n v="4000"/>
    <n v="1750"/>
    <n v="0"/>
    <m/>
    <x v="30"/>
  </r>
  <r>
    <x v="125"/>
    <s v="rom_fact_mordor"/>
    <n v="644"/>
    <x v="37"/>
    <n v="516.9"/>
    <n v="4229"/>
    <n v="71453"/>
    <n v="4124"/>
    <m/>
    <x v="0"/>
  </r>
  <r>
    <x v="125"/>
    <s v="rom_fact_gondor"/>
    <n v="146"/>
    <x v="11"/>
    <n v="0"/>
    <n v="55420"/>
    <n v="2500"/>
    <n v="0"/>
    <m/>
    <x v="1"/>
  </r>
  <r>
    <x v="125"/>
    <s v="rom_fact_dale"/>
    <n v="199"/>
    <x v="11"/>
    <n v="0"/>
    <n v="10343"/>
    <n v="2500"/>
    <n v="0"/>
    <m/>
    <x v="2"/>
  </r>
  <r>
    <x v="125"/>
    <s v="rom_fact_erebor"/>
    <n v="200"/>
    <x v="11"/>
    <n v="0"/>
    <n v="10040"/>
    <n v="2500"/>
    <n v="0"/>
    <m/>
    <x v="3"/>
  </r>
  <r>
    <x v="125"/>
    <s v="rom_fact_rohan"/>
    <n v="157"/>
    <x v="11"/>
    <n v="0"/>
    <n v="6638"/>
    <n v="2500"/>
    <n v="0"/>
    <m/>
    <x v="4"/>
  </r>
  <r>
    <x v="125"/>
    <s v="rom_fact_dol_guldur"/>
    <n v="515"/>
    <x v="29"/>
    <n v="350.4"/>
    <n v="288724"/>
    <n v="55402"/>
    <n v="4742"/>
    <m/>
    <x v="5"/>
  </r>
  <r>
    <x v="125"/>
    <s v="rom_fact_anduin_vale"/>
    <n v="58"/>
    <x v="11"/>
    <n v="0"/>
    <n v="4515"/>
    <n v="2500"/>
    <n v="0"/>
    <m/>
    <x v="6"/>
  </r>
  <r>
    <x v="125"/>
    <s v="rom_fact_isengard"/>
    <n v="323"/>
    <x v="5"/>
    <n v="129"/>
    <n v="23973"/>
    <n v="21580"/>
    <n v="1265"/>
    <m/>
    <x v="7"/>
  </r>
  <r>
    <x v="125"/>
    <s v="rom_fact_woodland_realm"/>
    <n v="30"/>
    <x v="11"/>
    <n v="0"/>
    <n v="8475"/>
    <n v="2500"/>
    <n v="0"/>
    <m/>
    <x v="8"/>
  </r>
  <r>
    <x v="125"/>
    <s v="rom_fact_lothlorien"/>
    <n v="64"/>
    <x v="11"/>
    <n v="0"/>
    <n v="4721"/>
    <n v="2500"/>
    <n v="0"/>
    <m/>
    <x v="9"/>
  </r>
  <r>
    <x v="125"/>
    <s v="rom_fact_khand"/>
    <n v="0"/>
    <x v="11"/>
    <n v="0"/>
    <n v="4919"/>
    <n v="1750"/>
    <n v="0"/>
    <m/>
    <x v="10"/>
  </r>
  <r>
    <x v="125"/>
    <s v="rom_fact_umbar"/>
    <n v="20"/>
    <x v="4"/>
    <n v="238"/>
    <n v="274692"/>
    <n v="56461"/>
    <n v="4838"/>
    <m/>
    <x v="11"/>
  </r>
  <r>
    <x v="125"/>
    <s v="rom_fact_mahuds"/>
    <n v="0"/>
    <x v="11"/>
    <n v="0"/>
    <n v="9228"/>
    <n v="1750"/>
    <n v="0"/>
    <m/>
    <x v="12"/>
  </r>
  <r>
    <x v="125"/>
    <s v="rom_fact_harad"/>
    <n v="345"/>
    <x v="4"/>
    <n v="237.8"/>
    <n v="80195"/>
    <n v="35973"/>
    <n v="2564"/>
    <m/>
    <x v="13"/>
  </r>
  <r>
    <x v="125"/>
    <s v="rom_fact_dunland"/>
    <n v="306"/>
    <x v="0"/>
    <n v="246.5"/>
    <n v="210903"/>
    <n v="44701"/>
    <n v="677"/>
    <m/>
    <x v="14"/>
  </r>
  <r>
    <x v="125"/>
    <s v="rom_fact_haerrim"/>
    <n v="0"/>
    <x v="11"/>
    <n v="0"/>
    <n v="5352"/>
    <n v="1750"/>
    <n v="0"/>
    <m/>
    <x v="15"/>
  </r>
  <r>
    <x v="125"/>
    <s v="rom_fact_goblins"/>
    <n v="634"/>
    <x v="14"/>
    <n v="413.5"/>
    <n v="205930"/>
    <n v="54769"/>
    <n v="1"/>
    <m/>
    <x v="16"/>
  </r>
  <r>
    <x v="125"/>
    <s v="rom_fact_balchoth"/>
    <n v="0"/>
    <x v="11"/>
    <n v="0"/>
    <n v="4872"/>
    <n v="1750"/>
    <n v="0"/>
    <m/>
    <x v="17"/>
  </r>
  <r>
    <x v="125"/>
    <s v="rom_fact_rhurim"/>
    <n v="615"/>
    <x v="21"/>
    <n v="410"/>
    <n v="118794"/>
    <n v="50888"/>
    <n v="3800"/>
    <m/>
    <x v="18"/>
  </r>
  <r>
    <x v="125"/>
    <s v="rom_fact_feredrim"/>
    <n v="0"/>
    <x v="11"/>
    <n v="0"/>
    <n v="7360"/>
    <n v="1750"/>
    <n v="0"/>
    <m/>
    <x v="19"/>
  </r>
  <r>
    <x v="125"/>
    <s v="rom_fact_wainriders"/>
    <n v="0"/>
    <x v="11"/>
    <n v="0"/>
    <n v="6395"/>
    <n v="1750"/>
    <n v="0"/>
    <m/>
    <x v="20"/>
  </r>
  <r>
    <x v="125"/>
    <s v="rom_fact_blacklock"/>
    <n v="5"/>
    <x v="3"/>
    <n v="63.099999999999902"/>
    <n v="12219"/>
    <n v="13012"/>
    <n v="547"/>
    <m/>
    <x v="21"/>
  </r>
  <r>
    <x v="125"/>
    <s v="rom_fact_ironfist"/>
    <n v="5"/>
    <x v="10"/>
    <n v="18.100000000000001"/>
    <n v="15551"/>
    <n v="5665"/>
    <n v="0"/>
    <m/>
    <x v="22"/>
  </r>
  <r>
    <x v="125"/>
    <s v="rom_fact_gundabad"/>
    <n v="245"/>
    <x v="11"/>
    <n v="0"/>
    <n v="9750"/>
    <n v="2500"/>
    <n v="0"/>
    <m/>
    <x v="23"/>
  </r>
  <r>
    <x v="125"/>
    <s v="rom_fact_rohan_scouts"/>
    <n v="0"/>
    <x v="11"/>
    <n v="3"/>
    <n v="145921"/>
    <n v="2354"/>
    <n v="0"/>
    <m/>
    <x v="24"/>
  </r>
  <r>
    <x v="125"/>
    <s v="rom_fact_northern_enedwaith"/>
    <n v="6"/>
    <x v="9"/>
    <n v="68.5"/>
    <n v="116225"/>
    <n v="18338"/>
    <n v="1027"/>
    <m/>
    <x v="25"/>
  </r>
  <r>
    <x v="125"/>
    <s v="rom_fact_southern_enedwaith"/>
    <n v="0"/>
    <x v="11"/>
    <n v="0"/>
    <n v="54023"/>
    <n v="1750"/>
    <n v="0"/>
    <m/>
    <x v="26"/>
  </r>
  <r>
    <x v="125"/>
    <s v="rom_fact_druedain"/>
    <n v="0"/>
    <x v="11"/>
    <n v="0"/>
    <n v="32146"/>
    <n v="1750"/>
    <n v="0"/>
    <m/>
    <x v="27"/>
  </r>
  <r>
    <x v="125"/>
    <s v="rom_fact_harondor"/>
    <n v="0"/>
    <x v="11"/>
    <n v="0"/>
    <n v="15146"/>
    <n v="1750"/>
    <n v="0"/>
    <m/>
    <x v="28"/>
  </r>
  <r>
    <x v="125"/>
    <s v="rom_fact_southron_nomads"/>
    <n v="0"/>
    <x v="11"/>
    <n v="0"/>
    <n v="4000"/>
    <n v="1750"/>
    <n v="0"/>
    <m/>
    <x v="29"/>
  </r>
  <r>
    <x v="125"/>
    <s v="rom_fact_separatist_harad"/>
    <n v="0"/>
    <x v="11"/>
    <n v="0"/>
    <n v="4000"/>
    <n v="1750"/>
    <n v="0"/>
    <m/>
    <x v="30"/>
  </r>
  <r>
    <x v="125"/>
    <s v="rom_fact_separatist_khand"/>
    <n v="0"/>
    <x v="11"/>
    <n v="0"/>
    <n v="4000"/>
    <n v="1750"/>
    <n v="0"/>
    <m/>
    <x v="30"/>
  </r>
  <r>
    <x v="125"/>
    <s v="rom_fact_separatist_balchoth"/>
    <n v="0"/>
    <x v="11"/>
    <n v="0"/>
    <n v="4000"/>
    <n v="1750"/>
    <n v="0"/>
    <m/>
    <x v="30"/>
  </r>
  <r>
    <x v="125"/>
    <s v="rom_fact_separatist_feredrim"/>
    <n v="0"/>
    <x v="11"/>
    <n v="0"/>
    <n v="4000"/>
    <n v="1750"/>
    <n v="0"/>
    <m/>
    <x v="30"/>
  </r>
  <r>
    <x v="125"/>
    <s v="rom_fact_separatist_haerrim"/>
    <n v="0"/>
    <x v="11"/>
    <n v="0"/>
    <n v="4000"/>
    <n v="1750"/>
    <n v="0"/>
    <m/>
    <x v="30"/>
  </r>
  <r>
    <x v="125"/>
    <s v="rom_fact_separatist_wainriders"/>
    <n v="0"/>
    <x v="11"/>
    <n v="0"/>
    <n v="4000"/>
    <n v="1750"/>
    <n v="0"/>
    <m/>
    <x v="30"/>
  </r>
  <r>
    <x v="125"/>
    <s v="rom_fact_separatist_rhurim"/>
    <n v="0"/>
    <x v="11"/>
    <n v="0"/>
    <n v="4000"/>
    <n v="1750"/>
    <n v="0"/>
    <m/>
    <x v="30"/>
  </r>
  <r>
    <x v="125"/>
    <s v="rom_fact_separatist_mahuds"/>
    <n v="0"/>
    <x v="11"/>
    <n v="0"/>
    <n v="4000"/>
    <n v="1750"/>
    <n v="0"/>
    <m/>
    <x v="30"/>
  </r>
  <r>
    <x v="125"/>
    <s v="rom_fact_separatist_umbar"/>
    <n v="0"/>
    <x v="11"/>
    <n v="0"/>
    <n v="4000"/>
    <n v="1750"/>
    <n v="0"/>
    <m/>
    <x v="30"/>
  </r>
  <r>
    <x v="126"/>
    <s v="rom_fact_mordor"/>
    <n v="644"/>
    <x v="37"/>
    <n v="519.9"/>
    <n v="10825"/>
    <n v="70196"/>
    <n v="4122"/>
    <m/>
    <x v="0"/>
  </r>
  <r>
    <x v="126"/>
    <s v="rom_fact_gondor"/>
    <n v="146"/>
    <x v="11"/>
    <n v="0"/>
    <n v="55420"/>
    <n v="2500"/>
    <n v="0"/>
    <m/>
    <x v="1"/>
  </r>
  <r>
    <x v="126"/>
    <s v="rom_fact_dale"/>
    <n v="199"/>
    <x v="11"/>
    <n v="0"/>
    <n v="10343"/>
    <n v="2500"/>
    <n v="0"/>
    <m/>
    <x v="2"/>
  </r>
  <r>
    <x v="126"/>
    <s v="rom_fact_erebor"/>
    <n v="200"/>
    <x v="11"/>
    <n v="0"/>
    <n v="10040"/>
    <n v="2500"/>
    <n v="0"/>
    <m/>
    <x v="3"/>
  </r>
  <r>
    <x v="126"/>
    <s v="rom_fact_rohan"/>
    <n v="157"/>
    <x v="11"/>
    <n v="0"/>
    <n v="6638"/>
    <n v="2500"/>
    <n v="0"/>
    <m/>
    <x v="4"/>
  </r>
  <r>
    <x v="126"/>
    <s v="rom_fact_dol_guldur"/>
    <n v="515"/>
    <x v="29"/>
    <n v="363.6"/>
    <n v="301659"/>
    <n v="58957"/>
    <n v="4741"/>
    <m/>
    <x v="5"/>
  </r>
  <r>
    <x v="126"/>
    <s v="rom_fact_anduin_vale"/>
    <n v="58"/>
    <x v="11"/>
    <n v="0"/>
    <n v="4515"/>
    <n v="2500"/>
    <n v="0"/>
    <m/>
    <x v="6"/>
  </r>
  <r>
    <x v="126"/>
    <s v="rom_fact_isengard"/>
    <n v="323"/>
    <x v="5"/>
    <n v="136"/>
    <n v="25066"/>
    <n v="25898"/>
    <n v="1279"/>
    <m/>
    <x v="7"/>
  </r>
  <r>
    <x v="126"/>
    <s v="rom_fact_woodland_realm"/>
    <n v="30"/>
    <x v="11"/>
    <n v="0"/>
    <n v="8475"/>
    <n v="2500"/>
    <n v="0"/>
    <m/>
    <x v="8"/>
  </r>
  <r>
    <x v="126"/>
    <s v="rom_fact_lothlorien"/>
    <n v="64"/>
    <x v="11"/>
    <n v="0"/>
    <n v="4721"/>
    <n v="2500"/>
    <n v="0"/>
    <m/>
    <x v="9"/>
  </r>
  <r>
    <x v="126"/>
    <s v="rom_fact_khand"/>
    <n v="0"/>
    <x v="11"/>
    <n v="0"/>
    <n v="4919"/>
    <n v="1750"/>
    <n v="0"/>
    <m/>
    <x v="10"/>
  </r>
  <r>
    <x v="126"/>
    <s v="rom_fact_umbar"/>
    <n v="20"/>
    <x v="4"/>
    <n v="246.1"/>
    <n v="277982"/>
    <n v="57302"/>
    <n v="4849"/>
    <m/>
    <x v="11"/>
  </r>
  <r>
    <x v="126"/>
    <s v="rom_fact_mahuds"/>
    <n v="0"/>
    <x v="11"/>
    <n v="0"/>
    <n v="9228"/>
    <n v="1750"/>
    <n v="0"/>
    <m/>
    <x v="12"/>
  </r>
  <r>
    <x v="126"/>
    <s v="rom_fact_harad"/>
    <n v="345"/>
    <x v="4"/>
    <n v="209.5"/>
    <n v="95678"/>
    <n v="33370"/>
    <n v="2616"/>
    <m/>
    <x v="13"/>
  </r>
  <r>
    <x v="126"/>
    <s v="rom_fact_dunland"/>
    <n v="307"/>
    <x v="2"/>
    <n v="262.10000000000002"/>
    <n v="217060"/>
    <n v="47874"/>
    <n v="691"/>
    <m/>
    <x v="14"/>
  </r>
  <r>
    <x v="126"/>
    <s v="rom_fact_haerrim"/>
    <n v="0"/>
    <x v="11"/>
    <n v="0"/>
    <n v="5352"/>
    <n v="1750"/>
    <n v="0"/>
    <m/>
    <x v="15"/>
  </r>
  <r>
    <x v="126"/>
    <s v="rom_fact_goblins"/>
    <n v="634"/>
    <x v="14"/>
    <n v="390.1"/>
    <n v="207303"/>
    <n v="52756"/>
    <n v="1"/>
    <m/>
    <x v="16"/>
  </r>
  <r>
    <x v="126"/>
    <s v="rom_fact_balchoth"/>
    <n v="0"/>
    <x v="11"/>
    <n v="0"/>
    <n v="4872"/>
    <n v="1750"/>
    <n v="0"/>
    <m/>
    <x v="17"/>
  </r>
  <r>
    <x v="126"/>
    <s v="rom_fact_rhurim"/>
    <n v="623"/>
    <x v="21"/>
    <n v="390.7"/>
    <n v="128630"/>
    <n v="47698"/>
    <n v="3801"/>
    <m/>
    <x v="18"/>
  </r>
  <r>
    <x v="126"/>
    <s v="rom_fact_feredrim"/>
    <n v="0"/>
    <x v="11"/>
    <n v="0"/>
    <n v="7360"/>
    <n v="1750"/>
    <n v="0"/>
    <m/>
    <x v="19"/>
  </r>
  <r>
    <x v="126"/>
    <s v="rom_fact_wainriders"/>
    <n v="0"/>
    <x v="11"/>
    <n v="0"/>
    <n v="6395"/>
    <n v="1750"/>
    <n v="0"/>
    <m/>
    <x v="20"/>
  </r>
  <r>
    <x v="126"/>
    <s v="rom_fact_blacklock"/>
    <n v="5"/>
    <x v="3"/>
    <n v="67.400000000000006"/>
    <n v="15494"/>
    <n v="13855"/>
    <n v="548"/>
    <m/>
    <x v="21"/>
  </r>
  <r>
    <x v="126"/>
    <s v="rom_fact_ironfist"/>
    <n v="5"/>
    <x v="10"/>
    <n v="18.100000000000001"/>
    <n v="14351"/>
    <n v="6269"/>
    <n v="0"/>
    <m/>
    <x v="22"/>
  </r>
  <r>
    <x v="126"/>
    <s v="rom_fact_gundabad"/>
    <n v="245"/>
    <x v="11"/>
    <n v="0"/>
    <n v="9750"/>
    <n v="2500"/>
    <n v="0"/>
    <m/>
    <x v="23"/>
  </r>
  <r>
    <x v="126"/>
    <s v="rom_fact_rohan_scouts"/>
    <n v="0"/>
    <x v="11"/>
    <n v="3"/>
    <n v="147067"/>
    <n v="2354"/>
    <n v="0"/>
    <m/>
    <x v="24"/>
  </r>
  <r>
    <x v="126"/>
    <s v="rom_fact_northern_enedwaith"/>
    <n v="4"/>
    <x v="3"/>
    <n v="58.5"/>
    <n v="105926"/>
    <n v="11719"/>
    <n v="0"/>
    <m/>
    <x v="25"/>
  </r>
  <r>
    <x v="126"/>
    <s v="rom_fact_southern_enedwaith"/>
    <n v="0"/>
    <x v="11"/>
    <n v="0"/>
    <n v="54023"/>
    <n v="1750"/>
    <n v="0"/>
    <m/>
    <x v="26"/>
  </r>
  <r>
    <x v="126"/>
    <s v="rom_fact_druedain"/>
    <n v="0"/>
    <x v="11"/>
    <n v="0"/>
    <n v="32146"/>
    <n v="1750"/>
    <n v="0"/>
    <m/>
    <x v="27"/>
  </r>
  <r>
    <x v="126"/>
    <s v="rom_fact_harondor"/>
    <n v="0"/>
    <x v="11"/>
    <n v="0"/>
    <n v="15146"/>
    <n v="1750"/>
    <n v="0"/>
    <m/>
    <x v="28"/>
  </r>
  <r>
    <x v="126"/>
    <s v="rom_fact_southron_nomads"/>
    <n v="0"/>
    <x v="11"/>
    <n v="0"/>
    <n v="4000"/>
    <n v="1750"/>
    <n v="0"/>
    <m/>
    <x v="29"/>
  </r>
  <r>
    <x v="126"/>
    <s v="rom_fact_separatist_harad"/>
    <n v="0"/>
    <x v="11"/>
    <n v="0"/>
    <n v="4000"/>
    <n v="1750"/>
    <n v="0"/>
    <m/>
    <x v="30"/>
  </r>
  <r>
    <x v="126"/>
    <s v="rom_fact_separatist_khand"/>
    <n v="0"/>
    <x v="11"/>
    <n v="0"/>
    <n v="4000"/>
    <n v="1750"/>
    <n v="0"/>
    <m/>
    <x v="30"/>
  </r>
  <r>
    <x v="126"/>
    <s v="rom_fact_separatist_balchoth"/>
    <n v="0"/>
    <x v="11"/>
    <n v="0"/>
    <n v="4000"/>
    <n v="1750"/>
    <n v="0"/>
    <m/>
    <x v="30"/>
  </r>
  <r>
    <x v="126"/>
    <s v="rom_fact_separatist_feredrim"/>
    <n v="0"/>
    <x v="11"/>
    <n v="0"/>
    <n v="4000"/>
    <n v="1750"/>
    <n v="0"/>
    <m/>
    <x v="30"/>
  </r>
  <r>
    <x v="126"/>
    <s v="rom_fact_separatist_haerrim"/>
    <n v="0"/>
    <x v="11"/>
    <n v="0"/>
    <n v="4000"/>
    <n v="1750"/>
    <n v="0"/>
    <m/>
    <x v="30"/>
  </r>
  <r>
    <x v="126"/>
    <s v="rom_fact_separatist_wainriders"/>
    <n v="0"/>
    <x v="11"/>
    <n v="0"/>
    <n v="4000"/>
    <n v="1750"/>
    <n v="0"/>
    <m/>
    <x v="30"/>
  </r>
  <r>
    <x v="126"/>
    <s v="rom_fact_separatist_rhurim"/>
    <n v="0"/>
    <x v="11"/>
    <n v="0"/>
    <n v="4000"/>
    <n v="1750"/>
    <n v="0"/>
    <m/>
    <x v="30"/>
  </r>
  <r>
    <x v="126"/>
    <s v="rom_fact_separatist_mahuds"/>
    <n v="0"/>
    <x v="11"/>
    <n v="0"/>
    <n v="4000"/>
    <n v="1750"/>
    <n v="0"/>
    <m/>
    <x v="30"/>
  </r>
  <r>
    <x v="126"/>
    <s v="rom_fact_separatist_umbar"/>
    <n v="0"/>
    <x v="11"/>
    <n v="0"/>
    <n v="4000"/>
    <n v="1750"/>
    <n v="0"/>
    <m/>
    <x v="30"/>
  </r>
  <r>
    <x v="127"/>
    <s v="rom_fact_mordor"/>
    <n v="645"/>
    <x v="38"/>
    <n v="532.1"/>
    <n v="7763"/>
    <n v="74430"/>
    <n v="4141"/>
    <m/>
    <x v="0"/>
  </r>
  <r>
    <x v="127"/>
    <s v="rom_fact_gondor"/>
    <n v="146"/>
    <x v="11"/>
    <n v="0"/>
    <n v="55420"/>
    <n v="2500"/>
    <n v="0"/>
    <m/>
    <x v="1"/>
  </r>
  <r>
    <x v="127"/>
    <s v="rom_fact_dale"/>
    <n v="199"/>
    <x v="11"/>
    <n v="0"/>
    <n v="10343"/>
    <n v="2500"/>
    <n v="0"/>
    <m/>
    <x v="2"/>
  </r>
  <r>
    <x v="127"/>
    <s v="rom_fact_erebor"/>
    <n v="200"/>
    <x v="11"/>
    <n v="0"/>
    <n v="10040"/>
    <n v="2500"/>
    <n v="0"/>
    <m/>
    <x v="3"/>
  </r>
  <r>
    <x v="127"/>
    <s v="rom_fact_rohan"/>
    <n v="157"/>
    <x v="11"/>
    <n v="0"/>
    <n v="6638"/>
    <n v="2500"/>
    <n v="0"/>
    <m/>
    <x v="4"/>
  </r>
  <r>
    <x v="127"/>
    <s v="rom_fact_dol_guldur"/>
    <n v="520"/>
    <x v="29"/>
    <n v="380.2"/>
    <n v="297713"/>
    <n v="63996"/>
    <n v="4873"/>
    <m/>
    <x v="5"/>
  </r>
  <r>
    <x v="127"/>
    <s v="rom_fact_anduin_vale"/>
    <n v="58"/>
    <x v="11"/>
    <n v="0"/>
    <n v="4515"/>
    <n v="2500"/>
    <n v="0"/>
    <m/>
    <x v="6"/>
  </r>
  <r>
    <x v="127"/>
    <s v="rom_fact_isengard"/>
    <n v="328"/>
    <x v="5"/>
    <n v="152.5"/>
    <n v="23410"/>
    <n v="27254"/>
    <n v="1289"/>
    <m/>
    <x v="7"/>
  </r>
  <r>
    <x v="127"/>
    <s v="rom_fact_woodland_realm"/>
    <n v="30"/>
    <x v="11"/>
    <n v="0"/>
    <n v="8475"/>
    <n v="2500"/>
    <n v="0"/>
    <m/>
    <x v="8"/>
  </r>
  <r>
    <x v="127"/>
    <s v="rom_fact_lothlorien"/>
    <n v="64"/>
    <x v="11"/>
    <n v="0"/>
    <n v="4721"/>
    <n v="2500"/>
    <n v="0"/>
    <m/>
    <x v="9"/>
  </r>
  <r>
    <x v="127"/>
    <s v="rom_fact_khand"/>
    <n v="0"/>
    <x v="11"/>
    <n v="0"/>
    <n v="4919"/>
    <n v="1750"/>
    <n v="0"/>
    <m/>
    <x v="10"/>
  </r>
  <r>
    <x v="127"/>
    <s v="rom_fact_umbar"/>
    <n v="20"/>
    <x v="4"/>
    <n v="237.1"/>
    <n v="277344"/>
    <n v="55192"/>
    <n v="4859"/>
    <m/>
    <x v="11"/>
  </r>
  <r>
    <x v="127"/>
    <s v="rom_fact_mahuds"/>
    <n v="0"/>
    <x v="11"/>
    <n v="0"/>
    <n v="9228"/>
    <n v="1750"/>
    <n v="0"/>
    <m/>
    <x v="12"/>
  </r>
  <r>
    <x v="127"/>
    <s v="rom_fact_harad"/>
    <n v="351"/>
    <x v="16"/>
    <n v="210.5"/>
    <n v="103896"/>
    <n v="32955"/>
    <n v="2517"/>
    <m/>
    <x v="13"/>
  </r>
  <r>
    <x v="127"/>
    <s v="rom_fact_dunland"/>
    <n v="309"/>
    <x v="16"/>
    <n v="281"/>
    <n v="216605"/>
    <n v="52256"/>
    <n v="702"/>
    <m/>
    <x v="14"/>
  </r>
  <r>
    <x v="127"/>
    <s v="rom_fact_haerrim"/>
    <n v="0"/>
    <x v="11"/>
    <n v="0"/>
    <n v="5352"/>
    <n v="1750"/>
    <n v="0"/>
    <m/>
    <x v="15"/>
  </r>
  <r>
    <x v="127"/>
    <s v="rom_fact_goblins"/>
    <n v="633"/>
    <x v="15"/>
    <n v="281.8"/>
    <n v="174499"/>
    <n v="41376"/>
    <n v="1"/>
    <m/>
    <x v="16"/>
  </r>
  <r>
    <x v="127"/>
    <s v="rom_fact_balchoth"/>
    <n v="0"/>
    <x v="11"/>
    <n v="0"/>
    <n v="4872"/>
    <n v="1750"/>
    <n v="0"/>
    <m/>
    <x v="17"/>
  </r>
  <r>
    <x v="127"/>
    <s v="rom_fact_rhurim"/>
    <n v="626"/>
    <x v="30"/>
    <n v="394.8"/>
    <n v="164118"/>
    <n v="46866"/>
    <n v="3806"/>
    <m/>
    <x v="18"/>
  </r>
  <r>
    <x v="127"/>
    <s v="rom_fact_feredrim"/>
    <n v="0"/>
    <x v="11"/>
    <n v="0"/>
    <n v="7360"/>
    <n v="1750"/>
    <n v="0"/>
    <m/>
    <x v="19"/>
  </r>
  <r>
    <x v="127"/>
    <s v="rom_fact_wainriders"/>
    <n v="0"/>
    <x v="11"/>
    <n v="0"/>
    <n v="6395"/>
    <n v="1750"/>
    <n v="0"/>
    <m/>
    <x v="20"/>
  </r>
  <r>
    <x v="127"/>
    <s v="rom_fact_blacklock"/>
    <n v="5"/>
    <x v="3"/>
    <n v="67.400000000000006"/>
    <n v="17248"/>
    <n v="14090"/>
    <n v="546"/>
    <m/>
    <x v="21"/>
  </r>
  <r>
    <x v="127"/>
    <s v="rom_fact_ironfist"/>
    <n v="5"/>
    <x v="10"/>
    <n v="18.100000000000001"/>
    <n v="15071"/>
    <n v="6144"/>
    <n v="0"/>
    <m/>
    <x v="22"/>
  </r>
  <r>
    <x v="127"/>
    <s v="rom_fact_gundabad"/>
    <n v="245"/>
    <x v="11"/>
    <n v="0"/>
    <n v="9750"/>
    <n v="2500"/>
    <n v="0"/>
    <m/>
    <x v="23"/>
  </r>
  <r>
    <x v="127"/>
    <s v="rom_fact_rohan_scouts"/>
    <n v="0"/>
    <x v="11"/>
    <n v="3"/>
    <n v="148213"/>
    <n v="2354"/>
    <n v="0"/>
    <m/>
    <x v="24"/>
  </r>
  <r>
    <x v="127"/>
    <s v="rom_fact_northern_enedwaith"/>
    <n v="2"/>
    <x v="10"/>
    <n v="21.2"/>
    <n v="95002"/>
    <n v="6524"/>
    <n v="860"/>
    <m/>
    <x v="25"/>
  </r>
  <r>
    <x v="127"/>
    <s v="rom_fact_southern_enedwaith"/>
    <n v="0"/>
    <x v="11"/>
    <n v="0"/>
    <n v="54023"/>
    <n v="1750"/>
    <n v="0"/>
    <m/>
    <x v="26"/>
  </r>
  <r>
    <x v="127"/>
    <s v="rom_fact_druedain"/>
    <n v="0"/>
    <x v="11"/>
    <n v="0"/>
    <n v="32146"/>
    <n v="1750"/>
    <n v="0"/>
    <m/>
    <x v="27"/>
  </r>
  <r>
    <x v="127"/>
    <s v="rom_fact_harondor"/>
    <n v="0"/>
    <x v="11"/>
    <n v="0"/>
    <n v="15146"/>
    <n v="1750"/>
    <n v="0"/>
    <m/>
    <x v="28"/>
  </r>
  <r>
    <x v="127"/>
    <s v="rom_fact_southron_nomads"/>
    <n v="0"/>
    <x v="11"/>
    <n v="0"/>
    <n v="4000"/>
    <n v="1750"/>
    <n v="0"/>
    <m/>
    <x v="29"/>
  </r>
  <r>
    <x v="127"/>
    <s v="rom_fact_separatist_harad"/>
    <n v="0"/>
    <x v="11"/>
    <n v="0"/>
    <n v="4000"/>
    <n v="1750"/>
    <n v="0"/>
    <m/>
    <x v="30"/>
  </r>
  <r>
    <x v="127"/>
    <s v="rom_fact_separatist_khand"/>
    <n v="0"/>
    <x v="11"/>
    <n v="0"/>
    <n v="4000"/>
    <n v="1750"/>
    <n v="0"/>
    <m/>
    <x v="30"/>
  </r>
  <r>
    <x v="127"/>
    <s v="rom_fact_separatist_balchoth"/>
    <n v="0"/>
    <x v="11"/>
    <n v="0"/>
    <n v="4000"/>
    <n v="1750"/>
    <n v="0"/>
    <m/>
    <x v="30"/>
  </r>
  <r>
    <x v="127"/>
    <s v="rom_fact_separatist_feredrim"/>
    <n v="0"/>
    <x v="11"/>
    <n v="0"/>
    <n v="4000"/>
    <n v="1750"/>
    <n v="0"/>
    <m/>
    <x v="30"/>
  </r>
  <r>
    <x v="127"/>
    <s v="rom_fact_separatist_haerrim"/>
    <n v="0"/>
    <x v="11"/>
    <n v="0"/>
    <n v="4000"/>
    <n v="1750"/>
    <n v="0"/>
    <m/>
    <x v="30"/>
  </r>
  <r>
    <x v="127"/>
    <s v="rom_fact_separatist_wainriders"/>
    <n v="0"/>
    <x v="11"/>
    <n v="0"/>
    <n v="4000"/>
    <n v="1750"/>
    <n v="0"/>
    <m/>
    <x v="30"/>
  </r>
  <r>
    <x v="127"/>
    <s v="rom_fact_separatist_rhurim"/>
    <n v="0"/>
    <x v="11"/>
    <n v="0"/>
    <n v="4000"/>
    <n v="1750"/>
    <n v="0"/>
    <m/>
    <x v="30"/>
  </r>
  <r>
    <x v="127"/>
    <s v="rom_fact_separatist_mahuds"/>
    <n v="0"/>
    <x v="11"/>
    <n v="0"/>
    <n v="4000"/>
    <n v="1750"/>
    <n v="0"/>
    <m/>
    <x v="30"/>
  </r>
  <r>
    <x v="127"/>
    <s v="rom_fact_separatist_umbar"/>
    <n v="0"/>
    <x v="11"/>
    <n v="0"/>
    <n v="4000"/>
    <n v="1750"/>
    <n v="0"/>
    <m/>
    <x v="30"/>
  </r>
  <r>
    <x v="128"/>
    <s v="rom_fact_mordor"/>
    <n v="649"/>
    <x v="39"/>
    <n v="523.29999999999995"/>
    <n v="7961"/>
    <n v="78015"/>
    <n v="5785"/>
    <m/>
    <x v="0"/>
  </r>
  <r>
    <x v="128"/>
    <s v="rom_fact_gondor"/>
    <n v="146"/>
    <x v="11"/>
    <n v="0"/>
    <n v="55420"/>
    <n v="2500"/>
    <n v="0"/>
    <m/>
    <x v="1"/>
  </r>
  <r>
    <x v="128"/>
    <s v="rom_fact_dale"/>
    <n v="199"/>
    <x v="11"/>
    <n v="0"/>
    <n v="10343"/>
    <n v="2500"/>
    <n v="0"/>
    <m/>
    <x v="2"/>
  </r>
  <r>
    <x v="128"/>
    <s v="rom_fact_erebor"/>
    <n v="200"/>
    <x v="11"/>
    <n v="0"/>
    <n v="10040"/>
    <n v="2500"/>
    <n v="0"/>
    <m/>
    <x v="3"/>
  </r>
  <r>
    <x v="128"/>
    <s v="rom_fact_rohan"/>
    <n v="157"/>
    <x v="11"/>
    <n v="0"/>
    <n v="6638"/>
    <n v="2500"/>
    <n v="0"/>
    <m/>
    <x v="4"/>
  </r>
  <r>
    <x v="128"/>
    <s v="rom_fact_dol_guldur"/>
    <n v="521"/>
    <x v="19"/>
    <n v="411.1"/>
    <n v="302461"/>
    <n v="67675"/>
    <n v="4885"/>
    <m/>
    <x v="5"/>
  </r>
  <r>
    <x v="128"/>
    <s v="rom_fact_anduin_vale"/>
    <n v="58"/>
    <x v="11"/>
    <n v="0"/>
    <n v="4515"/>
    <n v="2500"/>
    <n v="0"/>
    <m/>
    <x v="6"/>
  </r>
  <r>
    <x v="128"/>
    <s v="rom_fact_isengard"/>
    <n v="327"/>
    <x v="8"/>
    <n v="137.6"/>
    <n v="25743"/>
    <n v="24888"/>
    <n v="1285"/>
    <m/>
    <x v="7"/>
  </r>
  <r>
    <x v="128"/>
    <s v="rom_fact_woodland_realm"/>
    <n v="30"/>
    <x v="11"/>
    <n v="0"/>
    <n v="8475"/>
    <n v="2500"/>
    <n v="0"/>
    <m/>
    <x v="8"/>
  </r>
  <r>
    <x v="128"/>
    <s v="rom_fact_lothlorien"/>
    <n v="64"/>
    <x v="11"/>
    <n v="0"/>
    <n v="4721"/>
    <n v="2500"/>
    <n v="0"/>
    <m/>
    <x v="9"/>
  </r>
  <r>
    <x v="128"/>
    <s v="rom_fact_khand"/>
    <n v="0"/>
    <x v="11"/>
    <n v="0"/>
    <n v="4919"/>
    <n v="1750"/>
    <n v="0"/>
    <m/>
    <x v="10"/>
  </r>
  <r>
    <x v="128"/>
    <s v="rom_fact_umbar"/>
    <n v="20"/>
    <x v="4"/>
    <n v="243.4"/>
    <n v="279374"/>
    <n v="55970"/>
    <n v="4875"/>
    <m/>
    <x v="11"/>
  </r>
  <r>
    <x v="128"/>
    <s v="rom_fact_mahuds"/>
    <n v="0"/>
    <x v="11"/>
    <n v="0"/>
    <n v="9228"/>
    <n v="1750"/>
    <n v="0"/>
    <m/>
    <x v="12"/>
  </r>
  <r>
    <x v="128"/>
    <s v="rom_fact_harad"/>
    <n v="351"/>
    <x v="16"/>
    <n v="211.5"/>
    <n v="121994"/>
    <n v="33606"/>
    <n v="2532"/>
    <m/>
    <x v="13"/>
  </r>
  <r>
    <x v="128"/>
    <s v="rom_fact_dunland"/>
    <n v="314"/>
    <x v="16"/>
    <n v="290.3"/>
    <n v="229963"/>
    <n v="53221"/>
    <n v="477"/>
    <m/>
    <x v="14"/>
  </r>
  <r>
    <x v="128"/>
    <s v="rom_fact_haerrim"/>
    <n v="0"/>
    <x v="11"/>
    <n v="0"/>
    <n v="5352"/>
    <n v="1750"/>
    <n v="0"/>
    <m/>
    <x v="15"/>
  </r>
  <r>
    <x v="128"/>
    <s v="rom_fact_goblins"/>
    <n v="650"/>
    <x v="16"/>
    <n v="254.8"/>
    <n v="173560"/>
    <n v="34033"/>
    <n v="0"/>
    <m/>
    <x v="16"/>
  </r>
  <r>
    <x v="128"/>
    <s v="rom_fact_balchoth"/>
    <n v="0"/>
    <x v="11"/>
    <n v="0"/>
    <n v="4872"/>
    <n v="1750"/>
    <n v="0"/>
    <m/>
    <x v="17"/>
  </r>
  <r>
    <x v="128"/>
    <s v="rom_fact_rhurim"/>
    <n v="631"/>
    <x v="30"/>
    <n v="370.29999999999899"/>
    <n v="201976"/>
    <n v="45061"/>
    <n v="3570"/>
    <m/>
    <x v="18"/>
  </r>
  <r>
    <x v="128"/>
    <s v="rom_fact_feredrim"/>
    <n v="0"/>
    <x v="11"/>
    <n v="0"/>
    <n v="7360"/>
    <n v="1750"/>
    <n v="0"/>
    <m/>
    <x v="19"/>
  </r>
  <r>
    <x v="128"/>
    <s v="rom_fact_wainriders"/>
    <n v="0"/>
    <x v="11"/>
    <n v="0"/>
    <n v="6395"/>
    <n v="1750"/>
    <n v="0"/>
    <m/>
    <x v="20"/>
  </r>
  <r>
    <x v="128"/>
    <s v="rom_fact_blacklock"/>
    <n v="5"/>
    <x v="3"/>
    <n v="73.400000000000006"/>
    <n v="17598"/>
    <n v="15438"/>
    <n v="756"/>
    <m/>
    <x v="21"/>
  </r>
  <r>
    <x v="128"/>
    <s v="rom_fact_ironfist"/>
    <n v="5"/>
    <x v="10"/>
    <n v="17.100000000000001"/>
    <n v="16788"/>
    <n v="6757"/>
    <n v="263"/>
    <m/>
    <x v="22"/>
  </r>
  <r>
    <x v="128"/>
    <s v="rom_fact_gundabad"/>
    <n v="245"/>
    <x v="11"/>
    <n v="0"/>
    <n v="9750"/>
    <n v="2500"/>
    <n v="0"/>
    <m/>
    <x v="23"/>
  </r>
  <r>
    <x v="128"/>
    <s v="rom_fact_rohan_scouts"/>
    <n v="0"/>
    <x v="11"/>
    <n v="3"/>
    <n v="149359"/>
    <n v="2354"/>
    <n v="0"/>
    <m/>
    <x v="24"/>
  </r>
  <r>
    <x v="128"/>
    <s v="rom_fact_northern_enedwaith"/>
    <n v="2"/>
    <x v="10"/>
    <n v="21.2"/>
    <n v="86296"/>
    <n v="6397"/>
    <n v="873"/>
    <m/>
    <x v="25"/>
  </r>
  <r>
    <x v="128"/>
    <s v="rom_fact_southern_enedwaith"/>
    <n v="0"/>
    <x v="11"/>
    <n v="0"/>
    <n v="54023"/>
    <n v="1750"/>
    <n v="0"/>
    <m/>
    <x v="26"/>
  </r>
  <r>
    <x v="128"/>
    <s v="rom_fact_druedain"/>
    <n v="0"/>
    <x v="11"/>
    <n v="0"/>
    <n v="32146"/>
    <n v="1750"/>
    <n v="0"/>
    <m/>
    <x v="27"/>
  </r>
  <r>
    <x v="128"/>
    <s v="rom_fact_harondor"/>
    <n v="0"/>
    <x v="11"/>
    <n v="0"/>
    <n v="15146"/>
    <n v="1750"/>
    <n v="0"/>
    <m/>
    <x v="28"/>
  </r>
  <r>
    <x v="128"/>
    <s v="rom_fact_southron_nomads"/>
    <n v="0"/>
    <x v="11"/>
    <n v="0"/>
    <n v="4000"/>
    <n v="1750"/>
    <n v="0"/>
    <m/>
    <x v="29"/>
  </r>
  <r>
    <x v="128"/>
    <s v="rom_fact_separatist_harad"/>
    <n v="0"/>
    <x v="11"/>
    <n v="0"/>
    <n v="4000"/>
    <n v="1750"/>
    <n v="0"/>
    <m/>
    <x v="30"/>
  </r>
  <r>
    <x v="128"/>
    <s v="rom_fact_separatist_khand"/>
    <n v="0"/>
    <x v="11"/>
    <n v="0"/>
    <n v="4000"/>
    <n v="1750"/>
    <n v="0"/>
    <m/>
    <x v="30"/>
  </r>
  <r>
    <x v="128"/>
    <s v="rom_fact_separatist_balchoth"/>
    <n v="0"/>
    <x v="11"/>
    <n v="0"/>
    <n v="4000"/>
    <n v="1750"/>
    <n v="0"/>
    <m/>
    <x v="30"/>
  </r>
  <r>
    <x v="128"/>
    <s v="rom_fact_separatist_feredrim"/>
    <n v="0"/>
    <x v="11"/>
    <n v="0"/>
    <n v="4000"/>
    <n v="1750"/>
    <n v="0"/>
    <m/>
    <x v="30"/>
  </r>
  <r>
    <x v="128"/>
    <s v="rom_fact_separatist_haerrim"/>
    <n v="0"/>
    <x v="11"/>
    <n v="0"/>
    <n v="4000"/>
    <n v="1750"/>
    <n v="0"/>
    <m/>
    <x v="30"/>
  </r>
  <r>
    <x v="128"/>
    <s v="rom_fact_separatist_wainriders"/>
    <n v="0"/>
    <x v="11"/>
    <n v="0"/>
    <n v="4000"/>
    <n v="1750"/>
    <n v="0"/>
    <m/>
    <x v="30"/>
  </r>
  <r>
    <x v="128"/>
    <s v="rom_fact_separatist_rhurim"/>
    <n v="0"/>
    <x v="11"/>
    <n v="0"/>
    <n v="4000"/>
    <n v="1750"/>
    <n v="0"/>
    <m/>
    <x v="30"/>
  </r>
  <r>
    <x v="128"/>
    <s v="rom_fact_separatist_mahuds"/>
    <n v="0"/>
    <x v="11"/>
    <n v="0"/>
    <n v="4000"/>
    <n v="1750"/>
    <n v="0"/>
    <m/>
    <x v="30"/>
  </r>
  <r>
    <x v="128"/>
    <s v="rom_fact_separatist_umbar"/>
    <n v="0"/>
    <x v="11"/>
    <n v="0"/>
    <n v="4000"/>
    <n v="1750"/>
    <n v="0"/>
    <m/>
    <x v="30"/>
  </r>
  <r>
    <x v="129"/>
    <s v="rom_fact_mordor"/>
    <n v="658"/>
    <x v="40"/>
    <n v="546.9"/>
    <n v="10952"/>
    <n v="82612"/>
    <n v="6742"/>
    <m/>
    <x v="0"/>
  </r>
  <r>
    <x v="129"/>
    <s v="rom_fact_gondor"/>
    <n v="146"/>
    <x v="11"/>
    <n v="0"/>
    <n v="55420"/>
    <n v="2500"/>
    <n v="0"/>
    <m/>
    <x v="1"/>
  </r>
  <r>
    <x v="129"/>
    <s v="rom_fact_dale"/>
    <n v="199"/>
    <x v="11"/>
    <n v="0"/>
    <n v="10343"/>
    <n v="2500"/>
    <n v="0"/>
    <m/>
    <x v="2"/>
  </r>
  <r>
    <x v="129"/>
    <s v="rom_fact_erebor"/>
    <n v="200"/>
    <x v="11"/>
    <n v="0"/>
    <n v="10040"/>
    <n v="2500"/>
    <n v="0"/>
    <m/>
    <x v="3"/>
  </r>
  <r>
    <x v="129"/>
    <s v="rom_fact_rohan"/>
    <n v="157"/>
    <x v="11"/>
    <n v="0"/>
    <n v="6638"/>
    <n v="2500"/>
    <n v="0"/>
    <m/>
    <x v="4"/>
  </r>
  <r>
    <x v="129"/>
    <s v="rom_fact_dol_guldur"/>
    <n v="523"/>
    <x v="21"/>
    <n v="437"/>
    <n v="312828"/>
    <n v="67136"/>
    <n v="5112"/>
    <m/>
    <x v="5"/>
  </r>
  <r>
    <x v="129"/>
    <s v="rom_fact_anduin_vale"/>
    <n v="58"/>
    <x v="11"/>
    <n v="0"/>
    <n v="4515"/>
    <n v="2500"/>
    <n v="0"/>
    <m/>
    <x v="6"/>
  </r>
  <r>
    <x v="129"/>
    <s v="rom_fact_isengard"/>
    <n v="327"/>
    <x v="8"/>
    <n v="152"/>
    <n v="27651"/>
    <n v="27106"/>
    <n v="1286"/>
    <m/>
    <x v="7"/>
  </r>
  <r>
    <x v="129"/>
    <s v="rom_fact_woodland_realm"/>
    <n v="30"/>
    <x v="11"/>
    <n v="0"/>
    <n v="8475"/>
    <n v="2500"/>
    <n v="0"/>
    <m/>
    <x v="8"/>
  </r>
  <r>
    <x v="129"/>
    <s v="rom_fact_lothlorien"/>
    <n v="64"/>
    <x v="11"/>
    <n v="0"/>
    <n v="4721"/>
    <n v="2500"/>
    <n v="0"/>
    <m/>
    <x v="9"/>
  </r>
  <r>
    <x v="129"/>
    <s v="rom_fact_khand"/>
    <n v="0"/>
    <x v="11"/>
    <n v="0"/>
    <n v="4919"/>
    <n v="1750"/>
    <n v="0"/>
    <m/>
    <x v="10"/>
  </r>
  <r>
    <x v="129"/>
    <s v="rom_fact_umbar"/>
    <n v="20"/>
    <x v="4"/>
    <n v="251.89999999999901"/>
    <n v="278604"/>
    <n v="57119"/>
    <n v="4905"/>
    <m/>
    <x v="11"/>
  </r>
  <r>
    <x v="129"/>
    <s v="rom_fact_mahuds"/>
    <n v="0"/>
    <x v="11"/>
    <n v="0"/>
    <n v="9228"/>
    <n v="1750"/>
    <n v="0"/>
    <m/>
    <x v="12"/>
  </r>
  <r>
    <x v="129"/>
    <s v="rom_fact_harad"/>
    <n v="358"/>
    <x v="4"/>
    <n v="220.1"/>
    <n v="140852"/>
    <n v="37902"/>
    <n v="2673"/>
    <m/>
    <x v="13"/>
  </r>
  <r>
    <x v="129"/>
    <s v="rom_fact_dunland"/>
    <n v="314"/>
    <x v="16"/>
    <n v="299.3"/>
    <n v="236081"/>
    <n v="54204"/>
    <n v="478"/>
    <m/>
    <x v="14"/>
  </r>
  <r>
    <x v="129"/>
    <s v="rom_fact_haerrim"/>
    <n v="0"/>
    <x v="11"/>
    <n v="0"/>
    <n v="5352"/>
    <n v="1750"/>
    <n v="0"/>
    <m/>
    <x v="15"/>
  </r>
  <r>
    <x v="129"/>
    <s v="rom_fact_goblins"/>
    <n v="650"/>
    <x v="17"/>
    <n v="220.8"/>
    <n v="172461"/>
    <n v="32539"/>
    <n v="0"/>
    <m/>
    <x v="16"/>
  </r>
  <r>
    <x v="129"/>
    <s v="rom_fact_balchoth"/>
    <n v="0"/>
    <x v="11"/>
    <n v="0"/>
    <n v="4872"/>
    <n v="1750"/>
    <n v="0"/>
    <m/>
    <x v="17"/>
  </r>
  <r>
    <x v="129"/>
    <s v="rom_fact_rhurim"/>
    <n v="628"/>
    <x v="21"/>
    <n v="342.4"/>
    <n v="211935"/>
    <n v="49667"/>
    <n v="3487"/>
    <m/>
    <x v="18"/>
  </r>
  <r>
    <x v="129"/>
    <s v="rom_fact_feredrim"/>
    <n v="0"/>
    <x v="11"/>
    <n v="0"/>
    <n v="7360"/>
    <n v="1750"/>
    <n v="0"/>
    <m/>
    <x v="19"/>
  </r>
  <r>
    <x v="129"/>
    <s v="rom_fact_wainriders"/>
    <n v="0"/>
    <x v="11"/>
    <n v="0"/>
    <n v="6395"/>
    <n v="1750"/>
    <n v="0"/>
    <m/>
    <x v="20"/>
  </r>
  <r>
    <x v="129"/>
    <s v="rom_fact_blacklock"/>
    <n v="5"/>
    <x v="3"/>
    <n v="78.8"/>
    <n v="18149"/>
    <n v="14482"/>
    <n v="766"/>
    <m/>
    <x v="21"/>
  </r>
  <r>
    <x v="129"/>
    <s v="rom_fact_ironfist"/>
    <n v="5"/>
    <x v="10"/>
    <n v="17.100000000000001"/>
    <n v="14487"/>
    <n v="7036"/>
    <n v="262"/>
    <m/>
    <x v="22"/>
  </r>
  <r>
    <x v="129"/>
    <s v="rom_fact_gundabad"/>
    <n v="245"/>
    <x v="11"/>
    <n v="0"/>
    <n v="9750"/>
    <n v="2500"/>
    <n v="0"/>
    <m/>
    <x v="23"/>
  </r>
  <r>
    <x v="129"/>
    <s v="rom_fact_rohan_scouts"/>
    <n v="0"/>
    <x v="11"/>
    <n v="3"/>
    <n v="150505"/>
    <n v="2354"/>
    <n v="0"/>
    <m/>
    <x v="24"/>
  </r>
  <r>
    <x v="129"/>
    <s v="rom_fact_northern_enedwaith"/>
    <n v="2"/>
    <x v="10"/>
    <n v="21.2"/>
    <n v="79408"/>
    <n v="6417"/>
    <n v="888"/>
    <m/>
    <x v="25"/>
  </r>
  <r>
    <x v="129"/>
    <s v="rom_fact_southern_enedwaith"/>
    <n v="0"/>
    <x v="11"/>
    <n v="0"/>
    <n v="54023"/>
    <n v="1750"/>
    <n v="0"/>
    <m/>
    <x v="26"/>
  </r>
  <r>
    <x v="129"/>
    <s v="rom_fact_druedain"/>
    <n v="0"/>
    <x v="11"/>
    <n v="0"/>
    <n v="32146"/>
    <n v="1750"/>
    <n v="0"/>
    <m/>
    <x v="27"/>
  </r>
  <r>
    <x v="129"/>
    <s v="rom_fact_harondor"/>
    <n v="0"/>
    <x v="11"/>
    <n v="0"/>
    <n v="15146"/>
    <n v="1750"/>
    <n v="0"/>
    <m/>
    <x v="28"/>
  </r>
  <r>
    <x v="129"/>
    <s v="rom_fact_southron_nomads"/>
    <n v="0"/>
    <x v="11"/>
    <n v="0"/>
    <n v="4000"/>
    <n v="1750"/>
    <n v="0"/>
    <m/>
    <x v="29"/>
  </r>
  <r>
    <x v="129"/>
    <s v="rom_fact_separatist_harad"/>
    <n v="0"/>
    <x v="11"/>
    <n v="0"/>
    <n v="4000"/>
    <n v="1750"/>
    <n v="0"/>
    <m/>
    <x v="30"/>
  </r>
  <r>
    <x v="129"/>
    <s v="rom_fact_separatist_khand"/>
    <n v="0"/>
    <x v="11"/>
    <n v="0"/>
    <n v="4000"/>
    <n v="1750"/>
    <n v="0"/>
    <m/>
    <x v="30"/>
  </r>
  <r>
    <x v="129"/>
    <s v="rom_fact_separatist_balchoth"/>
    <n v="0"/>
    <x v="11"/>
    <n v="0"/>
    <n v="4000"/>
    <n v="1750"/>
    <n v="0"/>
    <m/>
    <x v="30"/>
  </r>
  <r>
    <x v="129"/>
    <s v="rom_fact_separatist_feredrim"/>
    <n v="0"/>
    <x v="11"/>
    <n v="0"/>
    <n v="4000"/>
    <n v="1750"/>
    <n v="0"/>
    <m/>
    <x v="30"/>
  </r>
  <r>
    <x v="129"/>
    <s v="rom_fact_separatist_haerrim"/>
    <n v="0"/>
    <x v="11"/>
    <n v="0"/>
    <n v="4000"/>
    <n v="1750"/>
    <n v="0"/>
    <m/>
    <x v="30"/>
  </r>
  <r>
    <x v="129"/>
    <s v="rom_fact_separatist_wainriders"/>
    <n v="0"/>
    <x v="11"/>
    <n v="0"/>
    <n v="4000"/>
    <n v="1750"/>
    <n v="0"/>
    <m/>
    <x v="30"/>
  </r>
  <r>
    <x v="129"/>
    <s v="rom_fact_separatist_rhurim"/>
    <n v="0"/>
    <x v="11"/>
    <n v="0"/>
    <n v="4000"/>
    <n v="1750"/>
    <n v="0"/>
    <m/>
    <x v="30"/>
  </r>
  <r>
    <x v="129"/>
    <s v="rom_fact_separatist_mahuds"/>
    <n v="0"/>
    <x v="11"/>
    <n v="0"/>
    <n v="4000"/>
    <n v="1750"/>
    <n v="0"/>
    <m/>
    <x v="30"/>
  </r>
  <r>
    <x v="129"/>
    <s v="rom_fact_separatist_umbar"/>
    <n v="0"/>
    <x v="11"/>
    <n v="0"/>
    <n v="4000"/>
    <n v="1750"/>
    <n v="0"/>
    <m/>
    <x v="30"/>
  </r>
  <r>
    <x v="130"/>
    <s v="rom_fact_mordor"/>
    <n v="664"/>
    <x v="41"/>
    <n v="562.70000000000005"/>
    <n v="132"/>
    <n v="83719"/>
    <n v="6752"/>
    <m/>
    <x v="0"/>
  </r>
  <r>
    <x v="130"/>
    <s v="rom_fact_gondor"/>
    <n v="146"/>
    <x v="11"/>
    <n v="0"/>
    <n v="55420"/>
    <n v="2500"/>
    <n v="0"/>
    <m/>
    <x v="1"/>
  </r>
  <r>
    <x v="130"/>
    <s v="rom_fact_dale"/>
    <n v="199"/>
    <x v="11"/>
    <n v="0"/>
    <n v="10343"/>
    <n v="2500"/>
    <n v="0"/>
    <m/>
    <x v="2"/>
  </r>
  <r>
    <x v="130"/>
    <s v="rom_fact_erebor"/>
    <n v="200"/>
    <x v="11"/>
    <n v="0"/>
    <n v="10040"/>
    <n v="2500"/>
    <n v="0"/>
    <m/>
    <x v="3"/>
  </r>
  <r>
    <x v="130"/>
    <s v="rom_fact_rohan"/>
    <n v="157"/>
    <x v="11"/>
    <n v="0"/>
    <n v="6638"/>
    <n v="2500"/>
    <n v="0"/>
    <m/>
    <x v="4"/>
  </r>
  <r>
    <x v="130"/>
    <s v="rom_fact_dol_guldur"/>
    <n v="523"/>
    <x v="21"/>
    <n v="448"/>
    <n v="303303"/>
    <n v="71890"/>
    <n v="5117"/>
    <m/>
    <x v="5"/>
  </r>
  <r>
    <x v="130"/>
    <s v="rom_fact_anduin_vale"/>
    <n v="58"/>
    <x v="11"/>
    <n v="0"/>
    <n v="4515"/>
    <n v="2500"/>
    <n v="0"/>
    <m/>
    <x v="6"/>
  </r>
  <r>
    <x v="130"/>
    <s v="rom_fact_isengard"/>
    <n v="326"/>
    <x v="9"/>
    <n v="128"/>
    <n v="25769"/>
    <n v="23449"/>
    <n v="1281"/>
    <m/>
    <x v="7"/>
  </r>
  <r>
    <x v="130"/>
    <s v="rom_fact_woodland_realm"/>
    <n v="30"/>
    <x v="11"/>
    <n v="0"/>
    <n v="8475"/>
    <n v="2500"/>
    <n v="0"/>
    <m/>
    <x v="8"/>
  </r>
  <r>
    <x v="130"/>
    <s v="rom_fact_lothlorien"/>
    <n v="64"/>
    <x v="11"/>
    <n v="0"/>
    <n v="4721"/>
    <n v="2500"/>
    <n v="0"/>
    <m/>
    <x v="9"/>
  </r>
  <r>
    <x v="130"/>
    <s v="rom_fact_khand"/>
    <n v="0"/>
    <x v="11"/>
    <n v="0"/>
    <n v="4919"/>
    <n v="1750"/>
    <n v="0"/>
    <m/>
    <x v="10"/>
  </r>
  <r>
    <x v="130"/>
    <s v="rom_fact_umbar"/>
    <n v="20"/>
    <x v="4"/>
    <n v="249.29999999999899"/>
    <n v="263300"/>
    <n v="57761"/>
    <n v="4914"/>
    <m/>
    <x v="11"/>
  </r>
  <r>
    <x v="130"/>
    <s v="rom_fact_mahuds"/>
    <n v="0"/>
    <x v="11"/>
    <n v="0"/>
    <n v="9228"/>
    <n v="1750"/>
    <n v="0"/>
    <m/>
    <x v="12"/>
  </r>
  <r>
    <x v="130"/>
    <s v="rom_fact_harad"/>
    <n v="358"/>
    <x v="4"/>
    <n v="223.2"/>
    <n v="154623"/>
    <n v="39402"/>
    <n v="2681"/>
    <m/>
    <x v="13"/>
  </r>
  <r>
    <x v="130"/>
    <s v="rom_fact_dunland"/>
    <n v="314"/>
    <x v="16"/>
    <n v="281.3"/>
    <n v="252560"/>
    <n v="52320"/>
    <n v="473"/>
    <m/>
    <x v="14"/>
  </r>
  <r>
    <x v="130"/>
    <s v="rom_fact_haerrim"/>
    <n v="0"/>
    <x v="11"/>
    <n v="0"/>
    <n v="5352"/>
    <n v="1750"/>
    <n v="0"/>
    <m/>
    <x v="15"/>
  </r>
  <r>
    <x v="130"/>
    <s v="rom_fact_goblins"/>
    <n v="674"/>
    <x v="17"/>
    <n v="226.3"/>
    <n v="172291"/>
    <n v="33662"/>
    <n v="0"/>
    <m/>
    <x v="16"/>
  </r>
  <r>
    <x v="130"/>
    <s v="rom_fact_balchoth"/>
    <n v="0"/>
    <x v="11"/>
    <n v="0"/>
    <n v="4872"/>
    <n v="1750"/>
    <n v="0"/>
    <m/>
    <x v="17"/>
  </r>
  <r>
    <x v="130"/>
    <s v="rom_fact_rhurim"/>
    <n v="628"/>
    <x v="21"/>
    <n v="311.2"/>
    <n v="238724"/>
    <n v="47470"/>
    <n v="3490"/>
    <m/>
    <x v="18"/>
  </r>
  <r>
    <x v="130"/>
    <s v="rom_fact_feredrim"/>
    <n v="0"/>
    <x v="11"/>
    <n v="0"/>
    <n v="7360"/>
    <n v="1750"/>
    <n v="0"/>
    <m/>
    <x v="19"/>
  </r>
  <r>
    <x v="130"/>
    <s v="rom_fact_wainriders"/>
    <n v="0"/>
    <x v="11"/>
    <n v="0"/>
    <n v="6395"/>
    <n v="1750"/>
    <n v="0"/>
    <m/>
    <x v="20"/>
  </r>
  <r>
    <x v="130"/>
    <s v="rom_fact_blacklock"/>
    <n v="5"/>
    <x v="3"/>
    <n v="84"/>
    <n v="22035"/>
    <n v="14808"/>
    <n v="767"/>
    <m/>
    <x v="21"/>
  </r>
  <r>
    <x v="130"/>
    <s v="rom_fact_ironfist"/>
    <n v="5"/>
    <x v="10"/>
    <n v="20.399999999999999"/>
    <n v="18596"/>
    <n v="7396"/>
    <n v="263"/>
    <m/>
    <x v="22"/>
  </r>
  <r>
    <x v="130"/>
    <s v="rom_fact_gundabad"/>
    <n v="245"/>
    <x v="11"/>
    <n v="0"/>
    <n v="9750"/>
    <n v="2500"/>
    <n v="0"/>
    <m/>
    <x v="23"/>
  </r>
  <r>
    <x v="130"/>
    <s v="rom_fact_rohan_scouts"/>
    <n v="0"/>
    <x v="11"/>
    <n v="3"/>
    <n v="151651"/>
    <n v="2354"/>
    <n v="0"/>
    <m/>
    <x v="24"/>
  </r>
  <r>
    <x v="130"/>
    <s v="rom_fact_northern_enedwaith"/>
    <n v="2"/>
    <x v="10"/>
    <n v="19"/>
    <n v="67454"/>
    <n v="5703"/>
    <n v="892"/>
    <m/>
    <x v="25"/>
  </r>
  <r>
    <x v="130"/>
    <s v="rom_fact_southern_enedwaith"/>
    <n v="0"/>
    <x v="11"/>
    <n v="0"/>
    <n v="54023"/>
    <n v="1750"/>
    <n v="0"/>
    <m/>
    <x v="26"/>
  </r>
  <r>
    <x v="130"/>
    <s v="rom_fact_druedain"/>
    <n v="0"/>
    <x v="11"/>
    <n v="0"/>
    <n v="32146"/>
    <n v="1750"/>
    <n v="0"/>
    <m/>
    <x v="27"/>
  </r>
  <r>
    <x v="130"/>
    <s v="rom_fact_harondor"/>
    <n v="0"/>
    <x v="11"/>
    <n v="0"/>
    <n v="15146"/>
    <n v="1750"/>
    <n v="0"/>
    <m/>
    <x v="28"/>
  </r>
  <r>
    <x v="130"/>
    <s v="rom_fact_southron_nomads"/>
    <n v="0"/>
    <x v="11"/>
    <n v="0"/>
    <n v="4000"/>
    <n v="1750"/>
    <n v="0"/>
    <m/>
    <x v="29"/>
  </r>
  <r>
    <x v="130"/>
    <s v="rom_fact_separatist_harad"/>
    <n v="0"/>
    <x v="11"/>
    <n v="0"/>
    <n v="4000"/>
    <n v="1750"/>
    <n v="0"/>
    <m/>
    <x v="30"/>
  </r>
  <r>
    <x v="130"/>
    <s v="rom_fact_separatist_khand"/>
    <n v="0"/>
    <x v="11"/>
    <n v="0"/>
    <n v="4000"/>
    <n v="1750"/>
    <n v="0"/>
    <m/>
    <x v="30"/>
  </r>
  <r>
    <x v="130"/>
    <s v="rom_fact_separatist_balchoth"/>
    <n v="0"/>
    <x v="11"/>
    <n v="0"/>
    <n v="4000"/>
    <n v="1750"/>
    <n v="0"/>
    <m/>
    <x v="30"/>
  </r>
  <r>
    <x v="130"/>
    <s v="rom_fact_separatist_feredrim"/>
    <n v="0"/>
    <x v="11"/>
    <n v="0"/>
    <n v="4000"/>
    <n v="1750"/>
    <n v="0"/>
    <m/>
    <x v="30"/>
  </r>
  <r>
    <x v="130"/>
    <s v="rom_fact_separatist_haerrim"/>
    <n v="0"/>
    <x v="11"/>
    <n v="0"/>
    <n v="4000"/>
    <n v="1750"/>
    <n v="0"/>
    <m/>
    <x v="30"/>
  </r>
  <r>
    <x v="130"/>
    <s v="rom_fact_separatist_wainriders"/>
    <n v="0"/>
    <x v="11"/>
    <n v="0"/>
    <n v="4000"/>
    <n v="1750"/>
    <n v="0"/>
    <m/>
    <x v="30"/>
  </r>
  <r>
    <x v="130"/>
    <s v="rom_fact_separatist_rhurim"/>
    <n v="0"/>
    <x v="11"/>
    <n v="0"/>
    <n v="4000"/>
    <n v="1750"/>
    <n v="0"/>
    <m/>
    <x v="30"/>
  </r>
  <r>
    <x v="130"/>
    <s v="rom_fact_separatist_mahuds"/>
    <n v="0"/>
    <x v="11"/>
    <n v="0"/>
    <n v="4000"/>
    <n v="1750"/>
    <n v="0"/>
    <m/>
    <x v="30"/>
  </r>
  <r>
    <x v="130"/>
    <s v="rom_fact_separatist_umbar"/>
    <n v="0"/>
    <x v="11"/>
    <n v="0"/>
    <n v="4000"/>
    <n v="1750"/>
    <n v="0"/>
    <m/>
    <x v="30"/>
  </r>
  <r>
    <x v="131"/>
    <s v="rom_fact_mordor"/>
    <n v="673"/>
    <x v="42"/>
    <n v="587.9"/>
    <n v="10955"/>
    <n v="86004"/>
    <n v="7015"/>
    <m/>
    <x v="0"/>
  </r>
  <r>
    <x v="131"/>
    <s v="rom_fact_gondor"/>
    <n v="146"/>
    <x v="11"/>
    <n v="0"/>
    <n v="55420"/>
    <n v="2500"/>
    <n v="0"/>
    <m/>
    <x v="1"/>
  </r>
  <r>
    <x v="131"/>
    <s v="rom_fact_dale"/>
    <n v="199"/>
    <x v="11"/>
    <n v="0"/>
    <n v="10343"/>
    <n v="2500"/>
    <n v="0"/>
    <m/>
    <x v="2"/>
  </r>
  <r>
    <x v="131"/>
    <s v="rom_fact_erebor"/>
    <n v="200"/>
    <x v="11"/>
    <n v="0"/>
    <n v="10040"/>
    <n v="2500"/>
    <n v="0"/>
    <m/>
    <x v="3"/>
  </r>
  <r>
    <x v="131"/>
    <s v="rom_fact_rohan"/>
    <n v="157"/>
    <x v="11"/>
    <n v="0"/>
    <n v="6638"/>
    <n v="2500"/>
    <n v="0"/>
    <m/>
    <x v="4"/>
  </r>
  <r>
    <x v="131"/>
    <s v="rom_fact_dol_guldur"/>
    <n v="528"/>
    <x v="21"/>
    <n v="454.6"/>
    <n v="311165"/>
    <n v="75081"/>
    <n v="5244"/>
    <m/>
    <x v="5"/>
  </r>
  <r>
    <x v="131"/>
    <s v="rom_fact_anduin_vale"/>
    <n v="58"/>
    <x v="11"/>
    <n v="0"/>
    <n v="4515"/>
    <n v="2500"/>
    <n v="0"/>
    <m/>
    <x v="6"/>
  </r>
  <r>
    <x v="131"/>
    <s v="rom_fact_isengard"/>
    <n v="326"/>
    <x v="9"/>
    <n v="133"/>
    <n v="25309"/>
    <n v="24545"/>
    <n v="1282"/>
    <m/>
    <x v="7"/>
  </r>
  <r>
    <x v="131"/>
    <s v="rom_fact_woodland_realm"/>
    <n v="30"/>
    <x v="11"/>
    <n v="0"/>
    <n v="8475"/>
    <n v="2500"/>
    <n v="0"/>
    <m/>
    <x v="8"/>
  </r>
  <r>
    <x v="131"/>
    <s v="rom_fact_lothlorien"/>
    <n v="64"/>
    <x v="11"/>
    <n v="0"/>
    <n v="4721"/>
    <n v="2500"/>
    <n v="0"/>
    <m/>
    <x v="9"/>
  </r>
  <r>
    <x v="131"/>
    <s v="rom_fact_khand"/>
    <n v="0"/>
    <x v="11"/>
    <n v="0"/>
    <n v="4919"/>
    <n v="1750"/>
    <n v="0"/>
    <m/>
    <x v="10"/>
  </r>
  <r>
    <x v="131"/>
    <s v="rom_fact_umbar"/>
    <n v="20"/>
    <x v="4"/>
    <n v="247.7"/>
    <n v="284710"/>
    <n v="57123"/>
    <n v="4927"/>
    <m/>
    <x v="11"/>
  </r>
  <r>
    <x v="131"/>
    <s v="rom_fact_mahuds"/>
    <n v="0"/>
    <x v="11"/>
    <n v="0"/>
    <n v="9228"/>
    <n v="1750"/>
    <n v="0"/>
    <m/>
    <x v="12"/>
  </r>
  <r>
    <x v="131"/>
    <s v="rom_fact_harad"/>
    <n v="358"/>
    <x v="4"/>
    <n v="231.2"/>
    <n v="167913"/>
    <n v="38090"/>
    <n v="2668"/>
    <m/>
    <x v="13"/>
  </r>
  <r>
    <x v="131"/>
    <s v="rom_fact_dunland"/>
    <n v="314"/>
    <x v="16"/>
    <n v="284.89999999999998"/>
    <n v="259634"/>
    <n v="53831"/>
    <n v="474"/>
    <m/>
    <x v="14"/>
  </r>
  <r>
    <x v="131"/>
    <s v="rom_fact_haerrim"/>
    <n v="0"/>
    <x v="11"/>
    <n v="0"/>
    <n v="5352"/>
    <n v="1750"/>
    <n v="0"/>
    <m/>
    <x v="15"/>
  </r>
  <r>
    <x v="131"/>
    <s v="rom_fact_goblins"/>
    <n v="673"/>
    <x v="6"/>
    <n v="180.1"/>
    <n v="177074"/>
    <n v="30269"/>
    <n v="0"/>
    <m/>
    <x v="16"/>
  </r>
  <r>
    <x v="131"/>
    <s v="rom_fact_balchoth"/>
    <n v="0"/>
    <x v="11"/>
    <n v="0"/>
    <n v="4872"/>
    <n v="1750"/>
    <n v="0"/>
    <m/>
    <x v="17"/>
  </r>
  <r>
    <x v="131"/>
    <s v="rom_fact_rhurim"/>
    <n v="628"/>
    <x v="21"/>
    <n v="321"/>
    <n v="272734"/>
    <n v="49291"/>
    <n v="3592"/>
    <m/>
    <x v="18"/>
  </r>
  <r>
    <x v="131"/>
    <s v="rom_fact_feredrim"/>
    <n v="0"/>
    <x v="11"/>
    <n v="0"/>
    <n v="7360"/>
    <n v="1750"/>
    <n v="0"/>
    <m/>
    <x v="19"/>
  </r>
  <r>
    <x v="131"/>
    <s v="rom_fact_wainriders"/>
    <n v="0"/>
    <x v="11"/>
    <n v="0"/>
    <n v="6395"/>
    <n v="1750"/>
    <n v="0"/>
    <m/>
    <x v="20"/>
  </r>
  <r>
    <x v="131"/>
    <s v="rom_fact_blacklock"/>
    <n v="5"/>
    <x v="3"/>
    <n v="84"/>
    <n v="24963"/>
    <n v="14639"/>
    <n v="763"/>
    <m/>
    <x v="21"/>
  </r>
  <r>
    <x v="131"/>
    <s v="rom_fact_ironfist"/>
    <n v="5"/>
    <x v="10"/>
    <n v="23.7"/>
    <n v="16655"/>
    <n v="8755"/>
    <n v="265"/>
    <m/>
    <x v="22"/>
  </r>
  <r>
    <x v="131"/>
    <s v="rom_fact_gundabad"/>
    <n v="245"/>
    <x v="11"/>
    <n v="0"/>
    <n v="9750"/>
    <n v="2500"/>
    <n v="0"/>
    <m/>
    <x v="23"/>
  </r>
  <r>
    <x v="131"/>
    <s v="rom_fact_rohan_scouts"/>
    <n v="0"/>
    <x v="11"/>
    <n v="3"/>
    <n v="152797"/>
    <n v="2354"/>
    <n v="0"/>
    <m/>
    <x v="24"/>
  </r>
  <r>
    <x v="131"/>
    <s v="rom_fact_northern_enedwaith"/>
    <n v="2"/>
    <x v="10"/>
    <n v="20.100000000000001"/>
    <n v="63004"/>
    <n v="5874"/>
    <n v="900"/>
    <m/>
    <x v="25"/>
  </r>
  <r>
    <x v="131"/>
    <s v="rom_fact_southern_enedwaith"/>
    <n v="0"/>
    <x v="11"/>
    <n v="0"/>
    <n v="54023"/>
    <n v="1750"/>
    <n v="0"/>
    <m/>
    <x v="26"/>
  </r>
  <r>
    <x v="131"/>
    <s v="rom_fact_druedain"/>
    <n v="0"/>
    <x v="11"/>
    <n v="0"/>
    <n v="32146"/>
    <n v="1750"/>
    <n v="0"/>
    <m/>
    <x v="27"/>
  </r>
  <r>
    <x v="131"/>
    <s v="rom_fact_harondor"/>
    <n v="0"/>
    <x v="11"/>
    <n v="0"/>
    <n v="15146"/>
    <n v="1750"/>
    <n v="0"/>
    <m/>
    <x v="28"/>
  </r>
  <r>
    <x v="131"/>
    <s v="rom_fact_southron_nomads"/>
    <n v="0"/>
    <x v="11"/>
    <n v="0"/>
    <n v="4000"/>
    <n v="1750"/>
    <n v="0"/>
    <m/>
    <x v="29"/>
  </r>
  <r>
    <x v="131"/>
    <s v="rom_fact_separatist_harad"/>
    <n v="0"/>
    <x v="11"/>
    <n v="0"/>
    <n v="4000"/>
    <n v="1750"/>
    <n v="0"/>
    <m/>
    <x v="30"/>
  </r>
  <r>
    <x v="131"/>
    <s v="rom_fact_separatist_khand"/>
    <n v="0"/>
    <x v="11"/>
    <n v="0"/>
    <n v="4000"/>
    <n v="1750"/>
    <n v="0"/>
    <m/>
    <x v="30"/>
  </r>
  <r>
    <x v="131"/>
    <s v="rom_fact_separatist_balchoth"/>
    <n v="0"/>
    <x v="11"/>
    <n v="0"/>
    <n v="4000"/>
    <n v="1750"/>
    <n v="0"/>
    <m/>
    <x v="30"/>
  </r>
  <r>
    <x v="131"/>
    <s v="rom_fact_separatist_feredrim"/>
    <n v="0"/>
    <x v="11"/>
    <n v="0"/>
    <n v="4000"/>
    <n v="1750"/>
    <n v="0"/>
    <m/>
    <x v="30"/>
  </r>
  <r>
    <x v="131"/>
    <s v="rom_fact_separatist_haerrim"/>
    <n v="0"/>
    <x v="11"/>
    <n v="0"/>
    <n v="4000"/>
    <n v="1750"/>
    <n v="0"/>
    <m/>
    <x v="30"/>
  </r>
  <r>
    <x v="131"/>
    <s v="rom_fact_separatist_wainriders"/>
    <n v="0"/>
    <x v="11"/>
    <n v="0"/>
    <n v="4000"/>
    <n v="1750"/>
    <n v="0"/>
    <m/>
    <x v="30"/>
  </r>
  <r>
    <x v="131"/>
    <s v="rom_fact_separatist_rhurim"/>
    <n v="0"/>
    <x v="11"/>
    <n v="0"/>
    <n v="4000"/>
    <n v="1750"/>
    <n v="0"/>
    <m/>
    <x v="30"/>
  </r>
  <r>
    <x v="131"/>
    <s v="rom_fact_separatist_mahuds"/>
    <n v="0"/>
    <x v="11"/>
    <n v="0"/>
    <n v="4000"/>
    <n v="1750"/>
    <n v="0"/>
    <m/>
    <x v="30"/>
  </r>
  <r>
    <x v="131"/>
    <s v="rom_fact_separatist_umbar"/>
    <n v="0"/>
    <x v="11"/>
    <n v="0"/>
    <n v="4000"/>
    <n v="1750"/>
    <n v="0"/>
    <m/>
    <x v="30"/>
  </r>
  <r>
    <x v="132"/>
    <s v="rom_fact_mordor"/>
    <n v="696"/>
    <x v="43"/>
    <n v="613.9"/>
    <n v="4509"/>
    <n v="88061"/>
    <n v="7289"/>
    <m/>
    <x v="0"/>
  </r>
  <r>
    <x v="132"/>
    <s v="rom_fact_gondor"/>
    <n v="146"/>
    <x v="11"/>
    <n v="0"/>
    <n v="55420"/>
    <n v="2500"/>
    <n v="0"/>
    <m/>
    <x v="1"/>
  </r>
  <r>
    <x v="132"/>
    <s v="rom_fact_dale"/>
    <n v="199"/>
    <x v="11"/>
    <n v="0"/>
    <n v="10343"/>
    <n v="2500"/>
    <n v="0"/>
    <m/>
    <x v="2"/>
  </r>
  <r>
    <x v="132"/>
    <s v="rom_fact_erebor"/>
    <n v="200"/>
    <x v="11"/>
    <n v="0"/>
    <n v="10040"/>
    <n v="2500"/>
    <n v="0"/>
    <m/>
    <x v="3"/>
  </r>
  <r>
    <x v="132"/>
    <s v="rom_fact_rohan"/>
    <n v="157"/>
    <x v="11"/>
    <n v="0"/>
    <n v="6638"/>
    <n v="2500"/>
    <n v="0"/>
    <m/>
    <x v="4"/>
  </r>
  <r>
    <x v="132"/>
    <s v="rom_fact_dol_guldur"/>
    <n v="528"/>
    <x v="21"/>
    <n v="448.6"/>
    <n v="338142"/>
    <n v="74617"/>
    <n v="5252"/>
    <m/>
    <x v="5"/>
  </r>
  <r>
    <x v="132"/>
    <s v="rom_fact_anduin_vale"/>
    <n v="58"/>
    <x v="11"/>
    <n v="0"/>
    <n v="4515"/>
    <n v="2500"/>
    <n v="0"/>
    <m/>
    <x v="6"/>
  </r>
  <r>
    <x v="132"/>
    <s v="rom_fact_isengard"/>
    <n v="331"/>
    <x v="9"/>
    <n v="64.5"/>
    <n v="35291"/>
    <n v="17524"/>
    <n v="1278"/>
    <m/>
    <x v="7"/>
  </r>
  <r>
    <x v="132"/>
    <s v="rom_fact_woodland_realm"/>
    <n v="30"/>
    <x v="11"/>
    <n v="0"/>
    <n v="8475"/>
    <n v="2500"/>
    <n v="0"/>
    <m/>
    <x v="8"/>
  </r>
  <r>
    <x v="132"/>
    <s v="rom_fact_lothlorien"/>
    <n v="64"/>
    <x v="11"/>
    <n v="0"/>
    <n v="4721"/>
    <n v="2500"/>
    <n v="0"/>
    <m/>
    <x v="9"/>
  </r>
  <r>
    <x v="132"/>
    <s v="rom_fact_khand"/>
    <n v="0"/>
    <x v="11"/>
    <n v="0"/>
    <n v="4919"/>
    <n v="1750"/>
    <n v="0"/>
    <m/>
    <x v="10"/>
  </r>
  <r>
    <x v="132"/>
    <s v="rom_fact_umbar"/>
    <n v="20"/>
    <x v="4"/>
    <n v="256"/>
    <n v="270540"/>
    <n v="58653"/>
    <n v="4959"/>
    <m/>
    <x v="11"/>
  </r>
  <r>
    <x v="132"/>
    <s v="rom_fact_mahuds"/>
    <n v="0"/>
    <x v="11"/>
    <n v="0"/>
    <n v="9228"/>
    <n v="1750"/>
    <n v="0"/>
    <m/>
    <x v="12"/>
  </r>
  <r>
    <x v="132"/>
    <s v="rom_fact_harad"/>
    <n v="358"/>
    <x v="4"/>
    <n v="238.7"/>
    <n v="148102"/>
    <n v="41134"/>
    <n v="2799"/>
    <m/>
    <x v="13"/>
  </r>
  <r>
    <x v="132"/>
    <s v="rom_fact_dunland"/>
    <n v="313"/>
    <x v="2"/>
    <n v="271.10000000000002"/>
    <n v="273636"/>
    <n v="52357"/>
    <n v="470"/>
    <m/>
    <x v="14"/>
  </r>
  <r>
    <x v="132"/>
    <s v="rom_fact_haerrim"/>
    <n v="0"/>
    <x v="11"/>
    <n v="0"/>
    <n v="5352"/>
    <n v="1750"/>
    <n v="0"/>
    <m/>
    <x v="15"/>
  </r>
  <r>
    <x v="132"/>
    <s v="rom_fact_goblins"/>
    <n v="671"/>
    <x v="12"/>
    <n v="161.30000000000001"/>
    <n v="169314"/>
    <n v="24314"/>
    <n v="0"/>
    <m/>
    <x v="16"/>
  </r>
  <r>
    <x v="132"/>
    <s v="rom_fact_balchoth"/>
    <n v="0"/>
    <x v="11"/>
    <n v="0"/>
    <n v="4872"/>
    <n v="1750"/>
    <n v="0"/>
    <m/>
    <x v="17"/>
  </r>
  <r>
    <x v="132"/>
    <s v="rom_fact_rhurim"/>
    <n v="628"/>
    <x v="21"/>
    <n v="325.60000000000002"/>
    <n v="249763"/>
    <n v="49414"/>
    <n v="3695"/>
    <m/>
    <x v="18"/>
  </r>
  <r>
    <x v="132"/>
    <s v="rom_fact_feredrim"/>
    <n v="0"/>
    <x v="11"/>
    <n v="0"/>
    <n v="7360"/>
    <n v="1750"/>
    <n v="0"/>
    <m/>
    <x v="19"/>
  </r>
  <r>
    <x v="132"/>
    <s v="rom_fact_wainriders"/>
    <n v="0"/>
    <x v="11"/>
    <n v="0"/>
    <n v="6395"/>
    <n v="1750"/>
    <n v="0"/>
    <m/>
    <x v="20"/>
  </r>
  <r>
    <x v="132"/>
    <s v="rom_fact_blacklock"/>
    <n v="5"/>
    <x v="3"/>
    <n v="83"/>
    <n v="22056"/>
    <n v="16576"/>
    <n v="780"/>
    <m/>
    <x v="21"/>
  </r>
  <r>
    <x v="132"/>
    <s v="rom_fact_ironfist"/>
    <n v="5"/>
    <x v="10"/>
    <n v="22"/>
    <n v="16986"/>
    <n v="9057"/>
    <n v="271"/>
    <m/>
    <x v="22"/>
  </r>
  <r>
    <x v="132"/>
    <s v="rom_fact_gundabad"/>
    <n v="245"/>
    <x v="11"/>
    <n v="0"/>
    <n v="9750"/>
    <n v="2500"/>
    <n v="0"/>
    <m/>
    <x v="23"/>
  </r>
  <r>
    <x v="132"/>
    <s v="rom_fact_rohan_scouts"/>
    <n v="0"/>
    <x v="11"/>
    <n v="3"/>
    <n v="153943"/>
    <n v="2354"/>
    <n v="0"/>
    <m/>
    <x v="24"/>
  </r>
  <r>
    <x v="132"/>
    <s v="rom_fact_northern_enedwaith"/>
    <n v="2"/>
    <x v="10"/>
    <n v="20.100000000000001"/>
    <n v="46648"/>
    <n v="5557"/>
    <n v="909"/>
    <m/>
    <x v="25"/>
  </r>
  <r>
    <x v="132"/>
    <s v="rom_fact_southern_enedwaith"/>
    <n v="0"/>
    <x v="11"/>
    <n v="0"/>
    <n v="54023"/>
    <n v="1750"/>
    <n v="0"/>
    <m/>
    <x v="26"/>
  </r>
  <r>
    <x v="132"/>
    <s v="rom_fact_druedain"/>
    <n v="0"/>
    <x v="11"/>
    <n v="0"/>
    <n v="32146"/>
    <n v="1750"/>
    <n v="0"/>
    <m/>
    <x v="27"/>
  </r>
  <r>
    <x v="132"/>
    <s v="rom_fact_harondor"/>
    <n v="0"/>
    <x v="11"/>
    <n v="0"/>
    <n v="15146"/>
    <n v="1750"/>
    <n v="0"/>
    <m/>
    <x v="28"/>
  </r>
  <r>
    <x v="132"/>
    <s v="rom_fact_southron_nomads"/>
    <n v="0"/>
    <x v="11"/>
    <n v="0"/>
    <n v="4000"/>
    <n v="1750"/>
    <n v="0"/>
    <m/>
    <x v="29"/>
  </r>
  <r>
    <x v="132"/>
    <s v="rom_fact_separatist_harad"/>
    <n v="0"/>
    <x v="11"/>
    <n v="0"/>
    <n v="4000"/>
    <n v="1750"/>
    <n v="0"/>
    <m/>
    <x v="30"/>
  </r>
  <r>
    <x v="132"/>
    <s v="rom_fact_separatist_khand"/>
    <n v="0"/>
    <x v="11"/>
    <n v="0"/>
    <n v="4000"/>
    <n v="1750"/>
    <n v="0"/>
    <m/>
    <x v="30"/>
  </r>
  <r>
    <x v="132"/>
    <s v="rom_fact_separatist_balchoth"/>
    <n v="0"/>
    <x v="11"/>
    <n v="0"/>
    <n v="4000"/>
    <n v="1750"/>
    <n v="0"/>
    <m/>
    <x v="30"/>
  </r>
  <r>
    <x v="132"/>
    <s v="rom_fact_separatist_feredrim"/>
    <n v="0"/>
    <x v="11"/>
    <n v="0"/>
    <n v="4000"/>
    <n v="1750"/>
    <n v="0"/>
    <m/>
    <x v="30"/>
  </r>
  <r>
    <x v="132"/>
    <s v="rom_fact_separatist_haerrim"/>
    <n v="0"/>
    <x v="11"/>
    <n v="0"/>
    <n v="4000"/>
    <n v="1750"/>
    <n v="0"/>
    <m/>
    <x v="30"/>
  </r>
  <r>
    <x v="132"/>
    <s v="rom_fact_separatist_wainriders"/>
    <n v="0"/>
    <x v="11"/>
    <n v="0"/>
    <n v="4000"/>
    <n v="1750"/>
    <n v="0"/>
    <m/>
    <x v="30"/>
  </r>
  <r>
    <x v="132"/>
    <s v="rom_fact_separatist_rhurim"/>
    <n v="0"/>
    <x v="11"/>
    <n v="0"/>
    <n v="4000"/>
    <n v="1750"/>
    <n v="0"/>
    <m/>
    <x v="30"/>
  </r>
  <r>
    <x v="132"/>
    <s v="rom_fact_separatist_mahuds"/>
    <n v="0"/>
    <x v="11"/>
    <n v="0"/>
    <n v="4000"/>
    <n v="1750"/>
    <n v="0"/>
    <m/>
    <x v="30"/>
  </r>
  <r>
    <x v="132"/>
    <s v="rom_fact_separatist_umbar"/>
    <n v="0"/>
    <x v="11"/>
    <n v="0"/>
    <n v="4000"/>
    <n v="1750"/>
    <n v="0"/>
    <m/>
    <x v="30"/>
  </r>
  <r>
    <x v="133"/>
    <s v="rom_fact_mordor"/>
    <n v="698"/>
    <x v="44"/>
    <n v="621.6"/>
    <n v="168"/>
    <n v="91429"/>
    <n v="8378"/>
    <m/>
    <x v="0"/>
  </r>
  <r>
    <x v="133"/>
    <s v="rom_fact_gondor"/>
    <n v="146"/>
    <x v="11"/>
    <n v="0"/>
    <n v="55420"/>
    <n v="2500"/>
    <n v="0"/>
    <m/>
    <x v="1"/>
  </r>
  <r>
    <x v="133"/>
    <s v="rom_fact_dale"/>
    <n v="199"/>
    <x v="11"/>
    <n v="0"/>
    <n v="10343"/>
    <n v="2500"/>
    <n v="0"/>
    <m/>
    <x v="2"/>
  </r>
  <r>
    <x v="133"/>
    <s v="rom_fact_erebor"/>
    <n v="200"/>
    <x v="11"/>
    <n v="0"/>
    <n v="10040"/>
    <n v="2500"/>
    <n v="0"/>
    <m/>
    <x v="3"/>
  </r>
  <r>
    <x v="133"/>
    <s v="rom_fact_rohan"/>
    <n v="157"/>
    <x v="11"/>
    <n v="0"/>
    <n v="6638"/>
    <n v="2500"/>
    <n v="0"/>
    <m/>
    <x v="4"/>
  </r>
  <r>
    <x v="133"/>
    <s v="rom_fact_dol_guldur"/>
    <n v="528"/>
    <x v="21"/>
    <n v="424.8"/>
    <n v="362303"/>
    <n v="73411"/>
    <n v="5459"/>
    <m/>
    <x v="5"/>
  </r>
  <r>
    <x v="133"/>
    <s v="rom_fact_anduin_vale"/>
    <n v="58"/>
    <x v="11"/>
    <n v="0"/>
    <n v="4515"/>
    <n v="2500"/>
    <n v="0"/>
    <m/>
    <x v="6"/>
  </r>
  <r>
    <x v="133"/>
    <s v="rom_fact_isengard"/>
    <n v="329"/>
    <x v="3"/>
    <n v="40.5"/>
    <n v="38648"/>
    <n v="11984"/>
    <n v="471"/>
    <m/>
    <x v="7"/>
  </r>
  <r>
    <x v="133"/>
    <s v="rom_fact_woodland_realm"/>
    <n v="30"/>
    <x v="11"/>
    <n v="0"/>
    <n v="8475"/>
    <n v="2500"/>
    <n v="0"/>
    <m/>
    <x v="8"/>
  </r>
  <r>
    <x v="133"/>
    <s v="rom_fact_lothlorien"/>
    <n v="64"/>
    <x v="11"/>
    <n v="0"/>
    <n v="4721"/>
    <n v="2500"/>
    <n v="0"/>
    <m/>
    <x v="9"/>
  </r>
  <r>
    <x v="133"/>
    <s v="rom_fact_khand"/>
    <n v="0"/>
    <x v="11"/>
    <n v="0"/>
    <n v="4919"/>
    <n v="1750"/>
    <n v="0"/>
    <m/>
    <x v="10"/>
  </r>
  <r>
    <x v="133"/>
    <s v="rom_fact_umbar"/>
    <n v="20"/>
    <x v="4"/>
    <n v="257"/>
    <n v="287207"/>
    <n v="59419"/>
    <n v="5383"/>
    <m/>
    <x v="11"/>
  </r>
  <r>
    <x v="133"/>
    <s v="rom_fact_mahuds"/>
    <n v="0"/>
    <x v="11"/>
    <n v="0"/>
    <n v="9228"/>
    <n v="1750"/>
    <n v="0"/>
    <m/>
    <x v="12"/>
  </r>
  <r>
    <x v="133"/>
    <s v="rom_fact_harad"/>
    <n v="358"/>
    <x v="4"/>
    <n v="246.39999999999901"/>
    <n v="145498"/>
    <n v="41369"/>
    <n v="2804"/>
    <m/>
    <x v="13"/>
  </r>
  <r>
    <x v="133"/>
    <s v="rom_fact_dunland"/>
    <n v="318"/>
    <x v="2"/>
    <n v="277.10000000000002"/>
    <n v="278003"/>
    <n v="53092"/>
    <n v="463"/>
    <m/>
    <x v="14"/>
  </r>
  <r>
    <x v="133"/>
    <s v="rom_fact_haerrim"/>
    <n v="0"/>
    <x v="11"/>
    <n v="0"/>
    <n v="5352"/>
    <n v="1750"/>
    <n v="0"/>
    <m/>
    <x v="15"/>
  </r>
  <r>
    <x v="133"/>
    <s v="rom_fact_goblins"/>
    <n v="671"/>
    <x v="12"/>
    <n v="160.1"/>
    <n v="159107"/>
    <n v="22516"/>
    <n v="0"/>
    <m/>
    <x v="16"/>
  </r>
  <r>
    <x v="133"/>
    <s v="rom_fact_balchoth"/>
    <n v="0"/>
    <x v="11"/>
    <n v="0"/>
    <n v="4872"/>
    <n v="1750"/>
    <n v="0"/>
    <m/>
    <x v="17"/>
  </r>
  <r>
    <x v="133"/>
    <s v="rom_fact_rhurim"/>
    <n v="641"/>
    <x v="21"/>
    <n v="326.60000000000002"/>
    <n v="273056"/>
    <n v="48578"/>
    <n v="3592"/>
    <m/>
    <x v="18"/>
  </r>
  <r>
    <x v="133"/>
    <s v="rom_fact_feredrim"/>
    <n v="0"/>
    <x v="11"/>
    <n v="0"/>
    <n v="7360"/>
    <n v="1750"/>
    <n v="0"/>
    <m/>
    <x v="19"/>
  </r>
  <r>
    <x v="133"/>
    <s v="rom_fact_wainriders"/>
    <n v="0"/>
    <x v="11"/>
    <n v="0"/>
    <n v="6395"/>
    <n v="1750"/>
    <n v="0"/>
    <m/>
    <x v="20"/>
  </r>
  <r>
    <x v="133"/>
    <s v="rom_fact_blacklock"/>
    <n v="5"/>
    <x v="3"/>
    <n v="83"/>
    <n v="18173"/>
    <n v="15914"/>
    <n v="777"/>
    <m/>
    <x v="21"/>
  </r>
  <r>
    <x v="133"/>
    <s v="rom_fact_ironfist"/>
    <n v="5"/>
    <x v="10"/>
    <n v="30.3"/>
    <n v="18793"/>
    <n v="9711"/>
    <n v="269"/>
    <m/>
    <x v="22"/>
  </r>
  <r>
    <x v="133"/>
    <s v="rom_fact_gundabad"/>
    <n v="245"/>
    <x v="11"/>
    <n v="0"/>
    <n v="9750"/>
    <n v="2500"/>
    <n v="0"/>
    <m/>
    <x v="23"/>
  </r>
  <r>
    <x v="133"/>
    <s v="rom_fact_rohan_scouts"/>
    <n v="0"/>
    <x v="11"/>
    <n v="3"/>
    <n v="155089"/>
    <n v="2354"/>
    <n v="0"/>
    <m/>
    <x v="24"/>
  </r>
  <r>
    <x v="133"/>
    <s v="rom_fact_northern_enedwaith"/>
    <n v="2"/>
    <x v="10"/>
    <n v="20.100000000000001"/>
    <n v="35959"/>
    <n v="4992"/>
    <n v="925"/>
    <m/>
    <x v="25"/>
  </r>
  <r>
    <x v="133"/>
    <s v="rom_fact_southern_enedwaith"/>
    <n v="0"/>
    <x v="11"/>
    <n v="0"/>
    <n v="54023"/>
    <n v="1750"/>
    <n v="0"/>
    <m/>
    <x v="26"/>
  </r>
  <r>
    <x v="133"/>
    <s v="rom_fact_druedain"/>
    <n v="0"/>
    <x v="11"/>
    <n v="0"/>
    <n v="32146"/>
    <n v="1750"/>
    <n v="0"/>
    <m/>
    <x v="27"/>
  </r>
  <r>
    <x v="133"/>
    <s v="rom_fact_harondor"/>
    <n v="0"/>
    <x v="11"/>
    <n v="0"/>
    <n v="15146"/>
    <n v="1750"/>
    <n v="0"/>
    <m/>
    <x v="28"/>
  </r>
  <r>
    <x v="133"/>
    <s v="rom_fact_southron_nomads"/>
    <n v="0"/>
    <x v="11"/>
    <n v="0"/>
    <n v="4000"/>
    <n v="1750"/>
    <n v="0"/>
    <m/>
    <x v="29"/>
  </r>
  <r>
    <x v="133"/>
    <s v="rom_fact_separatist_harad"/>
    <n v="0"/>
    <x v="11"/>
    <n v="0"/>
    <n v="4000"/>
    <n v="1750"/>
    <n v="0"/>
    <m/>
    <x v="30"/>
  </r>
  <r>
    <x v="133"/>
    <s v="rom_fact_separatist_khand"/>
    <n v="0"/>
    <x v="11"/>
    <n v="0"/>
    <n v="4000"/>
    <n v="1750"/>
    <n v="0"/>
    <m/>
    <x v="30"/>
  </r>
  <r>
    <x v="133"/>
    <s v="rom_fact_separatist_balchoth"/>
    <n v="0"/>
    <x v="11"/>
    <n v="0"/>
    <n v="4000"/>
    <n v="1750"/>
    <n v="0"/>
    <m/>
    <x v="30"/>
  </r>
  <r>
    <x v="133"/>
    <s v="rom_fact_separatist_feredrim"/>
    <n v="0"/>
    <x v="11"/>
    <n v="0"/>
    <n v="4000"/>
    <n v="1750"/>
    <n v="0"/>
    <m/>
    <x v="30"/>
  </r>
  <r>
    <x v="133"/>
    <s v="rom_fact_separatist_haerrim"/>
    <n v="0"/>
    <x v="11"/>
    <n v="0"/>
    <n v="4000"/>
    <n v="1750"/>
    <n v="0"/>
    <m/>
    <x v="30"/>
  </r>
  <r>
    <x v="133"/>
    <s v="rom_fact_separatist_wainriders"/>
    <n v="0"/>
    <x v="11"/>
    <n v="0"/>
    <n v="4000"/>
    <n v="1750"/>
    <n v="0"/>
    <m/>
    <x v="30"/>
  </r>
  <r>
    <x v="133"/>
    <s v="rom_fact_separatist_rhurim"/>
    <n v="0"/>
    <x v="11"/>
    <n v="0"/>
    <n v="4000"/>
    <n v="1750"/>
    <n v="0"/>
    <m/>
    <x v="30"/>
  </r>
  <r>
    <x v="133"/>
    <s v="rom_fact_separatist_mahuds"/>
    <n v="0"/>
    <x v="11"/>
    <n v="0"/>
    <n v="4000"/>
    <n v="1750"/>
    <n v="0"/>
    <m/>
    <x v="30"/>
  </r>
  <r>
    <x v="133"/>
    <s v="rom_fact_separatist_umbar"/>
    <n v="0"/>
    <x v="11"/>
    <n v="0"/>
    <n v="4000"/>
    <n v="1750"/>
    <n v="0"/>
    <m/>
    <x v="30"/>
  </r>
  <r>
    <x v="134"/>
    <s v="rom_fact_mordor"/>
    <n v="708"/>
    <x v="44"/>
    <n v="633.9"/>
    <n v="13818"/>
    <n v="92754"/>
    <n v="8391"/>
    <m/>
    <x v="0"/>
  </r>
  <r>
    <x v="134"/>
    <s v="rom_fact_gondor"/>
    <n v="146"/>
    <x v="11"/>
    <n v="0"/>
    <n v="55420"/>
    <n v="2500"/>
    <n v="0"/>
    <m/>
    <x v="1"/>
  </r>
  <r>
    <x v="134"/>
    <s v="rom_fact_dale"/>
    <n v="199"/>
    <x v="11"/>
    <n v="0"/>
    <n v="10343"/>
    <n v="2500"/>
    <n v="0"/>
    <m/>
    <x v="2"/>
  </r>
  <r>
    <x v="134"/>
    <s v="rom_fact_erebor"/>
    <n v="200"/>
    <x v="11"/>
    <n v="0"/>
    <n v="10040"/>
    <n v="2500"/>
    <n v="0"/>
    <m/>
    <x v="3"/>
  </r>
  <r>
    <x v="134"/>
    <s v="rom_fact_rohan"/>
    <n v="157"/>
    <x v="11"/>
    <n v="0"/>
    <n v="6638"/>
    <n v="2500"/>
    <n v="0"/>
    <m/>
    <x v="4"/>
  </r>
  <r>
    <x v="134"/>
    <s v="rom_fact_dol_guldur"/>
    <n v="530"/>
    <x v="32"/>
    <n v="441.4"/>
    <n v="374946"/>
    <n v="76385"/>
    <n v="5793"/>
    <m/>
    <x v="5"/>
  </r>
  <r>
    <x v="134"/>
    <s v="rom_fact_anduin_vale"/>
    <n v="58"/>
    <x v="11"/>
    <n v="0"/>
    <n v="4515"/>
    <n v="2500"/>
    <n v="0"/>
    <m/>
    <x v="6"/>
  </r>
  <r>
    <x v="134"/>
    <s v="rom_fact_isengard"/>
    <n v="329"/>
    <x v="3"/>
    <n v="62.2"/>
    <n v="42883"/>
    <n v="14268"/>
    <n v="471"/>
    <m/>
    <x v="7"/>
  </r>
  <r>
    <x v="134"/>
    <s v="rom_fact_woodland_realm"/>
    <n v="30"/>
    <x v="11"/>
    <n v="0"/>
    <n v="8475"/>
    <n v="2500"/>
    <n v="0"/>
    <m/>
    <x v="8"/>
  </r>
  <r>
    <x v="134"/>
    <s v="rom_fact_lothlorien"/>
    <n v="64"/>
    <x v="11"/>
    <n v="0"/>
    <n v="4721"/>
    <n v="2500"/>
    <n v="0"/>
    <m/>
    <x v="9"/>
  </r>
  <r>
    <x v="134"/>
    <s v="rom_fact_khand"/>
    <n v="0"/>
    <x v="11"/>
    <n v="0"/>
    <n v="4919"/>
    <n v="1750"/>
    <n v="0"/>
    <m/>
    <x v="10"/>
  </r>
  <r>
    <x v="134"/>
    <s v="rom_fact_umbar"/>
    <n v="20"/>
    <x v="4"/>
    <n v="262.2"/>
    <n v="304733"/>
    <n v="57022"/>
    <n v="5384"/>
    <m/>
    <x v="11"/>
  </r>
  <r>
    <x v="134"/>
    <s v="rom_fact_mahuds"/>
    <n v="0"/>
    <x v="11"/>
    <n v="0"/>
    <n v="9228"/>
    <n v="1750"/>
    <n v="0"/>
    <m/>
    <x v="12"/>
  </r>
  <r>
    <x v="134"/>
    <s v="rom_fact_harad"/>
    <n v="363"/>
    <x v="4"/>
    <n v="255.5"/>
    <n v="119685"/>
    <n v="44169"/>
    <n v="2902"/>
    <m/>
    <x v="13"/>
  </r>
  <r>
    <x v="134"/>
    <s v="rom_fact_dunland"/>
    <n v="318"/>
    <x v="2"/>
    <n v="279.10000000000002"/>
    <n v="276681"/>
    <n v="53112"/>
    <n v="462"/>
    <m/>
    <x v="14"/>
  </r>
  <r>
    <x v="134"/>
    <s v="rom_fact_haerrim"/>
    <n v="0"/>
    <x v="11"/>
    <n v="0"/>
    <n v="5352"/>
    <n v="1750"/>
    <n v="0"/>
    <m/>
    <x v="15"/>
  </r>
  <r>
    <x v="134"/>
    <s v="rom_fact_goblins"/>
    <n v="674"/>
    <x v="5"/>
    <n v="102.5"/>
    <n v="151260"/>
    <n v="15623"/>
    <n v="0"/>
    <m/>
    <x v="16"/>
  </r>
  <r>
    <x v="134"/>
    <s v="rom_fact_balchoth"/>
    <n v="0"/>
    <x v="11"/>
    <n v="0"/>
    <n v="4872"/>
    <n v="1750"/>
    <n v="0"/>
    <m/>
    <x v="17"/>
  </r>
  <r>
    <x v="134"/>
    <s v="rom_fact_rhurim"/>
    <n v="641"/>
    <x v="21"/>
    <n v="339.7"/>
    <n v="298583"/>
    <n v="49911"/>
    <n v="3841"/>
    <m/>
    <x v="18"/>
  </r>
  <r>
    <x v="134"/>
    <s v="rom_fact_feredrim"/>
    <n v="0"/>
    <x v="11"/>
    <n v="0"/>
    <n v="7360"/>
    <n v="1750"/>
    <n v="0"/>
    <m/>
    <x v="19"/>
  </r>
  <r>
    <x v="134"/>
    <s v="rom_fact_wainriders"/>
    <n v="0"/>
    <x v="11"/>
    <n v="0"/>
    <n v="6395"/>
    <n v="1750"/>
    <n v="0"/>
    <m/>
    <x v="20"/>
  </r>
  <r>
    <x v="134"/>
    <s v="rom_fact_blacklock"/>
    <n v="5"/>
    <x v="3"/>
    <n v="83"/>
    <n v="15711"/>
    <n v="15914"/>
    <n v="777"/>
    <m/>
    <x v="21"/>
  </r>
  <r>
    <x v="134"/>
    <s v="rom_fact_ironfist"/>
    <n v="5"/>
    <x v="10"/>
    <n v="34.6"/>
    <n v="16595"/>
    <n v="10204"/>
    <n v="269"/>
    <m/>
    <x v="22"/>
  </r>
  <r>
    <x v="134"/>
    <s v="rom_fact_gundabad"/>
    <n v="245"/>
    <x v="11"/>
    <n v="0"/>
    <n v="9750"/>
    <n v="2500"/>
    <n v="0"/>
    <m/>
    <x v="23"/>
  </r>
  <r>
    <x v="134"/>
    <s v="rom_fact_rohan_scouts"/>
    <n v="0"/>
    <x v="11"/>
    <n v="3"/>
    <n v="156235"/>
    <n v="2354"/>
    <n v="0"/>
    <m/>
    <x v="24"/>
  </r>
  <r>
    <x v="134"/>
    <s v="rom_fact_northern_enedwaith"/>
    <n v="2"/>
    <x v="10"/>
    <n v="20.100000000000001"/>
    <n v="35108"/>
    <n v="5003"/>
    <n v="930"/>
    <m/>
    <x v="25"/>
  </r>
  <r>
    <x v="134"/>
    <s v="rom_fact_southern_enedwaith"/>
    <n v="0"/>
    <x v="11"/>
    <n v="0"/>
    <n v="54023"/>
    <n v="1750"/>
    <n v="0"/>
    <m/>
    <x v="26"/>
  </r>
  <r>
    <x v="134"/>
    <s v="rom_fact_druedain"/>
    <n v="0"/>
    <x v="11"/>
    <n v="0"/>
    <n v="32146"/>
    <n v="1750"/>
    <n v="0"/>
    <m/>
    <x v="27"/>
  </r>
  <r>
    <x v="134"/>
    <s v="rom_fact_harondor"/>
    <n v="0"/>
    <x v="11"/>
    <n v="0"/>
    <n v="15146"/>
    <n v="1750"/>
    <n v="0"/>
    <m/>
    <x v="28"/>
  </r>
  <r>
    <x v="134"/>
    <s v="rom_fact_southron_nomads"/>
    <n v="0"/>
    <x v="11"/>
    <n v="0"/>
    <n v="4000"/>
    <n v="1750"/>
    <n v="0"/>
    <m/>
    <x v="29"/>
  </r>
  <r>
    <x v="134"/>
    <s v="rom_fact_separatist_harad"/>
    <n v="0"/>
    <x v="11"/>
    <n v="0"/>
    <n v="4000"/>
    <n v="1750"/>
    <n v="0"/>
    <m/>
    <x v="30"/>
  </r>
  <r>
    <x v="134"/>
    <s v="rom_fact_separatist_khand"/>
    <n v="0"/>
    <x v="11"/>
    <n v="0"/>
    <n v="4000"/>
    <n v="1750"/>
    <n v="0"/>
    <m/>
    <x v="30"/>
  </r>
  <r>
    <x v="134"/>
    <s v="rom_fact_separatist_balchoth"/>
    <n v="0"/>
    <x v="11"/>
    <n v="0"/>
    <n v="4000"/>
    <n v="1750"/>
    <n v="0"/>
    <m/>
    <x v="30"/>
  </r>
  <r>
    <x v="134"/>
    <s v="rom_fact_separatist_feredrim"/>
    <n v="0"/>
    <x v="11"/>
    <n v="0"/>
    <n v="4000"/>
    <n v="1750"/>
    <n v="0"/>
    <m/>
    <x v="30"/>
  </r>
  <r>
    <x v="134"/>
    <s v="rom_fact_separatist_haerrim"/>
    <n v="0"/>
    <x v="11"/>
    <n v="0"/>
    <n v="4000"/>
    <n v="1750"/>
    <n v="0"/>
    <m/>
    <x v="30"/>
  </r>
  <r>
    <x v="134"/>
    <s v="rom_fact_separatist_wainriders"/>
    <n v="0"/>
    <x v="11"/>
    <n v="0"/>
    <n v="4000"/>
    <n v="1750"/>
    <n v="0"/>
    <m/>
    <x v="30"/>
  </r>
  <r>
    <x v="134"/>
    <s v="rom_fact_separatist_rhurim"/>
    <n v="0"/>
    <x v="11"/>
    <n v="0"/>
    <n v="4000"/>
    <n v="1750"/>
    <n v="0"/>
    <m/>
    <x v="30"/>
  </r>
  <r>
    <x v="134"/>
    <s v="rom_fact_separatist_mahuds"/>
    <n v="0"/>
    <x v="11"/>
    <n v="0"/>
    <n v="4000"/>
    <n v="1750"/>
    <n v="0"/>
    <m/>
    <x v="30"/>
  </r>
  <r>
    <x v="134"/>
    <s v="rom_fact_separatist_umbar"/>
    <n v="0"/>
    <x v="11"/>
    <n v="0"/>
    <n v="4000"/>
    <n v="1750"/>
    <n v="0"/>
    <m/>
    <x v="30"/>
  </r>
  <r>
    <x v="135"/>
    <s v="rom_fact_mordor"/>
    <n v="713"/>
    <x v="45"/>
    <n v="656.1"/>
    <n v="15695"/>
    <n v="96090"/>
    <n v="8736"/>
    <m/>
    <x v="0"/>
  </r>
  <r>
    <x v="135"/>
    <s v="rom_fact_gondor"/>
    <n v="146"/>
    <x v="11"/>
    <n v="0"/>
    <n v="55420"/>
    <n v="2500"/>
    <n v="0"/>
    <m/>
    <x v="1"/>
  </r>
  <r>
    <x v="135"/>
    <s v="rom_fact_dale"/>
    <n v="199"/>
    <x v="11"/>
    <n v="0"/>
    <n v="10343"/>
    <n v="2500"/>
    <n v="0"/>
    <m/>
    <x v="2"/>
  </r>
  <r>
    <x v="135"/>
    <s v="rom_fact_erebor"/>
    <n v="200"/>
    <x v="11"/>
    <n v="0"/>
    <n v="10040"/>
    <n v="2500"/>
    <n v="0"/>
    <m/>
    <x v="3"/>
  </r>
  <r>
    <x v="135"/>
    <s v="rom_fact_rohan"/>
    <n v="157"/>
    <x v="11"/>
    <n v="0"/>
    <n v="6638"/>
    <n v="2500"/>
    <n v="0"/>
    <m/>
    <x v="4"/>
  </r>
  <r>
    <x v="135"/>
    <s v="rom_fact_dol_guldur"/>
    <n v="535"/>
    <x v="32"/>
    <n v="435.4"/>
    <n v="337271"/>
    <n v="75992"/>
    <n v="5789"/>
    <m/>
    <x v="5"/>
  </r>
  <r>
    <x v="135"/>
    <s v="rom_fact_anduin_vale"/>
    <n v="58"/>
    <x v="11"/>
    <n v="0"/>
    <n v="4515"/>
    <n v="2500"/>
    <n v="0"/>
    <m/>
    <x v="6"/>
  </r>
  <r>
    <x v="135"/>
    <s v="rom_fact_isengard"/>
    <n v="329"/>
    <x v="3"/>
    <n v="79.900000000000006"/>
    <n v="46218"/>
    <n v="16437"/>
    <n v="472"/>
    <m/>
    <x v="7"/>
  </r>
  <r>
    <x v="135"/>
    <s v="rom_fact_woodland_realm"/>
    <n v="30"/>
    <x v="11"/>
    <n v="0"/>
    <n v="8475"/>
    <n v="2500"/>
    <n v="0"/>
    <m/>
    <x v="8"/>
  </r>
  <r>
    <x v="135"/>
    <s v="rom_fact_lothlorien"/>
    <n v="64"/>
    <x v="11"/>
    <n v="0"/>
    <n v="4721"/>
    <n v="2500"/>
    <n v="0"/>
    <m/>
    <x v="9"/>
  </r>
  <r>
    <x v="135"/>
    <s v="rom_fact_khand"/>
    <n v="0"/>
    <x v="11"/>
    <n v="0"/>
    <n v="4919"/>
    <n v="1750"/>
    <n v="0"/>
    <m/>
    <x v="10"/>
  </r>
  <r>
    <x v="135"/>
    <s v="rom_fact_umbar"/>
    <n v="20"/>
    <x v="4"/>
    <n v="213.2"/>
    <n v="326982"/>
    <n v="53309"/>
    <n v="5526"/>
    <m/>
    <x v="11"/>
  </r>
  <r>
    <x v="135"/>
    <s v="rom_fact_mahuds"/>
    <n v="0"/>
    <x v="11"/>
    <n v="0"/>
    <n v="9228"/>
    <n v="1750"/>
    <n v="0"/>
    <m/>
    <x v="12"/>
  </r>
  <r>
    <x v="135"/>
    <s v="rom_fact_harad"/>
    <n v="375"/>
    <x v="4"/>
    <n v="262.10000000000002"/>
    <n v="130917"/>
    <n v="44520"/>
    <n v="3016"/>
    <m/>
    <x v="13"/>
  </r>
  <r>
    <x v="135"/>
    <s v="rom_fact_dunland"/>
    <n v="318"/>
    <x v="2"/>
    <n v="277"/>
    <n v="284446"/>
    <n v="53325"/>
    <n v="463"/>
    <m/>
    <x v="14"/>
  </r>
  <r>
    <x v="135"/>
    <s v="rom_fact_haerrim"/>
    <n v="0"/>
    <x v="11"/>
    <n v="0"/>
    <n v="5352"/>
    <n v="1750"/>
    <n v="0"/>
    <m/>
    <x v="15"/>
  </r>
  <r>
    <x v="135"/>
    <s v="rom_fact_goblins"/>
    <n v="671"/>
    <x v="9"/>
    <n v="68.5"/>
    <n v="153218"/>
    <n v="10613"/>
    <n v="0"/>
    <m/>
    <x v="16"/>
  </r>
  <r>
    <x v="135"/>
    <s v="rom_fact_balchoth"/>
    <n v="0"/>
    <x v="11"/>
    <n v="0"/>
    <n v="4872"/>
    <n v="1750"/>
    <n v="0"/>
    <m/>
    <x v="17"/>
  </r>
  <r>
    <x v="135"/>
    <s v="rom_fact_rhurim"/>
    <n v="640"/>
    <x v="19"/>
    <n v="304.5"/>
    <n v="321942"/>
    <n v="41591"/>
    <n v="3829"/>
    <m/>
    <x v="18"/>
  </r>
  <r>
    <x v="135"/>
    <s v="rom_fact_feredrim"/>
    <n v="0"/>
    <x v="11"/>
    <n v="0"/>
    <n v="7360"/>
    <n v="1750"/>
    <n v="0"/>
    <m/>
    <x v="19"/>
  </r>
  <r>
    <x v="135"/>
    <s v="rom_fact_wainriders"/>
    <n v="0"/>
    <x v="11"/>
    <n v="0"/>
    <n v="6395"/>
    <n v="1750"/>
    <n v="0"/>
    <m/>
    <x v="20"/>
  </r>
  <r>
    <x v="135"/>
    <s v="rom_fact_blacklock"/>
    <n v="6"/>
    <x v="9"/>
    <n v="64"/>
    <n v="21611"/>
    <n v="14591"/>
    <n v="965"/>
    <m/>
    <x v="21"/>
  </r>
  <r>
    <x v="135"/>
    <s v="rom_fact_ironfist"/>
    <n v="5"/>
    <x v="10"/>
    <n v="38.6"/>
    <n v="18902"/>
    <n v="10685"/>
    <n v="273"/>
    <m/>
    <x v="22"/>
  </r>
  <r>
    <x v="135"/>
    <s v="rom_fact_gundabad"/>
    <n v="245"/>
    <x v="11"/>
    <n v="0"/>
    <n v="9750"/>
    <n v="2500"/>
    <n v="0"/>
    <m/>
    <x v="23"/>
  </r>
  <r>
    <x v="135"/>
    <s v="rom_fact_rohan_scouts"/>
    <n v="0"/>
    <x v="11"/>
    <n v="3"/>
    <n v="157381"/>
    <n v="2354"/>
    <n v="0"/>
    <m/>
    <x v="24"/>
  </r>
  <r>
    <x v="135"/>
    <s v="rom_fact_northern_enedwaith"/>
    <n v="2"/>
    <x v="10"/>
    <n v="20.100000000000001"/>
    <n v="13725"/>
    <n v="3180"/>
    <n v="940"/>
    <m/>
    <x v="25"/>
  </r>
  <r>
    <x v="135"/>
    <s v="rom_fact_southern_enedwaith"/>
    <n v="0"/>
    <x v="11"/>
    <n v="0"/>
    <n v="54023"/>
    <n v="1750"/>
    <n v="0"/>
    <m/>
    <x v="26"/>
  </r>
  <r>
    <x v="135"/>
    <s v="rom_fact_druedain"/>
    <n v="0"/>
    <x v="11"/>
    <n v="0"/>
    <n v="32146"/>
    <n v="1750"/>
    <n v="0"/>
    <m/>
    <x v="27"/>
  </r>
  <r>
    <x v="135"/>
    <s v="rom_fact_harondor"/>
    <n v="0"/>
    <x v="11"/>
    <n v="0"/>
    <n v="15146"/>
    <n v="1750"/>
    <n v="0"/>
    <m/>
    <x v="28"/>
  </r>
  <r>
    <x v="135"/>
    <s v="rom_fact_southron_nomads"/>
    <n v="0"/>
    <x v="11"/>
    <n v="0"/>
    <n v="4000"/>
    <n v="1750"/>
    <n v="0"/>
    <m/>
    <x v="29"/>
  </r>
  <r>
    <x v="135"/>
    <s v="rom_fact_separatist_harad"/>
    <n v="0"/>
    <x v="11"/>
    <n v="0"/>
    <n v="4000"/>
    <n v="1750"/>
    <n v="0"/>
    <m/>
    <x v="30"/>
  </r>
  <r>
    <x v="135"/>
    <s v="rom_fact_separatist_khand"/>
    <n v="0"/>
    <x v="11"/>
    <n v="0"/>
    <n v="4000"/>
    <n v="1750"/>
    <n v="0"/>
    <m/>
    <x v="30"/>
  </r>
  <r>
    <x v="135"/>
    <s v="rom_fact_separatist_balchoth"/>
    <n v="0"/>
    <x v="11"/>
    <n v="0"/>
    <n v="4000"/>
    <n v="1750"/>
    <n v="0"/>
    <m/>
    <x v="30"/>
  </r>
  <r>
    <x v="135"/>
    <s v="rom_fact_separatist_feredrim"/>
    <n v="0"/>
    <x v="11"/>
    <n v="0"/>
    <n v="4000"/>
    <n v="1750"/>
    <n v="0"/>
    <m/>
    <x v="30"/>
  </r>
  <r>
    <x v="135"/>
    <s v="rom_fact_separatist_haerrim"/>
    <n v="0"/>
    <x v="11"/>
    <n v="0"/>
    <n v="4000"/>
    <n v="1750"/>
    <n v="0"/>
    <m/>
    <x v="30"/>
  </r>
  <r>
    <x v="135"/>
    <s v="rom_fact_separatist_wainriders"/>
    <n v="0"/>
    <x v="11"/>
    <n v="0"/>
    <n v="4000"/>
    <n v="1750"/>
    <n v="0"/>
    <m/>
    <x v="30"/>
  </r>
  <r>
    <x v="135"/>
    <s v="rom_fact_separatist_rhurim"/>
    <n v="0"/>
    <x v="11"/>
    <n v="0"/>
    <n v="4000"/>
    <n v="1750"/>
    <n v="0"/>
    <m/>
    <x v="30"/>
  </r>
  <r>
    <x v="135"/>
    <s v="rom_fact_separatist_mahuds"/>
    <n v="0"/>
    <x v="11"/>
    <n v="0"/>
    <n v="4000"/>
    <n v="1750"/>
    <n v="0"/>
    <m/>
    <x v="30"/>
  </r>
  <r>
    <x v="135"/>
    <s v="rom_fact_separatist_umbar"/>
    <n v="0"/>
    <x v="11"/>
    <n v="0"/>
    <n v="4000"/>
    <n v="1750"/>
    <n v="0"/>
    <m/>
    <x v="30"/>
  </r>
  <r>
    <x v="136"/>
    <s v="rom_fact_mordor"/>
    <n v="723"/>
    <x v="46"/>
    <n v="692.9"/>
    <n v="1600"/>
    <n v="99063"/>
    <n v="8905"/>
    <m/>
    <x v="0"/>
  </r>
  <r>
    <x v="136"/>
    <s v="rom_fact_gondor"/>
    <n v="146"/>
    <x v="11"/>
    <n v="0"/>
    <n v="55420"/>
    <n v="2500"/>
    <n v="0"/>
    <m/>
    <x v="1"/>
  </r>
  <r>
    <x v="136"/>
    <s v="rom_fact_dale"/>
    <n v="199"/>
    <x v="11"/>
    <n v="0"/>
    <n v="10343"/>
    <n v="2500"/>
    <n v="0"/>
    <m/>
    <x v="2"/>
  </r>
  <r>
    <x v="136"/>
    <s v="rom_fact_erebor"/>
    <n v="200"/>
    <x v="11"/>
    <n v="0"/>
    <n v="10040"/>
    <n v="2500"/>
    <n v="0"/>
    <m/>
    <x v="3"/>
  </r>
  <r>
    <x v="136"/>
    <s v="rom_fact_rohan"/>
    <n v="157"/>
    <x v="11"/>
    <n v="0"/>
    <n v="6638"/>
    <n v="2500"/>
    <n v="0"/>
    <m/>
    <x v="4"/>
  </r>
  <r>
    <x v="136"/>
    <s v="rom_fact_dol_guldur"/>
    <n v="535"/>
    <x v="32"/>
    <n v="441.4"/>
    <n v="372586"/>
    <n v="79257"/>
    <n v="5805"/>
    <m/>
    <x v="5"/>
  </r>
  <r>
    <x v="136"/>
    <s v="rom_fact_anduin_vale"/>
    <n v="58"/>
    <x v="11"/>
    <n v="0"/>
    <n v="4515"/>
    <n v="2500"/>
    <n v="0"/>
    <m/>
    <x v="6"/>
  </r>
  <r>
    <x v="136"/>
    <s v="rom_fact_isengard"/>
    <n v="329"/>
    <x v="3"/>
    <n v="100.7"/>
    <n v="45096"/>
    <n v="19110"/>
    <n v="473"/>
    <m/>
    <x v="7"/>
  </r>
  <r>
    <x v="136"/>
    <s v="rom_fact_woodland_realm"/>
    <n v="30"/>
    <x v="11"/>
    <n v="0"/>
    <n v="8475"/>
    <n v="2500"/>
    <n v="0"/>
    <m/>
    <x v="8"/>
  </r>
  <r>
    <x v="136"/>
    <s v="rom_fact_lothlorien"/>
    <n v="64"/>
    <x v="11"/>
    <n v="0"/>
    <n v="4721"/>
    <n v="2500"/>
    <n v="0"/>
    <m/>
    <x v="9"/>
  </r>
  <r>
    <x v="136"/>
    <s v="rom_fact_khand"/>
    <n v="0"/>
    <x v="11"/>
    <n v="0"/>
    <n v="4919"/>
    <n v="1750"/>
    <n v="0"/>
    <m/>
    <x v="10"/>
  </r>
  <r>
    <x v="136"/>
    <s v="rom_fact_umbar"/>
    <n v="20"/>
    <x v="4"/>
    <n v="214.2"/>
    <n v="381670"/>
    <n v="53213"/>
    <n v="5775"/>
    <m/>
    <x v="11"/>
  </r>
  <r>
    <x v="136"/>
    <s v="rom_fact_mahuds"/>
    <n v="0"/>
    <x v="11"/>
    <n v="0"/>
    <n v="9228"/>
    <n v="1750"/>
    <n v="0"/>
    <m/>
    <x v="12"/>
  </r>
  <r>
    <x v="136"/>
    <s v="rom_fact_harad"/>
    <n v="375"/>
    <x v="4"/>
    <n v="268.2"/>
    <n v="144046"/>
    <n v="42464"/>
    <n v="2985"/>
    <m/>
    <x v="13"/>
  </r>
  <r>
    <x v="136"/>
    <s v="rom_fact_dunland"/>
    <n v="318"/>
    <x v="2"/>
    <n v="250.39999999999901"/>
    <n v="286946"/>
    <n v="49252"/>
    <n v="465"/>
    <m/>
    <x v="14"/>
  </r>
  <r>
    <x v="136"/>
    <s v="rom_fact_haerrim"/>
    <n v="0"/>
    <x v="11"/>
    <n v="0"/>
    <n v="5352"/>
    <n v="1750"/>
    <n v="0"/>
    <m/>
    <x v="15"/>
  </r>
  <r>
    <x v="136"/>
    <s v="rom_fact_goblins"/>
    <n v="669"/>
    <x v="10"/>
    <n v="40.5"/>
    <n v="141673"/>
    <n v="6123"/>
    <n v="0"/>
    <m/>
    <x v="16"/>
  </r>
  <r>
    <x v="136"/>
    <s v="rom_fact_balchoth"/>
    <n v="0"/>
    <x v="11"/>
    <n v="0"/>
    <n v="4872"/>
    <n v="1750"/>
    <n v="0"/>
    <m/>
    <x v="17"/>
  </r>
  <r>
    <x v="136"/>
    <s v="rom_fact_rhurim"/>
    <n v="664"/>
    <x v="19"/>
    <n v="309.3"/>
    <n v="357404"/>
    <n v="49279"/>
    <n v="3966"/>
    <m/>
    <x v="18"/>
  </r>
  <r>
    <x v="136"/>
    <s v="rom_fact_feredrim"/>
    <n v="0"/>
    <x v="11"/>
    <n v="0"/>
    <n v="7360"/>
    <n v="1750"/>
    <n v="0"/>
    <m/>
    <x v="19"/>
  </r>
  <r>
    <x v="136"/>
    <s v="rom_fact_wainriders"/>
    <n v="0"/>
    <x v="11"/>
    <n v="0"/>
    <n v="6395"/>
    <n v="1750"/>
    <n v="0"/>
    <m/>
    <x v="20"/>
  </r>
  <r>
    <x v="136"/>
    <s v="rom_fact_blacklock"/>
    <n v="6"/>
    <x v="9"/>
    <n v="64"/>
    <n v="24375"/>
    <n v="15536"/>
    <n v="955"/>
    <m/>
    <x v="21"/>
  </r>
  <r>
    <x v="136"/>
    <s v="rom_fact_ironfist"/>
    <n v="5"/>
    <x v="10"/>
    <n v="42.6"/>
    <n v="18217"/>
    <n v="10855"/>
    <n v="276"/>
    <m/>
    <x v="22"/>
  </r>
  <r>
    <x v="136"/>
    <s v="rom_fact_gundabad"/>
    <n v="245"/>
    <x v="11"/>
    <n v="0"/>
    <n v="9750"/>
    <n v="2500"/>
    <n v="0"/>
    <m/>
    <x v="23"/>
  </r>
  <r>
    <x v="136"/>
    <s v="rom_fact_rohan_scouts"/>
    <n v="0"/>
    <x v="11"/>
    <n v="3"/>
    <n v="158527"/>
    <n v="2354"/>
    <n v="0"/>
    <m/>
    <x v="24"/>
  </r>
  <r>
    <x v="136"/>
    <s v="rom_fact_northern_enedwaith"/>
    <n v="2"/>
    <x v="10"/>
    <n v="16.100000000000001"/>
    <n v="15345"/>
    <n v="5158"/>
    <n v="945"/>
    <m/>
    <x v="25"/>
  </r>
  <r>
    <x v="136"/>
    <s v="rom_fact_southern_enedwaith"/>
    <n v="0"/>
    <x v="11"/>
    <n v="0"/>
    <n v="54023"/>
    <n v="1750"/>
    <n v="0"/>
    <m/>
    <x v="26"/>
  </r>
  <r>
    <x v="136"/>
    <s v="rom_fact_druedain"/>
    <n v="0"/>
    <x v="11"/>
    <n v="0"/>
    <n v="32146"/>
    <n v="1750"/>
    <n v="0"/>
    <m/>
    <x v="27"/>
  </r>
  <r>
    <x v="136"/>
    <s v="rom_fact_harondor"/>
    <n v="0"/>
    <x v="11"/>
    <n v="0"/>
    <n v="15146"/>
    <n v="1750"/>
    <n v="0"/>
    <m/>
    <x v="28"/>
  </r>
  <r>
    <x v="136"/>
    <s v="rom_fact_southron_nomads"/>
    <n v="0"/>
    <x v="11"/>
    <n v="0"/>
    <n v="4000"/>
    <n v="1750"/>
    <n v="0"/>
    <m/>
    <x v="29"/>
  </r>
  <r>
    <x v="136"/>
    <s v="rom_fact_separatist_harad"/>
    <n v="0"/>
    <x v="11"/>
    <n v="0"/>
    <n v="4000"/>
    <n v="1750"/>
    <n v="0"/>
    <m/>
    <x v="30"/>
  </r>
  <r>
    <x v="136"/>
    <s v="rom_fact_separatist_khand"/>
    <n v="0"/>
    <x v="11"/>
    <n v="0"/>
    <n v="4000"/>
    <n v="1750"/>
    <n v="0"/>
    <m/>
    <x v="30"/>
  </r>
  <r>
    <x v="136"/>
    <s v="rom_fact_separatist_balchoth"/>
    <n v="0"/>
    <x v="11"/>
    <n v="0"/>
    <n v="4000"/>
    <n v="1750"/>
    <n v="0"/>
    <m/>
    <x v="30"/>
  </r>
  <r>
    <x v="136"/>
    <s v="rom_fact_separatist_feredrim"/>
    <n v="0"/>
    <x v="11"/>
    <n v="0"/>
    <n v="4000"/>
    <n v="1750"/>
    <n v="0"/>
    <m/>
    <x v="30"/>
  </r>
  <r>
    <x v="136"/>
    <s v="rom_fact_separatist_haerrim"/>
    <n v="0"/>
    <x v="11"/>
    <n v="0"/>
    <n v="4000"/>
    <n v="1750"/>
    <n v="0"/>
    <m/>
    <x v="30"/>
  </r>
  <r>
    <x v="136"/>
    <s v="rom_fact_separatist_wainriders"/>
    <n v="0"/>
    <x v="11"/>
    <n v="0"/>
    <n v="4000"/>
    <n v="1750"/>
    <n v="0"/>
    <m/>
    <x v="30"/>
  </r>
  <r>
    <x v="136"/>
    <s v="rom_fact_separatist_rhurim"/>
    <n v="0"/>
    <x v="11"/>
    <n v="0"/>
    <n v="4000"/>
    <n v="1750"/>
    <n v="0"/>
    <m/>
    <x v="30"/>
  </r>
  <r>
    <x v="136"/>
    <s v="rom_fact_separatist_mahuds"/>
    <n v="0"/>
    <x v="11"/>
    <n v="0"/>
    <n v="4000"/>
    <n v="1750"/>
    <n v="0"/>
    <m/>
    <x v="30"/>
  </r>
  <r>
    <x v="136"/>
    <s v="rom_fact_separatist_umbar"/>
    <n v="0"/>
    <x v="11"/>
    <n v="0"/>
    <n v="4000"/>
    <n v="1750"/>
    <n v="0"/>
    <m/>
    <x v="30"/>
  </r>
  <r>
    <x v="137"/>
    <s v="rom_fact_mordor"/>
    <n v="723"/>
    <x v="46"/>
    <n v="693.6"/>
    <n v="22675"/>
    <n v="99907"/>
    <n v="9203"/>
    <m/>
    <x v="0"/>
  </r>
  <r>
    <x v="137"/>
    <s v="rom_fact_gondor"/>
    <n v="146"/>
    <x v="11"/>
    <n v="0"/>
    <n v="55420"/>
    <n v="2500"/>
    <n v="0"/>
    <m/>
    <x v="1"/>
  </r>
  <r>
    <x v="137"/>
    <s v="rom_fact_dale"/>
    <n v="199"/>
    <x v="11"/>
    <n v="0"/>
    <n v="10343"/>
    <n v="2500"/>
    <n v="0"/>
    <m/>
    <x v="2"/>
  </r>
  <r>
    <x v="137"/>
    <s v="rom_fact_erebor"/>
    <n v="200"/>
    <x v="11"/>
    <n v="0"/>
    <n v="10040"/>
    <n v="2500"/>
    <n v="0"/>
    <m/>
    <x v="3"/>
  </r>
  <r>
    <x v="137"/>
    <s v="rom_fact_rohan"/>
    <n v="157"/>
    <x v="11"/>
    <n v="0"/>
    <n v="6638"/>
    <n v="2500"/>
    <n v="0"/>
    <m/>
    <x v="4"/>
  </r>
  <r>
    <x v="137"/>
    <s v="rom_fact_dol_guldur"/>
    <n v="536"/>
    <x v="31"/>
    <n v="454.4"/>
    <n v="394782"/>
    <n v="77970"/>
    <n v="5797"/>
    <m/>
    <x v="5"/>
  </r>
  <r>
    <x v="137"/>
    <s v="rom_fact_anduin_vale"/>
    <n v="58"/>
    <x v="11"/>
    <n v="0"/>
    <n v="4515"/>
    <n v="2500"/>
    <n v="0"/>
    <m/>
    <x v="6"/>
  </r>
  <r>
    <x v="137"/>
    <s v="rom_fact_isengard"/>
    <n v="334"/>
    <x v="3"/>
    <n v="114.4"/>
    <n v="32125"/>
    <n v="20805"/>
    <n v="472"/>
    <m/>
    <x v="7"/>
  </r>
  <r>
    <x v="137"/>
    <s v="rom_fact_woodland_realm"/>
    <n v="30"/>
    <x v="11"/>
    <n v="0"/>
    <n v="8475"/>
    <n v="2500"/>
    <n v="0"/>
    <m/>
    <x v="8"/>
  </r>
  <r>
    <x v="137"/>
    <s v="rom_fact_lothlorien"/>
    <n v="64"/>
    <x v="11"/>
    <n v="0"/>
    <n v="4721"/>
    <n v="2500"/>
    <n v="0"/>
    <m/>
    <x v="9"/>
  </r>
  <r>
    <x v="137"/>
    <s v="rom_fact_khand"/>
    <n v="0"/>
    <x v="11"/>
    <n v="0"/>
    <n v="4919"/>
    <n v="1750"/>
    <n v="0"/>
    <m/>
    <x v="10"/>
  </r>
  <r>
    <x v="137"/>
    <s v="rom_fact_umbar"/>
    <n v="21"/>
    <x v="15"/>
    <n v="213.1"/>
    <n v="432223"/>
    <n v="52353"/>
    <n v="5836"/>
    <m/>
    <x v="11"/>
  </r>
  <r>
    <x v="137"/>
    <s v="rom_fact_mahuds"/>
    <n v="0"/>
    <x v="11"/>
    <n v="0"/>
    <n v="9228"/>
    <n v="1750"/>
    <n v="0"/>
    <m/>
    <x v="12"/>
  </r>
  <r>
    <x v="137"/>
    <s v="rom_fact_harad"/>
    <n v="383"/>
    <x v="4"/>
    <n v="272.39999999999998"/>
    <n v="155925"/>
    <n v="41797"/>
    <n v="2992"/>
    <m/>
    <x v="13"/>
  </r>
  <r>
    <x v="137"/>
    <s v="rom_fact_dunland"/>
    <n v="318"/>
    <x v="2"/>
    <n v="257.89999999999998"/>
    <n v="300574"/>
    <n v="49535"/>
    <n v="464"/>
    <m/>
    <x v="14"/>
  </r>
  <r>
    <x v="137"/>
    <s v="rom_fact_haerrim"/>
    <n v="0"/>
    <x v="11"/>
    <n v="0"/>
    <n v="5352"/>
    <n v="1750"/>
    <n v="0"/>
    <m/>
    <x v="15"/>
  </r>
  <r>
    <x v="137"/>
    <s v="rom_fact_goblins"/>
    <n v="668"/>
    <x v="7"/>
    <n v="31.9"/>
    <n v="118745"/>
    <n v="5238"/>
    <n v="0"/>
    <m/>
    <x v="16"/>
  </r>
  <r>
    <x v="137"/>
    <s v="rom_fact_balchoth"/>
    <n v="0"/>
    <x v="11"/>
    <n v="0"/>
    <n v="4872"/>
    <n v="1750"/>
    <n v="0"/>
    <m/>
    <x v="17"/>
  </r>
  <r>
    <x v="137"/>
    <s v="rom_fact_rhurim"/>
    <n v="663"/>
    <x v="29"/>
    <n v="303.89999999999998"/>
    <n v="407402"/>
    <n v="38663"/>
    <n v="0"/>
    <m/>
    <x v="18"/>
  </r>
  <r>
    <x v="137"/>
    <s v="rom_fact_feredrim"/>
    <n v="0"/>
    <x v="11"/>
    <n v="0"/>
    <n v="7360"/>
    <n v="1750"/>
    <n v="0"/>
    <m/>
    <x v="19"/>
  </r>
  <r>
    <x v="137"/>
    <s v="rom_fact_wainriders"/>
    <n v="0"/>
    <x v="11"/>
    <n v="0"/>
    <n v="6395"/>
    <n v="1750"/>
    <n v="0"/>
    <m/>
    <x v="20"/>
  </r>
  <r>
    <x v="137"/>
    <s v="rom_fact_blacklock"/>
    <n v="6"/>
    <x v="9"/>
    <n v="65"/>
    <n v="24403"/>
    <n v="16168"/>
    <n v="1011"/>
    <m/>
    <x v="21"/>
  </r>
  <r>
    <x v="137"/>
    <s v="rom_fact_ironfist"/>
    <n v="5"/>
    <x v="10"/>
    <n v="42.6"/>
    <n v="16695"/>
    <n v="12293"/>
    <n v="279"/>
    <m/>
    <x v="22"/>
  </r>
  <r>
    <x v="137"/>
    <s v="rom_fact_gundabad"/>
    <n v="245"/>
    <x v="11"/>
    <n v="0"/>
    <n v="9750"/>
    <n v="2500"/>
    <n v="0"/>
    <m/>
    <x v="23"/>
  </r>
  <r>
    <x v="137"/>
    <s v="rom_fact_rohan_scouts"/>
    <n v="0"/>
    <x v="11"/>
    <n v="3"/>
    <n v="159673"/>
    <n v="2354"/>
    <n v="0"/>
    <m/>
    <x v="24"/>
  </r>
  <r>
    <x v="137"/>
    <s v="rom_fact_northern_enedwaith"/>
    <n v="2"/>
    <x v="10"/>
    <n v="9.1"/>
    <n v="14978"/>
    <n v="4938"/>
    <n v="949"/>
    <m/>
    <x v="25"/>
  </r>
  <r>
    <x v="137"/>
    <s v="rom_fact_southern_enedwaith"/>
    <n v="0"/>
    <x v="11"/>
    <n v="0"/>
    <n v="54023"/>
    <n v="1750"/>
    <n v="0"/>
    <m/>
    <x v="26"/>
  </r>
  <r>
    <x v="137"/>
    <s v="rom_fact_druedain"/>
    <n v="0"/>
    <x v="11"/>
    <n v="0"/>
    <n v="32146"/>
    <n v="1750"/>
    <n v="0"/>
    <m/>
    <x v="27"/>
  </r>
  <r>
    <x v="137"/>
    <s v="rom_fact_harondor"/>
    <n v="0"/>
    <x v="11"/>
    <n v="0"/>
    <n v="15146"/>
    <n v="1750"/>
    <n v="0"/>
    <m/>
    <x v="28"/>
  </r>
  <r>
    <x v="137"/>
    <s v="rom_fact_southron_nomads"/>
    <n v="0"/>
    <x v="11"/>
    <n v="0"/>
    <n v="4000"/>
    <n v="1750"/>
    <n v="0"/>
    <m/>
    <x v="29"/>
  </r>
  <r>
    <x v="137"/>
    <s v="rom_fact_separatist_harad"/>
    <n v="0"/>
    <x v="11"/>
    <n v="0"/>
    <n v="4000"/>
    <n v="1750"/>
    <n v="0"/>
    <m/>
    <x v="30"/>
  </r>
  <r>
    <x v="137"/>
    <s v="rom_fact_separatist_khand"/>
    <n v="0"/>
    <x v="11"/>
    <n v="0"/>
    <n v="4000"/>
    <n v="1750"/>
    <n v="0"/>
    <m/>
    <x v="30"/>
  </r>
  <r>
    <x v="137"/>
    <s v="rom_fact_separatist_balchoth"/>
    <n v="0"/>
    <x v="11"/>
    <n v="0"/>
    <n v="4000"/>
    <n v="1750"/>
    <n v="0"/>
    <m/>
    <x v="30"/>
  </r>
  <r>
    <x v="137"/>
    <s v="rom_fact_separatist_feredrim"/>
    <n v="0"/>
    <x v="11"/>
    <n v="0"/>
    <n v="4000"/>
    <n v="1750"/>
    <n v="0"/>
    <m/>
    <x v="30"/>
  </r>
  <r>
    <x v="137"/>
    <s v="rom_fact_separatist_haerrim"/>
    <n v="0"/>
    <x v="11"/>
    <n v="0"/>
    <n v="4000"/>
    <n v="1750"/>
    <n v="0"/>
    <m/>
    <x v="30"/>
  </r>
  <r>
    <x v="137"/>
    <s v="rom_fact_separatist_wainriders"/>
    <n v="0"/>
    <x v="11"/>
    <n v="0"/>
    <n v="4000"/>
    <n v="1750"/>
    <n v="0"/>
    <m/>
    <x v="30"/>
  </r>
  <r>
    <x v="137"/>
    <s v="rom_fact_separatist_rhurim"/>
    <n v="0"/>
    <x v="11"/>
    <n v="0"/>
    <n v="4000"/>
    <n v="1750"/>
    <n v="0"/>
    <m/>
    <x v="30"/>
  </r>
  <r>
    <x v="137"/>
    <s v="rom_fact_separatist_mahuds"/>
    <n v="0"/>
    <x v="11"/>
    <n v="0"/>
    <n v="4000"/>
    <n v="1750"/>
    <n v="0"/>
    <m/>
    <x v="30"/>
  </r>
  <r>
    <x v="137"/>
    <s v="rom_fact_separatist_umbar"/>
    <n v="0"/>
    <x v="11"/>
    <n v="0"/>
    <n v="4000"/>
    <n v="1750"/>
    <n v="0"/>
    <m/>
    <x v="30"/>
  </r>
  <r>
    <x v="138"/>
    <s v="rom_fact_mordor"/>
    <n v="740"/>
    <x v="47"/>
    <n v="744.6"/>
    <n v="2407"/>
    <n v="112803"/>
    <n v="9627"/>
    <m/>
    <x v="0"/>
  </r>
  <r>
    <x v="138"/>
    <s v="rom_fact_gondor"/>
    <n v="146"/>
    <x v="11"/>
    <n v="0"/>
    <n v="55420"/>
    <n v="2500"/>
    <n v="0"/>
    <m/>
    <x v="1"/>
  </r>
  <r>
    <x v="138"/>
    <s v="rom_fact_dale"/>
    <n v="199"/>
    <x v="11"/>
    <n v="0"/>
    <n v="10343"/>
    <n v="2500"/>
    <n v="0"/>
    <m/>
    <x v="2"/>
  </r>
  <r>
    <x v="138"/>
    <s v="rom_fact_erebor"/>
    <n v="200"/>
    <x v="11"/>
    <n v="0"/>
    <n v="10040"/>
    <n v="2500"/>
    <n v="0"/>
    <m/>
    <x v="3"/>
  </r>
  <r>
    <x v="138"/>
    <s v="rom_fact_rohan"/>
    <n v="157"/>
    <x v="11"/>
    <n v="0"/>
    <n v="6638"/>
    <n v="2500"/>
    <n v="0"/>
    <m/>
    <x v="4"/>
  </r>
  <r>
    <x v="138"/>
    <s v="rom_fact_dol_guldur"/>
    <n v="538"/>
    <x v="21"/>
    <n v="432.4"/>
    <n v="420680"/>
    <n v="77888"/>
    <n v="5437"/>
    <m/>
    <x v="5"/>
  </r>
  <r>
    <x v="138"/>
    <s v="rom_fact_anduin_vale"/>
    <n v="58"/>
    <x v="11"/>
    <n v="0"/>
    <n v="4515"/>
    <n v="2500"/>
    <n v="0"/>
    <m/>
    <x v="6"/>
  </r>
  <r>
    <x v="138"/>
    <s v="rom_fact_isengard"/>
    <n v="329"/>
    <x v="11"/>
    <n v="63.2"/>
    <n v="29670"/>
    <n v="10687"/>
    <n v="0"/>
    <m/>
    <x v="7"/>
  </r>
  <r>
    <x v="138"/>
    <s v="rom_fact_woodland_realm"/>
    <n v="30"/>
    <x v="11"/>
    <n v="0"/>
    <n v="8475"/>
    <n v="2500"/>
    <n v="0"/>
    <m/>
    <x v="8"/>
  </r>
  <r>
    <x v="138"/>
    <s v="rom_fact_lothlorien"/>
    <n v="64"/>
    <x v="11"/>
    <n v="0"/>
    <n v="4721"/>
    <n v="2500"/>
    <n v="0"/>
    <m/>
    <x v="9"/>
  </r>
  <r>
    <x v="138"/>
    <s v="rom_fact_khand"/>
    <n v="0"/>
    <x v="11"/>
    <n v="0"/>
    <n v="4919"/>
    <n v="1750"/>
    <n v="0"/>
    <m/>
    <x v="10"/>
  </r>
  <r>
    <x v="138"/>
    <s v="rom_fact_umbar"/>
    <n v="21"/>
    <x v="15"/>
    <n v="212.39999999999901"/>
    <n v="477870"/>
    <n v="51362"/>
    <n v="5783"/>
    <m/>
    <x v="11"/>
  </r>
  <r>
    <x v="138"/>
    <s v="rom_fact_mahuds"/>
    <n v="0"/>
    <x v="11"/>
    <n v="0"/>
    <n v="9228"/>
    <n v="1750"/>
    <n v="0"/>
    <m/>
    <x v="12"/>
  </r>
  <r>
    <x v="138"/>
    <s v="rom_fact_harad"/>
    <n v="385"/>
    <x v="15"/>
    <n v="256.39999999999998"/>
    <n v="281774"/>
    <n v="37593"/>
    <n v="2752"/>
    <m/>
    <x v="13"/>
  </r>
  <r>
    <x v="138"/>
    <s v="rom_fact_dunland"/>
    <n v="324"/>
    <x v="16"/>
    <n v="234"/>
    <n v="303155"/>
    <n v="46236"/>
    <n v="0"/>
    <m/>
    <x v="14"/>
  </r>
  <r>
    <x v="138"/>
    <s v="rom_fact_haerrim"/>
    <n v="0"/>
    <x v="11"/>
    <n v="0"/>
    <n v="5352"/>
    <n v="1750"/>
    <n v="0"/>
    <m/>
    <x v="15"/>
  </r>
  <r>
    <x v="138"/>
    <s v="rom_fact_goblins"/>
    <n v="666"/>
    <x v="11"/>
    <n v="0"/>
    <n v="128480"/>
    <n v="2500"/>
    <n v="0"/>
    <m/>
    <x v="16"/>
  </r>
  <r>
    <x v="138"/>
    <s v="rom_fact_balchoth"/>
    <n v="0"/>
    <x v="11"/>
    <n v="0"/>
    <n v="4872"/>
    <n v="1750"/>
    <n v="0"/>
    <m/>
    <x v="17"/>
  </r>
  <r>
    <x v="138"/>
    <s v="rom_fact_rhurim"/>
    <n v="666"/>
    <x v="28"/>
    <n v="291"/>
    <n v="454052"/>
    <n v="39745"/>
    <n v="0"/>
    <m/>
    <x v="18"/>
  </r>
  <r>
    <x v="138"/>
    <s v="rom_fact_feredrim"/>
    <n v="0"/>
    <x v="11"/>
    <n v="0"/>
    <n v="7360"/>
    <n v="1750"/>
    <n v="0"/>
    <m/>
    <x v="19"/>
  </r>
  <r>
    <x v="138"/>
    <s v="rom_fact_wainriders"/>
    <n v="0"/>
    <x v="11"/>
    <n v="0"/>
    <n v="6395"/>
    <n v="1750"/>
    <n v="0"/>
    <m/>
    <x v="20"/>
  </r>
  <r>
    <x v="138"/>
    <s v="rom_fact_blacklock"/>
    <n v="6"/>
    <x v="9"/>
    <n v="64"/>
    <n v="23750"/>
    <n v="17429"/>
    <n v="1007"/>
    <m/>
    <x v="21"/>
  </r>
  <r>
    <x v="138"/>
    <s v="rom_fact_ironfist"/>
    <n v="5"/>
    <x v="10"/>
    <n v="45.6"/>
    <n v="22093"/>
    <n v="12383"/>
    <n v="282"/>
    <m/>
    <x v="22"/>
  </r>
  <r>
    <x v="138"/>
    <s v="rom_fact_gundabad"/>
    <n v="245"/>
    <x v="11"/>
    <n v="0"/>
    <n v="9750"/>
    <n v="2500"/>
    <n v="0"/>
    <m/>
    <x v="23"/>
  </r>
  <r>
    <x v="138"/>
    <s v="rom_fact_rohan_scouts"/>
    <n v="0"/>
    <x v="11"/>
    <n v="3"/>
    <n v="160819"/>
    <n v="2354"/>
    <n v="0"/>
    <m/>
    <x v="24"/>
  </r>
  <r>
    <x v="138"/>
    <s v="rom_fact_northern_enedwaith"/>
    <n v="1"/>
    <x v="7"/>
    <n v="8"/>
    <n v="24059"/>
    <n v="3843"/>
    <n v="976"/>
    <m/>
    <x v="25"/>
  </r>
  <r>
    <x v="138"/>
    <s v="rom_fact_southern_enedwaith"/>
    <n v="0"/>
    <x v="11"/>
    <n v="0"/>
    <n v="54023"/>
    <n v="1750"/>
    <n v="0"/>
    <m/>
    <x v="26"/>
  </r>
  <r>
    <x v="138"/>
    <s v="rom_fact_druedain"/>
    <n v="0"/>
    <x v="11"/>
    <n v="0"/>
    <n v="32146"/>
    <n v="1750"/>
    <n v="0"/>
    <m/>
    <x v="27"/>
  </r>
  <r>
    <x v="138"/>
    <s v="rom_fact_harondor"/>
    <n v="0"/>
    <x v="11"/>
    <n v="0"/>
    <n v="15146"/>
    <n v="1750"/>
    <n v="0"/>
    <m/>
    <x v="28"/>
  </r>
  <r>
    <x v="138"/>
    <s v="rom_fact_southron_nomads"/>
    <n v="0"/>
    <x v="11"/>
    <n v="0"/>
    <n v="4000"/>
    <n v="1750"/>
    <n v="0"/>
    <m/>
    <x v="29"/>
  </r>
  <r>
    <x v="138"/>
    <s v="rom_fact_separatist_harad"/>
    <n v="0"/>
    <x v="11"/>
    <n v="0"/>
    <n v="4000"/>
    <n v="1750"/>
    <n v="0"/>
    <m/>
    <x v="30"/>
  </r>
  <r>
    <x v="138"/>
    <s v="rom_fact_separatist_khand"/>
    <n v="0"/>
    <x v="11"/>
    <n v="0"/>
    <n v="4000"/>
    <n v="1750"/>
    <n v="0"/>
    <m/>
    <x v="30"/>
  </r>
  <r>
    <x v="138"/>
    <s v="rom_fact_separatist_balchoth"/>
    <n v="0"/>
    <x v="11"/>
    <n v="0"/>
    <n v="4000"/>
    <n v="1750"/>
    <n v="0"/>
    <m/>
    <x v="30"/>
  </r>
  <r>
    <x v="138"/>
    <s v="rom_fact_separatist_feredrim"/>
    <n v="0"/>
    <x v="11"/>
    <n v="0"/>
    <n v="4000"/>
    <n v="1750"/>
    <n v="0"/>
    <m/>
    <x v="30"/>
  </r>
  <r>
    <x v="138"/>
    <s v="rom_fact_separatist_haerrim"/>
    <n v="0"/>
    <x v="11"/>
    <n v="0"/>
    <n v="4000"/>
    <n v="1750"/>
    <n v="0"/>
    <m/>
    <x v="30"/>
  </r>
  <r>
    <x v="138"/>
    <s v="rom_fact_separatist_wainriders"/>
    <n v="0"/>
    <x v="11"/>
    <n v="0"/>
    <n v="4000"/>
    <n v="1750"/>
    <n v="0"/>
    <m/>
    <x v="30"/>
  </r>
  <r>
    <x v="138"/>
    <s v="rom_fact_separatist_rhurim"/>
    <n v="0"/>
    <x v="11"/>
    <n v="0"/>
    <n v="4000"/>
    <n v="1750"/>
    <n v="0"/>
    <m/>
    <x v="30"/>
  </r>
  <r>
    <x v="138"/>
    <s v="rom_fact_separatist_mahuds"/>
    <n v="0"/>
    <x v="11"/>
    <n v="0"/>
    <n v="4000"/>
    <n v="1750"/>
    <n v="0"/>
    <m/>
    <x v="30"/>
  </r>
  <r>
    <x v="138"/>
    <s v="rom_fact_separatist_umbar"/>
    <n v="0"/>
    <x v="11"/>
    <n v="0"/>
    <n v="4000"/>
    <n v="1750"/>
    <n v="0"/>
    <m/>
    <x v="30"/>
  </r>
  <r>
    <x v="139"/>
    <s v="rom_fact_mordor"/>
    <n v="740"/>
    <x v="47"/>
    <n v="742.7"/>
    <n v="19335"/>
    <n v="113845"/>
    <n v="9888"/>
    <m/>
    <x v="0"/>
  </r>
  <r>
    <x v="139"/>
    <s v="rom_fact_gondor"/>
    <n v="146"/>
    <x v="11"/>
    <n v="0"/>
    <n v="55420"/>
    <n v="2500"/>
    <n v="0"/>
    <m/>
    <x v="1"/>
  </r>
  <r>
    <x v="139"/>
    <s v="rom_fact_dale"/>
    <n v="199"/>
    <x v="11"/>
    <n v="0"/>
    <n v="10343"/>
    <n v="2500"/>
    <n v="0"/>
    <m/>
    <x v="2"/>
  </r>
  <r>
    <x v="139"/>
    <s v="rom_fact_erebor"/>
    <n v="200"/>
    <x v="11"/>
    <n v="0"/>
    <n v="10040"/>
    <n v="2500"/>
    <n v="0"/>
    <m/>
    <x v="3"/>
  </r>
  <r>
    <x v="139"/>
    <s v="rom_fact_rohan"/>
    <n v="157"/>
    <x v="11"/>
    <n v="0"/>
    <n v="6638"/>
    <n v="2500"/>
    <n v="0"/>
    <m/>
    <x v="4"/>
  </r>
  <r>
    <x v="139"/>
    <s v="rom_fact_dol_guldur"/>
    <n v="538"/>
    <x v="21"/>
    <n v="436.4"/>
    <n v="439954"/>
    <n v="72143"/>
    <n v="5621"/>
    <m/>
    <x v="5"/>
  </r>
  <r>
    <x v="139"/>
    <s v="rom_fact_anduin_vale"/>
    <n v="58"/>
    <x v="11"/>
    <n v="0"/>
    <n v="4515"/>
    <n v="2500"/>
    <n v="0"/>
    <m/>
    <x v="6"/>
  </r>
  <r>
    <x v="139"/>
    <s v="rom_fact_isengard"/>
    <n v="329"/>
    <x v="11"/>
    <n v="48.3"/>
    <n v="26939"/>
    <n v="7279"/>
    <n v="0"/>
    <m/>
    <x v="7"/>
  </r>
  <r>
    <x v="139"/>
    <s v="rom_fact_woodland_realm"/>
    <n v="30"/>
    <x v="11"/>
    <n v="0"/>
    <n v="8475"/>
    <n v="2500"/>
    <n v="0"/>
    <m/>
    <x v="8"/>
  </r>
  <r>
    <x v="139"/>
    <s v="rom_fact_lothlorien"/>
    <n v="64"/>
    <x v="11"/>
    <n v="0"/>
    <n v="4721"/>
    <n v="2500"/>
    <n v="0"/>
    <m/>
    <x v="9"/>
  </r>
  <r>
    <x v="139"/>
    <s v="rom_fact_khand"/>
    <n v="0"/>
    <x v="11"/>
    <n v="0"/>
    <n v="4919"/>
    <n v="1750"/>
    <n v="0"/>
    <m/>
    <x v="10"/>
  </r>
  <r>
    <x v="139"/>
    <s v="rom_fact_umbar"/>
    <n v="21"/>
    <x v="15"/>
    <n v="221.89999999999901"/>
    <n v="502795"/>
    <n v="56756"/>
    <n v="5833"/>
    <m/>
    <x v="11"/>
  </r>
  <r>
    <x v="139"/>
    <s v="rom_fact_mahuds"/>
    <n v="0"/>
    <x v="11"/>
    <n v="0"/>
    <n v="9228"/>
    <n v="1750"/>
    <n v="0"/>
    <m/>
    <x v="12"/>
  </r>
  <r>
    <x v="139"/>
    <s v="rom_fact_harad"/>
    <n v="390"/>
    <x v="15"/>
    <n v="258.39999999999998"/>
    <n v="238987"/>
    <n v="45020"/>
    <n v="3418"/>
    <m/>
    <x v="13"/>
  </r>
  <r>
    <x v="139"/>
    <s v="rom_fact_dunland"/>
    <n v="348"/>
    <x v="16"/>
    <n v="245.7"/>
    <n v="316767"/>
    <n v="48545"/>
    <n v="1"/>
    <m/>
    <x v="14"/>
  </r>
  <r>
    <x v="139"/>
    <s v="rom_fact_haerrim"/>
    <n v="0"/>
    <x v="11"/>
    <n v="0"/>
    <n v="5352"/>
    <n v="1750"/>
    <n v="0"/>
    <m/>
    <x v="15"/>
  </r>
  <r>
    <x v="139"/>
    <s v="rom_fact_goblins"/>
    <n v="666"/>
    <x v="11"/>
    <n v="0"/>
    <n v="128480"/>
    <n v="2500"/>
    <n v="0"/>
    <m/>
    <x v="16"/>
  </r>
  <r>
    <x v="139"/>
    <s v="rom_fact_balchoth"/>
    <n v="0"/>
    <x v="11"/>
    <n v="0"/>
    <n v="4872"/>
    <n v="1750"/>
    <n v="0"/>
    <m/>
    <x v="17"/>
  </r>
  <r>
    <x v="139"/>
    <s v="rom_fact_rhurim"/>
    <n v="666"/>
    <x v="28"/>
    <n v="298.7"/>
    <n v="456185"/>
    <n v="41633"/>
    <n v="0"/>
    <m/>
    <x v="18"/>
  </r>
  <r>
    <x v="139"/>
    <s v="rom_fact_feredrim"/>
    <n v="0"/>
    <x v="11"/>
    <n v="0"/>
    <n v="7360"/>
    <n v="1750"/>
    <n v="0"/>
    <m/>
    <x v="19"/>
  </r>
  <r>
    <x v="139"/>
    <s v="rom_fact_wainriders"/>
    <n v="0"/>
    <x v="11"/>
    <n v="0"/>
    <n v="6395"/>
    <n v="1750"/>
    <n v="0"/>
    <m/>
    <x v="20"/>
  </r>
  <r>
    <x v="139"/>
    <s v="rom_fact_blacklock"/>
    <n v="6"/>
    <x v="9"/>
    <n v="65"/>
    <n v="27619"/>
    <n v="17878"/>
    <n v="1031"/>
    <m/>
    <x v="21"/>
  </r>
  <r>
    <x v="139"/>
    <s v="rom_fact_ironfist"/>
    <n v="5"/>
    <x v="10"/>
    <n v="48.6"/>
    <n v="14243"/>
    <n v="13505"/>
    <n v="880"/>
    <m/>
    <x v="22"/>
  </r>
  <r>
    <x v="139"/>
    <s v="rom_fact_gundabad"/>
    <n v="245"/>
    <x v="11"/>
    <n v="0"/>
    <n v="9750"/>
    <n v="2500"/>
    <n v="0"/>
    <m/>
    <x v="23"/>
  </r>
  <r>
    <x v="139"/>
    <s v="rom_fact_rohan_scouts"/>
    <n v="0"/>
    <x v="11"/>
    <n v="3"/>
    <n v="161965"/>
    <n v="2354"/>
    <n v="0"/>
    <m/>
    <x v="24"/>
  </r>
  <r>
    <x v="139"/>
    <s v="rom_fact_northern_enedwaith"/>
    <n v="0"/>
    <x v="11"/>
    <n v="0"/>
    <n v="23466"/>
    <n v="1946"/>
    <n v="0"/>
    <m/>
    <x v="25"/>
  </r>
  <r>
    <x v="139"/>
    <s v="rom_fact_southern_enedwaith"/>
    <n v="0"/>
    <x v="11"/>
    <n v="0"/>
    <n v="54023"/>
    <n v="1750"/>
    <n v="0"/>
    <m/>
    <x v="26"/>
  </r>
  <r>
    <x v="139"/>
    <s v="rom_fact_druedain"/>
    <n v="0"/>
    <x v="11"/>
    <n v="0"/>
    <n v="32146"/>
    <n v="1750"/>
    <n v="0"/>
    <m/>
    <x v="27"/>
  </r>
  <r>
    <x v="139"/>
    <s v="rom_fact_harondor"/>
    <n v="0"/>
    <x v="11"/>
    <n v="0"/>
    <n v="15146"/>
    <n v="1750"/>
    <n v="0"/>
    <m/>
    <x v="28"/>
  </r>
  <r>
    <x v="139"/>
    <s v="rom_fact_southron_nomads"/>
    <n v="0"/>
    <x v="11"/>
    <n v="0"/>
    <n v="4000"/>
    <n v="1750"/>
    <n v="0"/>
    <m/>
    <x v="29"/>
  </r>
  <r>
    <x v="139"/>
    <s v="rom_fact_separatist_harad"/>
    <n v="0"/>
    <x v="11"/>
    <n v="0"/>
    <n v="4000"/>
    <n v="1750"/>
    <n v="0"/>
    <m/>
    <x v="30"/>
  </r>
  <r>
    <x v="139"/>
    <s v="rom_fact_separatist_khand"/>
    <n v="0"/>
    <x v="11"/>
    <n v="0"/>
    <n v="4000"/>
    <n v="1750"/>
    <n v="0"/>
    <m/>
    <x v="30"/>
  </r>
  <r>
    <x v="139"/>
    <s v="rom_fact_separatist_balchoth"/>
    <n v="0"/>
    <x v="11"/>
    <n v="0"/>
    <n v="4000"/>
    <n v="1750"/>
    <n v="0"/>
    <m/>
    <x v="30"/>
  </r>
  <r>
    <x v="139"/>
    <s v="rom_fact_separatist_feredrim"/>
    <n v="0"/>
    <x v="11"/>
    <n v="0"/>
    <n v="4000"/>
    <n v="1750"/>
    <n v="0"/>
    <m/>
    <x v="30"/>
  </r>
  <r>
    <x v="139"/>
    <s v="rom_fact_separatist_haerrim"/>
    <n v="0"/>
    <x v="11"/>
    <n v="0"/>
    <n v="4000"/>
    <n v="1750"/>
    <n v="0"/>
    <m/>
    <x v="30"/>
  </r>
  <r>
    <x v="139"/>
    <s v="rom_fact_separatist_wainriders"/>
    <n v="0"/>
    <x v="11"/>
    <n v="0"/>
    <n v="4000"/>
    <n v="1750"/>
    <n v="0"/>
    <m/>
    <x v="30"/>
  </r>
  <r>
    <x v="139"/>
    <s v="rom_fact_separatist_rhurim"/>
    <n v="0"/>
    <x v="11"/>
    <n v="0"/>
    <n v="4000"/>
    <n v="1750"/>
    <n v="0"/>
    <m/>
    <x v="30"/>
  </r>
  <r>
    <x v="139"/>
    <s v="rom_fact_separatist_mahuds"/>
    <n v="0"/>
    <x v="11"/>
    <n v="0"/>
    <n v="4000"/>
    <n v="1750"/>
    <n v="0"/>
    <m/>
    <x v="30"/>
  </r>
  <r>
    <x v="139"/>
    <s v="rom_fact_separatist_umbar"/>
    <n v="0"/>
    <x v="11"/>
    <n v="0"/>
    <n v="4000"/>
    <n v="1750"/>
    <n v="0"/>
    <m/>
    <x v="30"/>
  </r>
  <r>
    <x v="140"/>
    <s v="rom_fact_mordor"/>
    <n v="756"/>
    <x v="47"/>
    <n v="758.6"/>
    <n v="20644"/>
    <n v="114154"/>
    <n v="10139"/>
    <m/>
    <x v="0"/>
  </r>
  <r>
    <x v="140"/>
    <s v="rom_fact_gondor"/>
    <n v="146"/>
    <x v="11"/>
    <n v="0"/>
    <n v="55420"/>
    <n v="2500"/>
    <n v="0"/>
    <m/>
    <x v="1"/>
  </r>
  <r>
    <x v="140"/>
    <s v="rom_fact_dale"/>
    <n v="199"/>
    <x v="11"/>
    <n v="0"/>
    <n v="10343"/>
    <n v="2500"/>
    <n v="0"/>
    <m/>
    <x v="2"/>
  </r>
  <r>
    <x v="140"/>
    <s v="rom_fact_erebor"/>
    <n v="200"/>
    <x v="11"/>
    <n v="0"/>
    <n v="10040"/>
    <n v="2500"/>
    <n v="0"/>
    <m/>
    <x v="3"/>
  </r>
  <r>
    <x v="140"/>
    <s v="rom_fact_rohan"/>
    <n v="157"/>
    <x v="11"/>
    <n v="0"/>
    <n v="6638"/>
    <n v="2500"/>
    <n v="0"/>
    <m/>
    <x v="4"/>
  </r>
  <r>
    <x v="140"/>
    <s v="rom_fact_dol_guldur"/>
    <n v="538"/>
    <x v="21"/>
    <n v="436.4"/>
    <n v="454983"/>
    <n v="73608"/>
    <n v="5792"/>
    <m/>
    <x v="5"/>
  </r>
  <r>
    <x v="140"/>
    <s v="rom_fact_anduin_vale"/>
    <n v="58"/>
    <x v="11"/>
    <n v="0"/>
    <n v="4515"/>
    <n v="2500"/>
    <n v="0"/>
    <m/>
    <x v="6"/>
  </r>
  <r>
    <x v="140"/>
    <s v="rom_fact_isengard"/>
    <n v="329"/>
    <x v="11"/>
    <n v="0"/>
    <n v="23007"/>
    <n v="2500"/>
    <n v="0"/>
    <m/>
    <x v="7"/>
  </r>
  <r>
    <x v="140"/>
    <s v="rom_fact_woodland_realm"/>
    <n v="30"/>
    <x v="11"/>
    <n v="0"/>
    <n v="8475"/>
    <n v="2500"/>
    <n v="0"/>
    <m/>
    <x v="8"/>
  </r>
  <r>
    <x v="140"/>
    <s v="rom_fact_lothlorien"/>
    <n v="64"/>
    <x v="11"/>
    <n v="0"/>
    <n v="4721"/>
    <n v="2500"/>
    <n v="0"/>
    <m/>
    <x v="9"/>
  </r>
  <r>
    <x v="140"/>
    <s v="rom_fact_khand"/>
    <n v="0"/>
    <x v="11"/>
    <n v="0"/>
    <n v="4919"/>
    <n v="1750"/>
    <n v="0"/>
    <m/>
    <x v="10"/>
  </r>
  <r>
    <x v="140"/>
    <s v="rom_fact_umbar"/>
    <n v="21"/>
    <x v="15"/>
    <n v="225.1"/>
    <n v="522305"/>
    <n v="57352"/>
    <n v="5848"/>
    <m/>
    <x v="11"/>
  </r>
  <r>
    <x v="140"/>
    <s v="rom_fact_mahuds"/>
    <n v="0"/>
    <x v="11"/>
    <n v="0"/>
    <n v="9228"/>
    <n v="1750"/>
    <n v="0"/>
    <m/>
    <x v="12"/>
  </r>
  <r>
    <x v="140"/>
    <s v="rom_fact_harad"/>
    <n v="392"/>
    <x v="14"/>
    <n v="265.8"/>
    <n v="250163"/>
    <n v="45230"/>
    <n v="3433"/>
    <m/>
    <x v="13"/>
  </r>
  <r>
    <x v="140"/>
    <s v="rom_fact_dunland"/>
    <n v="360"/>
    <x v="16"/>
    <n v="252.5"/>
    <n v="331958"/>
    <n v="48619"/>
    <n v="1"/>
    <m/>
    <x v="14"/>
  </r>
  <r>
    <x v="140"/>
    <s v="rom_fact_haerrim"/>
    <n v="0"/>
    <x v="11"/>
    <n v="0"/>
    <n v="5352"/>
    <n v="1750"/>
    <n v="0"/>
    <m/>
    <x v="15"/>
  </r>
  <r>
    <x v="140"/>
    <s v="rom_fact_goblins"/>
    <n v="666"/>
    <x v="11"/>
    <n v="0"/>
    <n v="128480"/>
    <n v="2500"/>
    <n v="0"/>
    <m/>
    <x v="16"/>
  </r>
  <r>
    <x v="140"/>
    <s v="rom_fact_balchoth"/>
    <n v="0"/>
    <x v="11"/>
    <n v="0"/>
    <n v="4872"/>
    <n v="1750"/>
    <n v="0"/>
    <m/>
    <x v="17"/>
  </r>
  <r>
    <x v="140"/>
    <s v="rom_fact_rhurim"/>
    <n v="664"/>
    <x v="27"/>
    <n v="264.7"/>
    <n v="412683"/>
    <n v="48319"/>
    <n v="3939"/>
    <m/>
    <x v="18"/>
  </r>
  <r>
    <x v="140"/>
    <s v="rom_fact_feredrim"/>
    <n v="0"/>
    <x v="11"/>
    <n v="0"/>
    <n v="7360"/>
    <n v="1750"/>
    <n v="0"/>
    <m/>
    <x v="19"/>
  </r>
  <r>
    <x v="140"/>
    <s v="rom_fact_wainriders"/>
    <n v="0"/>
    <x v="11"/>
    <n v="0"/>
    <n v="6395"/>
    <n v="1750"/>
    <n v="0"/>
    <m/>
    <x v="20"/>
  </r>
  <r>
    <x v="140"/>
    <s v="rom_fact_blacklock"/>
    <n v="6"/>
    <x v="9"/>
    <n v="67.099999999999994"/>
    <n v="27844"/>
    <n v="18493"/>
    <n v="1215"/>
    <m/>
    <x v="21"/>
  </r>
  <r>
    <x v="140"/>
    <s v="rom_fact_ironfist"/>
    <n v="5"/>
    <x v="10"/>
    <n v="48.6"/>
    <n v="19155"/>
    <n v="13700"/>
    <n v="947"/>
    <m/>
    <x v="22"/>
  </r>
  <r>
    <x v="140"/>
    <s v="rom_fact_gundabad"/>
    <n v="245"/>
    <x v="11"/>
    <n v="0"/>
    <n v="9750"/>
    <n v="2500"/>
    <n v="0"/>
    <m/>
    <x v="23"/>
  </r>
  <r>
    <x v="140"/>
    <s v="rom_fact_rohan_scouts"/>
    <n v="0"/>
    <x v="11"/>
    <n v="3"/>
    <n v="163111"/>
    <n v="2354"/>
    <n v="0"/>
    <m/>
    <x v="24"/>
  </r>
  <r>
    <x v="140"/>
    <s v="rom_fact_northern_enedwaith"/>
    <n v="0"/>
    <x v="11"/>
    <n v="0"/>
    <n v="23466"/>
    <n v="1750"/>
    <n v="0"/>
    <m/>
    <x v="25"/>
  </r>
  <r>
    <x v="140"/>
    <s v="rom_fact_southern_enedwaith"/>
    <n v="0"/>
    <x v="11"/>
    <n v="0"/>
    <n v="54023"/>
    <n v="1750"/>
    <n v="0"/>
    <m/>
    <x v="26"/>
  </r>
  <r>
    <x v="140"/>
    <s v="rom_fact_druedain"/>
    <n v="0"/>
    <x v="11"/>
    <n v="0"/>
    <n v="32146"/>
    <n v="1750"/>
    <n v="0"/>
    <m/>
    <x v="27"/>
  </r>
  <r>
    <x v="140"/>
    <s v="rom_fact_harondor"/>
    <n v="0"/>
    <x v="11"/>
    <n v="0"/>
    <n v="15146"/>
    <n v="1750"/>
    <n v="0"/>
    <m/>
    <x v="28"/>
  </r>
  <r>
    <x v="140"/>
    <s v="rom_fact_southron_nomads"/>
    <n v="0"/>
    <x v="11"/>
    <n v="0"/>
    <n v="4000"/>
    <n v="1750"/>
    <n v="0"/>
    <m/>
    <x v="29"/>
  </r>
  <r>
    <x v="140"/>
    <s v="rom_fact_separatist_harad"/>
    <n v="0"/>
    <x v="11"/>
    <n v="0"/>
    <n v="4000"/>
    <n v="1750"/>
    <n v="0"/>
    <m/>
    <x v="30"/>
  </r>
  <r>
    <x v="140"/>
    <s v="rom_fact_separatist_khand"/>
    <n v="0"/>
    <x v="11"/>
    <n v="0"/>
    <n v="4000"/>
    <n v="1750"/>
    <n v="0"/>
    <m/>
    <x v="30"/>
  </r>
  <r>
    <x v="140"/>
    <s v="rom_fact_separatist_balchoth"/>
    <n v="0"/>
    <x v="11"/>
    <n v="0"/>
    <n v="4000"/>
    <n v="1750"/>
    <n v="0"/>
    <m/>
    <x v="30"/>
  </r>
  <r>
    <x v="140"/>
    <s v="rom_fact_separatist_feredrim"/>
    <n v="0"/>
    <x v="11"/>
    <n v="0"/>
    <n v="4000"/>
    <n v="1750"/>
    <n v="0"/>
    <m/>
    <x v="30"/>
  </r>
  <r>
    <x v="140"/>
    <s v="rom_fact_separatist_haerrim"/>
    <n v="0"/>
    <x v="11"/>
    <n v="0"/>
    <n v="4000"/>
    <n v="1750"/>
    <n v="0"/>
    <m/>
    <x v="30"/>
  </r>
  <r>
    <x v="140"/>
    <s v="rom_fact_separatist_wainriders"/>
    <n v="0"/>
    <x v="11"/>
    <n v="0"/>
    <n v="4000"/>
    <n v="1750"/>
    <n v="0"/>
    <m/>
    <x v="30"/>
  </r>
  <r>
    <x v="140"/>
    <s v="rom_fact_separatist_rhurim"/>
    <n v="0"/>
    <x v="11"/>
    <n v="0"/>
    <n v="4000"/>
    <n v="1750"/>
    <n v="0"/>
    <m/>
    <x v="30"/>
  </r>
  <r>
    <x v="140"/>
    <s v="rom_fact_separatist_mahuds"/>
    <n v="0"/>
    <x v="11"/>
    <n v="0"/>
    <n v="4000"/>
    <n v="1750"/>
    <n v="0"/>
    <m/>
    <x v="30"/>
  </r>
  <r>
    <x v="140"/>
    <s v="rom_fact_separatist_umbar"/>
    <n v="0"/>
    <x v="11"/>
    <n v="0"/>
    <n v="4000"/>
    <n v="1750"/>
    <n v="0"/>
    <m/>
    <x v="30"/>
  </r>
  <r>
    <x v="141"/>
    <s v="rom_fact_mordor"/>
    <n v="759"/>
    <x v="48"/>
    <n v="757.6"/>
    <n v="841"/>
    <n v="120199"/>
    <n v="11289"/>
    <m/>
    <x v="0"/>
  </r>
  <r>
    <x v="141"/>
    <s v="rom_fact_gondor"/>
    <n v="146"/>
    <x v="11"/>
    <n v="0"/>
    <n v="55420"/>
    <n v="2500"/>
    <n v="0"/>
    <m/>
    <x v="1"/>
  </r>
  <r>
    <x v="141"/>
    <s v="rom_fact_dale"/>
    <n v="199"/>
    <x v="11"/>
    <n v="0"/>
    <n v="10343"/>
    <n v="2500"/>
    <n v="0"/>
    <m/>
    <x v="2"/>
  </r>
  <r>
    <x v="141"/>
    <s v="rom_fact_erebor"/>
    <n v="200"/>
    <x v="11"/>
    <n v="0"/>
    <n v="10040"/>
    <n v="2500"/>
    <n v="0"/>
    <m/>
    <x v="3"/>
  </r>
  <r>
    <x v="141"/>
    <s v="rom_fact_rohan"/>
    <n v="157"/>
    <x v="11"/>
    <n v="0"/>
    <n v="6638"/>
    <n v="2500"/>
    <n v="0"/>
    <m/>
    <x v="4"/>
  </r>
  <r>
    <x v="141"/>
    <s v="rom_fact_dol_guldur"/>
    <n v="543"/>
    <x v="21"/>
    <n v="437.4"/>
    <n v="460303"/>
    <n v="71215"/>
    <n v="3180"/>
    <m/>
    <x v="5"/>
  </r>
  <r>
    <x v="141"/>
    <s v="rom_fact_anduin_vale"/>
    <n v="58"/>
    <x v="11"/>
    <n v="0"/>
    <n v="4515"/>
    <n v="2500"/>
    <n v="0"/>
    <m/>
    <x v="6"/>
  </r>
  <r>
    <x v="141"/>
    <s v="rom_fact_isengard"/>
    <n v="329"/>
    <x v="11"/>
    <n v="0"/>
    <n v="23007"/>
    <n v="2500"/>
    <n v="0"/>
    <m/>
    <x v="7"/>
  </r>
  <r>
    <x v="141"/>
    <s v="rom_fact_woodland_realm"/>
    <n v="30"/>
    <x v="11"/>
    <n v="0"/>
    <n v="8475"/>
    <n v="2500"/>
    <n v="0"/>
    <m/>
    <x v="8"/>
  </r>
  <r>
    <x v="141"/>
    <s v="rom_fact_lothlorien"/>
    <n v="64"/>
    <x v="11"/>
    <n v="0"/>
    <n v="4721"/>
    <n v="2500"/>
    <n v="0"/>
    <m/>
    <x v="9"/>
  </r>
  <r>
    <x v="141"/>
    <s v="rom_fact_khand"/>
    <n v="0"/>
    <x v="11"/>
    <n v="0"/>
    <n v="4919"/>
    <n v="1750"/>
    <n v="0"/>
    <m/>
    <x v="10"/>
  </r>
  <r>
    <x v="141"/>
    <s v="rom_fact_umbar"/>
    <n v="21"/>
    <x v="15"/>
    <n v="235.3"/>
    <n v="530601"/>
    <n v="57871"/>
    <n v="5861"/>
    <m/>
    <x v="11"/>
  </r>
  <r>
    <x v="141"/>
    <s v="rom_fact_mahuds"/>
    <n v="0"/>
    <x v="11"/>
    <n v="0"/>
    <n v="9228"/>
    <n v="1750"/>
    <n v="0"/>
    <m/>
    <x v="12"/>
  </r>
  <r>
    <x v="141"/>
    <s v="rom_fact_harad"/>
    <n v="392"/>
    <x v="14"/>
    <n v="262.8"/>
    <n v="274833"/>
    <n v="42231"/>
    <n v="3329"/>
    <m/>
    <x v="13"/>
  </r>
  <r>
    <x v="141"/>
    <s v="rom_fact_dunland"/>
    <n v="370"/>
    <x v="0"/>
    <n v="209.8"/>
    <n v="322159"/>
    <n v="44649"/>
    <n v="0"/>
    <m/>
    <x v="14"/>
  </r>
  <r>
    <x v="141"/>
    <s v="rom_fact_haerrim"/>
    <n v="0"/>
    <x v="11"/>
    <n v="0"/>
    <n v="5352"/>
    <n v="1750"/>
    <n v="0"/>
    <m/>
    <x v="15"/>
  </r>
  <r>
    <x v="141"/>
    <s v="rom_fact_goblins"/>
    <n v="666"/>
    <x v="11"/>
    <n v="0"/>
    <n v="128480"/>
    <n v="2500"/>
    <n v="0"/>
    <m/>
    <x v="16"/>
  </r>
  <r>
    <x v="141"/>
    <s v="rom_fact_balchoth"/>
    <n v="0"/>
    <x v="11"/>
    <n v="0"/>
    <n v="4872"/>
    <n v="1750"/>
    <n v="0"/>
    <m/>
    <x v="17"/>
  </r>
  <r>
    <x v="141"/>
    <s v="rom_fact_rhurim"/>
    <n v="672"/>
    <x v="27"/>
    <n v="274.2"/>
    <n v="428670"/>
    <n v="44051"/>
    <n v="0"/>
    <m/>
    <x v="18"/>
  </r>
  <r>
    <x v="141"/>
    <s v="rom_fact_feredrim"/>
    <n v="0"/>
    <x v="11"/>
    <n v="0"/>
    <n v="7360"/>
    <n v="1750"/>
    <n v="0"/>
    <m/>
    <x v="19"/>
  </r>
  <r>
    <x v="141"/>
    <s v="rom_fact_wainriders"/>
    <n v="0"/>
    <x v="11"/>
    <n v="0"/>
    <n v="6395"/>
    <n v="1750"/>
    <n v="0"/>
    <m/>
    <x v="20"/>
  </r>
  <r>
    <x v="141"/>
    <s v="rom_fact_blacklock"/>
    <n v="6"/>
    <x v="9"/>
    <n v="68.099999999999994"/>
    <n v="31134"/>
    <n v="18386"/>
    <n v="1207"/>
    <m/>
    <x v="21"/>
  </r>
  <r>
    <x v="141"/>
    <s v="rom_fact_ironfist"/>
    <n v="5"/>
    <x v="10"/>
    <n v="48.6"/>
    <n v="17727"/>
    <n v="13615"/>
    <n v="1015"/>
    <m/>
    <x v="22"/>
  </r>
  <r>
    <x v="141"/>
    <s v="rom_fact_gundabad"/>
    <n v="245"/>
    <x v="11"/>
    <n v="0"/>
    <n v="9750"/>
    <n v="2500"/>
    <n v="0"/>
    <m/>
    <x v="23"/>
  </r>
  <r>
    <x v="141"/>
    <s v="rom_fact_rohan_scouts"/>
    <n v="0"/>
    <x v="11"/>
    <n v="3"/>
    <n v="164257"/>
    <n v="2354"/>
    <n v="0"/>
    <m/>
    <x v="24"/>
  </r>
  <r>
    <x v="141"/>
    <s v="rom_fact_northern_enedwaith"/>
    <n v="0"/>
    <x v="11"/>
    <n v="0"/>
    <n v="23466"/>
    <n v="1750"/>
    <n v="0"/>
    <m/>
    <x v="25"/>
  </r>
  <r>
    <x v="141"/>
    <s v="rom_fact_southern_enedwaith"/>
    <n v="0"/>
    <x v="11"/>
    <n v="0"/>
    <n v="54023"/>
    <n v="1750"/>
    <n v="0"/>
    <m/>
    <x v="26"/>
  </r>
  <r>
    <x v="141"/>
    <s v="rom_fact_druedain"/>
    <n v="0"/>
    <x v="11"/>
    <n v="0"/>
    <n v="32146"/>
    <n v="1750"/>
    <n v="0"/>
    <m/>
    <x v="27"/>
  </r>
  <r>
    <x v="141"/>
    <s v="rom_fact_harondor"/>
    <n v="0"/>
    <x v="11"/>
    <n v="0"/>
    <n v="15146"/>
    <n v="1750"/>
    <n v="0"/>
    <m/>
    <x v="28"/>
  </r>
  <r>
    <x v="141"/>
    <s v="rom_fact_southron_nomads"/>
    <n v="0"/>
    <x v="11"/>
    <n v="0"/>
    <n v="4000"/>
    <n v="1750"/>
    <n v="0"/>
    <m/>
    <x v="29"/>
  </r>
  <r>
    <x v="141"/>
    <s v="rom_fact_separatist_harad"/>
    <n v="0"/>
    <x v="11"/>
    <n v="0"/>
    <n v="4000"/>
    <n v="1750"/>
    <n v="0"/>
    <m/>
    <x v="30"/>
  </r>
  <r>
    <x v="141"/>
    <s v="rom_fact_separatist_khand"/>
    <n v="0"/>
    <x v="11"/>
    <n v="0"/>
    <n v="4000"/>
    <n v="1750"/>
    <n v="0"/>
    <m/>
    <x v="30"/>
  </r>
  <r>
    <x v="141"/>
    <s v="rom_fact_separatist_balchoth"/>
    <n v="0"/>
    <x v="11"/>
    <n v="0"/>
    <n v="4000"/>
    <n v="1750"/>
    <n v="0"/>
    <m/>
    <x v="30"/>
  </r>
  <r>
    <x v="141"/>
    <s v="rom_fact_separatist_feredrim"/>
    <n v="0"/>
    <x v="11"/>
    <n v="0"/>
    <n v="4000"/>
    <n v="1750"/>
    <n v="0"/>
    <m/>
    <x v="30"/>
  </r>
  <r>
    <x v="141"/>
    <s v="rom_fact_separatist_haerrim"/>
    <n v="0"/>
    <x v="11"/>
    <n v="0"/>
    <n v="4000"/>
    <n v="1750"/>
    <n v="0"/>
    <m/>
    <x v="30"/>
  </r>
  <r>
    <x v="141"/>
    <s v="rom_fact_separatist_wainriders"/>
    <n v="0"/>
    <x v="11"/>
    <n v="0"/>
    <n v="4000"/>
    <n v="1750"/>
    <n v="0"/>
    <m/>
    <x v="30"/>
  </r>
  <r>
    <x v="141"/>
    <s v="rom_fact_separatist_rhurim"/>
    <n v="0"/>
    <x v="11"/>
    <n v="0"/>
    <n v="4000"/>
    <n v="1750"/>
    <n v="0"/>
    <m/>
    <x v="30"/>
  </r>
  <r>
    <x v="141"/>
    <s v="rom_fact_separatist_mahuds"/>
    <n v="0"/>
    <x v="11"/>
    <n v="0"/>
    <n v="4000"/>
    <n v="1750"/>
    <n v="0"/>
    <m/>
    <x v="30"/>
  </r>
  <r>
    <x v="141"/>
    <s v="rom_fact_separatist_umbar"/>
    <n v="0"/>
    <x v="11"/>
    <n v="0"/>
    <n v="4000"/>
    <n v="1750"/>
    <n v="0"/>
    <m/>
    <x v="30"/>
  </r>
  <r>
    <x v="142"/>
    <s v="rom_fact_mordor"/>
    <n v="765"/>
    <x v="49"/>
    <n v="766.6"/>
    <n v="1329"/>
    <n v="120528"/>
    <n v="11323"/>
    <m/>
    <x v="0"/>
  </r>
  <r>
    <x v="142"/>
    <s v="rom_fact_gondor"/>
    <n v="146"/>
    <x v="11"/>
    <n v="0"/>
    <n v="55420"/>
    <n v="2500"/>
    <n v="0"/>
    <m/>
    <x v="1"/>
  </r>
  <r>
    <x v="142"/>
    <s v="rom_fact_dale"/>
    <n v="199"/>
    <x v="11"/>
    <n v="0"/>
    <n v="10343"/>
    <n v="2500"/>
    <n v="0"/>
    <m/>
    <x v="2"/>
  </r>
  <r>
    <x v="142"/>
    <s v="rom_fact_erebor"/>
    <n v="200"/>
    <x v="11"/>
    <n v="0"/>
    <n v="10040"/>
    <n v="2500"/>
    <n v="0"/>
    <m/>
    <x v="3"/>
  </r>
  <r>
    <x v="142"/>
    <s v="rom_fact_rohan"/>
    <n v="157"/>
    <x v="11"/>
    <n v="0"/>
    <n v="6638"/>
    <n v="2500"/>
    <n v="0"/>
    <m/>
    <x v="4"/>
  </r>
  <r>
    <x v="142"/>
    <s v="rom_fact_dol_guldur"/>
    <n v="543"/>
    <x v="21"/>
    <n v="447.6"/>
    <n v="491761"/>
    <n v="75127"/>
    <n v="4485"/>
    <m/>
    <x v="5"/>
  </r>
  <r>
    <x v="142"/>
    <s v="rom_fact_anduin_vale"/>
    <n v="58"/>
    <x v="11"/>
    <n v="0"/>
    <n v="4515"/>
    <n v="2500"/>
    <n v="0"/>
    <m/>
    <x v="6"/>
  </r>
  <r>
    <x v="142"/>
    <s v="rom_fact_isengard"/>
    <n v="329"/>
    <x v="11"/>
    <n v="0"/>
    <n v="23007"/>
    <n v="2500"/>
    <n v="0"/>
    <m/>
    <x v="7"/>
  </r>
  <r>
    <x v="142"/>
    <s v="rom_fact_woodland_realm"/>
    <n v="30"/>
    <x v="11"/>
    <n v="0"/>
    <n v="8475"/>
    <n v="2500"/>
    <n v="0"/>
    <m/>
    <x v="8"/>
  </r>
  <r>
    <x v="142"/>
    <s v="rom_fact_lothlorien"/>
    <n v="64"/>
    <x v="11"/>
    <n v="0"/>
    <n v="4721"/>
    <n v="2500"/>
    <n v="0"/>
    <m/>
    <x v="9"/>
  </r>
  <r>
    <x v="142"/>
    <s v="rom_fact_khand"/>
    <n v="0"/>
    <x v="11"/>
    <n v="0"/>
    <n v="4919"/>
    <n v="1750"/>
    <n v="0"/>
    <m/>
    <x v="10"/>
  </r>
  <r>
    <x v="142"/>
    <s v="rom_fact_umbar"/>
    <n v="21"/>
    <x v="15"/>
    <n v="239.3"/>
    <n v="544523"/>
    <n v="58101"/>
    <n v="5884"/>
    <m/>
    <x v="11"/>
  </r>
  <r>
    <x v="142"/>
    <s v="rom_fact_mahuds"/>
    <n v="0"/>
    <x v="11"/>
    <n v="0"/>
    <n v="9228"/>
    <n v="1750"/>
    <n v="0"/>
    <m/>
    <x v="12"/>
  </r>
  <r>
    <x v="142"/>
    <s v="rom_fact_harad"/>
    <n v="408"/>
    <x v="14"/>
    <n v="275.10000000000002"/>
    <n v="283070"/>
    <n v="46043"/>
    <n v="3376"/>
    <m/>
    <x v="13"/>
  </r>
  <r>
    <x v="142"/>
    <s v="rom_fact_dunland"/>
    <n v="370"/>
    <x v="0"/>
    <n v="216.7"/>
    <n v="365736"/>
    <n v="45153"/>
    <n v="0"/>
    <m/>
    <x v="14"/>
  </r>
  <r>
    <x v="142"/>
    <s v="rom_fact_haerrim"/>
    <n v="0"/>
    <x v="11"/>
    <n v="0"/>
    <n v="5352"/>
    <n v="1750"/>
    <n v="0"/>
    <m/>
    <x v="15"/>
  </r>
  <r>
    <x v="142"/>
    <s v="rom_fact_goblins"/>
    <n v="666"/>
    <x v="11"/>
    <n v="0"/>
    <n v="128480"/>
    <n v="2500"/>
    <n v="0"/>
    <m/>
    <x v="16"/>
  </r>
  <r>
    <x v="142"/>
    <s v="rom_fact_balchoth"/>
    <n v="0"/>
    <x v="11"/>
    <n v="0"/>
    <n v="4872"/>
    <n v="1750"/>
    <n v="0"/>
    <m/>
    <x v="17"/>
  </r>
  <r>
    <x v="142"/>
    <s v="rom_fact_rhurim"/>
    <n v="682"/>
    <x v="25"/>
    <n v="267.5"/>
    <n v="446550"/>
    <n v="42022"/>
    <n v="0"/>
    <m/>
    <x v="18"/>
  </r>
  <r>
    <x v="142"/>
    <s v="rom_fact_feredrim"/>
    <n v="0"/>
    <x v="11"/>
    <n v="0"/>
    <n v="7360"/>
    <n v="1750"/>
    <n v="0"/>
    <m/>
    <x v="19"/>
  </r>
  <r>
    <x v="142"/>
    <s v="rom_fact_wainriders"/>
    <n v="0"/>
    <x v="11"/>
    <n v="0"/>
    <n v="6395"/>
    <n v="1750"/>
    <n v="0"/>
    <m/>
    <x v="20"/>
  </r>
  <r>
    <x v="142"/>
    <s v="rom_fact_blacklock"/>
    <n v="6"/>
    <x v="9"/>
    <n v="66.099999999999994"/>
    <n v="32995"/>
    <n v="18546"/>
    <n v="1217"/>
    <m/>
    <x v="21"/>
  </r>
  <r>
    <x v="142"/>
    <s v="rom_fact_ironfist"/>
    <n v="5"/>
    <x v="10"/>
    <n v="48.6"/>
    <n v="26176"/>
    <n v="13677"/>
    <n v="1028"/>
    <m/>
    <x v="22"/>
  </r>
  <r>
    <x v="142"/>
    <s v="rom_fact_gundabad"/>
    <n v="245"/>
    <x v="11"/>
    <n v="0"/>
    <n v="9750"/>
    <n v="2500"/>
    <n v="0"/>
    <m/>
    <x v="23"/>
  </r>
  <r>
    <x v="142"/>
    <s v="rom_fact_rohan_scouts"/>
    <n v="0"/>
    <x v="11"/>
    <n v="3"/>
    <n v="165403"/>
    <n v="2354"/>
    <n v="0"/>
    <m/>
    <x v="24"/>
  </r>
  <r>
    <x v="142"/>
    <s v="rom_fact_northern_enedwaith"/>
    <n v="0"/>
    <x v="11"/>
    <n v="0"/>
    <n v="23466"/>
    <n v="1750"/>
    <n v="0"/>
    <m/>
    <x v="25"/>
  </r>
  <r>
    <x v="142"/>
    <s v="rom_fact_southern_enedwaith"/>
    <n v="0"/>
    <x v="11"/>
    <n v="0"/>
    <n v="54023"/>
    <n v="1750"/>
    <n v="0"/>
    <m/>
    <x v="26"/>
  </r>
  <r>
    <x v="142"/>
    <s v="rom_fact_druedain"/>
    <n v="0"/>
    <x v="11"/>
    <n v="0"/>
    <n v="32146"/>
    <n v="1750"/>
    <n v="0"/>
    <m/>
    <x v="27"/>
  </r>
  <r>
    <x v="142"/>
    <s v="rom_fact_harondor"/>
    <n v="0"/>
    <x v="11"/>
    <n v="0"/>
    <n v="15146"/>
    <n v="1750"/>
    <n v="0"/>
    <m/>
    <x v="28"/>
  </r>
  <r>
    <x v="142"/>
    <s v="rom_fact_southron_nomads"/>
    <n v="0"/>
    <x v="11"/>
    <n v="0"/>
    <n v="4000"/>
    <n v="1750"/>
    <n v="0"/>
    <m/>
    <x v="29"/>
  </r>
  <r>
    <x v="142"/>
    <s v="rom_fact_separatist_harad"/>
    <n v="0"/>
    <x v="11"/>
    <n v="0"/>
    <n v="4000"/>
    <n v="1750"/>
    <n v="0"/>
    <m/>
    <x v="30"/>
  </r>
  <r>
    <x v="142"/>
    <s v="rom_fact_separatist_khand"/>
    <n v="0"/>
    <x v="11"/>
    <n v="0"/>
    <n v="4000"/>
    <n v="1750"/>
    <n v="0"/>
    <m/>
    <x v="30"/>
  </r>
  <r>
    <x v="142"/>
    <s v="rom_fact_separatist_balchoth"/>
    <n v="0"/>
    <x v="11"/>
    <n v="0"/>
    <n v="4000"/>
    <n v="1750"/>
    <n v="0"/>
    <m/>
    <x v="30"/>
  </r>
  <r>
    <x v="142"/>
    <s v="rom_fact_separatist_feredrim"/>
    <n v="0"/>
    <x v="11"/>
    <n v="0"/>
    <n v="4000"/>
    <n v="1750"/>
    <n v="0"/>
    <m/>
    <x v="30"/>
  </r>
  <r>
    <x v="142"/>
    <s v="rom_fact_separatist_haerrim"/>
    <n v="0"/>
    <x v="11"/>
    <n v="0"/>
    <n v="4000"/>
    <n v="1750"/>
    <n v="0"/>
    <m/>
    <x v="30"/>
  </r>
  <r>
    <x v="142"/>
    <s v="rom_fact_separatist_wainriders"/>
    <n v="0"/>
    <x v="11"/>
    <n v="0"/>
    <n v="4000"/>
    <n v="1750"/>
    <n v="0"/>
    <m/>
    <x v="30"/>
  </r>
  <r>
    <x v="142"/>
    <s v="rom_fact_separatist_rhurim"/>
    <n v="0"/>
    <x v="11"/>
    <n v="0"/>
    <n v="4000"/>
    <n v="1750"/>
    <n v="0"/>
    <m/>
    <x v="30"/>
  </r>
  <r>
    <x v="142"/>
    <s v="rom_fact_separatist_mahuds"/>
    <n v="0"/>
    <x v="11"/>
    <n v="0"/>
    <n v="4000"/>
    <n v="1750"/>
    <n v="0"/>
    <m/>
    <x v="30"/>
  </r>
  <r>
    <x v="142"/>
    <s v="rom_fact_separatist_umbar"/>
    <n v="0"/>
    <x v="11"/>
    <n v="0"/>
    <n v="4000"/>
    <n v="1750"/>
    <n v="0"/>
    <m/>
    <x v="30"/>
  </r>
  <r>
    <x v="143"/>
    <s v="rom_fact_mordor"/>
    <n v="786"/>
    <x v="50"/>
    <n v="784.6"/>
    <n v="3024"/>
    <n v="121540"/>
    <n v="11222"/>
    <m/>
    <x v="0"/>
  </r>
  <r>
    <x v="143"/>
    <s v="rom_fact_gondor"/>
    <n v="146"/>
    <x v="11"/>
    <n v="0"/>
    <n v="55420"/>
    <n v="2500"/>
    <n v="0"/>
    <m/>
    <x v="1"/>
  </r>
  <r>
    <x v="143"/>
    <s v="rom_fact_dale"/>
    <n v="199"/>
    <x v="11"/>
    <n v="0"/>
    <n v="10343"/>
    <n v="2500"/>
    <n v="0"/>
    <m/>
    <x v="2"/>
  </r>
  <r>
    <x v="143"/>
    <s v="rom_fact_erebor"/>
    <n v="200"/>
    <x v="11"/>
    <n v="0"/>
    <n v="10040"/>
    <n v="2500"/>
    <n v="0"/>
    <m/>
    <x v="3"/>
  </r>
  <r>
    <x v="143"/>
    <s v="rom_fact_rohan"/>
    <n v="157"/>
    <x v="11"/>
    <n v="0"/>
    <n v="6638"/>
    <n v="2500"/>
    <n v="0"/>
    <m/>
    <x v="4"/>
  </r>
  <r>
    <x v="143"/>
    <s v="rom_fact_dol_guldur"/>
    <n v="543"/>
    <x v="21"/>
    <n v="448.8"/>
    <n v="508128"/>
    <n v="81533"/>
    <n v="4654"/>
    <m/>
    <x v="5"/>
  </r>
  <r>
    <x v="143"/>
    <s v="rom_fact_anduin_vale"/>
    <n v="58"/>
    <x v="11"/>
    <n v="0"/>
    <n v="4515"/>
    <n v="2500"/>
    <n v="0"/>
    <m/>
    <x v="6"/>
  </r>
  <r>
    <x v="143"/>
    <s v="rom_fact_isengard"/>
    <n v="329"/>
    <x v="11"/>
    <n v="0"/>
    <n v="23007"/>
    <n v="2500"/>
    <n v="0"/>
    <m/>
    <x v="7"/>
  </r>
  <r>
    <x v="143"/>
    <s v="rom_fact_woodland_realm"/>
    <n v="30"/>
    <x v="11"/>
    <n v="0"/>
    <n v="8475"/>
    <n v="2500"/>
    <n v="0"/>
    <m/>
    <x v="8"/>
  </r>
  <r>
    <x v="143"/>
    <s v="rom_fact_lothlorien"/>
    <n v="64"/>
    <x v="11"/>
    <n v="0"/>
    <n v="4721"/>
    <n v="2500"/>
    <n v="0"/>
    <m/>
    <x v="9"/>
  </r>
  <r>
    <x v="143"/>
    <s v="rom_fact_khand"/>
    <n v="0"/>
    <x v="11"/>
    <n v="0"/>
    <n v="4919"/>
    <n v="1750"/>
    <n v="0"/>
    <m/>
    <x v="10"/>
  </r>
  <r>
    <x v="143"/>
    <s v="rom_fact_umbar"/>
    <n v="21"/>
    <x v="15"/>
    <n v="238.8"/>
    <n v="569441"/>
    <n v="58046"/>
    <n v="5974"/>
    <m/>
    <x v="11"/>
  </r>
  <r>
    <x v="143"/>
    <s v="rom_fact_mahuds"/>
    <n v="0"/>
    <x v="11"/>
    <n v="0"/>
    <n v="9228"/>
    <n v="1750"/>
    <n v="0"/>
    <m/>
    <x v="12"/>
  </r>
  <r>
    <x v="143"/>
    <s v="rom_fact_harad"/>
    <n v="408"/>
    <x v="14"/>
    <n v="278.10000000000002"/>
    <n v="294497"/>
    <n v="46587"/>
    <n v="3535"/>
    <m/>
    <x v="13"/>
  </r>
  <r>
    <x v="143"/>
    <s v="rom_fact_dunland"/>
    <n v="370"/>
    <x v="0"/>
    <n v="229.6"/>
    <n v="376127"/>
    <n v="49976"/>
    <n v="0"/>
    <m/>
    <x v="14"/>
  </r>
  <r>
    <x v="143"/>
    <s v="rom_fact_haerrim"/>
    <n v="0"/>
    <x v="11"/>
    <n v="0"/>
    <n v="5352"/>
    <n v="1750"/>
    <n v="0"/>
    <m/>
    <x v="15"/>
  </r>
  <r>
    <x v="143"/>
    <s v="rom_fact_goblins"/>
    <n v="666"/>
    <x v="11"/>
    <n v="0"/>
    <n v="128480"/>
    <n v="2500"/>
    <n v="0"/>
    <m/>
    <x v="16"/>
  </r>
  <r>
    <x v="143"/>
    <s v="rom_fact_balchoth"/>
    <n v="0"/>
    <x v="11"/>
    <n v="0"/>
    <n v="4872"/>
    <n v="1750"/>
    <n v="0"/>
    <m/>
    <x v="17"/>
  </r>
  <r>
    <x v="143"/>
    <s v="rom_fact_rhurim"/>
    <n v="702"/>
    <x v="1"/>
    <n v="278.5"/>
    <n v="449852"/>
    <n v="37273"/>
    <n v="0"/>
    <m/>
    <x v="18"/>
  </r>
  <r>
    <x v="143"/>
    <s v="rom_fact_feredrim"/>
    <n v="0"/>
    <x v="11"/>
    <n v="0"/>
    <n v="7360"/>
    <n v="1750"/>
    <n v="0"/>
    <m/>
    <x v="19"/>
  </r>
  <r>
    <x v="143"/>
    <s v="rom_fact_wainriders"/>
    <n v="0"/>
    <x v="11"/>
    <n v="0"/>
    <n v="6395"/>
    <n v="1750"/>
    <n v="0"/>
    <m/>
    <x v="20"/>
  </r>
  <r>
    <x v="143"/>
    <s v="rom_fact_blacklock"/>
    <n v="6"/>
    <x v="9"/>
    <n v="73.099999999999994"/>
    <n v="37880"/>
    <n v="17467"/>
    <n v="1213"/>
    <m/>
    <x v="21"/>
  </r>
  <r>
    <x v="143"/>
    <s v="rom_fact_ironfist"/>
    <n v="5"/>
    <x v="10"/>
    <n v="48.6"/>
    <n v="21927"/>
    <n v="13693"/>
    <n v="1028"/>
    <m/>
    <x v="22"/>
  </r>
  <r>
    <x v="143"/>
    <s v="rom_fact_gundabad"/>
    <n v="245"/>
    <x v="11"/>
    <n v="0"/>
    <n v="9750"/>
    <n v="2500"/>
    <n v="0"/>
    <m/>
    <x v="23"/>
  </r>
  <r>
    <x v="143"/>
    <s v="rom_fact_rohan_scouts"/>
    <n v="0"/>
    <x v="11"/>
    <n v="3"/>
    <n v="166549"/>
    <n v="2354"/>
    <n v="0"/>
    <m/>
    <x v="24"/>
  </r>
  <r>
    <x v="143"/>
    <s v="rom_fact_northern_enedwaith"/>
    <n v="0"/>
    <x v="11"/>
    <n v="0"/>
    <n v="23466"/>
    <n v="1750"/>
    <n v="0"/>
    <m/>
    <x v="25"/>
  </r>
  <r>
    <x v="143"/>
    <s v="rom_fact_southern_enedwaith"/>
    <n v="0"/>
    <x v="11"/>
    <n v="0"/>
    <n v="54023"/>
    <n v="1750"/>
    <n v="0"/>
    <m/>
    <x v="26"/>
  </r>
  <r>
    <x v="143"/>
    <s v="rom_fact_druedain"/>
    <n v="0"/>
    <x v="11"/>
    <n v="0"/>
    <n v="32146"/>
    <n v="1750"/>
    <n v="0"/>
    <m/>
    <x v="27"/>
  </r>
  <r>
    <x v="143"/>
    <s v="rom_fact_harondor"/>
    <n v="0"/>
    <x v="11"/>
    <n v="0"/>
    <n v="15146"/>
    <n v="1750"/>
    <n v="0"/>
    <m/>
    <x v="28"/>
  </r>
  <r>
    <x v="143"/>
    <s v="rom_fact_southron_nomads"/>
    <n v="0"/>
    <x v="11"/>
    <n v="0"/>
    <n v="4000"/>
    <n v="1750"/>
    <n v="0"/>
    <m/>
    <x v="29"/>
  </r>
  <r>
    <x v="143"/>
    <s v="rom_fact_separatist_harad"/>
    <n v="0"/>
    <x v="11"/>
    <n v="0"/>
    <n v="4000"/>
    <n v="1750"/>
    <n v="0"/>
    <m/>
    <x v="30"/>
  </r>
  <r>
    <x v="143"/>
    <s v="rom_fact_separatist_khand"/>
    <n v="0"/>
    <x v="11"/>
    <n v="0"/>
    <n v="4000"/>
    <n v="1750"/>
    <n v="0"/>
    <m/>
    <x v="30"/>
  </r>
  <r>
    <x v="143"/>
    <s v="rom_fact_separatist_balchoth"/>
    <n v="0"/>
    <x v="11"/>
    <n v="0"/>
    <n v="4000"/>
    <n v="1750"/>
    <n v="0"/>
    <m/>
    <x v="30"/>
  </r>
  <r>
    <x v="143"/>
    <s v="rom_fact_separatist_feredrim"/>
    <n v="0"/>
    <x v="11"/>
    <n v="0"/>
    <n v="4000"/>
    <n v="1750"/>
    <n v="0"/>
    <m/>
    <x v="30"/>
  </r>
  <r>
    <x v="143"/>
    <s v="rom_fact_separatist_haerrim"/>
    <n v="0"/>
    <x v="11"/>
    <n v="0"/>
    <n v="4000"/>
    <n v="1750"/>
    <n v="0"/>
    <m/>
    <x v="30"/>
  </r>
  <r>
    <x v="143"/>
    <s v="rom_fact_separatist_wainriders"/>
    <n v="0"/>
    <x v="11"/>
    <n v="0"/>
    <n v="4000"/>
    <n v="1750"/>
    <n v="0"/>
    <m/>
    <x v="30"/>
  </r>
  <r>
    <x v="143"/>
    <s v="rom_fact_separatist_rhurim"/>
    <n v="0"/>
    <x v="11"/>
    <n v="0"/>
    <n v="4000"/>
    <n v="1750"/>
    <n v="0"/>
    <m/>
    <x v="30"/>
  </r>
  <r>
    <x v="143"/>
    <s v="rom_fact_separatist_mahuds"/>
    <n v="0"/>
    <x v="11"/>
    <n v="0"/>
    <n v="4000"/>
    <n v="1750"/>
    <n v="0"/>
    <m/>
    <x v="30"/>
  </r>
  <r>
    <x v="143"/>
    <s v="rom_fact_separatist_umbar"/>
    <n v="0"/>
    <x v="11"/>
    <n v="0"/>
    <n v="4000"/>
    <n v="1750"/>
    <n v="0"/>
    <m/>
    <x v="30"/>
  </r>
  <r>
    <x v="144"/>
    <s v="rom_fact_mordor"/>
    <n v="818"/>
    <x v="50"/>
    <n v="818.6"/>
    <n v="27154"/>
    <n v="121617"/>
    <n v="11305"/>
    <m/>
    <x v="0"/>
  </r>
  <r>
    <x v="144"/>
    <s v="rom_fact_gondor"/>
    <n v="146"/>
    <x v="11"/>
    <n v="0"/>
    <n v="55420"/>
    <n v="2500"/>
    <n v="0"/>
    <m/>
    <x v="1"/>
  </r>
  <r>
    <x v="144"/>
    <s v="rom_fact_dale"/>
    <n v="199"/>
    <x v="11"/>
    <n v="0"/>
    <n v="10343"/>
    <n v="2500"/>
    <n v="0"/>
    <m/>
    <x v="2"/>
  </r>
  <r>
    <x v="144"/>
    <s v="rom_fact_erebor"/>
    <n v="200"/>
    <x v="11"/>
    <n v="0"/>
    <n v="10040"/>
    <n v="2500"/>
    <n v="0"/>
    <m/>
    <x v="3"/>
  </r>
  <r>
    <x v="144"/>
    <s v="rom_fact_rohan"/>
    <n v="157"/>
    <x v="11"/>
    <n v="0"/>
    <n v="6638"/>
    <n v="2500"/>
    <n v="0"/>
    <m/>
    <x v="4"/>
  </r>
  <r>
    <x v="144"/>
    <s v="rom_fact_dol_guldur"/>
    <n v="548"/>
    <x v="21"/>
    <n v="452.8"/>
    <n v="530648"/>
    <n v="82369"/>
    <n v="6654"/>
    <m/>
    <x v="5"/>
  </r>
  <r>
    <x v="144"/>
    <s v="rom_fact_anduin_vale"/>
    <n v="58"/>
    <x v="11"/>
    <n v="0"/>
    <n v="4515"/>
    <n v="2500"/>
    <n v="0"/>
    <m/>
    <x v="6"/>
  </r>
  <r>
    <x v="144"/>
    <s v="rom_fact_isengard"/>
    <n v="329"/>
    <x v="11"/>
    <n v="0"/>
    <n v="23007"/>
    <n v="2500"/>
    <n v="0"/>
    <m/>
    <x v="7"/>
  </r>
  <r>
    <x v="144"/>
    <s v="rom_fact_woodland_realm"/>
    <n v="30"/>
    <x v="11"/>
    <n v="0"/>
    <n v="8475"/>
    <n v="2500"/>
    <n v="0"/>
    <m/>
    <x v="8"/>
  </r>
  <r>
    <x v="144"/>
    <s v="rom_fact_lothlorien"/>
    <n v="64"/>
    <x v="11"/>
    <n v="0"/>
    <n v="4721"/>
    <n v="2500"/>
    <n v="0"/>
    <m/>
    <x v="9"/>
  </r>
  <r>
    <x v="144"/>
    <s v="rom_fact_khand"/>
    <n v="0"/>
    <x v="11"/>
    <n v="0"/>
    <n v="4919"/>
    <n v="1750"/>
    <n v="0"/>
    <m/>
    <x v="10"/>
  </r>
  <r>
    <x v="144"/>
    <s v="rom_fact_umbar"/>
    <n v="21"/>
    <x v="15"/>
    <n v="233.2"/>
    <n v="585481"/>
    <n v="53028"/>
    <n v="6048"/>
    <m/>
    <x v="11"/>
  </r>
  <r>
    <x v="144"/>
    <s v="rom_fact_mahuds"/>
    <n v="0"/>
    <x v="11"/>
    <n v="0"/>
    <n v="9228"/>
    <n v="1750"/>
    <n v="0"/>
    <m/>
    <x v="12"/>
  </r>
  <r>
    <x v="144"/>
    <s v="rom_fact_harad"/>
    <n v="418"/>
    <x v="18"/>
    <n v="292.3"/>
    <n v="309337"/>
    <n v="45472"/>
    <n v="3700"/>
    <m/>
    <x v="13"/>
  </r>
  <r>
    <x v="144"/>
    <s v="rom_fact_dunland"/>
    <n v="375"/>
    <x v="0"/>
    <n v="234.5"/>
    <n v="352929"/>
    <n v="52879"/>
    <n v="0"/>
    <m/>
    <x v="14"/>
  </r>
  <r>
    <x v="144"/>
    <s v="rom_fact_haerrim"/>
    <n v="0"/>
    <x v="11"/>
    <n v="0"/>
    <n v="5352"/>
    <n v="1750"/>
    <n v="0"/>
    <m/>
    <x v="15"/>
  </r>
  <r>
    <x v="144"/>
    <s v="rom_fact_goblins"/>
    <n v="666"/>
    <x v="11"/>
    <n v="0"/>
    <n v="128480"/>
    <n v="2500"/>
    <n v="0"/>
    <m/>
    <x v="16"/>
  </r>
  <r>
    <x v="144"/>
    <s v="rom_fact_balchoth"/>
    <n v="0"/>
    <x v="11"/>
    <n v="0"/>
    <n v="4872"/>
    <n v="1750"/>
    <n v="0"/>
    <m/>
    <x v="17"/>
  </r>
  <r>
    <x v="144"/>
    <s v="rom_fact_rhurim"/>
    <n v="698"/>
    <x v="15"/>
    <n v="251.5"/>
    <n v="480810"/>
    <n v="39318"/>
    <n v="2820"/>
    <m/>
    <x v="18"/>
  </r>
  <r>
    <x v="144"/>
    <s v="rom_fact_feredrim"/>
    <n v="0"/>
    <x v="11"/>
    <n v="0"/>
    <n v="7360"/>
    <n v="1750"/>
    <n v="0"/>
    <m/>
    <x v="19"/>
  </r>
  <r>
    <x v="144"/>
    <s v="rom_fact_wainriders"/>
    <n v="0"/>
    <x v="11"/>
    <n v="0"/>
    <n v="6395"/>
    <n v="1750"/>
    <n v="0"/>
    <m/>
    <x v="20"/>
  </r>
  <r>
    <x v="144"/>
    <s v="rom_fact_blacklock"/>
    <n v="7"/>
    <x v="8"/>
    <n v="74.199999999999903"/>
    <n v="38382"/>
    <n v="18887"/>
    <n v="1944"/>
    <m/>
    <x v="21"/>
  </r>
  <r>
    <x v="144"/>
    <s v="rom_fact_ironfist"/>
    <n v="6"/>
    <x v="3"/>
    <n v="49.6"/>
    <n v="20050"/>
    <n v="16676"/>
    <n v="1276"/>
    <m/>
    <x v="22"/>
  </r>
  <r>
    <x v="144"/>
    <s v="rom_fact_gundabad"/>
    <n v="245"/>
    <x v="11"/>
    <n v="0"/>
    <n v="9750"/>
    <n v="2500"/>
    <n v="0"/>
    <m/>
    <x v="23"/>
  </r>
  <r>
    <x v="144"/>
    <s v="rom_fact_rohan_scouts"/>
    <n v="0"/>
    <x v="11"/>
    <n v="3"/>
    <n v="167695"/>
    <n v="2354"/>
    <n v="0"/>
    <m/>
    <x v="24"/>
  </r>
  <r>
    <x v="144"/>
    <s v="rom_fact_northern_enedwaith"/>
    <n v="0"/>
    <x v="11"/>
    <n v="0"/>
    <n v="23466"/>
    <n v="1750"/>
    <n v="0"/>
    <m/>
    <x v="25"/>
  </r>
  <r>
    <x v="144"/>
    <s v="rom_fact_southern_enedwaith"/>
    <n v="0"/>
    <x v="11"/>
    <n v="0"/>
    <n v="54023"/>
    <n v="1750"/>
    <n v="0"/>
    <m/>
    <x v="26"/>
  </r>
  <r>
    <x v="144"/>
    <s v="rom_fact_druedain"/>
    <n v="0"/>
    <x v="11"/>
    <n v="0"/>
    <n v="32146"/>
    <n v="1750"/>
    <n v="0"/>
    <m/>
    <x v="27"/>
  </r>
  <r>
    <x v="144"/>
    <s v="rom_fact_harondor"/>
    <n v="0"/>
    <x v="11"/>
    <n v="0"/>
    <n v="15146"/>
    <n v="1750"/>
    <n v="0"/>
    <m/>
    <x v="28"/>
  </r>
  <r>
    <x v="144"/>
    <s v="rom_fact_southron_nomads"/>
    <n v="0"/>
    <x v="11"/>
    <n v="0"/>
    <n v="4000"/>
    <n v="1750"/>
    <n v="0"/>
    <m/>
    <x v="29"/>
  </r>
  <r>
    <x v="144"/>
    <s v="rom_fact_separatist_harad"/>
    <n v="0"/>
    <x v="11"/>
    <n v="0"/>
    <n v="4000"/>
    <n v="1750"/>
    <n v="0"/>
    <m/>
    <x v="30"/>
  </r>
  <r>
    <x v="144"/>
    <s v="rom_fact_separatist_khand"/>
    <n v="0"/>
    <x v="11"/>
    <n v="0"/>
    <n v="4000"/>
    <n v="1750"/>
    <n v="0"/>
    <m/>
    <x v="30"/>
  </r>
  <r>
    <x v="144"/>
    <s v="rom_fact_separatist_balchoth"/>
    <n v="0"/>
    <x v="11"/>
    <n v="0"/>
    <n v="4000"/>
    <n v="1750"/>
    <n v="0"/>
    <m/>
    <x v="30"/>
  </r>
  <r>
    <x v="144"/>
    <s v="rom_fact_separatist_feredrim"/>
    <n v="0"/>
    <x v="11"/>
    <n v="0"/>
    <n v="4000"/>
    <n v="1750"/>
    <n v="0"/>
    <m/>
    <x v="30"/>
  </r>
  <r>
    <x v="144"/>
    <s v="rom_fact_separatist_haerrim"/>
    <n v="0"/>
    <x v="11"/>
    <n v="0"/>
    <n v="4000"/>
    <n v="1750"/>
    <n v="0"/>
    <m/>
    <x v="30"/>
  </r>
  <r>
    <x v="144"/>
    <s v="rom_fact_separatist_wainriders"/>
    <n v="0"/>
    <x v="11"/>
    <n v="0"/>
    <n v="4000"/>
    <n v="1750"/>
    <n v="0"/>
    <m/>
    <x v="30"/>
  </r>
  <r>
    <x v="144"/>
    <s v="rom_fact_separatist_rhurim"/>
    <n v="0"/>
    <x v="11"/>
    <n v="0"/>
    <n v="4000"/>
    <n v="1750"/>
    <n v="0"/>
    <m/>
    <x v="30"/>
  </r>
  <r>
    <x v="144"/>
    <s v="rom_fact_separatist_mahuds"/>
    <n v="0"/>
    <x v="11"/>
    <n v="0"/>
    <n v="4000"/>
    <n v="1750"/>
    <n v="0"/>
    <m/>
    <x v="30"/>
  </r>
  <r>
    <x v="144"/>
    <s v="rom_fact_separatist_umbar"/>
    <n v="0"/>
    <x v="11"/>
    <n v="0"/>
    <n v="4000"/>
    <n v="1750"/>
    <n v="0"/>
    <m/>
    <x v="30"/>
  </r>
  <r>
    <x v="145"/>
    <s v="rom_fact_mordor"/>
    <n v="823"/>
    <x v="51"/>
    <n v="820.2"/>
    <n v="26682"/>
    <n v="123785"/>
    <n v="11627"/>
    <m/>
    <x v="0"/>
  </r>
  <r>
    <x v="145"/>
    <s v="rom_fact_gondor"/>
    <n v="146"/>
    <x v="11"/>
    <n v="0"/>
    <n v="55420"/>
    <n v="2500"/>
    <n v="0"/>
    <m/>
    <x v="1"/>
  </r>
  <r>
    <x v="145"/>
    <s v="rom_fact_dale"/>
    <n v="199"/>
    <x v="11"/>
    <n v="0"/>
    <n v="10343"/>
    <n v="2500"/>
    <n v="0"/>
    <m/>
    <x v="2"/>
  </r>
  <r>
    <x v="145"/>
    <s v="rom_fact_erebor"/>
    <n v="200"/>
    <x v="11"/>
    <n v="0"/>
    <n v="10040"/>
    <n v="2500"/>
    <n v="0"/>
    <m/>
    <x v="3"/>
  </r>
  <r>
    <x v="145"/>
    <s v="rom_fact_rohan"/>
    <n v="157"/>
    <x v="11"/>
    <n v="0"/>
    <n v="6638"/>
    <n v="2500"/>
    <n v="0"/>
    <m/>
    <x v="4"/>
  </r>
  <r>
    <x v="145"/>
    <s v="rom_fact_dol_guldur"/>
    <n v="565"/>
    <x v="21"/>
    <n v="453.8"/>
    <n v="550057"/>
    <n v="81607"/>
    <n v="6665"/>
    <m/>
    <x v="5"/>
  </r>
  <r>
    <x v="145"/>
    <s v="rom_fact_anduin_vale"/>
    <n v="58"/>
    <x v="11"/>
    <n v="0"/>
    <n v="4515"/>
    <n v="2500"/>
    <n v="0"/>
    <m/>
    <x v="6"/>
  </r>
  <r>
    <x v="145"/>
    <s v="rom_fact_isengard"/>
    <n v="329"/>
    <x v="11"/>
    <n v="0"/>
    <n v="23007"/>
    <n v="2500"/>
    <n v="0"/>
    <m/>
    <x v="7"/>
  </r>
  <r>
    <x v="145"/>
    <s v="rom_fact_woodland_realm"/>
    <n v="30"/>
    <x v="11"/>
    <n v="0"/>
    <n v="8475"/>
    <n v="2500"/>
    <n v="0"/>
    <m/>
    <x v="8"/>
  </r>
  <r>
    <x v="145"/>
    <s v="rom_fact_lothlorien"/>
    <n v="64"/>
    <x v="11"/>
    <n v="0"/>
    <n v="4721"/>
    <n v="2500"/>
    <n v="0"/>
    <m/>
    <x v="9"/>
  </r>
  <r>
    <x v="145"/>
    <s v="rom_fact_khand"/>
    <n v="0"/>
    <x v="11"/>
    <n v="0"/>
    <n v="4919"/>
    <n v="1750"/>
    <n v="0"/>
    <m/>
    <x v="10"/>
  </r>
  <r>
    <x v="145"/>
    <s v="rom_fact_umbar"/>
    <n v="21"/>
    <x v="15"/>
    <n v="242.6"/>
    <n v="606450"/>
    <n v="53882"/>
    <n v="6066"/>
    <m/>
    <x v="11"/>
  </r>
  <r>
    <x v="145"/>
    <s v="rom_fact_mahuds"/>
    <n v="0"/>
    <x v="11"/>
    <n v="0"/>
    <n v="9228"/>
    <n v="1750"/>
    <n v="0"/>
    <m/>
    <x v="12"/>
  </r>
  <r>
    <x v="145"/>
    <s v="rom_fact_harad"/>
    <n v="423"/>
    <x v="18"/>
    <n v="314.8"/>
    <n v="279134"/>
    <n v="51394"/>
    <n v="3730"/>
    <m/>
    <x v="13"/>
  </r>
  <r>
    <x v="145"/>
    <s v="rom_fact_dunland"/>
    <n v="374"/>
    <x v="17"/>
    <n v="233.89999999999901"/>
    <n v="341019"/>
    <n v="51165"/>
    <n v="0"/>
    <m/>
    <x v="14"/>
  </r>
  <r>
    <x v="145"/>
    <s v="rom_fact_haerrim"/>
    <n v="0"/>
    <x v="11"/>
    <n v="0"/>
    <n v="5352"/>
    <n v="1750"/>
    <n v="0"/>
    <m/>
    <x v="15"/>
  </r>
  <r>
    <x v="145"/>
    <s v="rom_fact_goblins"/>
    <n v="666"/>
    <x v="11"/>
    <n v="0"/>
    <n v="128480"/>
    <n v="2500"/>
    <n v="0"/>
    <m/>
    <x v="16"/>
  </r>
  <r>
    <x v="145"/>
    <s v="rom_fact_balchoth"/>
    <n v="0"/>
    <x v="11"/>
    <n v="0"/>
    <n v="4872"/>
    <n v="1750"/>
    <n v="0"/>
    <m/>
    <x v="17"/>
  </r>
  <r>
    <x v="145"/>
    <s v="rom_fact_rhurim"/>
    <n v="698"/>
    <x v="15"/>
    <n v="263"/>
    <n v="460525"/>
    <n v="42741"/>
    <n v="2833"/>
    <m/>
    <x v="18"/>
  </r>
  <r>
    <x v="145"/>
    <s v="rom_fact_feredrim"/>
    <n v="0"/>
    <x v="11"/>
    <n v="0"/>
    <n v="7360"/>
    <n v="1750"/>
    <n v="0"/>
    <m/>
    <x v="19"/>
  </r>
  <r>
    <x v="145"/>
    <s v="rom_fact_wainriders"/>
    <n v="0"/>
    <x v="11"/>
    <n v="0"/>
    <n v="6395"/>
    <n v="1750"/>
    <n v="0"/>
    <m/>
    <x v="20"/>
  </r>
  <r>
    <x v="145"/>
    <s v="rom_fact_blacklock"/>
    <n v="7"/>
    <x v="8"/>
    <n v="79.7"/>
    <n v="30736"/>
    <n v="19032"/>
    <n v="1956"/>
    <m/>
    <x v="21"/>
  </r>
  <r>
    <x v="145"/>
    <s v="rom_fact_ironfist"/>
    <n v="6"/>
    <x v="3"/>
    <n v="51.9"/>
    <n v="26409"/>
    <n v="19945"/>
    <n v="1579"/>
    <m/>
    <x v="22"/>
  </r>
  <r>
    <x v="145"/>
    <s v="rom_fact_gundabad"/>
    <n v="245"/>
    <x v="11"/>
    <n v="0"/>
    <n v="9750"/>
    <n v="2500"/>
    <n v="0"/>
    <m/>
    <x v="23"/>
  </r>
  <r>
    <x v="145"/>
    <s v="rom_fact_rohan_scouts"/>
    <n v="0"/>
    <x v="11"/>
    <n v="3"/>
    <n v="168841"/>
    <n v="2354"/>
    <n v="0"/>
    <m/>
    <x v="24"/>
  </r>
  <r>
    <x v="145"/>
    <s v="rom_fact_northern_enedwaith"/>
    <n v="0"/>
    <x v="11"/>
    <n v="0"/>
    <n v="23466"/>
    <n v="1750"/>
    <n v="0"/>
    <m/>
    <x v="25"/>
  </r>
  <r>
    <x v="145"/>
    <s v="rom_fact_southern_enedwaith"/>
    <n v="0"/>
    <x v="11"/>
    <n v="0"/>
    <n v="54023"/>
    <n v="1750"/>
    <n v="0"/>
    <m/>
    <x v="26"/>
  </r>
  <r>
    <x v="145"/>
    <s v="rom_fact_druedain"/>
    <n v="0"/>
    <x v="11"/>
    <n v="0"/>
    <n v="32146"/>
    <n v="1750"/>
    <n v="0"/>
    <m/>
    <x v="27"/>
  </r>
  <r>
    <x v="145"/>
    <s v="rom_fact_harondor"/>
    <n v="0"/>
    <x v="11"/>
    <n v="0"/>
    <n v="15146"/>
    <n v="1750"/>
    <n v="0"/>
    <m/>
    <x v="28"/>
  </r>
  <r>
    <x v="145"/>
    <s v="rom_fact_southron_nomads"/>
    <n v="0"/>
    <x v="11"/>
    <n v="0"/>
    <n v="4000"/>
    <n v="1750"/>
    <n v="0"/>
    <m/>
    <x v="29"/>
  </r>
  <r>
    <x v="145"/>
    <s v="rom_fact_separatist_harad"/>
    <n v="0"/>
    <x v="11"/>
    <n v="0"/>
    <n v="4000"/>
    <n v="1750"/>
    <n v="0"/>
    <m/>
    <x v="30"/>
  </r>
  <r>
    <x v="145"/>
    <s v="rom_fact_separatist_khand"/>
    <n v="0"/>
    <x v="11"/>
    <n v="0"/>
    <n v="4000"/>
    <n v="1750"/>
    <n v="0"/>
    <m/>
    <x v="30"/>
  </r>
  <r>
    <x v="145"/>
    <s v="rom_fact_separatist_balchoth"/>
    <n v="0"/>
    <x v="11"/>
    <n v="0"/>
    <n v="4000"/>
    <n v="1750"/>
    <n v="0"/>
    <m/>
    <x v="30"/>
  </r>
  <r>
    <x v="145"/>
    <s v="rom_fact_separatist_feredrim"/>
    <n v="0"/>
    <x v="11"/>
    <n v="0"/>
    <n v="4000"/>
    <n v="1750"/>
    <n v="0"/>
    <m/>
    <x v="30"/>
  </r>
  <r>
    <x v="145"/>
    <s v="rom_fact_separatist_haerrim"/>
    <n v="0"/>
    <x v="11"/>
    <n v="0"/>
    <n v="4000"/>
    <n v="1750"/>
    <n v="0"/>
    <m/>
    <x v="30"/>
  </r>
  <r>
    <x v="145"/>
    <s v="rom_fact_separatist_wainriders"/>
    <n v="0"/>
    <x v="11"/>
    <n v="0"/>
    <n v="4000"/>
    <n v="1750"/>
    <n v="0"/>
    <m/>
    <x v="30"/>
  </r>
  <r>
    <x v="145"/>
    <s v="rom_fact_separatist_rhurim"/>
    <n v="0"/>
    <x v="11"/>
    <n v="0"/>
    <n v="4000"/>
    <n v="1750"/>
    <n v="0"/>
    <m/>
    <x v="30"/>
  </r>
  <r>
    <x v="145"/>
    <s v="rom_fact_separatist_mahuds"/>
    <n v="0"/>
    <x v="11"/>
    <n v="0"/>
    <n v="4000"/>
    <n v="1750"/>
    <n v="0"/>
    <m/>
    <x v="30"/>
  </r>
  <r>
    <x v="145"/>
    <s v="rom_fact_separatist_umbar"/>
    <n v="0"/>
    <x v="11"/>
    <n v="0"/>
    <n v="4000"/>
    <n v="1750"/>
    <n v="0"/>
    <m/>
    <x v="30"/>
  </r>
  <r>
    <x v="146"/>
    <s v="rom_fact_mordor"/>
    <n v="839"/>
    <x v="51"/>
    <n v="833.6"/>
    <n v="26605"/>
    <n v="124577"/>
    <n v="11635"/>
    <m/>
    <x v="0"/>
  </r>
  <r>
    <x v="146"/>
    <s v="rom_fact_gondor"/>
    <n v="146"/>
    <x v="11"/>
    <n v="0"/>
    <n v="55420"/>
    <n v="2500"/>
    <n v="0"/>
    <m/>
    <x v="1"/>
  </r>
  <r>
    <x v="146"/>
    <s v="rom_fact_dale"/>
    <n v="199"/>
    <x v="11"/>
    <n v="0"/>
    <n v="10343"/>
    <n v="2500"/>
    <n v="0"/>
    <m/>
    <x v="2"/>
  </r>
  <r>
    <x v="146"/>
    <s v="rom_fact_erebor"/>
    <n v="200"/>
    <x v="11"/>
    <n v="0"/>
    <n v="10040"/>
    <n v="2500"/>
    <n v="0"/>
    <m/>
    <x v="3"/>
  </r>
  <r>
    <x v="146"/>
    <s v="rom_fact_rohan"/>
    <n v="157"/>
    <x v="11"/>
    <n v="0"/>
    <n v="6638"/>
    <n v="2500"/>
    <n v="0"/>
    <m/>
    <x v="4"/>
  </r>
  <r>
    <x v="146"/>
    <s v="rom_fact_dol_guldur"/>
    <n v="573"/>
    <x v="21"/>
    <n v="454.9"/>
    <n v="574860"/>
    <n v="84126"/>
    <n v="7126"/>
    <m/>
    <x v="5"/>
  </r>
  <r>
    <x v="146"/>
    <s v="rom_fact_anduin_vale"/>
    <n v="58"/>
    <x v="11"/>
    <n v="0"/>
    <n v="4515"/>
    <n v="2500"/>
    <n v="0"/>
    <m/>
    <x v="6"/>
  </r>
  <r>
    <x v="146"/>
    <s v="rom_fact_isengard"/>
    <n v="329"/>
    <x v="11"/>
    <n v="0"/>
    <n v="23007"/>
    <n v="2500"/>
    <n v="0"/>
    <m/>
    <x v="7"/>
  </r>
  <r>
    <x v="146"/>
    <s v="rom_fact_woodland_realm"/>
    <n v="30"/>
    <x v="11"/>
    <n v="0"/>
    <n v="8475"/>
    <n v="2500"/>
    <n v="0"/>
    <m/>
    <x v="8"/>
  </r>
  <r>
    <x v="146"/>
    <s v="rom_fact_lothlorien"/>
    <n v="64"/>
    <x v="11"/>
    <n v="0"/>
    <n v="4721"/>
    <n v="2500"/>
    <n v="0"/>
    <m/>
    <x v="9"/>
  </r>
  <r>
    <x v="146"/>
    <s v="rom_fact_khand"/>
    <n v="0"/>
    <x v="11"/>
    <n v="0"/>
    <n v="4919"/>
    <n v="1750"/>
    <n v="0"/>
    <m/>
    <x v="10"/>
  </r>
  <r>
    <x v="146"/>
    <s v="rom_fact_umbar"/>
    <n v="21"/>
    <x v="15"/>
    <n v="249.6"/>
    <n v="631318"/>
    <n v="55024"/>
    <n v="6074"/>
    <m/>
    <x v="11"/>
  </r>
  <r>
    <x v="146"/>
    <s v="rom_fact_mahuds"/>
    <n v="0"/>
    <x v="11"/>
    <n v="0"/>
    <n v="9228"/>
    <n v="1750"/>
    <n v="0"/>
    <m/>
    <x v="12"/>
  </r>
  <r>
    <x v="146"/>
    <s v="rom_fact_harad"/>
    <n v="435"/>
    <x v="18"/>
    <n v="329.3"/>
    <n v="306072"/>
    <n v="53216"/>
    <n v="4114"/>
    <m/>
    <x v="13"/>
  </r>
  <r>
    <x v="146"/>
    <s v="rom_fact_dunland"/>
    <n v="382"/>
    <x v="17"/>
    <n v="198.6"/>
    <n v="335064"/>
    <n v="40823"/>
    <n v="0"/>
    <m/>
    <x v="14"/>
  </r>
  <r>
    <x v="146"/>
    <s v="rom_fact_haerrim"/>
    <n v="0"/>
    <x v="11"/>
    <n v="0"/>
    <n v="5352"/>
    <n v="1750"/>
    <n v="0"/>
    <m/>
    <x v="15"/>
  </r>
  <r>
    <x v="146"/>
    <s v="rom_fact_goblins"/>
    <n v="666"/>
    <x v="11"/>
    <n v="0"/>
    <n v="128480"/>
    <n v="2500"/>
    <n v="0"/>
    <m/>
    <x v="16"/>
  </r>
  <r>
    <x v="146"/>
    <s v="rom_fact_balchoth"/>
    <n v="0"/>
    <x v="11"/>
    <n v="0"/>
    <n v="4872"/>
    <n v="1750"/>
    <n v="0"/>
    <m/>
    <x v="17"/>
  </r>
  <r>
    <x v="146"/>
    <s v="rom_fact_rhurim"/>
    <n v="698"/>
    <x v="15"/>
    <n v="285.39999999999998"/>
    <n v="449269"/>
    <n v="45007"/>
    <n v="2850"/>
    <m/>
    <x v="18"/>
  </r>
  <r>
    <x v="146"/>
    <s v="rom_fact_feredrim"/>
    <n v="0"/>
    <x v="11"/>
    <n v="0"/>
    <n v="7360"/>
    <n v="1750"/>
    <n v="0"/>
    <m/>
    <x v="19"/>
  </r>
  <r>
    <x v="146"/>
    <s v="rom_fact_wainriders"/>
    <n v="0"/>
    <x v="11"/>
    <n v="0"/>
    <n v="6395"/>
    <n v="1750"/>
    <n v="0"/>
    <m/>
    <x v="20"/>
  </r>
  <r>
    <x v="146"/>
    <s v="rom_fact_blacklock"/>
    <n v="7"/>
    <x v="8"/>
    <n v="82"/>
    <n v="29973"/>
    <n v="21464"/>
    <n v="2010"/>
    <m/>
    <x v="21"/>
  </r>
  <r>
    <x v="146"/>
    <s v="rom_fact_ironfist"/>
    <n v="6"/>
    <x v="3"/>
    <n v="52.9"/>
    <n v="24303"/>
    <n v="17878"/>
    <n v="1696"/>
    <m/>
    <x v="22"/>
  </r>
  <r>
    <x v="146"/>
    <s v="rom_fact_gundabad"/>
    <n v="245"/>
    <x v="11"/>
    <n v="0"/>
    <n v="9750"/>
    <n v="2500"/>
    <n v="0"/>
    <m/>
    <x v="23"/>
  </r>
  <r>
    <x v="146"/>
    <s v="rom_fact_rohan_scouts"/>
    <n v="0"/>
    <x v="11"/>
    <n v="3"/>
    <n v="169987"/>
    <n v="2354"/>
    <n v="0"/>
    <m/>
    <x v="24"/>
  </r>
  <r>
    <x v="146"/>
    <s v="rom_fact_northern_enedwaith"/>
    <n v="0"/>
    <x v="11"/>
    <n v="0"/>
    <n v="23466"/>
    <n v="1750"/>
    <n v="0"/>
    <m/>
    <x v="25"/>
  </r>
  <r>
    <x v="146"/>
    <s v="rom_fact_southern_enedwaith"/>
    <n v="0"/>
    <x v="11"/>
    <n v="0"/>
    <n v="54023"/>
    <n v="1750"/>
    <n v="0"/>
    <m/>
    <x v="26"/>
  </r>
  <r>
    <x v="146"/>
    <s v="rom_fact_druedain"/>
    <n v="0"/>
    <x v="11"/>
    <n v="0"/>
    <n v="32146"/>
    <n v="1750"/>
    <n v="0"/>
    <m/>
    <x v="27"/>
  </r>
  <r>
    <x v="146"/>
    <s v="rom_fact_harondor"/>
    <n v="0"/>
    <x v="11"/>
    <n v="0"/>
    <n v="15146"/>
    <n v="1750"/>
    <n v="0"/>
    <m/>
    <x v="28"/>
  </r>
  <r>
    <x v="146"/>
    <s v="rom_fact_southron_nomads"/>
    <n v="0"/>
    <x v="11"/>
    <n v="0"/>
    <n v="4000"/>
    <n v="1750"/>
    <n v="0"/>
    <m/>
    <x v="29"/>
  </r>
  <r>
    <x v="146"/>
    <s v="rom_fact_separatist_harad"/>
    <n v="0"/>
    <x v="11"/>
    <n v="0"/>
    <n v="4000"/>
    <n v="1750"/>
    <n v="0"/>
    <m/>
    <x v="30"/>
  </r>
  <r>
    <x v="146"/>
    <s v="rom_fact_separatist_khand"/>
    <n v="0"/>
    <x v="11"/>
    <n v="0"/>
    <n v="4000"/>
    <n v="1750"/>
    <n v="0"/>
    <m/>
    <x v="30"/>
  </r>
  <r>
    <x v="146"/>
    <s v="rom_fact_separatist_balchoth"/>
    <n v="0"/>
    <x v="11"/>
    <n v="0"/>
    <n v="4000"/>
    <n v="1750"/>
    <n v="0"/>
    <m/>
    <x v="30"/>
  </r>
  <r>
    <x v="146"/>
    <s v="rom_fact_separatist_feredrim"/>
    <n v="0"/>
    <x v="11"/>
    <n v="0"/>
    <n v="4000"/>
    <n v="1750"/>
    <n v="0"/>
    <m/>
    <x v="30"/>
  </r>
  <r>
    <x v="146"/>
    <s v="rom_fact_separatist_haerrim"/>
    <n v="0"/>
    <x v="11"/>
    <n v="0"/>
    <n v="4000"/>
    <n v="1750"/>
    <n v="0"/>
    <m/>
    <x v="30"/>
  </r>
  <r>
    <x v="146"/>
    <s v="rom_fact_separatist_wainriders"/>
    <n v="0"/>
    <x v="11"/>
    <n v="0"/>
    <n v="4000"/>
    <n v="1750"/>
    <n v="0"/>
    <m/>
    <x v="30"/>
  </r>
  <r>
    <x v="146"/>
    <s v="rom_fact_separatist_rhurim"/>
    <n v="0"/>
    <x v="11"/>
    <n v="0"/>
    <n v="4000"/>
    <n v="1750"/>
    <n v="0"/>
    <m/>
    <x v="30"/>
  </r>
  <r>
    <x v="146"/>
    <s v="rom_fact_separatist_mahuds"/>
    <n v="0"/>
    <x v="11"/>
    <n v="0"/>
    <n v="4000"/>
    <n v="1750"/>
    <n v="0"/>
    <m/>
    <x v="30"/>
  </r>
  <r>
    <x v="146"/>
    <s v="rom_fact_separatist_umbar"/>
    <n v="0"/>
    <x v="11"/>
    <n v="0"/>
    <n v="4000"/>
    <n v="1750"/>
    <n v="0"/>
    <m/>
    <x v="30"/>
  </r>
  <r>
    <x v="147"/>
    <s v="rom_fact_mordor"/>
    <n v="881"/>
    <x v="52"/>
    <n v="843.6"/>
    <n v="28991"/>
    <n v="127629"/>
    <n v="12441"/>
    <m/>
    <x v="0"/>
  </r>
  <r>
    <x v="147"/>
    <s v="rom_fact_gondor"/>
    <n v="146"/>
    <x v="11"/>
    <n v="0"/>
    <n v="55420"/>
    <n v="2500"/>
    <n v="0"/>
    <m/>
    <x v="1"/>
  </r>
  <r>
    <x v="147"/>
    <s v="rom_fact_dale"/>
    <n v="199"/>
    <x v="11"/>
    <n v="0"/>
    <n v="10343"/>
    <n v="2500"/>
    <n v="0"/>
    <m/>
    <x v="2"/>
  </r>
  <r>
    <x v="147"/>
    <s v="rom_fact_erebor"/>
    <n v="200"/>
    <x v="11"/>
    <n v="0"/>
    <n v="10040"/>
    <n v="2500"/>
    <n v="0"/>
    <m/>
    <x v="3"/>
  </r>
  <r>
    <x v="147"/>
    <s v="rom_fact_rohan"/>
    <n v="157"/>
    <x v="11"/>
    <n v="0"/>
    <n v="6638"/>
    <n v="2500"/>
    <n v="0"/>
    <m/>
    <x v="4"/>
  </r>
  <r>
    <x v="147"/>
    <s v="rom_fact_dol_guldur"/>
    <n v="573"/>
    <x v="21"/>
    <n v="457.9"/>
    <n v="602805"/>
    <n v="83799"/>
    <n v="7241"/>
    <m/>
    <x v="5"/>
  </r>
  <r>
    <x v="147"/>
    <s v="rom_fact_anduin_vale"/>
    <n v="58"/>
    <x v="11"/>
    <n v="0"/>
    <n v="4515"/>
    <n v="2500"/>
    <n v="0"/>
    <m/>
    <x v="6"/>
  </r>
  <r>
    <x v="147"/>
    <s v="rom_fact_isengard"/>
    <n v="329"/>
    <x v="11"/>
    <n v="0"/>
    <n v="23007"/>
    <n v="2500"/>
    <n v="0"/>
    <m/>
    <x v="7"/>
  </r>
  <r>
    <x v="147"/>
    <s v="rom_fact_woodland_realm"/>
    <n v="30"/>
    <x v="11"/>
    <n v="0"/>
    <n v="8475"/>
    <n v="2500"/>
    <n v="0"/>
    <m/>
    <x v="8"/>
  </r>
  <r>
    <x v="147"/>
    <s v="rom_fact_lothlorien"/>
    <n v="64"/>
    <x v="11"/>
    <n v="0"/>
    <n v="4721"/>
    <n v="2500"/>
    <n v="0"/>
    <m/>
    <x v="9"/>
  </r>
  <r>
    <x v="147"/>
    <s v="rom_fact_khand"/>
    <n v="0"/>
    <x v="11"/>
    <n v="0"/>
    <n v="4919"/>
    <n v="1750"/>
    <n v="0"/>
    <m/>
    <x v="10"/>
  </r>
  <r>
    <x v="147"/>
    <s v="rom_fact_umbar"/>
    <n v="21"/>
    <x v="15"/>
    <n v="239.4"/>
    <n v="655890"/>
    <n v="58630"/>
    <n v="6112"/>
    <m/>
    <x v="11"/>
  </r>
  <r>
    <x v="147"/>
    <s v="rom_fact_mahuds"/>
    <n v="0"/>
    <x v="11"/>
    <n v="0"/>
    <n v="9228"/>
    <n v="1750"/>
    <n v="0"/>
    <m/>
    <x v="12"/>
  </r>
  <r>
    <x v="147"/>
    <s v="rom_fact_harad"/>
    <n v="435"/>
    <x v="18"/>
    <n v="335.5"/>
    <n v="302915"/>
    <n v="55368"/>
    <n v="4183"/>
    <m/>
    <x v="13"/>
  </r>
  <r>
    <x v="147"/>
    <s v="rom_fact_dunland"/>
    <n v="390"/>
    <x v="13"/>
    <n v="177.5"/>
    <n v="287063"/>
    <n v="39744"/>
    <n v="0"/>
    <m/>
    <x v="14"/>
  </r>
  <r>
    <x v="147"/>
    <s v="rom_fact_haerrim"/>
    <n v="0"/>
    <x v="11"/>
    <n v="0"/>
    <n v="5352"/>
    <n v="1750"/>
    <n v="0"/>
    <m/>
    <x v="15"/>
  </r>
  <r>
    <x v="147"/>
    <s v="rom_fact_goblins"/>
    <n v="666"/>
    <x v="11"/>
    <n v="0"/>
    <n v="128480"/>
    <n v="2500"/>
    <n v="0"/>
    <m/>
    <x v="16"/>
  </r>
  <r>
    <x v="147"/>
    <s v="rom_fact_balchoth"/>
    <n v="0"/>
    <x v="11"/>
    <n v="0"/>
    <n v="4872"/>
    <n v="1750"/>
    <n v="0"/>
    <m/>
    <x v="17"/>
  </r>
  <r>
    <x v="147"/>
    <s v="rom_fact_rhurim"/>
    <n v="705"/>
    <x v="4"/>
    <n v="275.3"/>
    <n v="461431"/>
    <n v="42959"/>
    <n v="2851"/>
    <m/>
    <x v="18"/>
  </r>
  <r>
    <x v="147"/>
    <s v="rom_fact_feredrim"/>
    <n v="0"/>
    <x v="11"/>
    <n v="0"/>
    <n v="7360"/>
    <n v="1750"/>
    <n v="0"/>
    <m/>
    <x v="19"/>
  </r>
  <r>
    <x v="147"/>
    <s v="rom_fact_wainriders"/>
    <n v="0"/>
    <x v="11"/>
    <n v="0"/>
    <n v="6395"/>
    <n v="1750"/>
    <n v="0"/>
    <m/>
    <x v="20"/>
  </r>
  <r>
    <x v="147"/>
    <s v="rom_fact_blacklock"/>
    <n v="7"/>
    <x v="8"/>
    <n v="84.2"/>
    <n v="37616"/>
    <n v="20512"/>
    <n v="2075"/>
    <m/>
    <x v="21"/>
  </r>
  <r>
    <x v="147"/>
    <s v="rom_fact_ironfist"/>
    <n v="7"/>
    <x v="9"/>
    <n v="54"/>
    <n v="26926"/>
    <n v="22344"/>
    <n v="1806"/>
    <m/>
    <x v="22"/>
  </r>
  <r>
    <x v="147"/>
    <s v="rom_fact_gundabad"/>
    <n v="245"/>
    <x v="11"/>
    <n v="0"/>
    <n v="9750"/>
    <n v="2500"/>
    <n v="0"/>
    <m/>
    <x v="23"/>
  </r>
  <r>
    <x v="147"/>
    <s v="rom_fact_rohan_scouts"/>
    <n v="0"/>
    <x v="11"/>
    <n v="3"/>
    <n v="171133"/>
    <n v="2354"/>
    <n v="0"/>
    <m/>
    <x v="24"/>
  </r>
  <r>
    <x v="147"/>
    <s v="rom_fact_northern_enedwaith"/>
    <n v="0"/>
    <x v="11"/>
    <n v="0"/>
    <n v="23466"/>
    <n v="1750"/>
    <n v="0"/>
    <m/>
    <x v="25"/>
  </r>
  <r>
    <x v="147"/>
    <s v="rom_fact_southern_enedwaith"/>
    <n v="0"/>
    <x v="11"/>
    <n v="0"/>
    <n v="54023"/>
    <n v="1750"/>
    <n v="0"/>
    <m/>
    <x v="26"/>
  </r>
  <r>
    <x v="147"/>
    <s v="rom_fact_druedain"/>
    <n v="0"/>
    <x v="11"/>
    <n v="0"/>
    <n v="32146"/>
    <n v="1750"/>
    <n v="0"/>
    <m/>
    <x v="27"/>
  </r>
  <r>
    <x v="147"/>
    <s v="rom_fact_harondor"/>
    <n v="0"/>
    <x v="11"/>
    <n v="0"/>
    <n v="15146"/>
    <n v="1750"/>
    <n v="0"/>
    <m/>
    <x v="28"/>
  </r>
  <r>
    <x v="147"/>
    <s v="rom_fact_southron_nomads"/>
    <n v="0"/>
    <x v="11"/>
    <n v="0"/>
    <n v="4000"/>
    <n v="1750"/>
    <n v="0"/>
    <m/>
    <x v="29"/>
  </r>
  <r>
    <x v="147"/>
    <s v="rom_fact_separatist_harad"/>
    <n v="0"/>
    <x v="11"/>
    <n v="0"/>
    <n v="4000"/>
    <n v="1750"/>
    <n v="0"/>
    <m/>
    <x v="30"/>
  </r>
  <r>
    <x v="147"/>
    <s v="rom_fact_separatist_khand"/>
    <n v="0"/>
    <x v="11"/>
    <n v="0"/>
    <n v="4000"/>
    <n v="1750"/>
    <n v="0"/>
    <m/>
    <x v="30"/>
  </r>
  <r>
    <x v="147"/>
    <s v="rom_fact_separatist_balchoth"/>
    <n v="0"/>
    <x v="11"/>
    <n v="0"/>
    <n v="4000"/>
    <n v="1750"/>
    <n v="0"/>
    <m/>
    <x v="30"/>
  </r>
  <r>
    <x v="147"/>
    <s v="rom_fact_separatist_feredrim"/>
    <n v="0"/>
    <x v="11"/>
    <n v="0"/>
    <n v="4000"/>
    <n v="1750"/>
    <n v="0"/>
    <m/>
    <x v="30"/>
  </r>
  <r>
    <x v="147"/>
    <s v="rom_fact_separatist_haerrim"/>
    <n v="0"/>
    <x v="11"/>
    <n v="0"/>
    <n v="4000"/>
    <n v="1750"/>
    <n v="0"/>
    <m/>
    <x v="30"/>
  </r>
  <r>
    <x v="147"/>
    <s v="rom_fact_separatist_wainriders"/>
    <n v="0"/>
    <x v="11"/>
    <n v="0"/>
    <n v="4000"/>
    <n v="1750"/>
    <n v="0"/>
    <m/>
    <x v="30"/>
  </r>
  <r>
    <x v="147"/>
    <s v="rom_fact_separatist_rhurim"/>
    <n v="0"/>
    <x v="11"/>
    <n v="0"/>
    <n v="4000"/>
    <n v="1750"/>
    <n v="0"/>
    <m/>
    <x v="30"/>
  </r>
  <r>
    <x v="147"/>
    <s v="rom_fact_separatist_mahuds"/>
    <n v="0"/>
    <x v="11"/>
    <n v="0"/>
    <n v="4000"/>
    <n v="1750"/>
    <n v="0"/>
    <m/>
    <x v="30"/>
  </r>
  <r>
    <x v="147"/>
    <s v="rom_fact_separatist_umbar"/>
    <n v="0"/>
    <x v="11"/>
    <n v="0"/>
    <n v="4000"/>
    <n v="1750"/>
    <n v="0"/>
    <m/>
    <x v="30"/>
  </r>
  <r>
    <x v="148"/>
    <s v="rom_fact_mordor"/>
    <n v="939"/>
    <x v="52"/>
    <n v="860.6"/>
    <n v="1532"/>
    <n v="127308"/>
    <n v="12427"/>
    <m/>
    <x v="0"/>
  </r>
  <r>
    <x v="148"/>
    <s v="rom_fact_gondor"/>
    <n v="146"/>
    <x v="11"/>
    <n v="0"/>
    <n v="55420"/>
    <n v="2500"/>
    <n v="0"/>
    <m/>
    <x v="1"/>
  </r>
  <r>
    <x v="148"/>
    <s v="rom_fact_dale"/>
    <n v="199"/>
    <x v="11"/>
    <n v="0"/>
    <n v="10343"/>
    <n v="2500"/>
    <n v="0"/>
    <m/>
    <x v="2"/>
  </r>
  <r>
    <x v="148"/>
    <s v="rom_fact_erebor"/>
    <n v="200"/>
    <x v="11"/>
    <n v="0"/>
    <n v="10040"/>
    <n v="2500"/>
    <n v="0"/>
    <m/>
    <x v="3"/>
  </r>
  <r>
    <x v="148"/>
    <s v="rom_fact_rohan"/>
    <n v="157"/>
    <x v="11"/>
    <n v="0"/>
    <n v="6638"/>
    <n v="2500"/>
    <n v="0"/>
    <m/>
    <x v="4"/>
  </r>
  <r>
    <x v="148"/>
    <s v="rom_fact_dol_guldur"/>
    <n v="573"/>
    <x v="21"/>
    <n v="454.2"/>
    <n v="640974"/>
    <n v="78176"/>
    <n v="7483"/>
    <m/>
    <x v="5"/>
  </r>
  <r>
    <x v="148"/>
    <s v="rom_fact_anduin_vale"/>
    <n v="58"/>
    <x v="11"/>
    <n v="0"/>
    <n v="4515"/>
    <n v="2500"/>
    <n v="0"/>
    <m/>
    <x v="6"/>
  </r>
  <r>
    <x v="148"/>
    <s v="rom_fact_isengard"/>
    <n v="329"/>
    <x v="11"/>
    <n v="0"/>
    <n v="23007"/>
    <n v="2500"/>
    <n v="0"/>
    <m/>
    <x v="7"/>
  </r>
  <r>
    <x v="148"/>
    <s v="rom_fact_woodland_realm"/>
    <n v="30"/>
    <x v="11"/>
    <n v="0"/>
    <n v="8475"/>
    <n v="2500"/>
    <n v="0"/>
    <m/>
    <x v="8"/>
  </r>
  <r>
    <x v="148"/>
    <s v="rom_fact_lothlorien"/>
    <n v="64"/>
    <x v="11"/>
    <n v="0"/>
    <n v="4721"/>
    <n v="2500"/>
    <n v="0"/>
    <m/>
    <x v="9"/>
  </r>
  <r>
    <x v="148"/>
    <s v="rom_fact_khand"/>
    <n v="0"/>
    <x v="11"/>
    <n v="0"/>
    <n v="4919"/>
    <n v="1750"/>
    <n v="0"/>
    <m/>
    <x v="10"/>
  </r>
  <r>
    <x v="148"/>
    <s v="rom_fact_umbar"/>
    <n v="21"/>
    <x v="15"/>
    <n v="240.2"/>
    <n v="673547"/>
    <n v="54899"/>
    <n v="6102"/>
    <m/>
    <x v="11"/>
  </r>
  <r>
    <x v="148"/>
    <s v="rom_fact_mahuds"/>
    <n v="0"/>
    <x v="11"/>
    <n v="0"/>
    <n v="9228"/>
    <n v="1750"/>
    <n v="0"/>
    <m/>
    <x v="12"/>
  </r>
  <r>
    <x v="148"/>
    <s v="rom_fact_harad"/>
    <n v="435"/>
    <x v="18"/>
    <n v="339.5"/>
    <n v="282114"/>
    <n v="56300"/>
    <n v="4169"/>
    <m/>
    <x v="13"/>
  </r>
  <r>
    <x v="148"/>
    <s v="rom_fact_dunland"/>
    <n v="390"/>
    <x v="13"/>
    <n v="167.6"/>
    <n v="279182"/>
    <n v="37326"/>
    <n v="0"/>
    <m/>
    <x v="14"/>
  </r>
  <r>
    <x v="148"/>
    <s v="rom_fact_haerrim"/>
    <n v="0"/>
    <x v="11"/>
    <n v="0"/>
    <n v="5352"/>
    <n v="1750"/>
    <n v="0"/>
    <m/>
    <x v="15"/>
  </r>
  <r>
    <x v="148"/>
    <s v="rom_fact_goblins"/>
    <n v="666"/>
    <x v="11"/>
    <n v="0"/>
    <n v="128480"/>
    <n v="2500"/>
    <n v="0"/>
    <m/>
    <x v="16"/>
  </r>
  <r>
    <x v="148"/>
    <s v="rom_fact_balchoth"/>
    <n v="0"/>
    <x v="11"/>
    <n v="0"/>
    <n v="4872"/>
    <n v="1750"/>
    <n v="0"/>
    <m/>
    <x v="17"/>
  </r>
  <r>
    <x v="148"/>
    <s v="rom_fact_rhurim"/>
    <n v="705"/>
    <x v="4"/>
    <n v="255.6"/>
    <n v="469796"/>
    <n v="41571"/>
    <n v="2949"/>
    <m/>
    <x v="18"/>
  </r>
  <r>
    <x v="148"/>
    <s v="rom_fact_feredrim"/>
    <n v="0"/>
    <x v="11"/>
    <n v="0"/>
    <n v="7360"/>
    <n v="1750"/>
    <n v="0"/>
    <m/>
    <x v="19"/>
  </r>
  <r>
    <x v="148"/>
    <s v="rom_fact_wainriders"/>
    <n v="0"/>
    <x v="11"/>
    <n v="0"/>
    <n v="6395"/>
    <n v="1750"/>
    <n v="0"/>
    <m/>
    <x v="20"/>
  </r>
  <r>
    <x v="148"/>
    <s v="rom_fact_blacklock"/>
    <n v="7"/>
    <x v="8"/>
    <n v="87.8"/>
    <n v="30698"/>
    <n v="20804"/>
    <n v="2070"/>
    <m/>
    <x v="21"/>
  </r>
  <r>
    <x v="148"/>
    <s v="rom_fact_ironfist"/>
    <n v="7"/>
    <x v="9"/>
    <n v="58"/>
    <n v="25118"/>
    <n v="21570"/>
    <n v="1878"/>
    <m/>
    <x v="22"/>
  </r>
  <r>
    <x v="148"/>
    <s v="rom_fact_gundabad"/>
    <n v="245"/>
    <x v="11"/>
    <n v="0"/>
    <n v="9750"/>
    <n v="2500"/>
    <n v="0"/>
    <m/>
    <x v="23"/>
  </r>
  <r>
    <x v="148"/>
    <s v="rom_fact_rohan_scouts"/>
    <n v="0"/>
    <x v="11"/>
    <n v="3"/>
    <n v="172279"/>
    <n v="2354"/>
    <n v="0"/>
    <m/>
    <x v="24"/>
  </r>
  <r>
    <x v="148"/>
    <s v="rom_fact_northern_enedwaith"/>
    <n v="0"/>
    <x v="11"/>
    <n v="0"/>
    <n v="23466"/>
    <n v="1750"/>
    <n v="0"/>
    <m/>
    <x v="25"/>
  </r>
  <r>
    <x v="148"/>
    <s v="rom_fact_southern_enedwaith"/>
    <n v="0"/>
    <x v="11"/>
    <n v="0"/>
    <n v="54023"/>
    <n v="1750"/>
    <n v="0"/>
    <m/>
    <x v="26"/>
  </r>
  <r>
    <x v="148"/>
    <s v="rom_fact_druedain"/>
    <n v="0"/>
    <x v="11"/>
    <n v="0"/>
    <n v="32146"/>
    <n v="1750"/>
    <n v="0"/>
    <m/>
    <x v="27"/>
  </r>
  <r>
    <x v="148"/>
    <s v="rom_fact_harondor"/>
    <n v="0"/>
    <x v="11"/>
    <n v="0"/>
    <n v="15146"/>
    <n v="1750"/>
    <n v="0"/>
    <m/>
    <x v="28"/>
  </r>
  <r>
    <x v="148"/>
    <s v="rom_fact_southron_nomads"/>
    <n v="0"/>
    <x v="11"/>
    <n v="0"/>
    <n v="4000"/>
    <n v="1750"/>
    <n v="0"/>
    <m/>
    <x v="29"/>
  </r>
  <r>
    <x v="148"/>
    <s v="rom_fact_separatist_harad"/>
    <n v="0"/>
    <x v="11"/>
    <n v="0"/>
    <n v="4000"/>
    <n v="1750"/>
    <n v="0"/>
    <m/>
    <x v="30"/>
  </r>
  <r>
    <x v="148"/>
    <s v="rom_fact_separatist_khand"/>
    <n v="0"/>
    <x v="11"/>
    <n v="0"/>
    <n v="4000"/>
    <n v="1750"/>
    <n v="0"/>
    <m/>
    <x v="30"/>
  </r>
  <r>
    <x v="148"/>
    <s v="rom_fact_separatist_balchoth"/>
    <n v="0"/>
    <x v="11"/>
    <n v="0"/>
    <n v="4000"/>
    <n v="1750"/>
    <n v="0"/>
    <m/>
    <x v="30"/>
  </r>
  <r>
    <x v="148"/>
    <s v="rom_fact_separatist_feredrim"/>
    <n v="0"/>
    <x v="11"/>
    <n v="0"/>
    <n v="4000"/>
    <n v="1750"/>
    <n v="0"/>
    <m/>
    <x v="30"/>
  </r>
  <r>
    <x v="148"/>
    <s v="rom_fact_separatist_haerrim"/>
    <n v="0"/>
    <x v="11"/>
    <n v="0"/>
    <n v="4000"/>
    <n v="1750"/>
    <n v="0"/>
    <m/>
    <x v="30"/>
  </r>
  <r>
    <x v="148"/>
    <s v="rom_fact_separatist_wainriders"/>
    <n v="0"/>
    <x v="11"/>
    <n v="0"/>
    <n v="4000"/>
    <n v="1750"/>
    <n v="0"/>
    <m/>
    <x v="30"/>
  </r>
  <r>
    <x v="148"/>
    <s v="rom_fact_separatist_rhurim"/>
    <n v="0"/>
    <x v="11"/>
    <n v="0"/>
    <n v="4000"/>
    <n v="1750"/>
    <n v="0"/>
    <m/>
    <x v="30"/>
  </r>
  <r>
    <x v="148"/>
    <s v="rom_fact_separatist_mahuds"/>
    <n v="0"/>
    <x v="11"/>
    <n v="0"/>
    <n v="4000"/>
    <n v="1750"/>
    <n v="0"/>
    <m/>
    <x v="30"/>
  </r>
  <r>
    <x v="148"/>
    <s v="rom_fact_separatist_umbar"/>
    <n v="0"/>
    <x v="11"/>
    <n v="0"/>
    <n v="4000"/>
    <n v="1750"/>
    <n v="0"/>
    <m/>
    <x v="30"/>
  </r>
  <r>
    <x v="149"/>
    <s v="rom_fact_mordor"/>
    <n v="1034"/>
    <x v="52"/>
    <n v="880.6"/>
    <n v="28280"/>
    <n v="128985"/>
    <n v="12454"/>
    <m/>
    <x v="0"/>
  </r>
  <r>
    <x v="149"/>
    <s v="rom_fact_gondor"/>
    <n v="146"/>
    <x v="11"/>
    <n v="0"/>
    <n v="55420"/>
    <n v="2500"/>
    <n v="0"/>
    <m/>
    <x v="1"/>
  </r>
  <r>
    <x v="149"/>
    <s v="rom_fact_dale"/>
    <n v="199"/>
    <x v="11"/>
    <n v="0"/>
    <n v="10343"/>
    <n v="2500"/>
    <n v="0"/>
    <m/>
    <x v="2"/>
  </r>
  <r>
    <x v="149"/>
    <s v="rom_fact_erebor"/>
    <n v="200"/>
    <x v="11"/>
    <n v="0"/>
    <n v="10040"/>
    <n v="2500"/>
    <n v="0"/>
    <m/>
    <x v="3"/>
  </r>
  <r>
    <x v="149"/>
    <s v="rom_fact_rohan"/>
    <n v="157"/>
    <x v="11"/>
    <n v="0"/>
    <n v="6638"/>
    <n v="2500"/>
    <n v="0"/>
    <m/>
    <x v="4"/>
  </r>
  <r>
    <x v="149"/>
    <s v="rom_fact_dol_guldur"/>
    <n v="573"/>
    <x v="21"/>
    <n v="428.79999999999899"/>
    <n v="679104"/>
    <n v="78656"/>
    <n v="6405"/>
    <m/>
    <x v="5"/>
  </r>
  <r>
    <x v="149"/>
    <s v="rom_fact_anduin_vale"/>
    <n v="58"/>
    <x v="11"/>
    <n v="0"/>
    <n v="4515"/>
    <n v="2500"/>
    <n v="0"/>
    <m/>
    <x v="6"/>
  </r>
  <r>
    <x v="149"/>
    <s v="rom_fact_isengard"/>
    <n v="329"/>
    <x v="11"/>
    <n v="0"/>
    <n v="23007"/>
    <n v="2500"/>
    <n v="0"/>
    <m/>
    <x v="7"/>
  </r>
  <r>
    <x v="149"/>
    <s v="rom_fact_woodland_realm"/>
    <n v="30"/>
    <x v="11"/>
    <n v="0"/>
    <n v="8475"/>
    <n v="2500"/>
    <n v="0"/>
    <m/>
    <x v="8"/>
  </r>
  <r>
    <x v="149"/>
    <s v="rom_fact_lothlorien"/>
    <n v="64"/>
    <x v="11"/>
    <n v="0"/>
    <n v="4721"/>
    <n v="2500"/>
    <n v="0"/>
    <m/>
    <x v="9"/>
  </r>
  <r>
    <x v="149"/>
    <s v="rom_fact_khand"/>
    <n v="0"/>
    <x v="11"/>
    <n v="0"/>
    <n v="4919"/>
    <n v="1750"/>
    <n v="0"/>
    <m/>
    <x v="10"/>
  </r>
  <r>
    <x v="149"/>
    <s v="rom_fact_umbar"/>
    <n v="21"/>
    <x v="15"/>
    <n v="245.8"/>
    <n v="689089"/>
    <n v="55038"/>
    <n v="6125"/>
    <m/>
    <x v="11"/>
  </r>
  <r>
    <x v="149"/>
    <s v="rom_fact_mahuds"/>
    <n v="0"/>
    <x v="11"/>
    <n v="0"/>
    <n v="9228"/>
    <n v="1750"/>
    <n v="0"/>
    <m/>
    <x v="12"/>
  </r>
  <r>
    <x v="149"/>
    <s v="rom_fact_harad"/>
    <n v="439"/>
    <x v="18"/>
    <n v="346.5"/>
    <n v="279931"/>
    <n v="57860"/>
    <n v="4060"/>
    <m/>
    <x v="13"/>
  </r>
  <r>
    <x v="149"/>
    <s v="rom_fact_dunland"/>
    <n v="399"/>
    <x v="13"/>
    <n v="174.2"/>
    <n v="240635"/>
    <n v="39717"/>
    <n v="0"/>
    <m/>
    <x v="14"/>
  </r>
  <r>
    <x v="149"/>
    <s v="rom_fact_haerrim"/>
    <n v="0"/>
    <x v="11"/>
    <n v="0"/>
    <n v="5352"/>
    <n v="1750"/>
    <n v="0"/>
    <m/>
    <x v="15"/>
  </r>
  <r>
    <x v="149"/>
    <s v="rom_fact_goblins"/>
    <n v="666"/>
    <x v="11"/>
    <n v="0"/>
    <n v="128480"/>
    <n v="2500"/>
    <n v="0"/>
    <m/>
    <x v="16"/>
  </r>
  <r>
    <x v="149"/>
    <s v="rom_fact_balchoth"/>
    <n v="0"/>
    <x v="11"/>
    <n v="0"/>
    <n v="4872"/>
    <n v="1750"/>
    <n v="0"/>
    <m/>
    <x v="17"/>
  </r>
  <r>
    <x v="149"/>
    <s v="rom_fact_rhurim"/>
    <n v="718"/>
    <x v="4"/>
    <n v="218.5"/>
    <n v="439653"/>
    <n v="37265"/>
    <n v="0"/>
    <m/>
    <x v="18"/>
  </r>
  <r>
    <x v="149"/>
    <s v="rom_fact_feredrim"/>
    <n v="0"/>
    <x v="11"/>
    <n v="0"/>
    <n v="7360"/>
    <n v="1750"/>
    <n v="0"/>
    <m/>
    <x v="19"/>
  </r>
  <r>
    <x v="149"/>
    <s v="rom_fact_wainriders"/>
    <n v="0"/>
    <x v="11"/>
    <n v="0"/>
    <n v="6395"/>
    <n v="1750"/>
    <n v="0"/>
    <m/>
    <x v="20"/>
  </r>
  <r>
    <x v="149"/>
    <s v="rom_fact_blacklock"/>
    <n v="7"/>
    <x v="8"/>
    <n v="92.499999999999901"/>
    <n v="40270"/>
    <n v="22663"/>
    <n v="2094"/>
    <m/>
    <x v="21"/>
  </r>
  <r>
    <x v="149"/>
    <s v="rom_fact_ironfist"/>
    <n v="7"/>
    <x v="9"/>
    <n v="64"/>
    <n v="29881"/>
    <n v="25756"/>
    <n v="1908"/>
    <m/>
    <x v="22"/>
  </r>
  <r>
    <x v="149"/>
    <s v="rom_fact_gundabad"/>
    <n v="245"/>
    <x v="11"/>
    <n v="0"/>
    <n v="9750"/>
    <n v="2500"/>
    <n v="0"/>
    <m/>
    <x v="23"/>
  </r>
  <r>
    <x v="149"/>
    <s v="rom_fact_rohan_scouts"/>
    <n v="0"/>
    <x v="11"/>
    <n v="3"/>
    <n v="173425"/>
    <n v="2354"/>
    <n v="0"/>
    <m/>
    <x v="24"/>
  </r>
  <r>
    <x v="149"/>
    <s v="rom_fact_northern_enedwaith"/>
    <n v="0"/>
    <x v="11"/>
    <n v="0"/>
    <n v="23466"/>
    <n v="1750"/>
    <n v="0"/>
    <m/>
    <x v="25"/>
  </r>
  <r>
    <x v="149"/>
    <s v="rom_fact_southern_enedwaith"/>
    <n v="0"/>
    <x v="11"/>
    <n v="0"/>
    <n v="54023"/>
    <n v="1750"/>
    <n v="0"/>
    <m/>
    <x v="26"/>
  </r>
  <r>
    <x v="149"/>
    <s v="rom_fact_druedain"/>
    <n v="0"/>
    <x v="11"/>
    <n v="0"/>
    <n v="32146"/>
    <n v="1750"/>
    <n v="0"/>
    <m/>
    <x v="27"/>
  </r>
  <r>
    <x v="149"/>
    <s v="rom_fact_harondor"/>
    <n v="0"/>
    <x v="11"/>
    <n v="0"/>
    <n v="15146"/>
    <n v="1750"/>
    <n v="0"/>
    <m/>
    <x v="28"/>
  </r>
  <r>
    <x v="149"/>
    <s v="rom_fact_southron_nomads"/>
    <n v="0"/>
    <x v="11"/>
    <n v="0"/>
    <n v="4000"/>
    <n v="1750"/>
    <n v="0"/>
    <m/>
    <x v="29"/>
  </r>
  <r>
    <x v="149"/>
    <s v="rom_fact_separatist_harad"/>
    <n v="0"/>
    <x v="11"/>
    <n v="0"/>
    <n v="4000"/>
    <n v="1750"/>
    <n v="0"/>
    <m/>
    <x v="30"/>
  </r>
  <r>
    <x v="149"/>
    <s v="rom_fact_separatist_khand"/>
    <n v="0"/>
    <x v="11"/>
    <n v="0"/>
    <n v="4000"/>
    <n v="1750"/>
    <n v="0"/>
    <m/>
    <x v="30"/>
  </r>
  <r>
    <x v="149"/>
    <s v="rom_fact_separatist_balchoth"/>
    <n v="0"/>
    <x v="11"/>
    <n v="0"/>
    <n v="4000"/>
    <n v="1750"/>
    <n v="0"/>
    <m/>
    <x v="30"/>
  </r>
  <r>
    <x v="149"/>
    <s v="rom_fact_separatist_feredrim"/>
    <n v="0"/>
    <x v="11"/>
    <n v="0"/>
    <n v="4000"/>
    <n v="1750"/>
    <n v="0"/>
    <m/>
    <x v="30"/>
  </r>
  <r>
    <x v="149"/>
    <s v="rom_fact_separatist_haerrim"/>
    <n v="0"/>
    <x v="11"/>
    <n v="0"/>
    <n v="4000"/>
    <n v="1750"/>
    <n v="0"/>
    <m/>
    <x v="30"/>
  </r>
  <r>
    <x v="149"/>
    <s v="rom_fact_separatist_wainriders"/>
    <n v="0"/>
    <x v="11"/>
    <n v="0"/>
    <n v="4000"/>
    <n v="1750"/>
    <n v="0"/>
    <m/>
    <x v="30"/>
  </r>
  <r>
    <x v="149"/>
    <s v="rom_fact_separatist_rhurim"/>
    <n v="0"/>
    <x v="11"/>
    <n v="0"/>
    <n v="4000"/>
    <n v="1750"/>
    <n v="0"/>
    <m/>
    <x v="30"/>
  </r>
  <r>
    <x v="149"/>
    <s v="rom_fact_separatist_mahuds"/>
    <n v="0"/>
    <x v="11"/>
    <n v="0"/>
    <n v="4000"/>
    <n v="1750"/>
    <n v="0"/>
    <m/>
    <x v="30"/>
  </r>
  <r>
    <x v="149"/>
    <s v="rom_fact_separatist_umbar"/>
    <n v="0"/>
    <x v="11"/>
    <n v="0"/>
    <n v="4000"/>
    <n v="1750"/>
    <n v="0"/>
    <m/>
    <x v="30"/>
  </r>
  <r>
    <x v="150"/>
    <s v="rom_fact_mordor"/>
    <n v="1037"/>
    <x v="53"/>
    <n v="881.6"/>
    <n v="125"/>
    <n v="133481"/>
    <n v="12643"/>
    <m/>
    <x v="0"/>
  </r>
  <r>
    <x v="150"/>
    <s v="rom_fact_gondor"/>
    <n v="146"/>
    <x v="11"/>
    <n v="0"/>
    <n v="55420"/>
    <n v="2500"/>
    <n v="0"/>
    <m/>
    <x v="1"/>
  </r>
  <r>
    <x v="150"/>
    <s v="rom_fact_dale"/>
    <n v="199"/>
    <x v="11"/>
    <n v="0"/>
    <n v="10343"/>
    <n v="2500"/>
    <n v="0"/>
    <m/>
    <x v="2"/>
  </r>
  <r>
    <x v="150"/>
    <s v="rom_fact_erebor"/>
    <n v="200"/>
    <x v="11"/>
    <n v="0"/>
    <n v="10040"/>
    <n v="2500"/>
    <n v="0"/>
    <m/>
    <x v="3"/>
  </r>
  <r>
    <x v="150"/>
    <s v="rom_fact_rohan"/>
    <n v="157"/>
    <x v="11"/>
    <n v="0"/>
    <n v="6638"/>
    <n v="2500"/>
    <n v="0"/>
    <m/>
    <x v="4"/>
  </r>
  <r>
    <x v="150"/>
    <s v="rom_fact_dol_guldur"/>
    <n v="573"/>
    <x v="21"/>
    <n v="402.8"/>
    <n v="710508"/>
    <n v="77167"/>
    <n v="7640"/>
    <m/>
    <x v="5"/>
  </r>
  <r>
    <x v="150"/>
    <s v="rom_fact_anduin_vale"/>
    <n v="58"/>
    <x v="11"/>
    <n v="0"/>
    <n v="4515"/>
    <n v="2500"/>
    <n v="0"/>
    <m/>
    <x v="6"/>
  </r>
  <r>
    <x v="150"/>
    <s v="rom_fact_isengard"/>
    <n v="329"/>
    <x v="11"/>
    <n v="0"/>
    <n v="23007"/>
    <n v="2500"/>
    <n v="0"/>
    <m/>
    <x v="7"/>
  </r>
  <r>
    <x v="150"/>
    <s v="rom_fact_woodland_realm"/>
    <n v="30"/>
    <x v="11"/>
    <n v="0"/>
    <n v="8475"/>
    <n v="2500"/>
    <n v="0"/>
    <m/>
    <x v="8"/>
  </r>
  <r>
    <x v="150"/>
    <s v="rom_fact_lothlorien"/>
    <n v="64"/>
    <x v="11"/>
    <n v="0"/>
    <n v="4721"/>
    <n v="2500"/>
    <n v="0"/>
    <m/>
    <x v="9"/>
  </r>
  <r>
    <x v="150"/>
    <s v="rom_fact_khand"/>
    <n v="0"/>
    <x v="11"/>
    <n v="0"/>
    <n v="4919"/>
    <n v="1750"/>
    <n v="0"/>
    <m/>
    <x v="10"/>
  </r>
  <r>
    <x v="150"/>
    <s v="rom_fact_umbar"/>
    <n v="21"/>
    <x v="15"/>
    <n v="254.6"/>
    <n v="684946"/>
    <n v="59259"/>
    <n v="6166"/>
    <m/>
    <x v="11"/>
  </r>
  <r>
    <x v="150"/>
    <s v="rom_fact_mahuds"/>
    <n v="0"/>
    <x v="11"/>
    <n v="0"/>
    <n v="9228"/>
    <n v="1750"/>
    <n v="0"/>
    <m/>
    <x v="12"/>
  </r>
  <r>
    <x v="150"/>
    <s v="rom_fact_harad"/>
    <n v="447"/>
    <x v="18"/>
    <n v="354.5"/>
    <n v="276526"/>
    <n v="58958"/>
    <n v="4082"/>
    <m/>
    <x v="13"/>
  </r>
  <r>
    <x v="150"/>
    <s v="rom_fact_dunland"/>
    <n v="401"/>
    <x v="8"/>
    <n v="144.6"/>
    <n v="244094"/>
    <n v="29224"/>
    <n v="0"/>
    <m/>
    <x v="14"/>
  </r>
  <r>
    <x v="150"/>
    <s v="rom_fact_haerrim"/>
    <n v="0"/>
    <x v="11"/>
    <n v="0"/>
    <n v="5352"/>
    <n v="1750"/>
    <n v="0"/>
    <m/>
    <x v="15"/>
  </r>
  <r>
    <x v="150"/>
    <s v="rom_fact_goblins"/>
    <n v="666"/>
    <x v="11"/>
    <n v="0"/>
    <n v="128480"/>
    <n v="2500"/>
    <n v="0"/>
    <m/>
    <x v="16"/>
  </r>
  <r>
    <x v="150"/>
    <s v="rom_fact_balchoth"/>
    <n v="0"/>
    <x v="11"/>
    <n v="0"/>
    <n v="4872"/>
    <n v="1750"/>
    <n v="0"/>
    <m/>
    <x v="17"/>
  </r>
  <r>
    <x v="150"/>
    <s v="rom_fact_rhurim"/>
    <n v="726"/>
    <x v="4"/>
    <n v="192.4"/>
    <n v="457874"/>
    <n v="31956"/>
    <n v="2960"/>
    <m/>
    <x v="18"/>
  </r>
  <r>
    <x v="150"/>
    <s v="rom_fact_feredrim"/>
    <n v="0"/>
    <x v="11"/>
    <n v="0"/>
    <n v="7360"/>
    <n v="1750"/>
    <n v="0"/>
    <m/>
    <x v="19"/>
  </r>
  <r>
    <x v="150"/>
    <s v="rom_fact_wainriders"/>
    <n v="0"/>
    <x v="11"/>
    <n v="0"/>
    <n v="6395"/>
    <n v="1750"/>
    <n v="0"/>
    <m/>
    <x v="20"/>
  </r>
  <r>
    <x v="150"/>
    <s v="rom_fact_blacklock"/>
    <n v="7"/>
    <x v="8"/>
    <n v="90.3"/>
    <n v="49550"/>
    <n v="22367"/>
    <n v="2245"/>
    <m/>
    <x v="21"/>
  </r>
  <r>
    <x v="150"/>
    <s v="rom_fact_ironfist"/>
    <n v="7"/>
    <x v="9"/>
    <n v="69"/>
    <n v="30858"/>
    <n v="24344"/>
    <n v="1896"/>
    <m/>
    <x v="22"/>
  </r>
  <r>
    <x v="150"/>
    <s v="rom_fact_gundabad"/>
    <n v="245"/>
    <x v="11"/>
    <n v="0"/>
    <n v="9750"/>
    <n v="2500"/>
    <n v="0"/>
    <m/>
    <x v="23"/>
  </r>
  <r>
    <x v="150"/>
    <s v="rom_fact_rohan_scouts"/>
    <n v="0"/>
    <x v="11"/>
    <n v="3"/>
    <n v="174571"/>
    <n v="2354"/>
    <n v="0"/>
    <m/>
    <x v="24"/>
  </r>
  <r>
    <x v="150"/>
    <s v="rom_fact_northern_enedwaith"/>
    <n v="0"/>
    <x v="11"/>
    <n v="0"/>
    <n v="23466"/>
    <n v="1750"/>
    <n v="0"/>
    <m/>
    <x v="25"/>
  </r>
  <r>
    <x v="150"/>
    <s v="rom_fact_southern_enedwaith"/>
    <n v="0"/>
    <x v="11"/>
    <n v="0"/>
    <n v="54023"/>
    <n v="1750"/>
    <n v="0"/>
    <m/>
    <x v="26"/>
  </r>
  <r>
    <x v="150"/>
    <s v="rom_fact_druedain"/>
    <n v="0"/>
    <x v="11"/>
    <n v="0"/>
    <n v="32146"/>
    <n v="1750"/>
    <n v="0"/>
    <m/>
    <x v="27"/>
  </r>
  <r>
    <x v="150"/>
    <s v="rom_fact_harondor"/>
    <n v="0"/>
    <x v="11"/>
    <n v="0"/>
    <n v="15146"/>
    <n v="1750"/>
    <n v="0"/>
    <m/>
    <x v="28"/>
  </r>
  <r>
    <x v="150"/>
    <s v="rom_fact_southron_nomads"/>
    <n v="0"/>
    <x v="11"/>
    <n v="0"/>
    <n v="4000"/>
    <n v="1750"/>
    <n v="0"/>
    <m/>
    <x v="29"/>
  </r>
  <r>
    <x v="150"/>
    <s v="rom_fact_separatist_harad"/>
    <n v="0"/>
    <x v="11"/>
    <n v="0"/>
    <n v="4000"/>
    <n v="1750"/>
    <n v="0"/>
    <m/>
    <x v="30"/>
  </r>
  <r>
    <x v="150"/>
    <s v="rom_fact_separatist_khand"/>
    <n v="0"/>
    <x v="11"/>
    <n v="0"/>
    <n v="4000"/>
    <n v="1750"/>
    <n v="0"/>
    <m/>
    <x v="30"/>
  </r>
  <r>
    <x v="150"/>
    <s v="rom_fact_separatist_balchoth"/>
    <n v="0"/>
    <x v="11"/>
    <n v="0"/>
    <n v="4000"/>
    <n v="1750"/>
    <n v="0"/>
    <m/>
    <x v="30"/>
  </r>
  <r>
    <x v="150"/>
    <s v="rom_fact_separatist_feredrim"/>
    <n v="0"/>
    <x v="11"/>
    <n v="0"/>
    <n v="4000"/>
    <n v="1750"/>
    <n v="0"/>
    <m/>
    <x v="30"/>
  </r>
  <r>
    <x v="150"/>
    <s v="rom_fact_separatist_haerrim"/>
    <n v="0"/>
    <x v="11"/>
    <n v="0"/>
    <n v="4000"/>
    <n v="1750"/>
    <n v="0"/>
    <m/>
    <x v="30"/>
  </r>
  <r>
    <x v="150"/>
    <s v="rom_fact_separatist_wainriders"/>
    <n v="0"/>
    <x v="11"/>
    <n v="0"/>
    <n v="4000"/>
    <n v="1750"/>
    <n v="0"/>
    <m/>
    <x v="30"/>
  </r>
  <r>
    <x v="150"/>
    <s v="rom_fact_separatist_rhurim"/>
    <n v="0"/>
    <x v="11"/>
    <n v="0"/>
    <n v="4000"/>
    <n v="1750"/>
    <n v="0"/>
    <m/>
    <x v="30"/>
  </r>
  <r>
    <x v="150"/>
    <s v="rom_fact_separatist_mahuds"/>
    <n v="0"/>
    <x v="11"/>
    <n v="0"/>
    <n v="4000"/>
    <n v="1750"/>
    <n v="0"/>
    <m/>
    <x v="30"/>
  </r>
  <r>
    <x v="150"/>
    <s v="rom_fact_separatist_umbar"/>
    <n v="0"/>
    <x v="11"/>
    <n v="0"/>
    <n v="4000"/>
    <n v="1750"/>
    <n v="0"/>
    <m/>
    <x v="30"/>
  </r>
  <r>
    <x v="151"/>
    <s v="rom_fact_mordor"/>
    <n v="1101"/>
    <x v="53"/>
    <n v="905.6"/>
    <n v="1776"/>
    <n v="134634"/>
    <n v="12657"/>
    <m/>
    <x v="0"/>
  </r>
  <r>
    <x v="151"/>
    <s v="rom_fact_gondor"/>
    <n v="146"/>
    <x v="11"/>
    <n v="0"/>
    <n v="55420"/>
    <n v="2500"/>
    <n v="0"/>
    <m/>
    <x v="1"/>
  </r>
  <r>
    <x v="151"/>
    <s v="rom_fact_dale"/>
    <n v="199"/>
    <x v="11"/>
    <n v="0"/>
    <n v="10343"/>
    <n v="2500"/>
    <n v="0"/>
    <m/>
    <x v="2"/>
  </r>
  <r>
    <x v="151"/>
    <s v="rom_fact_erebor"/>
    <n v="200"/>
    <x v="11"/>
    <n v="0"/>
    <n v="10040"/>
    <n v="2500"/>
    <n v="0"/>
    <m/>
    <x v="3"/>
  </r>
  <r>
    <x v="151"/>
    <s v="rom_fact_rohan"/>
    <n v="157"/>
    <x v="11"/>
    <n v="0"/>
    <n v="6638"/>
    <n v="2500"/>
    <n v="0"/>
    <m/>
    <x v="4"/>
  </r>
  <r>
    <x v="151"/>
    <s v="rom_fact_dol_guldur"/>
    <n v="573"/>
    <x v="21"/>
    <n v="414.6"/>
    <n v="739801"/>
    <n v="75997"/>
    <n v="7645"/>
    <m/>
    <x v="5"/>
  </r>
  <r>
    <x v="151"/>
    <s v="rom_fact_anduin_vale"/>
    <n v="58"/>
    <x v="11"/>
    <n v="0"/>
    <n v="4515"/>
    <n v="2500"/>
    <n v="0"/>
    <m/>
    <x v="6"/>
  </r>
  <r>
    <x v="151"/>
    <s v="rom_fact_isengard"/>
    <n v="329"/>
    <x v="11"/>
    <n v="0"/>
    <n v="23007"/>
    <n v="2500"/>
    <n v="0"/>
    <m/>
    <x v="7"/>
  </r>
  <r>
    <x v="151"/>
    <s v="rom_fact_woodland_realm"/>
    <n v="30"/>
    <x v="11"/>
    <n v="0"/>
    <n v="8475"/>
    <n v="2500"/>
    <n v="0"/>
    <m/>
    <x v="8"/>
  </r>
  <r>
    <x v="151"/>
    <s v="rom_fact_lothlorien"/>
    <n v="64"/>
    <x v="11"/>
    <n v="0"/>
    <n v="4721"/>
    <n v="2500"/>
    <n v="0"/>
    <m/>
    <x v="9"/>
  </r>
  <r>
    <x v="151"/>
    <s v="rom_fact_khand"/>
    <n v="0"/>
    <x v="11"/>
    <n v="0"/>
    <n v="4919"/>
    <n v="1750"/>
    <n v="0"/>
    <m/>
    <x v="10"/>
  </r>
  <r>
    <x v="151"/>
    <s v="rom_fact_umbar"/>
    <n v="21"/>
    <x v="15"/>
    <n v="264.10000000000002"/>
    <n v="703561"/>
    <n v="60767"/>
    <n v="6186"/>
    <m/>
    <x v="11"/>
  </r>
  <r>
    <x v="151"/>
    <s v="rom_fact_mahuds"/>
    <n v="0"/>
    <x v="11"/>
    <n v="0"/>
    <n v="9228"/>
    <n v="1750"/>
    <n v="0"/>
    <m/>
    <x v="12"/>
  </r>
  <r>
    <x v="151"/>
    <s v="rom_fact_harad"/>
    <n v="476"/>
    <x v="18"/>
    <n v="329.4"/>
    <n v="296292"/>
    <n v="57352"/>
    <n v="4110"/>
    <m/>
    <x v="13"/>
  </r>
  <r>
    <x v="151"/>
    <s v="rom_fact_dunland"/>
    <n v="401"/>
    <x v="8"/>
    <n v="149.6"/>
    <n v="247552"/>
    <n v="30582"/>
    <n v="0"/>
    <m/>
    <x v="14"/>
  </r>
  <r>
    <x v="151"/>
    <s v="rom_fact_haerrim"/>
    <n v="0"/>
    <x v="11"/>
    <n v="0"/>
    <n v="5352"/>
    <n v="1750"/>
    <n v="0"/>
    <m/>
    <x v="15"/>
  </r>
  <r>
    <x v="151"/>
    <s v="rom_fact_goblins"/>
    <n v="666"/>
    <x v="11"/>
    <n v="0"/>
    <n v="128480"/>
    <n v="2500"/>
    <n v="0"/>
    <m/>
    <x v="16"/>
  </r>
  <r>
    <x v="151"/>
    <s v="rom_fact_balchoth"/>
    <n v="0"/>
    <x v="11"/>
    <n v="0"/>
    <n v="4872"/>
    <n v="1750"/>
    <n v="0"/>
    <m/>
    <x v="17"/>
  </r>
  <r>
    <x v="151"/>
    <s v="rom_fact_rhurim"/>
    <n v="726"/>
    <x v="4"/>
    <n v="178.1"/>
    <n v="467802"/>
    <n v="30080"/>
    <n v="2783"/>
    <m/>
    <x v="18"/>
  </r>
  <r>
    <x v="151"/>
    <s v="rom_fact_feredrim"/>
    <n v="0"/>
    <x v="11"/>
    <n v="0"/>
    <n v="7360"/>
    <n v="1750"/>
    <n v="0"/>
    <m/>
    <x v="19"/>
  </r>
  <r>
    <x v="151"/>
    <s v="rom_fact_wainriders"/>
    <n v="0"/>
    <x v="11"/>
    <n v="0"/>
    <n v="6395"/>
    <n v="1750"/>
    <n v="0"/>
    <m/>
    <x v="20"/>
  </r>
  <r>
    <x v="151"/>
    <s v="rom_fact_blacklock"/>
    <n v="7"/>
    <x v="8"/>
    <n v="91.3"/>
    <n v="59545"/>
    <n v="20681"/>
    <n v="2250"/>
    <m/>
    <x v="21"/>
  </r>
  <r>
    <x v="151"/>
    <s v="rom_fact_ironfist"/>
    <n v="7"/>
    <x v="9"/>
    <n v="72"/>
    <n v="33650"/>
    <n v="28122"/>
    <n v="1754"/>
    <m/>
    <x v="22"/>
  </r>
  <r>
    <x v="151"/>
    <s v="rom_fact_gundabad"/>
    <n v="245"/>
    <x v="11"/>
    <n v="0"/>
    <n v="9750"/>
    <n v="2500"/>
    <n v="0"/>
    <m/>
    <x v="23"/>
  </r>
  <r>
    <x v="151"/>
    <s v="rom_fact_rohan_scouts"/>
    <n v="0"/>
    <x v="11"/>
    <n v="3"/>
    <n v="175717"/>
    <n v="2354"/>
    <n v="0"/>
    <m/>
    <x v="24"/>
  </r>
  <r>
    <x v="151"/>
    <s v="rom_fact_northern_enedwaith"/>
    <n v="0"/>
    <x v="11"/>
    <n v="0"/>
    <n v="23466"/>
    <n v="1750"/>
    <n v="0"/>
    <m/>
    <x v="25"/>
  </r>
  <r>
    <x v="151"/>
    <s v="rom_fact_southern_enedwaith"/>
    <n v="0"/>
    <x v="11"/>
    <n v="0"/>
    <n v="54023"/>
    <n v="1750"/>
    <n v="0"/>
    <m/>
    <x v="26"/>
  </r>
  <r>
    <x v="151"/>
    <s v="rom_fact_druedain"/>
    <n v="0"/>
    <x v="11"/>
    <n v="0"/>
    <n v="32146"/>
    <n v="1750"/>
    <n v="0"/>
    <m/>
    <x v="27"/>
  </r>
  <r>
    <x v="151"/>
    <s v="rom_fact_harondor"/>
    <n v="0"/>
    <x v="11"/>
    <n v="0"/>
    <n v="15146"/>
    <n v="1750"/>
    <n v="0"/>
    <m/>
    <x v="28"/>
  </r>
  <r>
    <x v="151"/>
    <s v="rom_fact_southron_nomads"/>
    <n v="0"/>
    <x v="11"/>
    <n v="0"/>
    <n v="4000"/>
    <n v="1750"/>
    <n v="0"/>
    <m/>
    <x v="29"/>
  </r>
  <r>
    <x v="151"/>
    <s v="rom_fact_separatist_harad"/>
    <n v="0"/>
    <x v="11"/>
    <n v="0"/>
    <n v="4000"/>
    <n v="1750"/>
    <n v="0"/>
    <m/>
    <x v="30"/>
  </r>
  <r>
    <x v="151"/>
    <s v="rom_fact_separatist_khand"/>
    <n v="0"/>
    <x v="11"/>
    <n v="0"/>
    <n v="4000"/>
    <n v="1750"/>
    <n v="0"/>
    <m/>
    <x v="30"/>
  </r>
  <r>
    <x v="151"/>
    <s v="rom_fact_separatist_balchoth"/>
    <n v="0"/>
    <x v="11"/>
    <n v="0"/>
    <n v="4000"/>
    <n v="1750"/>
    <n v="0"/>
    <m/>
    <x v="30"/>
  </r>
  <r>
    <x v="151"/>
    <s v="rom_fact_separatist_feredrim"/>
    <n v="0"/>
    <x v="11"/>
    <n v="0"/>
    <n v="4000"/>
    <n v="1750"/>
    <n v="0"/>
    <m/>
    <x v="30"/>
  </r>
  <r>
    <x v="151"/>
    <s v="rom_fact_separatist_haerrim"/>
    <n v="0"/>
    <x v="11"/>
    <n v="0"/>
    <n v="4000"/>
    <n v="1750"/>
    <n v="0"/>
    <m/>
    <x v="30"/>
  </r>
  <r>
    <x v="151"/>
    <s v="rom_fact_separatist_wainriders"/>
    <n v="0"/>
    <x v="11"/>
    <n v="0"/>
    <n v="4000"/>
    <n v="1750"/>
    <n v="0"/>
    <m/>
    <x v="30"/>
  </r>
  <r>
    <x v="151"/>
    <s v="rom_fact_separatist_rhurim"/>
    <n v="0"/>
    <x v="11"/>
    <n v="0"/>
    <n v="4000"/>
    <n v="1750"/>
    <n v="0"/>
    <m/>
    <x v="30"/>
  </r>
  <r>
    <x v="151"/>
    <s v="rom_fact_separatist_mahuds"/>
    <n v="0"/>
    <x v="11"/>
    <n v="0"/>
    <n v="4000"/>
    <n v="1750"/>
    <n v="0"/>
    <m/>
    <x v="30"/>
  </r>
  <r>
    <x v="151"/>
    <s v="rom_fact_separatist_umbar"/>
    <n v="0"/>
    <x v="11"/>
    <n v="0"/>
    <n v="4000"/>
    <n v="1750"/>
    <n v="0"/>
    <m/>
    <x v="30"/>
  </r>
  <r>
    <x v="152"/>
    <s v="rom_fact_mordor"/>
    <n v="1121"/>
    <x v="53"/>
    <n v="907.6"/>
    <n v="638"/>
    <n v="135506"/>
    <n v="12770"/>
    <m/>
    <x v="0"/>
  </r>
  <r>
    <x v="152"/>
    <s v="rom_fact_gondor"/>
    <n v="146"/>
    <x v="11"/>
    <n v="0"/>
    <n v="55420"/>
    <n v="2500"/>
    <n v="0"/>
    <m/>
    <x v="1"/>
  </r>
  <r>
    <x v="152"/>
    <s v="rom_fact_dale"/>
    <n v="199"/>
    <x v="11"/>
    <n v="0"/>
    <n v="10343"/>
    <n v="2500"/>
    <n v="0"/>
    <m/>
    <x v="2"/>
  </r>
  <r>
    <x v="152"/>
    <s v="rom_fact_erebor"/>
    <n v="200"/>
    <x v="11"/>
    <n v="0"/>
    <n v="10040"/>
    <n v="2500"/>
    <n v="0"/>
    <m/>
    <x v="3"/>
  </r>
  <r>
    <x v="152"/>
    <s v="rom_fact_rohan"/>
    <n v="157"/>
    <x v="11"/>
    <n v="0"/>
    <n v="6638"/>
    <n v="2500"/>
    <n v="0"/>
    <m/>
    <x v="4"/>
  </r>
  <r>
    <x v="152"/>
    <s v="rom_fact_dol_guldur"/>
    <n v="573"/>
    <x v="21"/>
    <n v="386.6"/>
    <n v="769863"/>
    <n v="73789"/>
    <n v="6540"/>
    <m/>
    <x v="5"/>
  </r>
  <r>
    <x v="152"/>
    <s v="rom_fact_anduin_vale"/>
    <n v="58"/>
    <x v="11"/>
    <n v="0"/>
    <n v="4515"/>
    <n v="2500"/>
    <n v="0"/>
    <m/>
    <x v="6"/>
  </r>
  <r>
    <x v="152"/>
    <s v="rom_fact_isengard"/>
    <n v="329"/>
    <x v="11"/>
    <n v="0"/>
    <n v="23007"/>
    <n v="2500"/>
    <n v="0"/>
    <m/>
    <x v="7"/>
  </r>
  <r>
    <x v="152"/>
    <s v="rom_fact_woodland_realm"/>
    <n v="30"/>
    <x v="11"/>
    <n v="0"/>
    <n v="8475"/>
    <n v="2500"/>
    <n v="0"/>
    <m/>
    <x v="8"/>
  </r>
  <r>
    <x v="152"/>
    <s v="rom_fact_lothlorien"/>
    <n v="64"/>
    <x v="11"/>
    <n v="0"/>
    <n v="4721"/>
    <n v="2500"/>
    <n v="0"/>
    <m/>
    <x v="9"/>
  </r>
  <r>
    <x v="152"/>
    <s v="rom_fact_khand"/>
    <n v="0"/>
    <x v="11"/>
    <n v="0"/>
    <n v="4919"/>
    <n v="1750"/>
    <n v="0"/>
    <m/>
    <x v="10"/>
  </r>
  <r>
    <x v="152"/>
    <s v="rom_fact_umbar"/>
    <n v="21"/>
    <x v="15"/>
    <n v="275.2"/>
    <n v="699077"/>
    <n v="62650"/>
    <n v="6198"/>
    <m/>
    <x v="11"/>
  </r>
  <r>
    <x v="152"/>
    <s v="rom_fact_mahuds"/>
    <n v="0"/>
    <x v="11"/>
    <n v="0"/>
    <n v="9228"/>
    <n v="1750"/>
    <n v="0"/>
    <m/>
    <x v="12"/>
  </r>
  <r>
    <x v="152"/>
    <s v="rom_fact_harad"/>
    <n v="476"/>
    <x v="18"/>
    <n v="332.4"/>
    <n v="313740"/>
    <n v="56243"/>
    <n v="4428"/>
    <m/>
    <x v="13"/>
  </r>
  <r>
    <x v="152"/>
    <s v="rom_fact_dunland"/>
    <n v="401"/>
    <x v="8"/>
    <n v="151.69999999999999"/>
    <n v="246245"/>
    <n v="30439"/>
    <n v="0"/>
    <m/>
    <x v="14"/>
  </r>
  <r>
    <x v="152"/>
    <s v="rom_fact_haerrim"/>
    <n v="0"/>
    <x v="11"/>
    <n v="0"/>
    <n v="5352"/>
    <n v="1750"/>
    <n v="0"/>
    <m/>
    <x v="15"/>
  </r>
  <r>
    <x v="152"/>
    <s v="rom_fact_goblins"/>
    <n v="666"/>
    <x v="11"/>
    <n v="0"/>
    <n v="128480"/>
    <n v="2500"/>
    <n v="0"/>
    <m/>
    <x v="16"/>
  </r>
  <r>
    <x v="152"/>
    <s v="rom_fact_balchoth"/>
    <n v="0"/>
    <x v="11"/>
    <n v="0"/>
    <n v="4872"/>
    <n v="1750"/>
    <n v="0"/>
    <m/>
    <x v="17"/>
  </r>
  <r>
    <x v="152"/>
    <s v="rom_fact_rhurim"/>
    <n v="742"/>
    <x v="4"/>
    <n v="177.1"/>
    <n v="500573"/>
    <n v="24846"/>
    <n v="0"/>
    <m/>
    <x v="18"/>
  </r>
  <r>
    <x v="152"/>
    <s v="rom_fact_feredrim"/>
    <n v="0"/>
    <x v="11"/>
    <n v="0"/>
    <n v="7360"/>
    <n v="1750"/>
    <n v="0"/>
    <m/>
    <x v="19"/>
  </r>
  <r>
    <x v="152"/>
    <s v="rom_fact_wainriders"/>
    <n v="0"/>
    <x v="11"/>
    <n v="0"/>
    <n v="6395"/>
    <n v="1750"/>
    <n v="0"/>
    <m/>
    <x v="20"/>
  </r>
  <r>
    <x v="152"/>
    <s v="rom_fact_blacklock"/>
    <n v="7"/>
    <x v="8"/>
    <n v="91.3"/>
    <n v="69803"/>
    <n v="22446"/>
    <n v="2256"/>
    <m/>
    <x v="21"/>
  </r>
  <r>
    <x v="152"/>
    <s v="rom_fact_ironfist"/>
    <n v="7"/>
    <x v="9"/>
    <n v="78"/>
    <n v="34907"/>
    <n v="28673"/>
    <n v="1757"/>
    <m/>
    <x v="22"/>
  </r>
  <r>
    <x v="152"/>
    <s v="rom_fact_gundabad"/>
    <n v="245"/>
    <x v="11"/>
    <n v="0"/>
    <n v="9750"/>
    <n v="2500"/>
    <n v="0"/>
    <m/>
    <x v="23"/>
  </r>
  <r>
    <x v="152"/>
    <s v="rom_fact_rohan_scouts"/>
    <n v="0"/>
    <x v="11"/>
    <n v="3"/>
    <n v="176863"/>
    <n v="2354"/>
    <n v="0"/>
    <m/>
    <x v="24"/>
  </r>
  <r>
    <x v="152"/>
    <s v="rom_fact_northern_enedwaith"/>
    <n v="0"/>
    <x v="11"/>
    <n v="0"/>
    <n v="23466"/>
    <n v="1750"/>
    <n v="0"/>
    <m/>
    <x v="25"/>
  </r>
  <r>
    <x v="152"/>
    <s v="rom_fact_southern_enedwaith"/>
    <n v="0"/>
    <x v="11"/>
    <n v="0"/>
    <n v="54023"/>
    <n v="1750"/>
    <n v="0"/>
    <m/>
    <x v="26"/>
  </r>
  <r>
    <x v="152"/>
    <s v="rom_fact_druedain"/>
    <n v="0"/>
    <x v="11"/>
    <n v="0"/>
    <n v="32146"/>
    <n v="1750"/>
    <n v="0"/>
    <m/>
    <x v="27"/>
  </r>
  <r>
    <x v="152"/>
    <s v="rom_fact_harondor"/>
    <n v="0"/>
    <x v="11"/>
    <n v="0"/>
    <n v="15146"/>
    <n v="1750"/>
    <n v="0"/>
    <m/>
    <x v="28"/>
  </r>
  <r>
    <x v="152"/>
    <s v="rom_fact_southron_nomads"/>
    <n v="0"/>
    <x v="11"/>
    <n v="0"/>
    <n v="4000"/>
    <n v="1750"/>
    <n v="0"/>
    <m/>
    <x v="29"/>
  </r>
  <r>
    <x v="152"/>
    <s v="rom_fact_separatist_harad"/>
    <n v="0"/>
    <x v="11"/>
    <n v="0"/>
    <n v="4000"/>
    <n v="1750"/>
    <n v="0"/>
    <m/>
    <x v="30"/>
  </r>
  <r>
    <x v="152"/>
    <s v="rom_fact_separatist_khand"/>
    <n v="0"/>
    <x v="11"/>
    <n v="0"/>
    <n v="4000"/>
    <n v="1750"/>
    <n v="0"/>
    <m/>
    <x v="30"/>
  </r>
  <r>
    <x v="152"/>
    <s v="rom_fact_separatist_balchoth"/>
    <n v="0"/>
    <x v="11"/>
    <n v="0"/>
    <n v="4000"/>
    <n v="1750"/>
    <n v="0"/>
    <m/>
    <x v="30"/>
  </r>
  <r>
    <x v="152"/>
    <s v="rom_fact_separatist_feredrim"/>
    <n v="0"/>
    <x v="11"/>
    <n v="0"/>
    <n v="4000"/>
    <n v="1750"/>
    <n v="0"/>
    <m/>
    <x v="30"/>
  </r>
  <r>
    <x v="152"/>
    <s v="rom_fact_separatist_haerrim"/>
    <n v="0"/>
    <x v="11"/>
    <n v="0"/>
    <n v="4000"/>
    <n v="1750"/>
    <n v="0"/>
    <m/>
    <x v="30"/>
  </r>
  <r>
    <x v="152"/>
    <s v="rom_fact_separatist_wainriders"/>
    <n v="0"/>
    <x v="11"/>
    <n v="0"/>
    <n v="4000"/>
    <n v="1750"/>
    <n v="0"/>
    <m/>
    <x v="30"/>
  </r>
  <r>
    <x v="152"/>
    <s v="rom_fact_separatist_rhurim"/>
    <n v="0"/>
    <x v="11"/>
    <n v="0"/>
    <n v="4000"/>
    <n v="1750"/>
    <n v="0"/>
    <m/>
    <x v="30"/>
  </r>
  <r>
    <x v="152"/>
    <s v="rom_fact_separatist_mahuds"/>
    <n v="0"/>
    <x v="11"/>
    <n v="0"/>
    <n v="4000"/>
    <n v="1750"/>
    <n v="0"/>
    <m/>
    <x v="30"/>
  </r>
  <r>
    <x v="152"/>
    <s v="rom_fact_separatist_umbar"/>
    <n v="0"/>
    <x v="11"/>
    <n v="0"/>
    <n v="4000"/>
    <n v="1750"/>
    <n v="0"/>
    <m/>
    <x v="30"/>
  </r>
  <r>
    <x v="153"/>
    <s v="rom_fact_mordor"/>
    <n v="1161"/>
    <x v="53"/>
    <n v="912.6"/>
    <n v="38912"/>
    <n v="136884"/>
    <n v="12791"/>
    <m/>
    <x v="0"/>
  </r>
  <r>
    <x v="153"/>
    <s v="rom_fact_gondor"/>
    <n v="146"/>
    <x v="11"/>
    <n v="0"/>
    <n v="55420"/>
    <n v="2500"/>
    <n v="0"/>
    <m/>
    <x v="1"/>
  </r>
  <r>
    <x v="153"/>
    <s v="rom_fact_dale"/>
    <n v="199"/>
    <x v="11"/>
    <n v="0"/>
    <n v="10343"/>
    <n v="2500"/>
    <n v="0"/>
    <m/>
    <x v="2"/>
  </r>
  <r>
    <x v="153"/>
    <s v="rom_fact_erebor"/>
    <n v="200"/>
    <x v="11"/>
    <n v="0"/>
    <n v="10040"/>
    <n v="2500"/>
    <n v="0"/>
    <m/>
    <x v="3"/>
  </r>
  <r>
    <x v="153"/>
    <s v="rom_fact_rohan"/>
    <n v="157"/>
    <x v="11"/>
    <n v="0"/>
    <n v="6638"/>
    <n v="2500"/>
    <n v="0"/>
    <m/>
    <x v="4"/>
  </r>
  <r>
    <x v="153"/>
    <s v="rom_fact_dol_guldur"/>
    <n v="573"/>
    <x v="21"/>
    <n v="387.6"/>
    <n v="805221"/>
    <n v="74690"/>
    <n v="7155"/>
    <m/>
    <x v="5"/>
  </r>
  <r>
    <x v="153"/>
    <s v="rom_fact_anduin_vale"/>
    <n v="58"/>
    <x v="11"/>
    <n v="0"/>
    <n v="4515"/>
    <n v="2500"/>
    <n v="0"/>
    <m/>
    <x v="6"/>
  </r>
  <r>
    <x v="153"/>
    <s v="rom_fact_isengard"/>
    <n v="329"/>
    <x v="11"/>
    <n v="0"/>
    <n v="23007"/>
    <n v="2500"/>
    <n v="0"/>
    <m/>
    <x v="7"/>
  </r>
  <r>
    <x v="153"/>
    <s v="rom_fact_woodland_realm"/>
    <n v="30"/>
    <x v="11"/>
    <n v="0"/>
    <n v="8475"/>
    <n v="2500"/>
    <n v="0"/>
    <m/>
    <x v="8"/>
  </r>
  <r>
    <x v="153"/>
    <s v="rom_fact_lothlorien"/>
    <n v="64"/>
    <x v="11"/>
    <n v="0"/>
    <n v="4721"/>
    <n v="2500"/>
    <n v="0"/>
    <m/>
    <x v="9"/>
  </r>
  <r>
    <x v="153"/>
    <s v="rom_fact_khand"/>
    <n v="0"/>
    <x v="11"/>
    <n v="0"/>
    <n v="4919"/>
    <n v="1750"/>
    <n v="0"/>
    <m/>
    <x v="10"/>
  </r>
  <r>
    <x v="153"/>
    <s v="rom_fact_umbar"/>
    <n v="21"/>
    <x v="15"/>
    <n v="274.2"/>
    <n v="679898"/>
    <n v="61574"/>
    <n v="6224"/>
    <m/>
    <x v="11"/>
  </r>
  <r>
    <x v="153"/>
    <s v="rom_fact_mahuds"/>
    <n v="0"/>
    <x v="11"/>
    <n v="0"/>
    <n v="9228"/>
    <n v="1750"/>
    <n v="0"/>
    <m/>
    <x v="12"/>
  </r>
  <r>
    <x v="153"/>
    <s v="rom_fact_harad"/>
    <n v="485"/>
    <x v="1"/>
    <n v="334.4"/>
    <n v="331553"/>
    <n v="60955"/>
    <n v="5008"/>
    <m/>
    <x v="13"/>
  </r>
  <r>
    <x v="153"/>
    <s v="rom_fact_dunland"/>
    <n v="413"/>
    <x v="8"/>
    <n v="159.6"/>
    <n v="251704"/>
    <n v="32799"/>
    <n v="0"/>
    <m/>
    <x v="14"/>
  </r>
  <r>
    <x v="153"/>
    <s v="rom_fact_haerrim"/>
    <n v="0"/>
    <x v="11"/>
    <n v="0"/>
    <n v="5352"/>
    <n v="1750"/>
    <n v="0"/>
    <m/>
    <x v="15"/>
  </r>
  <r>
    <x v="153"/>
    <s v="rom_fact_goblins"/>
    <n v="666"/>
    <x v="11"/>
    <n v="0"/>
    <n v="128480"/>
    <n v="2500"/>
    <n v="0"/>
    <m/>
    <x v="16"/>
  </r>
  <r>
    <x v="153"/>
    <s v="rom_fact_balchoth"/>
    <n v="0"/>
    <x v="11"/>
    <n v="0"/>
    <n v="4872"/>
    <n v="1750"/>
    <n v="0"/>
    <m/>
    <x v="17"/>
  </r>
  <r>
    <x v="153"/>
    <s v="rom_fact_rhurim"/>
    <n v="740"/>
    <x v="2"/>
    <n v="155.5"/>
    <n v="534333"/>
    <n v="23145"/>
    <n v="0"/>
    <m/>
    <x v="18"/>
  </r>
  <r>
    <x v="153"/>
    <s v="rom_fact_feredrim"/>
    <n v="0"/>
    <x v="11"/>
    <n v="0"/>
    <n v="7360"/>
    <n v="1750"/>
    <n v="0"/>
    <m/>
    <x v="19"/>
  </r>
  <r>
    <x v="153"/>
    <s v="rom_fact_wainriders"/>
    <n v="0"/>
    <x v="11"/>
    <n v="0"/>
    <n v="6395"/>
    <n v="1750"/>
    <n v="0"/>
    <m/>
    <x v="20"/>
  </r>
  <r>
    <x v="153"/>
    <s v="rom_fact_blacklock"/>
    <n v="7"/>
    <x v="8"/>
    <n v="95.6"/>
    <n v="79461"/>
    <n v="21069"/>
    <n v="2262"/>
    <m/>
    <x v="21"/>
  </r>
  <r>
    <x v="153"/>
    <s v="rom_fact_ironfist"/>
    <n v="8"/>
    <x v="8"/>
    <n v="95"/>
    <n v="37122"/>
    <n v="29776"/>
    <n v="1770"/>
    <m/>
    <x v="22"/>
  </r>
  <r>
    <x v="153"/>
    <s v="rom_fact_gundabad"/>
    <n v="245"/>
    <x v="11"/>
    <n v="0"/>
    <n v="9750"/>
    <n v="2500"/>
    <n v="0"/>
    <m/>
    <x v="23"/>
  </r>
  <r>
    <x v="153"/>
    <s v="rom_fact_rohan_scouts"/>
    <n v="0"/>
    <x v="11"/>
    <n v="3"/>
    <n v="178009"/>
    <n v="2354"/>
    <n v="0"/>
    <m/>
    <x v="24"/>
  </r>
  <r>
    <x v="153"/>
    <s v="rom_fact_northern_enedwaith"/>
    <n v="0"/>
    <x v="11"/>
    <n v="0"/>
    <n v="23466"/>
    <n v="1750"/>
    <n v="0"/>
    <m/>
    <x v="25"/>
  </r>
  <r>
    <x v="153"/>
    <s v="rom_fact_southern_enedwaith"/>
    <n v="0"/>
    <x v="11"/>
    <n v="0"/>
    <n v="54023"/>
    <n v="1750"/>
    <n v="0"/>
    <m/>
    <x v="26"/>
  </r>
  <r>
    <x v="153"/>
    <s v="rom_fact_druedain"/>
    <n v="0"/>
    <x v="11"/>
    <n v="0"/>
    <n v="32146"/>
    <n v="1750"/>
    <n v="0"/>
    <m/>
    <x v="27"/>
  </r>
  <r>
    <x v="153"/>
    <s v="rom_fact_harondor"/>
    <n v="0"/>
    <x v="11"/>
    <n v="0"/>
    <n v="15146"/>
    <n v="1750"/>
    <n v="0"/>
    <m/>
    <x v="28"/>
  </r>
  <r>
    <x v="153"/>
    <s v="rom_fact_southron_nomads"/>
    <n v="0"/>
    <x v="11"/>
    <n v="0"/>
    <n v="4000"/>
    <n v="1750"/>
    <n v="0"/>
    <m/>
    <x v="29"/>
  </r>
  <r>
    <x v="153"/>
    <s v="rom_fact_separatist_harad"/>
    <n v="0"/>
    <x v="11"/>
    <n v="0"/>
    <n v="4000"/>
    <n v="1750"/>
    <n v="0"/>
    <m/>
    <x v="30"/>
  </r>
  <r>
    <x v="153"/>
    <s v="rom_fact_separatist_khand"/>
    <n v="0"/>
    <x v="11"/>
    <n v="0"/>
    <n v="4000"/>
    <n v="1750"/>
    <n v="0"/>
    <m/>
    <x v="30"/>
  </r>
  <r>
    <x v="153"/>
    <s v="rom_fact_separatist_balchoth"/>
    <n v="0"/>
    <x v="11"/>
    <n v="0"/>
    <n v="4000"/>
    <n v="1750"/>
    <n v="0"/>
    <m/>
    <x v="30"/>
  </r>
  <r>
    <x v="153"/>
    <s v="rom_fact_separatist_feredrim"/>
    <n v="0"/>
    <x v="11"/>
    <n v="0"/>
    <n v="4000"/>
    <n v="1750"/>
    <n v="0"/>
    <m/>
    <x v="30"/>
  </r>
  <r>
    <x v="153"/>
    <s v="rom_fact_separatist_haerrim"/>
    <n v="0"/>
    <x v="11"/>
    <n v="0"/>
    <n v="4000"/>
    <n v="1750"/>
    <n v="0"/>
    <m/>
    <x v="30"/>
  </r>
  <r>
    <x v="153"/>
    <s v="rom_fact_separatist_wainriders"/>
    <n v="0"/>
    <x v="11"/>
    <n v="0"/>
    <n v="4000"/>
    <n v="1750"/>
    <n v="0"/>
    <m/>
    <x v="30"/>
  </r>
  <r>
    <x v="153"/>
    <s v="rom_fact_separatist_rhurim"/>
    <n v="0"/>
    <x v="11"/>
    <n v="0"/>
    <n v="4000"/>
    <n v="1750"/>
    <n v="0"/>
    <m/>
    <x v="30"/>
  </r>
  <r>
    <x v="153"/>
    <s v="rom_fact_separatist_mahuds"/>
    <n v="0"/>
    <x v="11"/>
    <n v="0"/>
    <n v="4000"/>
    <n v="1750"/>
    <n v="0"/>
    <m/>
    <x v="30"/>
  </r>
  <r>
    <x v="153"/>
    <s v="rom_fact_separatist_umbar"/>
    <n v="0"/>
    <x v="11"/>
    <n v="0"/>
    <n v="4000"/>
    <n v="1750"/>
    <n v="0"/>
    <m/>
    <x v="30"/>
  </r>
  <r>
    <x v="154"/>
    <s v="rom_fact_mordor"/>
    <n v="1181"/>
    <x v="53"/>
    <n v="914.6"/>
    <n v="3075"/>
    <n v="139708"/>
    <n v="13950"/>
    <m/>
    <x v="0"/>
  </r>
  <r>
    <x v="154"/>
    <s v="rom_fact_gondor"/>
    <n v="146"/>
    <x v="11"/>
    <n v="0"/>
    <n v="55420"/>
    <n v="2500"/>
    <n v="0"/>
    <m/>
    <x v="1"/>
  </r>
  <r>
    <x v="154"/>
    <s v="rom_fact_dale"/>
    <n v="199"/>
    <x v="11"/>
    <n v="0"/>
    <n v="10343"/>
    <n v="2500"/>
    <n v="0"/>
    <m/>
    <x v="2"/>
  </r>
  <r>
    <x v="154"/>
    <s v="rom_fact_erebor"/>
    <n v="200"/>
    <x v="11"/>
    <n v="0"/>
    <n v="10040"/>
    <n v="2500"/>
    <n v="0"/>
    <m/>
    <x v="3"/>
  </r>
  <r>
    <x v="154"/>
    <s v="rom_fact_rohan"/>
    <n v="157"/>
    <x v="11"/>
    <n v="0"/>
    <n v="6638"/>
    <n v="2500"/>
    <n v="0"/>
    <m/>
    <x v="4"/>
  </r>
  <r>
    <x v="154"/>
    <s v="rom_fact_dol_guldur"/>
    <n v="573"/>
    <x v="21"/>
    <n v="388.6"/>
    <n v="837718"/>
    <n v="68218"/>
    <n v="7139"/>
    <m/>
    <x v="5"/>
  </r>
  <r>
    <x v="154"/>
    <s v="rom_fact_anduin_vale"/>
    <n v="58"/>
    <x v="11"/>
    <n v="0"/>
    <n v="4515"/>
    <n v="2500"/>
    <n v="0"/>
    <m/>
    <x v="6"/>
  </r>
  <r>
    <x v="154"/>
    <s v="rom_fact_isengard"/>
    <n v="329"/>
    <x v="11"/>
    <n v="0"/>
    <n v="23007"/>
    <n v="2500"/>
    <n v="0"/>
    <m/>
    <x v="7"/>
  </r>
  <r>
    <x v="154"/>
    <s v="rom_fact_woodland_realm"/>
    <n v="30"/>
    <x v="11"/>
    <n v="0"/>
    <n v="8475"/>
    <n v="2500"/>
    <n v="0"/>
    <m/>
    <x v="8"/>
  </r>
  <r>
    <x v="154"/>
    <s v="rom_fact_lothlorien"/>
    <n v="64"/>
    <x v="11"/>
    <n v="0"/>
    <n v="4721"/>
    <n v="2500"/>
    <n v="0"/>
    <m/>
    <x v="9"/>
  </r>
  <r>
    <x v="154"/>
    <s v="rom_fact_khand"/>
    <n v="0"/>
    <x v="11"/>
    <n v="0"/>
    <n v="4919"/>
    <n v="1750"/>
    <n v="0"/>
    <m/>
    <x v="10"/>
  </r>
  <r>
    <x v="154"/>
    <s v="rom_fact_umbar"/>
    <n v="23"/>
    <x v="14"/>
    <n v="279.7"/>
    <n v="694023"/>
    <n v="66323"/>
    <n v="6250"/>
    <m/>
    <x v="11"/>
  </r>
  <r>
    <x v="154"/>
    <s v="rom_fact_mahuds"/>
    <n v="0"/>
    <x v="11"/>
    <n v="0"/>
    <n v="9228"/>
    <n v="1750"/>
    <n v="0"/>
    <m/>
    <x v="12"/>
  </r>
  <r>
    <x v="154"/>
    <s v="rom_fact_harad"/>
    <n v="485"/>
    <x v="1"/>
    <n v="331.7"/>
    <n v="347683"/>
    <n v="58288"/>
    <n v="5017"/>
    <m/>
    <x v="13"/>
  </r>
  <r>
    <x v="154"/>
    <s v="rom_fact_dunland"/>
    <n v="413"/>
    <x v="8"/>
    <n v="165.8"/>
    <n v="253059"/>
    <n v="33796"/>
    <n v="0"/>
    <m/>
    <x v="14"/>
  </r>
  <r>
    <x v="154"/>
    <s v="rom_fact_haerrim"/>
    <n v="0"/>
    <x v="11"/>
    <n v="0"/>
    <n v="5352"/>
    <n v="1750"/>
    <n v="0"/>
    <m/>
    <x v="15"/>
  </r>
  <r>
    <x v="154"/>
    <s v="rom_fact_goblins"/>
    <n v="666"/>
    <x v="11"/>
    <n v="0"/>
    <n v="128480"/>
    <n v="2500"/>
    <n v="0"/>
    <m/>
    <x v="16"/>
  </r>
  <r>
    <x v="154"/>
    <s v="rom_fact_balchoth"/>
    <n v="0"/>
    <x v="11"/>
    <n v="0"/>
    <n v="4872"/>
    <n v="1750"/>
    <n v="0"/>
    <m/>
    <x v="17"/>
  </r>
  <r>
    <x v="154"/>
    <s v="rom_fact_rhurim"/>
    <n v="736"/>
    <x v="6"/>
    <n v="110.1"/>
    <n v="494364"/>
    <n v="21037"/>
    <n v="0"/>
    <m/>
    <x v="18"/>
  </r>
  <r>
    <x v="154"/>
    <s v="rom_fact_feredrim"/>
    <n v="0"/>
    <x v="11"/>
    <n v="0"/>
    <n v="7360"/>
    <n v="1750"/>
    <n v="0"/>
    <m/>
    <x v="19"/>
  </r>
  <r>
    <x v="154"/>
    <s v="rom_fact_wainriders"/>
    <n v="0"/>
    <x v="11"/>
    <n v="0"/>
    <n v="6395"/>
    <n v="1750"/>
    <n v="0"/>
    <m/>
    <x v="20"/>
  </r>
  <r>
    <x v="154"/>
    <s v="rom_fact_blacklock"/>
    <n v="8"/>
    <x v="5"/>
    <n v="98.6"/>
    <n v="83031"/>
    <n v="25205"/>
    <n v="2422"/>
    <m/>
    <x v="21"/>
  </r>
  <r>
    <x v="154"/>
    <s v="rom_fact_ironfist"/>
    <n v="9"/>
    <x v="5"/>
    <n v="105"/>
    <n v="45318"/>
    <n v="34950"/>
    <n v="1876"/>
    <m/>
    <x v="22"/>
  </r>
  <r>
    <x v="154"/>
    <s v="rom_fact_gundabad"/>
    <n v="245"/>
    <x v="11"/>
    <n v="0"/>
    <n v="9750"/>
    <n v="2500"/>
    <n v="0"/>
    <m/>
    <x v="23"/>
  </r>
  <r>
    <x v="154"/>
    <s v="rom_fact_rohan_scouts"/>
    <n v="0"/>
    <x v="11"/>
    <n v="3"/>
    <n v="179155"/>
    <n v="2354"/>
    <n v="0"/>
    <m/>
    <x v="24"/>
  </r>
  <r>
    <x v="154"/>
    <s v="rom_fact_northern_enedwaith"/>
    <n v="0"/>
    <x v="11"/>
    <n v="0"/>
    <n v="23466"/>
    <n v="1750"/>
    <n v="0"/>
    <m/>
    <x v="25"/>
  </r>
  <r>
    <x v="154"/>
    <s v="rom_fact_southern_enedwaith"/>
    <n v="0"/>
    <x v="11"/>
    <n v="0"/>
    <n v="54023"/>
    <n v="1750"/>
    <n v="0"/>
    <m/>
    <x v="26"/>
  </r>
  <r>
    <x v="154"/>
    <s v="rom_fact_druedain"/>
    <n v="0"/>
    <x v="11"/>
    <n v="0"/>
    <n v="32146"/>
    <n v="1750"/>
    <n v="0"/>
    <m/>
    <x v="27"/>
  </r>
  <r>
    <x v="154"/>
    <s v="rom_fact_harondor"/>
    <n v="0"/>
    <x v="11"/>
    <n v="0"/>
    <n v="15146"/>
    <n v="1750"/>
    <n v="0"/>
    <m/>
    <x v="28"/>
  </r>
  <r>
    <x v="154"/>
    <s v="rom_fact_southron_nomads"/>
    <n v="0"/>
    <x v="11"/>
    <n v="0"/>
    <n v="4000"/>
    <n v="1750"/>
    <n v="0"/>
    <m/>
    <x v="29"/>
  </r>
  <r>
    <x v="154"/>
    <s v="rom_fact_separatist_harad"/>
    <n v="0"/>
    <x v="11"/>
    <n v="0"/>
    <n v="4000"/>
    <n v="1750"/>
    <n v="0"/>
    <m/>
    <x v="30"/>
  </r>
  <r>
    <x v="154"/>
    <s v="rom_fact_separatist_khand"/>
    <n v="0"/>
    <x v="11"/>
    <n v="0"/>
    <n v="4000"/>
    <n v="1750"/>
    <n v="0"/>
    <m/>
    <x v="30"/>
  </r>
  <r>
    <x v="154"/>
    <s v="rom_fact_separatist_balchoth"/>
    <n v="0"/>
    <x v="11"/>
    <n v="0"/>
    <n v="4000"/>
    <n v="1750"/>
    <n v="0"/>
    <m/>
    <x v="30"/>
  </r>
  <r>
    <x v="154"/>
    <s v="rom_fact_separatist_feredrim"/>
    <n v="0"/>
    <x v="11"/>
    <n v="0"/>
    <n v="4000"/>
    <n v="1750"/>
    <n v="0"/>
    <m/>
    <x v="30"/>
  </r>
  <r>
    <x v="154"/>
    <s v="rom_fact_separatist_haerrim"/>
    <n v="0"/>
    <x v="11"/>
    <n v="0"/>
    <n v="4000"/>
    <n v="1750"/>
    <n v="0"/>
    <m/>
    <x v="30"/>
  </r>
  <r>
    <x v="154"/>
    <s v="rom_fact_separatist_wainriders"/>
    <n v="0"/>
    <x v="11"/>
    <n v="0"/>
    <n v="4000"/>
    <n v="1750"/>
    <n v="0"/>
    <m/>
    <x v="30"/>
  </r>
  <r>
    <x v="154"/>
    <s v="rom_fact_separatist_rhurim"/>
    <n v="0"/>
    <x v="11"/>
    <n v="0"/>
    <n v="4000"/>
    <n v="1750"/>
    <n v="0"/>
    <m/>
    <x v="30"/>
  </r>
  <r>
    <x v="154"/>
    <s v="rom_fact_separatist_mahuds"/>
    <n v="0"/>
    <x v="11"/>
    <n v="0"/>
    <n v="4000"/>
    <n v="1750"/>
    <n v="0"/>
    <m/>
    <x v="30"/>
  </r>
  <r>
    <x v="154"/>
    <s v="rom_fact_separatist_umbar"/>
    <n v="0"/>
    <x v="11"/>
    <n v="0"/>
    <n v="4000"/>
    <n v="1750"/>
    <n v="0"/>
    <m/>
    <x v="30"/>
  </r>
  <r>
    <x v="155"/>
    <s v="rom_fact_mordor"/>
    <n v="1197"/>
    <x v="53"/>
    <n v="916.6"/>
    <n v="456"/>
    <n v="142174"/>
    <n v="14076"/>
    <m/>
    <x v="0"/>
  </r>
  <r>
    <x v="155"/>
    <s v="rom_fact_gondor"/>
    <n v="146"/>
    <x v="11"/>
    <n v="0"/>
    <n v="55420"/>
    <n v="2500"/>
    <n v="0"/>
    <m/>
    <x v="1"/>
  </r>
  <r>
    <x v="155"/>
    <s v="rom_fact_dale"/>
    <n v="199"/>
    <x v="11"/>
    <n v="0"/>
    <n v="10343"/>
    <n v="2500"/>
    <n v="0"/>
    <m/>
    <x v="2"/>
  </r>
  <r>
    <x v="155"/>
    <s v="rom_fact_erebor"/>
    <n v="200"/>
    <x v="11"/>
    <n v="0"/>
    <n v="10040"/>
    <n v="2500"/>
    <n v="0"/>
    <m/>
    <x v="3"/>
  </r>
  <r>
    <x v="155"/>
    <s v="rom_fact_rohan"/>
    <n v="157"/>
    <x v="11"/>
    <n v="0"/>
    <n v="6638"/>
    <n v="2500"/>
    <n v="0"/>
    <m/>
    <x v="4"/>
  </r>
  <r>
    <x v="155"/>
    <s v="rom_fact_dol_guldur"/>
    <n v="573"/>
    <x v="21"/>
    <n v="387.6"/>
    <n v="869142"/>
    <n v="74484"/>
    <n v="7164"/>
    <m/>
    <x v="5"/>
  </r>
  <r>
    <x v="155"/>
    <s v="rom_fact_anduin_vale"/>
    <n v="58"/>
    <x v="11"/>
    <n v="0"/>
    <n v="4515"/>
    <n v="2500"/>
    <n v="0"/>
    <m/>
    <x v="6"/>
  </r>
  <r>
    <x v="155"/>
    <s v="rom_fact_isengard"/>
    <n v="329"/>
    <x v="11"/>
    <n v="0"/>
    <n v="23007"/>
    <n v="2500"/>
    <n v="0"/>
    <m/>
    <x v="7"/>
  </r>
  <r>
    <x v="155"/>
    <s v="rom_fact_woodland_realm"/>
    <n v="30"/>
    <x v="11"/>
    <n v="0"/>
    <n v="8475"/>
    <n v="2500"/>
    <n v="0"/>
    <m/>
    <x v="8"/>
  </r>
  <r>
    <x v="155"/>
    <s v="rom_fact_lothlorien"/>
    <n v="64"/>
    <x v="11"/>
    <n v="0"/>
    <n v="4721"/>
    <n v="2500"/>
    <n v="0"/>
    <m/>
    <x v="9"/>
  </r>
  <r>
    <x v="155"/>
    <s v="rom_fact_khand"/>
    <n v="0"/>
    <x v="11"/>
    <n v="0"/>
    <n v="4919"/>
    <n v="1750"/>
    <n v="0"/>
    <m/>
    <x v="10"/>
  </r>
  <r>
    <x v="155"/>
    <s v="rom_fact_umbar"/>
    <n v="24"/>
    <x v="20"/>
    <n v="287.5"/>
    <n v="714066"/>
    <n v="62694"/>
    <n v="6249"/>
    <m/>
    <x v="11"/>
  </r>
  <r>
    <x v="155"/>
    <s v="rom_fact_mahuds"/>
    <n v="0"/>
    <x v="11"/>
    <n v="0"/>
    <n v="9228"/>
    <n v="1750"/>
    <n v="0"/>
    <m/>
    <x v="12"/>
  </r>
  <r>
    <x v="155"/>
    <s v="rom_fact_harad"/>
    <n v="485"/>
    <x v="1"/>
    <n v="331.7"/>
    <n v="375616"/>
    <n v="58350"/>
    <n v="5026"/>
    <m/>
    <x v="13"/>
  </r>
  <r>
    <x v="155"/>
    <s v="rom_fact_dunland"/>
    <n v="418"/>
    <x v="8"/>
    <n v="172.6"/>
    <n v="248777"/>
    <n v="34383"/>
    <n v="0"/>
    <m/>
    <x v="14"/>
  </r>
  <r>
    <x v="155"/>
    <s v="rom_fact_haerrim"/>
    <n v="0"/>
    <x v="11"/>
    <n v="0"/>
    <n v="5352"/>
    <n v="1750"/>
    <n v="0"/>
    <m/>
    <x v="15"/>
  </r>
  <r>
    <x v="155"/>
    <s v="rom_fact_goblins"/>
    <n v="666"/>
    <x v="11"/>
    <n v="0"/>
    <n v="128480"/>
    <n v="2500"/>
    <n v="0"/>
    <m/>
    <x v="16"/>
  </r>
  <r>
    <x v="155"/>
    <s v="rom_fact_balchoth"/>
    <n v="0"/>
    <x v="11"/>
    <n v="0"/>
    <n v="4872"/>
    <n v="1750"/>
    <n v="0"/>
    <m/>
    <x v="17"/>
  </r>
  <r>
    <x v="155"/>
    <s v="rom_fact_rhurim"/>
    <n v="740"/>
    <x v="12"/>
    <n v="79.8"/>
    <n v="469397"/>
    <n v="19065"/>
    <n v="0"/>
    <m/>
    <x v="18"/>
  </r>
  <r>
    <x v="155"/>
    <s v="rom_fact_feredrim"/>
    <n v="0"/>
    <x v="11"/>
    <n v="0"/>
    <n v="7360"/>
    <n v="1750"/>
    <n v="0"/>
    <m/>
    <x v="19"/>
  </r>
  <r>
    <x v="155"/>
    <s v="rom_fact_wainriders"/>
    <n v="0"/>
    <x v="11"/>
    <n v="0"/>
    <n v="6395"/>
    <n v="1750"/>
    <n v="0"/>
    <m/>
    <x v="20"/>
  </r>
  <r>
    <x v="155"/>
    <s v="rom_fact_blacklock"/>
    <n v="8"/>
    <x v="5"/>
    <n v="98"/>
    <n v="72379"/>
    <n v="25847"/>
    <n v="2418"/>
    <m/>
    <x v="21"/>
  </r>
  <r>
    <x v="155"/>
    <s v="rom_fact_ironfist"/>
    <n v="9"/>
    <x v="5"/>
    <n v="111"/>
    <n v="50244"/>
    <n v="34077"/>
    <n v="2110"/>
    <m/>
    <x v="22"/>
  </r>
  <r>
    <x v="155"/>
    <s v="rom_fact_gundabad"/>
    <n v="245"/>
    <x v="11"/>
    <n v="0"/>
    <n v="9750"/>
    <n v="2500"/>
    <n v="0"/>
    <m/>
    <x v="23"/>
  </r>
  <r>
    <x v="155"/>
    <s v="rom_fact_rohan_scouts"/>
    <n v="0"/>
    <x v="11"/>
    <n v="3"/>
    <n v="180301"/>
    <n v="2354"/>
    <n v="0"/>
    <m/>
    <x v="24"/>
  </r>
  <r>
    <x v="155"/>
    <s v="rom_fact_northern_enedwaith"/>
    <n v="0"/>
    <x v="11"/>
    <n v="0"/>
    <n v="23466"/>
    <n v="1750"/>
    <n v="0"/>
    <m/>
    <x v="25"/>
  </r>
  <r>
    <x v="155"/>
    <s v="rom_fact_southern_enedwaith"/>
    <n v="0"/>
    <x v="11"/>
    <n v="0"/>
    <n v="54023"/>
    <n v="1750"/>
    <n v="0"/>
    <m/>
    <x v="26"/>
  </r>
  <r>
    <x v="155"/>
    <s v="rom_fact_druedain"/>
    <n v="0"/>
    <x v="11"/>
    <n v="0"/>
    <n v="32146"/>
    <n v="1750"/>
    <n v="0"/>
    <m/>
    <x v="27"/>
  </r>
  <r>
    <x v="155"/>
    <s v="rom_fact_harondor"/>
    <n v="0"/>
    <x v="11"/>
    <n v="0"/>
    <n v="15146"/>
    <n v="1750"/>
    <n v="0"/>
    <m/>
    <x v="28"/>
  </r>
  <r>
    <x v="155"/>
    <s v="rom_fact_southron_nomads"/>
    <n v="0"/>
    <x v="11"/>
    <n v="0"/>
    <n v="4000"/>
    <n v="1750"/>
    <n v="0"/>
    <m/>
    <x v="29"/>
  </r>
  <r>
    <x v="155"/>
    <s v="rom_fact_separatist_harad"/>
    <n v="0"/>
    <x v="11"/>
    <n v="0"/>
    <n v="4000"/>
    <n v="1750"/>
    <n v="0"/>
    <m/>
    <x v="30"/>
  </r>
  <r>
    <x v="155"/>
    <s v="rom_fact_separatist_khand"/>
    <n v="0"/>
    <x v="11"/>
    <n v="0"/>
    <n v="4000"/>
    <n v="1750"/>
    <n v="0"/>
    <m/>
    <x v="30"/>
  </r>
  <r>
    <x v="155"/>
    <s v="rom_fact_separatist_balchoth"/>
    <n v="0"/>
    <x v="11"/>
    <n v="0"/>
    <n v="4000"/>
    <n v="1750"/>
    <n v="0"/>
    <m/>
    <x v="30"/>
  </r>
  <r>
    <x v="155"/>
    <s v="rom_fact_separatist_feredrim"/>
    <n v="0"/>
    <x v="11"/>
    <n v="0"/>
    <n v="4000"/>
    <n v="1750"/>
    <n v="0"/>
    <m/>
    <x v="30"/>
  </r>
  <r>
    <x v="155"/>
    <s v="rom_fact_separatist_haerrim"/>
    <n v="0"/>
    <x v="11"/>
    <n v="0"/>
    <n v="4000"/>
    <n v="1750"/>
    <n v="0"/>
    <m/>
    <x v="30"/>
  </r>
  <r>
    <x v="155"/>
    <s v="rom_fact_separatist_wainriders"/>
    <n v="0"/>
    <x v="11"/>
    <n v="0"/>
    <n v="4000"/>
    <n v="1750"/>
    <n v="0"/>
    <m/>
    <x v="30"/>
  </r>
  <r>
    <x v="155"/>
    <s v="rom_fact_separatist_rhurim"/>
    <n v="0"/>
    <x v="11"/>
    <n v="0"/>
    <n v="4000"/>
    <n v="1750"/>
    <n v="0"/>
    <m/>
    <x v="30"/>
  </r>
  <r>
    <x v="155"/>
    <s v="rom_fact_separatist_mahuds"/>
    <n v="0"/>
    <x v="11"/>
    <n v="0"/>
    <n v="4000"/>
    <n v="1750"/>
    <n v="0"/>
    <m/>
    <x v="30"/>
  </r>
  <r>
    <x v="155"/>
    <s v="rom_fact_separatist_umbar"/>
    <n v="0"/>
    <x v="11"/>
    <n v="0"/>
    <n v="4000"/>
    <n v="1750"/>
    <n v="0"/>
    <m/>
    <x v="30"/>
  </r>
  <r>
    <x v="156"/>
    <s v="rom_fact_mordor"/>
    <n v="1237"/>
    <x v="53"/>
    <n v="919.6"/>
    <n v="46546"/>
    <n v="143846"/>
    <n v="14640"/>
    <m/>
    <x v="0"/>
  </r>
  <r>
    <x v="156"/>
    <s v="rom_fact_gondor"/>
    <n v="146"/>
    <x v="11"/>
    <n v="0"/>
    <n v="55420"/>
    <n v="2500"/>
    <n v="0"/>
    <m/>
    <x v="1"/>
  </r>
  <r>
    <x v="156"/>
    <s v="rom_fact_dale"/>
    <n v="199"/>
    <x v="11"/>
    <n v="0"/>
    <n v="10343"/>
    <n v="2500"/>
    <n v="0"/>
    <m/>
    <x v="2"/>
  </r>
  <r>
    <x v="156"/>
    <s v="rom_fact_erebor"/>
    <n v="200"/>
    <x v="11"/>
    <n v="0"/>
    <n v="10040"/>
    <n v="2500"/>
    <n v="0"/>
    <m/>
    <x v="3"/>
  </r>
  <r>
    <x v="156"/>
    <s v="rom_fact_rohan"/>
    <n v="157"/>
    <x v="11"/>
    <n v="0"/>
    <n v="6638"/>
    <n v="2500"/>
    <n v="0"/>
    <m/>
    <x v="4"/>
  </r>
  <r>
    <x v="156"/>
    <s v="rom_fact_dol_guldur"/>
    <n v="597"/>
    <x v="21"/>
    <n v="389.6"/>
    <n v="884557"/>
    <n v="74700"/>
    <n v="7180"/>
    <m/>
    <x v="5"/>
  </r>
  <r>
    <x v="156"/>
    <s v="rom_fact_anduin_vale"/>
    <n v="58"/>
    <x v="11"/>
    <n v="0"/>
    <n v="4515"/>
    <n v="2500"/>
    <n v="0"/>
    <m/>
    <x v="6"/>
  </r>
  <r>
    <x v="156"/>
    <s v="rom_fact_isengard"/>
    <n v="329"/>
    <x v="11"/>
    <n v="0"/>
    <n v="23007"/>
    <n v="2500"/>
    <n v="0"/>
    <m/>
    <x v="7"/>
  </r>
  <r>
    <x v="156"/>
    <s v="rom_fact_woodland_realm"/>
    <n v="30"/>
    <x v="11"/>
    <n v="0"/>
    <n v="8475"/>
    <n v="2500"/>
    <n v="0"/>
    <m/>
    <x v="8"/>
  </r>
  <r>
    <x v="156"/>
    <s v="rom_fact_lothlorien"/>
    <n v="64"/>
    <x v="11"/>
    <n v="0"/>
    <n v="4721"/>
    <n v="2500"/>
    <n v="0"/>
    <m/>
    <x v="9"/>
  </r>
  <r>
    <x v="156"/>
    <s v="rom_fact_khand"/>
    <n v="0"/>
    <x v="11"/>
    <n v="0"/>
    <n v="4919"/>
    <n v="1750"/>
    <n v="0"/>
    <m/>
    <x v="10"/>
  </r>
  <r>
    <x v="156"/>
    <s v="rom_fact_umbar"/>
    <n v="24"/>
    <x v="20"/>
    <n v="293.79999999999899"/>
    <n v="736120"/>
    <n v="69756"/>
    <n v="6286"/>
    <m/>
    <x v="11"/>
  </r>
  <r>
    <x v="156"/>
    <s v="rom_fact_mahuds"/>
    <n v="0"/>
    <x v="11"/>
    <n v="0"/>
    <n v="9228"/>
    <n v="1750"/>
    <n v="0"/>
    <m/>
    <x v="12"/>
  </r>
  <r>
    <x v="156"/>
    <s v="rom_fact_harad"/>
    <n v="485"/>
    <x v="1"/>
    <n v="336.9"/>
    <n v="389542"/>
    <n v="61126"/>
    <n v="5175"/>
    <m/>
    <x v="13"/>
  </r>
  <r>
    <x v="156"/>
    <s v="rom_fact_dunland"/>
    <n v="423"/>
    <x v="8"/>
    <n v="180.1"/>
    <n v="245040"/>
    <n v="36535"/>
    <n v="0"/>
    <m/>
    <x v="14"/>
  </r>
  <r>
    <x v="156"/>
    <s v="rom_fact_haerrim"/>
    <n v="0"/>
    <x v="11"/>
    <n v="0"/>
    <n v="5352"/>
    <n v="1750"/>
    <n v="0"/>
    <m/>
    <x v="15"/>
  </r>
  <r>
    <x v="156"/>
    <s v="rom_fact_goblins"/>
    <n v="666"/>
    <x v="11"/>
    <n v="0"/>
    <n v="128480"/>
    <n v="2500"/>
    <n v="0"/>
    <m/>
    <x v="16"/>
  </r>
  <r>
    <x v="156"/>
    <s v="rom_fact_balchoth"/>
    <n v="0"/>
    <x v="11"/>
    <n v="0"/>
    <n v="4872"/>
    <n v="1750"/>
    <n v="0"/>
    <m/>
    <x v="17"/>
  </r>
  <r>
    <x v="156"/>
    <s v="rom_fact_rhurim"/>
    <n v="745"/>
    <x v="12"/>
    <n v="79.7"/>
    <n v="450049"/>
    <n v="18154"/>
    <n v="0"/>
    <m/>
    <x v="18"/>
  </r>
  <r>
    <x v="156"/>
    <s v="rom_fact_feredrim"/>
    <n v="0"/>
    <x v="11"/>
    <n v="0"/>
    <n v="7360"/>
    <n v="1750"/>
    <n v="0"/>
    <m/>
    <x v="19"/>
  </r>
  <r>
    <x v="156"/>
    <s v="rom_fact_wainriders"/>
    <n v="0"/>
    <x v="11"/>
    <n v="0"/>
    <n v="6395"/>
    <n v="1750"/>
    <n v="0"/>
    <m/>
    <x v="20"/>
  </r>
  <r>
    <x v="156"/>
    <s v="rom_fact_blacklock"/>
    <n v="8"/>
    <x v="5"/>
    <n v="101"/>
    <n v="66430"/>
    <n v="26463"/>
    <n v="2430"/>
    <m/>
    <x v="21"/>
  </r>
  <r>
    <x v="156"/>
    <s v="rom_fact_ironfist"/>
    <n v="9"/>
    <x v="5"/>
    <n v="114"/>
    <n v="46576"/>
    <n v="36010"/>
    <n v="2125"/>
    <m/>
    <x v="22"/>
  </r>
  <r>
    <x v="156"/>
    <s v="rom_fact_gundabad"/>
    <n v="245"/>
    <x v="11"/>
    <n v="0"/>
    <n v="9750"/>
    <n v="2500"/>
    <n v="0"/>
    <m/>
    <x v="23"/>
  </r>
  <r>
    <x v="156"/>
    <s v="rom_fact_rohan_scouts"/>
    <n v="0"/>
    <x v="11"/>
    <n v="3"/>
    <n v="181447"/>
    <n v="2354"/>
    <n v="0"/>
    <m/>
    <x v="24"/>
  </r>
  <r>
    <x v="156"/>
    <s v="rom_fact_northern_enedwaith"/>
    <n v="0"/>
    <x v="11"/>
    <n v="0"/>
    <n v="23466"/>
    <n v="1750"/>
    <n v="0"/>
    <m/>
    <x v="25"/>
  </r>
  <r>
    <x v="156"/>
    <s v="rom_fact_southern_enedwaith"/>
    <n v="0"/>
    <x v="11"/>
    <n v="0"/>
    <n v="54023"/>
    <n v="1750"/>
    <n v="0"/>
    <m/>
    <x v="26"/>
  </r>
  <r>
    <x v="156"/>
    <s v="rom_fact_druedain"/>
    <n v="0"/>
    <x v="11"/>
    <n v="0"/>
    <n v="32146"/>
    <n v="1750"/>
    <n v="0"/>
    <m/>
    <x v="27"/>
  </r>
  <r>
    <x v="156"/>
    <s v="rom_fact_harondor"/>
    <n v="0"/>
    <x v="11"/>
    <n v="0"/>
    <n v="15146"/>
    <n v="1750"/>
    <n v="0"/>
    <m/>
    <x v="28"/>
  </r>
  <r>
    <x v="156"/>
    <s v="rom_fact_southron_nomads"/>
    <n v="0"/>
    <x v="11"/>
    <n v="0"/>
    <n v="4000"/>
    <n v="1750"/>
    <n v="0"/>
    <m/>
    <x v="29"/>
  </r>
  <r>
    <x v="156"/>
    <s v="rom_fact_separatist_harad"/>
    <n v="0"/>
    <x v="11"/>
    <n v="0"/>
    <n v="4000"/>
    <n v="1750"/>
    <n v="0"/>
    <m/>
    <x v="30"/>
  </r>
  <r>
    <x v="156"/>
    <s v="rom_fact_separatist_khand"/>
    <n v="0"/>
    <x v="11"/>
    <n v="0"/>
    <n v="4000"/>
    <n v="1750"/>
    <n v="0"/>
    <m/>
    <x v="30"/>
  </r>
  <r>
    <x v="156"/>
    <s v="rom_fact_separatist_balchoth"/>
    <n v="0"/>
    <x v="11"/>
    <n v="0"/>
    <n v="4000"/>
    <n v="1750"/>
    <n v="0"/>
    <m/>
    <x v="30"/>
  </r>
  <r>
    <x v="156"/>
    <s v="rom_fact_separatist_feredrim"/>
    <n v="0"/>
    <x v="11"/>
    <n v="0"/>
    <n v="4000"/>
    <n v="1750"/>
    <n v="0"/>
    <m/>
    <x v="30"/>
  </r>
  <r>
    <x v="156"/>
    <s v="rom_fact_separatist_haerrim"/>
    <n v="0"/>
    <x v="11"/>
    <n v="0"/>
    <n v="4000"/>
    <n v="1750"/>
    <n v="0"/>
    <m/>
    <x v="30"/>
  </r>
  <r>
    <x v="156"/>
    <s v="rom_fact_separatist_wainriders"/>
    <n v="0"/>
    <x v="11"/>
    <n v="0"/>
    <n v="4000"/>
    <n v="1750"/>
    <n v="0"/>
    <m/>
    <x v="30"/>
  </r>
  <r>
    <x v="156"/>
    <s v="rom_fact_separatist_rhurim"/>
    <n v="0"/>
    <x v="11"/>
    <n v="0"/>
    <n v="4000"/>
    <n v="1750"/>
    <n v="0"/>
    <m/>
    <x v="30"/>
  </r>
  <r>
    <x v="156"/>
    <s v="rom_fact_separatist_mahuds"/>
    <n v="0"/>
    <x v="11"/>
    <n v="0"/>
    <n v="4000"/>
    <n v="1750"/>
    <n v="0"/>
    <m/>
    <x v="30"/>
  </r>
  <r>
    <x v="156"/>
    <s v="rom_fact_separatist_umbar"/>
    <n v="0"/>
    <x v="11"/>
    <n v="0"/>
    <n v="4000"/>
    <n v="1750"/>
    <n v="0"/>
    <m/>
    <x v="30"/>
  </r>
  <r>
    <x v="157"/>
    <s v="rom_fact_mordor"/>
    <n v="1305"/>
    <x v="53"/>
    <n v="926.6"/>
    <n v="2674"/>
    <n v="153009"/>
    <n v="14687"/>
    <m/>
    <x v="0"/>
  </r>
  <r>
    <x v="157"/>
    <s v="rom_fact_gondor"/>
    <n v="146"/>
    <x v="11"/>
    <n v="0"/>
    <n v="55420"/>
    <n v="2500"/>
    <n v="0"/>
    <m/>
    <x v="1"/>
  </r>
  <r>
    <x v="157"/>
    <s v="rom_fact_dale"/>
    <n v="199"/>
    <x v="11"/>
    <n v="0"/>
    <n v="10343"/>
    <n v="2500"/>
    <n v="0"/>
    <m/>
    <x v="2"/>
  </r>
  <r>
    <x v="157"/>
    <s v="rom_fact_erebor"/>
    <n v="200"/>
    <x v="11"/>
    <n v="0"/>
    <n v="10040"/>
    <n v="2500"/>
    <n v="0"/>
    <m/>
    <x v="3"/>
  </r>
  <r>
    <x v="157"/>
    <s v="rom_fact_rohan"/>
    <n v="157"/>
    <x v="11"/>
    <n v="0"/>
    <n v="6638"/>
    <n v="2500"/>
    <n v="0"/>
    <m/>
    <x v="4"/>
  </r>
  <r>
    <x v="157"/>
    <s v="rom_fact_dol_guldur"/>
    <n v="621"/>
    <x v="21"/>
    <n v="368.2"/>
    <n v="909997"/>
    <n v="73354"/>
    <n v="7192"/>
    <m/>
    <x v="5"/>
  </r>
  <r>
    <x v="157"/>
    <s v="rom_fact_anduin_vale"/>
    <n v="58"/>
    <x v="11"/>
    <n v="0"/>
    <n v="4515"/>
    <n v="2500"/>
    <n v="0"/>
    <m/>
    <x v="6"/>
  </r>
  <r>
    <x v="157"/>
    <s v="rom_fact_isengard"/>
    <n v="329"/>
    <x v="11"/>
    <n v="0"/>
    <n v="23007"/>
    <n v="2500"/>
    <n v="0"/>
    <m/>
    <x v="7"/>
  </r>
  <r>
    <x v="157"/>
    <s v="rom_fact_woodland_realm"/>
    <n v="30"/>
    <x v="11"/>
    <n v="0"/>
    <n v="8475"/>
    <n v="2500"/>
    <n v="0"/>
    <m/>
    <x v="8"/>
  </r>
  <r>
    <x v="157"/>
    <s v="rom_fact_lothlorien"/>
    <n v="64"/>
    <x v="11"/>
    <n v="0"/>
    <n v="4721"/>
    <n v="2500"/>
    <n v="0"/>
    <m/>
    <x v="9"/>
  </r>
  <r>
    <x v="157"/>
    <s v="rom_fact_khand"/>
    <n v="0"/>
    <x v="11"/>
    <n v="0"/>
    <n v="4919"/>
    <n v="1750"/>
    <n v="0"/>
    <m/>
    <x v="10"/>
  </r>
  <r>
    <x v="157"/>
    <s v="rom_fact_umbar"/>
    <n v="24"/>
    <x v="20"/>
    <n v="306.10000000000002"/>
    <n v="704366"/>
    <n v="70405"/>
    <n v="6317"/>
    <m/>
    <x v="11"/>
  </r>
  <r>
    <x v="157"/>
    <s v="rom_fact_mahuds"/>
    <n v="0"/>
    <x v="11"/>
    <n v="0"/>
    <n v="9228"/>
    <n v="1750"/>
    <n v="0"/>
    <m/>
    <x v="12"/>
  </r>
  <r>
    <x v="157"/>
    <s v="rom_fact_harad"/>
    <n v="498"/>
    <x v="1"/>
    <n v="343.9"/>
    <n v="397967"/>
    <n v="61726"/>
    <n v="5296"/>
    <m/>
    <x v="13"/>
  </r>
  <r>
    <x v="157"/>
    <s v="rom_fact_dunland"/>
    <n v="423"/>
    <x v="8"/>
    <n v="162"/>
    <n v="241613"/>
    <n v="34169"/>
    <n v="0"/>
    <m/>
    <x v="14"/>
  </r>
  <r>
    <x v="157"/>
    <s v="rom_fact_haerrim"/>
    <n v="0"/>
    <x v="11"/>
    <n v="0"/>
    <n v="5352"/>
    <n v="1750"/>
    <n v="0"/>
    <m/>
    <x v="15"/>
  </r>
  <r>
    <x v="157"/>
    <s v="rom_fact_goblins"/>
    <n v="666"/>
    <x v="11"/>
    <n v="0"/>
    <n v="128480"/>
    <n v="2500"/>
    <n v="0"/>
    <m/>
    <x v="16"/>
  </r>
  <r>
    <x v="157"/>
    <s v="rom_fact_balchoth"/>
    <n v="0"/>
    <x v="11"/>
    <n v="0"/>
    <n v="4872"/>
    <n v="1750"/>
    <n v="0"/>
    <m/>
    <x v="17"/>
  </r>
  <r>
    <x v="157"/>
    <s v="rom_fact_rhurim"/>
    <n v="753"/>
    <x v="12"/>
    <n v="88.7"/>
    <n v="441498"/>
    <n v="19713"/>
    <n v="0"/>
    <m/>
    <x v="18"/>
  </r>
  <r>
    <x v="157"/>
    <s v="rom_fact_feredrim"/>
    <n v="0"/>
    <x v="11"/>
    <n v="0"/>
    <n v="7360"/>
    <n v="1750"/>
    <n v="0"/>
    <m/>
    <x v="19"/>
  </r>
  <r>
    <x v="157"/>
    <s v="rom_fact_wainriders"/>
    <n v="0"/>
    <x v="11"/>
    <n v="0"/>
    <n v="6395"/>
    <n v="1750"/>
    <n v="0"/>
    <m/>
    <x v="20"/>
  </r>
  <r>
    <x v="157"/>
    <s v="rom_fact_blacklock"/>
    <n v="8"/>
    <x v="5"/>
    <n v="108.3"/>
    <n v="62531"/>
    <n v="27032"/>
    <n v="2431"/>
    <m/>
    <x v="21"/>
  </r>
  <r>
    <x v="157"/>
    <s v="rom_fact_ironfist"/>
    <n v="9"/>
    <x v="5"/>
    <n v="118"/>
    <n v="50518"/>
    <n v="36659"/>
    <n v="2127"/>
    <m/>
    <x v="22"/>
  </r>
  <r>
    <x v="157"/>
    <s v="rom_fact_gundabad"/>
    <n v="245"/>
    <x v="11"/>
    <n v="0"/>
    <n v="9750"/>
    <n v="2500"/>
    <n v="0"/>
    <m/>
    <x v="23"/>
  </r>
  <r>
    <x v="157"/>
    <s v="rom_fact_rohan_scouts"/>
    <n v="0"/>
    <x v="11"/>
    <n v="3"/>
    <n v="182593"/>
    <n v="2354"/>
    <n v="0"/>
    <m/>
    <x v="24"/>
  </r>
  <r>
    <x v="157"/>
    <s v="rom_fact_northern_enedwaith"/>
    <n v="0"/>
    <x v="11"/>
    <n v="0"/>
    <n v="23466"/>
    <n v="1750"/>
    <n v="0"/>
    <m/>
    <x v="25"/>
  </r>
  <r>
    <x v="157"/>
    <s v="rom_fact_southern_enedwaith"/>
    <n v="0"/>
    <x v="11"/>
    <n v="0"/>
    <n v="54023"/>
    <n v="1750"/>
    <n v="0"/>
    <m/>
    <x v="26"/>
  </r>
  <r>
    <x v="157"/>
    <s v="rom_fact_druedain"/>
    <n v="0"/>
    <x v="11"/>
    <n v="0"/>
    <n v="32146"/>
    <n v="1750"/>
    <n v="0"/>
    <m/>
    <x v="27"/>
  </r>
  <r>
    <x v="157"/>
    <s v="rom_fact_harondor"/>
    <n v="0"/>
    <x v="11"/>
    <n v="0"/>
    <n v="15146"/>
    <n v="1750"/>
    <n v="0"/>
    <m/>
    <x v="28"/>
  </r>
  <r>
    <x v="157"/>
    <s v="rom_fact_southron_nomads"/>
    <n v="0"/>
    <x v="11"/>
    <n v="0"/>
    <n v="4000"/>
    <n v="1750"/>
    <n v="0"/>
    <m/>
    <x v="29"/>
  </r>
  <r>
    <x v="157"/>
    <s v="rom_fact_separatist_harad"/>
    <n v="0"/>
    <x v="11"/>
    <n v="0"/>
    <n v="4000"/>
    <n v="1750"/>
    <n v="0"/>
    <m/>
    <x v="30"/>
  </r>
  <r>
    <x v="157"/>
    <s v="rom_fact_separatist_khand"/>
    <n v="0"/>
    <x v="11"/>
    <n v="0"/>
    <n v="4000"/>
    <n v="1750"/>
    <n v="0"/>
    <m/>
    <x v="30"/>
  </r>
  <r>
    <x v="157"/>
    <s v="rom_fact_separatist_balchoth"/>
    <n v="0"/>
    <x v="11"/>
    <n v="0"/>
    <n v="4000"/>
    <n v="1750"/>
    <n v="0"/>
    <m/>
    <x v="30"/>
  </r>
  <r>
    <x v="157"/>
    <s v="rom_fact_separatist_feredrim"/>
    <n v="0"/>
    <x v="11"/>
    <n v="0"/>
    <n v="4000"/>
    <n v="1750"/>
    <n v="0"/>
    <m/>
    <x v="30"/>
  </r>
  <r>
    <x v="157"/>
    <s v="rom_fact_separatist_haerrim"/>
    <n v="0"/>
    <x v="11"/>
    <n v="0"/>
    <n v="4000"/>
    <n v="1750"/>
    <n v="0"/>
    <m/>
    <x v="30"/>
  </r>
  <r>
    <x v="157"/>
    <s v="rom_fact_separatist_wainriders"/>
    <n v="0"/>
    <x v="11"/>
    <n v="0"/>
    <n v="4000"/>
    <n v="1750"/>
    <n v="0"/>
    <m/>
    <x v="30"/>
  </r>
  <r>
    <x v="157"/>
    <s v="rom_fact_separatist_rhurim"/>
    <n v="0"/>
    <x v="11"/>
    <n v="0"/>
    <n v="4000"/>
    <n v="1750"/>
    <n v="0"/>
    <m/>
    <x v="30"/>
  </r>
  <r>
    <x v="157"/>
    <s v="rom_fact_separatist_mahuds"/>
    <n v="0"/>
    <x v="11"/>
    <n v="0"/>
    <n v="4000"/>
    <n v="1750"/>
    <n v="0"/>
    <m/>
    <x v="30"/>
  </r>
  <r>
    <x v="157"/>
    <s v="rom_fact_separatist_umbar"/>
    <n v="0"/>
    <x v="11"/>
    <n v="0"/>
    <n v="4000"/>
    <n v="1750"/>
    <n v="0"/>
    <m/>
    <x v="30"/>
  </r>
  <r>
    <x v="158"/>
    <s v="rom_fact_mordor"/>
    <n v="1345"/>
    <x v="53"/>
    <n v="928.6"/>
    <n v="2721"/>
    <n v="153919"/>
    <n v="14809"/>
    <m/>
    <x v="0"/>
  </r>
  <r>
    <x v="158"/>
    <s v="rom_fact_gondor"/>
    <n v="146"/>
    <x v="11"/>
    <n v="0"/>
    <n v="55420"/>
    <n v="2500"/>
    <n v="0"/>
    <m/>
    <x v="1"/>
  </r>
  <r>
    <x v="158"/>
    <s v="rom_fact_dale"/>
    <n v="199"/>
    <x v="11"/>
    <n v="0"/>
    <n v="10343"/>
    <n v="2500"/>
    <n v="0"/>
    <m/>
    <x v="2"/>
  </r>
  <r>
    <x v="158"/>
    <s v="rom_fact_erebor"/>
    <n v="200"/>
    <x v="11"/>
    <n v="0"/>
    <n v="10040"/>
    <n v="2500"/>
    <n v="0"/>
    <m/>
    <x v="3"/>
  </r>
  <r>
    <x v="158"/>
    <s v="rom_fact_rohan"/>
    <n v="157"/>
    <x v="11"/>
    <n v="0"/>
    <n v="6638"/>
    <n v="2500"/>
    <n v="0"/>
    <m/>
    <x v="4"/>
  </r>
  <r>
    <x v="158"/>
    <s v="rom_fact_dol_guldur"/>
    <n v="621"/>
    <x v="21"/>
    <n v="360.2"/>
    <n v="941790"/>
    <n v="72501"/>
    <n v="7198"/>
    <m/>
    <x v="5"/>
  </r>
  <r>
    <x v="158"/>
    <s v="rom_fact_anduin_vale"/>
    <n v="58"/>
    <x v="11"/>
    <n v="0"/>
    <n v="4515"/>
    <n v="2500"/>
    <n v="0"/>
    <m/>
    <x v="6"/>
  </r>
  <r>
    <x v="158"/>
    <s v="rom_fact_isengard"/>
    <n v="329"/>
    <x v="11"/>
    <n v="0"/>
    <n v="23007"/>
    <n v="2500"/>
    <n v="0"/>
    <m/>
    <x v="7"/>
  </r>
  <r>
    <x v="158"/>
    <s v="rom_fact_woodland_realm"/>
    <n v="30"/>
    <x v="11"/>
    <n v="0"/>
    <n v="8475"/>
    <n v="2500"/>
    <n v="0"/>
    <m/>
    <x v="8"/>
  </r>
  <r>
    <x v="158"/>
    <s v="rom_fact_lothlorien"/>
    <n v="64"/>
    <x v="11"/>
    <n v="0"/>
    <n v="4721"/>
    <n v="2500"/>
    <n v="0"/>
    <m/>
    <x v="9"/>
  </r>
  <r>
    <x v="158"/>
    <s v="rom_fact_khand"/>
    <n v="0"/>
    <x v="11"/>
    <n v="0"/>
    <n v="4919"/>
    <n v="1750"/>
    <n v="0"/>
    <m/>
    <x v="10"/>
  </r>
  <r>
    <x v="158"/>
    <s v="rom_fact_umbar"/>
    <n v="24"/>
    <x v="20"/>
    <n v="310.39999999999998"/>
    <n v="718410"/>
    <n v="71188"/>
    <n v="6336"/>
    <m/>
    <x v="11"/>
  </r>
  <r>
    <x v="158"/>
    <s v="rom_fact_mahuds"/>
    <n v="0"/>
    <x v="11"/>
    <n v="0"/>
    <n v="9228"/>
    <n v="1750"/>
    <n v="0"/>
    <m/>
    <x v="12"/>
  </r>
  <r>
    <x v="158"/>
    <s v="rom_fact_harad"/>
    <n v="504"/>
    <x v="25"/>
    <n v="344.9"/>
    <n v="402558"/>
    <n v="62205"/>
    <n v="5154"/>
    <m/>
    <x v="13"/>
  </r>
  <r>
    <x v="158"/>
    <s v="rom_fact_dunland"/>
    <n v="423"/>
    <x v="8"/>
    <n v="160.89999999999901"/>
    <n v="240377"/>
    <n v="33436"/>
    <n v="0"/>
    <m/>
    <x v="14"/>
  </r>
  <r>
    <x v="158"/>
    <s v="rom_fact_haerrim"/>
    <n v="0"/>
    <x v="11"/>
    <n v="0"/>
    <n v="5352"/>
    <n v="1750"/>
    <n v="0"/>
    <m/>
    <x v="15"/>
  </r>
  <r>
    <x v="158"/>
    <s v="rom_fact_goblins"/>
    <n v="666"/>
    <x v="11"/>
    <n v="0"/>
    <n v="128480"/>
    <n v="2500"/>
    <n v="0"/>
    <m/>
    <x v="16"/>
  </r>
  <r>
    <x v="158"/>
    <s v="rom_fact_balchoth"/>
    <n v="0"/>
    <x v="11"/>
    <n v="0"/>
    <n v="4872"/>
    <n v="1750"/>
    <n v="0"/>
    <m/>
    <x v="17"/>
  </r>
  <r>
    <x v="158"/>
    <s v="rom_fact_rhurim"/>
    <n v="760"/>
    <x v="13"/>
    <n v="81.7"/>
    <n v="439489"/>
    <n v="17289"/>
    <n v="0"/>
    <m/>
    <x v="18"/>
  </r>
  <r>
    <x v="158"/>
    <s v="rom_fact_feredrim"/>
    <n v="0"/>
    <x v="11"/>
    <n v="0"/>
    <n v="7360"/>
    <n v="1750"/>
    <n v="0"/>
    <m/>
    <x v="19"/>
  </r>
  <r>
    <x v="158"/>
    <s v="rom_fact_wainriders"/>
    <n v="0"/>
    <x v="11"/>
    <n v="0"/>
    <n v="6395"/>
    <n v="1750"/>
    <n v="0"/>
    <m/>
    <x v="20"/>
  </r>
  <r>
    <x v="158"/>
    <s v="rom_fact_blacklock"/>
    <n v="8"/>
    <x v="5"/>
    <n v="108.3"/>
    <n v="75930"/>
    <n v="27027"/>
    <n v="2435"/>
    <m/>
    <x v="21"/>
  </r>
  <r>
    <x v="158"/>
    <s v="rom_fact_ironfist"/>
    <n v="9"/>
    <x v="5"/>
    <n v="129"/>
    <n v="47150"/>
    <n v="37184"/>
    <n v="2132"/>
    <m/>
    <x v="22"/>
  </r>
  <r>
    <x v="158"/>
    <s v="rom_fact_gundabad"/>
    <n v="245"/>
    <x v="11"/>
    <n v="0"/>
    <n v="9750"/>
    <n v="2500"/>
    <n v="0"/>
    <m/>
    <x v="23"/>
  </r>
  <r>
    <x v="158"/>
    <s v="rom_fact_rohan_scouts"/>
    <n v="0"/>
    <x v="11"/>
    <n v="3"/>
    <n v="183739"/>
    <n v="2354"/>
    <n v="0"/>
    <m/>
    <x v="24"/>
  </r>
  <r>
    <x v="158"/>
    <s v="rom_fact_northern_enedwaith"/>
    <n v="0"/>
    <x v="11"/>
    <n v="0"/>
    <n v="23466"/>
    <n v="1750"/>
    <n v="0"/>
    <m/>
    <x v="25"/>
  </r>
  <r>
    <x v="158"/>
    <s v="rom_fact_southern_enedwaith"/>
    <n v="0"/>
    <x v="11"/>
    <n v="0"/>
    <n v="54023"/>
    <n v="1750"/>
    <n v="0"/>
    <m/>
    <x v="26"/>
  </r>
  <r>
    <x v="158"/>
    <s v="rom_fact_druedain"/>
    <n v="0"/>
    <x v="11"/>
    <n v="0"/>
    <n v="32146"/>
    <n v="1750"/>
    <n v="0"/>
    <m/>
    <x v="27"/>
  </r>
  <r>
    <x v="158"/>
    <s v="rom_fact_harondor"/>
    <n v="0"/>
    <x v="11"/>
    <n v="0"/>
    <n v="15146"/>
    <n v="1750"/>
    <n v="0"/>
    <m/>
    <x v="28"/>
  </r>
  <r>
    <x v="158"/>
    <s v="rom_fact_southron_nomads"/>
    <n v="0"/>
    <x v="11"/>
    <n v="0"/>
    <n v="4000"/>
    <n v="1750"/>
    <n v="0"/>
    <m/>
    <x v="29"/>
  </r>
  <r>
    <x v="158"/>
    <s v="rom_fact_separatist_harad"/>
    <n v="0"/>
    <x v="11"/>
    <n v="0"/>
    <n v="4000"/>
    <n v="1750"/>
    <n v="0"/>
    <m/>
    <x v="30"/>
  </r>
  <r>
    <x v="158"/>
    <s v="rom_fact_separatist_khand"/>
    <n v="0"/>
    <x v="11"/>
    <n v="0"/>
    <n v="4000"/>
    <n v="1750"/>
    <n v="0"/>
    <m/>
    <x v="30"/>
  </r>
  <r>
    <x v="158"/>
    <s v="rom_fact_separatist_balchoth"/>
    <n v="0"/>
    <x v="11"/>
    <n v="0"/>
    <n v="4000"/>
    <n v="1750"/>
    <n v="0"/>
    <m/>
    <x v="30"/>
  </r>
  <r>
    <x v="158"/>
    <s v="rom_fact_separatist_feredrim"/>
    <n v="0"/>
    <x v="11"/>
    <n v="0"/>
    <n v="4000"/>
    <n v="1750"/>
    <n v="0"/>
    <m/>
    <x v="30"/>
  </r>
  <r>
    <x v="158"/>
    <s v="rom_fact_separatist_haerrim"/>
    <n v="0"/>
    <x v="11"/>
    <n v="0"/>
    <n v="4000"/>
    <n v="1750"/>
    <n v="0"/>
    <m/>
    <x v="30"/>
  </r>
  <r>
    <x v="158"/>
    <s v="rom_fact_separatist_wainriders"/>
    <n v="0"/>
    <x v="11"/>
    <n v="0"/>
    <n v="4000"/>
    <n v="1750"/>
    <n v="0"/>
    <m/>
    <x v="30"/>
  </r>
  <r>
    <x v="158"/>
    <s v="rom_fact_separatist_rhurim"/>
    <n v="0"/>
    <x v="11"/>
    <n v="0"/>
    <n v="4000"/>
    <n v="1750"/>
    <n v="0"/>
    <m/>
    <x v="30"/>
  </r>
  <r>
    <x v="158"/>
    <s v="rom_fact_separatist_mahuds"/>
    <n v="0"/>
    <x v="11"/>
    <n v="0"/>
    <n v="4000"/>
    <n v="1750"/>
    <n v="0"/>
    <m/>
    <x v="30"/>
  </r>
  <r>
    <x v="158"/>
    <s v="rom_fact_separatist_umbar"/>
    <n v="0"/>
    <x v="11"/>
    <n v="0"/>
    <n v="4000"/>
    <n v="1750"/>
    <n v="0"/>
    <m/>
    <x v="30"/>
  </r>
  <r>
    <x v="159"/>
    <s v="rom_fact_mordor"/>
    <n v="1345"/>
    <x v="53"/>
    <n v="928.6"/>
    <n v="514"/>
    <n v="158059"/>
    <n v="15968"/>
    <m/>
    <x v="0"/>
  </r>
  <r>
    <x v="159"/>
    <s v="rom_fact_gondor"/>
    <n v="146"/>
    <x v="11"/>
    <n v="0"/>
    <n v="55420"/>
    <n v="2500"/>
    <n v="0"/>
    <m/>
    <x v="1"/>
  </r>
  <r>
    <x v="159"/>
    <s v="rom_fact_dale"/>
    <n v="199"/>
    <x v="11"/>
    <n v="0"/>
    <n v="10343"/>
    <n v="2500"/>
    <n v="0"/>
    <m/>
    <x v="2"/>
  </r>
  <r>
    <x v="159"/>
    <s v="rom_fact_erebor"/>
    <n v="200"/>
    <x v="11"/>
    <n v="0"/>
    <n v="10040"/>
    <n v="2500"/>
    <n v="0"/>
    <m/>
    <x v="3"/>
  </r>
  <r>
    <x v="159"/>
    <s v="rom_fact_rohan"/>
    <n v="157"/>
    <x v="11"/>
    <n v="0"/>
    <n v="6638"/>
    <n v="2500"/>
    <n v="0"/>
    <m/>
    <x v="4"/>
  </r>
  <r>
    <x v="159"/>
    <s v="rom_fact_dol_guldur"/>
    <n v="621"/>
    <x v="21"/>
    <n v="358.5"/>
    <n v="996823"/>
    <n v="73916"/>
    <n v="7617"/>
    <m/>
    <x v="5"/>
  </r>
  <r>
    <x v="159"/>
    <s v="rom_fact_anduin_vale"/>
    <n v="58"/>
    <x v="11"/>
    <n v="0"/>
    <n v="4515"/>
    <n v="2500"/>
    <n v="0"/>
    <m/>
    <x v="6"/>
  </r>
  <r>
    <x v="159"/>
    <s v="rom_fact_isengard"/>
    <n v="329"/>
    <x v="11"/>
    <n v="0"/>
    <n v="23007"/>
    <n v="2500"/>
    <n v="0"/>
    <m/>
    <x v="7"/>
  </r>
  <r>
    <x v="159"/>
    <s v="rom_fact_woodland_realm"/>
    <n v="30"/>
    <x v="11"/>
    <n v="0"/>
    <n v="8475"/>
    <n v="2500"/>
    <n v="0"/>
    <m/>
    <x v="8"/>
  </r>
  <r>
    <x v="159"/>
    <s v="rom_fact_lothlorien"/>
    <n v="64"/>
    <x v="11"/>
    <n v="0"/>
    <n v="4721"/>
    <n v="2500"/>
    <n v="0"/>
    <m/>
    <x v="9"/>
  </r>
  <r>
    <x v="159"/>
    <s v="rom_fact_khand"/>
    <n v="0"/>
    <x v="11"/>
    <n v="0"/>
    <n v="4919"/>
    <n v="1750"/>
    <n v="0"/>
    <m/>
    <x v="10"/>
  </r>
  <r>
    <x v="159"/>
    <s v="rom_fact_umbar"/>
    <n v="26"/>
    <x v="18"/>
    <n v="308.60000000000002"/>
    <n v="732242"/>
    <n v="73582"/>
    <n v="7007"/>
    <m/>
    <x v="11"/>
  </r>
  <r>
    <x v="159"/>
    <s v="rom_fact_mahuds"/>
    <n v="0"/>
    <x v="11"/>
    <n v="0"/>
    <n v="9228"/>
    <n v="1750"/>
    <n v="0"/>
    <m/>
    <x v="12"/>
  </r>
  <r>
    <x v="159"/>
    <s v="rom_fact_harad"/>
    <n v="518"/>
    <x v="27"/>
    <n v="354"/>
    <n v="405830"/>
    <n v="65366"/>
    <n v="5903"/>
    <m/>
    <x v="13"/>
  </r>
  <r>
    <x v="159"/>
    <s v="rom_fact_dunland"/>
    <n v="423"/>
    <x v="8"/>
    <n v="173.099999999999"/>
    <n v="213973"/>
    <n v="37077"/>
    <n v="0"/>
    <m/>
    <x v="14"/>
  </r>
  <r>
    <x v="159"/>
    <s v="rom_fact_haerrim"/>
    <n v="0"/>
    <x v="11"/>
    <n v="0"/>
    <n v="5352"/>
    <n v="1750"/>
    <n v="0"/>
    <m/>
    <x v="15"/>
  </r>
  <r>
    <x v="159"/>
    <s v="rom_fact_goblins"/>
    <n v="666"/>
    <x v="11"/>
    <n v="0"/>
    <n v="128480"/>
    <n v="2500"/>
    <n v="0"/>
    <m/>
    <x v="16"/>
  </r>
  <r>
    <x v="159"/>
    <s v="rom_fact_balchoth"/>
    <n v="0"/>
    <x v="11"/>
    <n v="0"/>
    <n v="4872"/>
    <n v="1750"/>
    <n v="0"/>
    <m/>
    <x v="17"/>
  </r>
  <r>
    <x v="159"/>
    <s v="rom_fact_rhurim"/>
    <n v="756"/>
    <x v="8"/>
    <n v="52.7"/>
    <n v="438144"/>
    <n v="12054"/>
    <n v="0"/>
    <m/>
    <x v="18"/>
  </r>
  <r>
    <x v="159"/>
    <s v="rom_fact_feredrim"/>
    <n v="0"/>
    <x v="11"/>
    <n v="0"/>
    <n v="7360"/>
    <n v="1750"/>
    <n v="0"/>
    <m/>
    <x v="19"/>
  </r>
  <r>
    <x v="159"/>
    <s v="rom_fact_wainriders"/>
    <n v="0"/>
    <x v="11"/>
    <n v="0"/>
    <n v="6395"/>
    <n v="1750"/>
    <n v="0"/>
    <m/>
    <x v="20"/>
  </r>
  <r>
    <x v="159"/>
    <s v="rom_fact_blacklock"/>
    <n v="8"/>
    <x v="5"/>
    <n v="116.6"/>
    <n v="86257"/>
    <n v="28628"/>
    <n v="2366"/>
    <m/>
    <x v="21"/>
  </r>
  <r>
    <x v="159"/>
    <s v="rom_fact_ironfist"/>
    <n v="9"/>
    <x v="5"/>
    <n v="140"/>
    <n v="58726"/>
    <n v="38937"/>
    <n v="2323"/>
    <m/>
    <x v="22"/>
  </r>
  <r>
    <x v="159"/>
    <s v="rom_fact_gundabad"/>
    <n v="245"/>
    <x v="11"/>
    <n v="0"/>
    <n v="9750"/>
    <n v="2500"/>
    <n v="0"/>
    <m/>
    <x v="23"/>
  </r>
  <r>
    <x v="159"/>
    <s v="rom_fact_rohan_scouts"/>
    <n v="0"/>
    <x v="11"/>
    <n v="3"/>
    <n v="184885"/>
    <n v="2354"/>
    <n v="0"/>
    <m/>
    <x v="24"/>
  </r>
  <r>
    <x v="159"/>
    <s v="rom_fact_northern_enedwaith"/>
    <n v="0"/>
    <x v="11"/>
    <n v="0"/>
    <n v="23466"/>
    <n v="1750"/>
    <n v="0"/>
    <m/>
    <x v="25"/>
  </r>
  <r>
    <x v="159"/>
    <s v="rom_fact_southern_enedwaith"/>
    <n v="0"/>
    <x v="11"/>
    <n v="0"/>
    <n v="54023"/>
    <n v="1750"/>
    <n v="0"/>
    <m/>
    <x v="26"/>
  </r>
  <r>
    <x v="159"/>
    <s v="rom_fact_druedain"/>
    <n v="0"/>
    <x v="11"/>
    <n v="0"/>
    <n v="32146"/>
    <n v="1750"/>
    <n v="0"/>
    <m/>
    <x v="27"/>
  </r>
  <r>
    <x v="159"/>
    <s v="rom_fact_harondor"/>
    <n v="0"/>
    <x v="11"/>
    <n v="0"/>
    <n v="15146"/>
    <n v="1750"/>
    <n v="0"/>
    <m/>
    <x v="28"/>
  </r>
  <r>
    <x v="159"/>
    <s v="rom_fact_southron_nomads"/>
    <n v="0"/>
    <x v="11"/>
    <n v="0"/>
    <n v="4000"/>
    <n v="1750"/>
    <n v="0"/>
    <m/>
    <x v="29"/>
  </r>
  <r>
    <x v="159"/>
    <s v="rom_fact_separatist_harad"/>
    <n v="0"/>
    <x v="11"/>
    <n v="0"/>
    <n v="4000"/>
    <n v="1750"/>
    <n v="0"/>
    <m/>
    <x v="30"/>
  </r>
  <r>
    <x v="159"/>
    <s v="rom_fact_separatist_khand"/>
    <n v="0"/>
    <x v="11"/>
    <n v="0"/>
    <n v="4000"/>
    <n v="1750"/>
    <n v="0"/>
    <m/>
    <x v="30"/>
  </r>
  <r>
    <x v="159"/>
    <s v="rom_fact_separatist_balchoth"/>
    <n v="0"/>
    <x v="11"/>
    <n v="0"/>
    <n v="4000"/>
    <n v="1750"/>
    <n v="0"/>
    <m/>
    <x v="30"/>
  </r>
  <r>
    <x v="159"/>
    <s v="rom_fact_separatist_feredrim"/>
    <n v="0"/>
    <x v="11"/>
    <n v="0"/>
    <n v="4000"/>
    <n v="1750"/>
    <n v="0"/>
    <m/>
    <x v="30"/>
  </r>
  <r>
    <x v="159"/>
    <s v="rom_fact_separatist_haerrim"/>
    <n v="0"/>
    <x v="11"/>
    <n v="0"/>
    <n v="4000"/>
    <n v="1750"/>
    <n v="0"/>
    <m/>
    <x v="30"/>
  </r>
  <r>
    <x v="159"/>
    <s v="rom_fact_separatist_wainriders"/>
    <n v="0"/>
    <x v="11"/>
    <n v="0"/>
    <n v="4000"/>
    <n v="1750"/>
    <n v="0"/>
    <m/>
    <x v="30"/>
  </r>
  <r>
    <x v="159"/>
    <s v="rom_fact_separatist_rhurim"/>
    <n v="0"/>
    <x v="11"/>
    <n v="0"/>
    <n v="4000"/>
    <n v="1750"/>
    <n v="0"/>
    <m/>
    <x v="30"/>
  </r>
  <r>
    <x v="159"/>
    <s v="rom_fact_separatist_mahuds"/>
    <n v="0"/>
    <x v="11"/>
    <n v="0"/>
    <n v="4000"/>
    <n v="1750"/>
    <n v="0"/>
    <m/>
    <x v="30"/>
  </r>
  <r>
    <x v="159"/>
    <s v="rom_fact_separatist_umbar"/>
    <n v="0"/>
    <x v="11"/>
    <n v="0"/>
    <n v="4000"/>
    <n v="1750"/>
    <n v="0"/>
    <m/>
    <x v="30"/>
  </r>
  <r>
    <x v="160"/>
    <s v="rom_fact_mordor"/>
    <n v="1367"/>
    <x v="54"/>
    <n v="928.2"/>
    <n v="657"/>
    <n v="163075"/>
    <n v="16096"/>
    <m/>
    <x v="0"/>
  </r>
  <r>
    <x v="160"/>
    <s v="rom_fact_gondor"/>
    <n v="146"/>
    <x v="11"/>
    <n v="0"/>
    <n v="55420"/>
    <n v="2500"/>
    <n v="0"/>
    <m/>
    <x v="1"/>
  </r>
  <r>
    <x v="160"/>
    <s v="rom_fact_dale"/>
    <n v="199"/>
    <x v="11"/>
    <n v="0"/>
    <n v="10343"/>
    <n v="2500"/>
    <n v="0"/>
    <m/>
    <x v="2"/>
  </r>
  <r>
    <x v="160"/>
    <s v="rom_fact_erebor"/>
    <n v="200"/>
    <x v="11"/>
    <n v="0"/>
    <n v="10040"/>
    <n v="2500"/>
    <n v="0"/>
    <m/>
    <x v="3"/>
  </r>
  <r>
    <x v="160"/>
    <s v="rom_fact_rohan"/>
    <n v="157"/>
    <x v="11"/>
    <n v="0"/>
    <n v="6638"/>
    <n v="2500"/>
    <n v="0"/>
    <m/>
    <x v="4"/>
  </r>
  <r>
    <x v="160"/>
    <s v="rom_fact_dol_guldur"/>
    <n v="621"/>
    <x v="21"/>
    <n v="370.6"/>
    <n v="1015620"/>
    <n v="74578"/>
    <n v="7625"/>
    <m/>
    <x v="5"/>
  </r>
  <r>
    <x v="160"/>
    <s v="rom_fact_anduin_vale"/>
    <n v="58"/>
    <x v="11"/>
    <n v="0"/>
    <n v="4515"/>
    <n v="2500"/>
    <n v="0"/>
    <m/>
    <x v="6"/>
  </r>
  <r>
    <x v="160"/>
    <s v="rom_fact_isengard"/>
    <n v="329"/>
    <x v="11"/>
    <n v="0"/>
    <n v="23007"/>
    <n v="2500"/>
    <n v="0"/>
    <m/>
    <x v="7"/>
  </r>
  <r>
    <x v="160"/>
    <s v="rom_fact_woodland_realm"/>
    <n v="30"/>
    <x v="11"/>
    <n v="0"/>
    <n v="8475"/>
    <n v="2500"/>
    <n v="0"/>
    <m/>
    <x v="8"/>
  </r>
  <r>
    <x v="160"/>
    <s v="rom_fact_lothlorien"/>
    <n v="64"/>
    <x v="11"/>
    <n v="0"/>
    <n v="4721"/>
    <n v="2500"/>
    <n v="0"/>
    <m/>
    <x v="9"/>
  </r>
  <r>
    <x v="160"/>
    <s v="rom_fact_khand"/>
    <n v="0"/>
    <x v="11"/>
    <n v="0"/>
    <n v="4919"/>
    <n v="1750"/>
    <n v="0"/>
    <m/>
    <x v="10"/>
  </r>
  <r>
    <x v="160"/>
    <s v="rom_fact_umbar"/>
    <n v="26"/>
    <x v="18"/>
    <n v="316.60000000000002"/>
    <n v="752882"/>
    <n v="70371"/>
    <n v="7018"/>
    <m/>
    <x v="11"/>
  </r>
  <r>
    <x v="160"/>
    <s v="rom_fact_mahuds"/>
    <n v="0"/>
    <x v="11"/>
    <n v="0"/>
    <n v="9228"/>
    <n v="1750"/>
    <n v="0"/>
    <m/>
    <x v="12"/>
  </r>
  <r>
    <x v="160"/>
    <s v="rom_fact_harad"/>
    <n v="522"/>
    <x v="27"/>
    <n v="356"/>
    <n v="381145"/>
    <n v="67317"/>
    <n v="5924"/>
    <m/>
    <x v="13"/>
  </r>
  <r>
    <x v="160"/>
    <s v="rom_fact_dunland"/>
    <n v="421"/>
    <x v="9"/>
    <n v="105.8"/>
    <n v="219208"/>
    <n v="24827"/>
    <n v="0"/>
    <m/>
    <x v="14"/>
  </r>
  <r>
    <x v="160"/>
    <s v="rom_fact_haerrim"/>
    <n v="0"/>
    <x v="11"/>
    <n v="0"/>
    <n v="5352"/>
    <n v="1750"/>
    <n v="0"/>
    <m/>
    <x v="15"/>
  </r>
  <r>
    <x v="160"/>
    <s v="rom_fact_goblins"/>
    <n v="666"/>
    <x v="11"/>
    <n v="0"/>
    <n v="128480"/>
    <n v="2500"/>
    <n v="0"/>
    <m/>
    <x v="16"/>
  </r>
  <r>
    <x v="160"/>
    <s v="rom_fact_balchoth"/>
    <n v="0"/>
    <x v="11"/>
    <n v="0"/>
    <n v="4872"/>
    <n v="1750"/>
    <n v="0"/>
    <m/>
    <x v="17"/>
  </r>
  <r>
    <x v="160"/>
    <s v="rom_fact_rhurim"/>
    <n v="754"/>
    <x v="3"/>
    <n v="36"/>
    <n v="449876"/>
    <n v="7267"/>
    <n v="0"/>
    <m/>
    <x v="18"/>
  </r>
  <r>
    <x v="160"/>
    <s v="rom_fact_feredrim"/>
    <n v="0"/>
    <x v="11"/>
    <n v="0"/>
    <n v="7360"/>
    <n v="1750"/>
    <n v="0"/>
    <m/>
    <x v="19"/>
  </r>
  <r>
    <x v="160"/>
    <s v="rom_fact_wainriders"/>
    <n v="0"/>
    <x v="11"/>
    <n v="0"/>
    <n v="6395"/>
    <n v="1750"/>
    <n v="0"/>
    <m/>
    <x v="20"/>
  </r>
  <r>
    <x v="160"/>
    <s v="rom_fact_blacklock"/>
    <n v="9"/>
    <x v="13"/>
    <n v="120.9"/>
    <n v="84991"/>
    <n v="30718"/>
    <n v="2628"/>
    <m/>
    <x v="21"/>
  </r>
  <r>
    <x v="160"/>
    <s v="rom_fact_ironfist"/>
    <n v="10"/>
    <x v="13"/>
    <n v="150"/>
    <n v="68736"/>
    <n v="41910"/>
    <n v="2346"/>
    <m/>
    <x v="22"/>
  </r>
  <r>
    <x v="160"/>
    <s v="rom_fact_gundabad"/>
    <n v="245"/>
    <x v="11"/>
    <n v="0"/>
    <n v="9750"/>
    <n v="2500"/>
    <n v="0"/>
    <m/>
    <x v="23"/>
  </r>
  <r>
    <x v="160"/>
    <s v="rom_fact_rohan_scouts"/>
    <n v="0"/>
    <x v="11"/>
    <n v="3"/>
    <n v="186031"/>
    <n v="2354"/>
    <n v="0"/>
    <m/>
    <x v="24"/>
  </r>
  <r>
    <x v="160"/>
    <s v="rom_fact_northern_enedwaith"/>
    <n v="0"/>
    <x v="11"/>
    <n v="0"/>
    <n v="23466"/>
    <n v="1750"/>
    <n v="0"/>
    <m/>
    <x v="25"/>
  </r>
  <r>
    <x v="160"/>
    <s v="rom_fact_southern_enedwaith"/>
    <n v="0"/>
    <x v="11"/>
    <n v="0"/>
    <n v="54023"/>
    <n v="1750"/>
    <n v="0"/>
    <m/>
    <x v="26"/>
  </r>
  <r>
    <x v="160"/>
    <s v="rom_fact_druedain"/>
    <n v="0"/>
    <x v="11"/>
    <n v="0"/>
    <n v="32146"/>
    <n v="1750"/>
    <n v="0"/>
    <m/>
    <x v="27"/>
  </r>
  <r>
    <x v="160"/>
    <s v="rom_fact_harondor"/>
    <n v="0"/>
    <x v="11"/>
    <n v="0"/>
    <n v="15146"/>
    <n v="1750"/>
    <n v="0"/>
    <m/>
    <x v="28"/>
  </r>
  <r>
    <x v="160"/>
    <s v="rom_fact_southron_nomads"/>
    <n v="0"/>
    <x v="11"/>
    <n v="0"/>
    <n v="4000"/>
    <n v="1750"/>
    <n v="0"/>
    <m/>
    <x v="29"/>
  </r>
  <r>
    <x v="160"/>
    <s v="rom_fact_separatist_harad"/>
    <n v="0"/>
    <x v="11"/>
    <n v="0"/>
    <n v="4000"/>
    <n v="1750"/>
    <n v="0"/>
    <m/>
    <x v="30"/>
  </r>
  <r>
    <x v="160"/>
    <s v="rom_fact_separatist_khand"/>
    <n v="0"/>
    <x v="11"/>
    <n v="0"/>
    <n v="4000"/>
    <n v="1750"/>
    <n v="0"/>
    <m/>
    <x v="30"/>
  </r>
  <r>
    <x v="160"/>
    <s v="rom_fact_separatist_balchoth"/>
    <n v="0"/>
    <x v="11"/>
    <n v="0"/>
    <n v="4000"/>
    <n v="1750"/>
    <n v="0"/>
    <m/>
    <x v="30"/>
  </r>
  <r>
    <x v="160"/>
    <s v="rom_fact_separatist_feredrim"/>
    <n v="0"/>
    <x v="11"/>
    <n v="0"/>
    <n v="4000"/>
    <n v="1750"/>
    <n v="0"/>
    <m/>
    <x v="30"/>
  </r>
  <r>
    <x v="160"/>
    <s v="rom_fact_separatist_haerrim"/>
    <n v="0"/>
    <x v="11"/>
    <n v="0"/>
    <n v="4000"/>
    <n v="1750"/>
    <n v="0"/>
    <m/>
    <x v="30"/>
  </r>
  <r>
    <x v="160"/>
    <s v="rom_fact_separatist_wainriders"/>
    <n v="0"/>
    <x v="11"/>
    <n v="0"/>
    <n v="4000"/>
    <n v="1750"/>
    <n v="0"/>
    <m/>
    <x v="30"/>
  </r>
  <r>
    <x v="160"/>
    <s v="rom_fact_separatist_rhurim"/>
    <n v="0"/>
    <x v="11"/>
    <n v="0"/>
    <n v="4000"/>
    <n v="1750"/>
    <n v="0"/>
    <m/>
    <x v="30"/>
  </r>
  <r>
    <x v="160"/>
    <s v="rom_fact_separatist_mahuds"/>
    <n v="0"/>
    <x v="11"/>
    <n v="0"/>
    <n v="4000"/>
    <n v="1750"/>
    <n v="0"/>
    <m/>
    <x v="30"/>
  </r>
  <r>
    <x v="160"/>
    <s v="rom_fact_separatist_umbar"/>
    <n v="0"/>
    <x v="11"/>
    <n v="0"/>
    <n v="4000"/>
    <n v="1750"/>
    <n v="0"/>
    <m/>
    <x v="30"/>
  </r>
  <r>
    <x v="161"/>
    <s v="rom_fact_mordor"/>
    <n v="1367"/>
    <x v="54"/>
    <n v="930.2"/>
    <n v="48085"/>
    <n v="167646"/>
    <n v="16437"/>
    <m/>
    <x v="0"/>
  </r>
  <r>
    <x v="161"/>
    <s v="rom_fact_gondor"/>
    <n v="146"/>
    <x v="11"/>
    <n v="0"/>
    <n v="55420"/>
    <n v="2500"/>
    <n v="0"/>
    <m/>
    <x v="1"/>
  </r>
  <r>
    <x v="161"/>
    <s v="rom_fact_dale"/>
    <n v="199"/>
    <x v="11"/>
    <n v="0"/>
    <n v="10343"/>
    <n v="2500"/>
    <n v="0"/>
    <m/>
    <x v="2"/>
  </r>
  <r>
    <x v="161"/>
    <s v="rom_fact_erebor"/>
    <n v="200"/>
    <x v="11"/>
    <n v="0"/>
    <n v="10040"/>
    <n v="2500"/>
    <n v="0"/>
    <m/>
    <x v="3"/>
  </r>
  <r>
    <x v="161"/>
    <s v="rom_fact_rohan"/>
    <n v="157"/>
    <x v="11"/>
    <n v="0"/>
    <n v="6638"/>
    <n v="2500"/>
    <n v="0"/>
    <m/>
    <x v="4"/>
  </r>
  <r>
    <x v="161"/>
    <s v="rom_fact_dol_guldur"/>
    <n v="621"/>
    <x v="21"/>
    <n v="368.5"/>
    <n v="1045831"/>
    <n v="74997"/>
    <n v="7638"/>
    <m/>
    <x v="5"/>
  </r>
  <r>
    <x v="161"/>
    <s v="rom_fact_anduin_vale"/>
    <n v="58"/>
    <x v="11"/>
    <n v="0"/>
    <n v="4515"/>
    <n v="2500"/>
    <n v="0"/>
    <m/>
    <x v="6"/>
  </r>
  <r>
    <x v="161"/>
    <s v="rom_fact_isengard"/>
    <n v="329"/>
    <x v="11"/>
    <n v="0"/>
    <n v="23007"/>
    <n v="2500"/>
    <n v="0"/>
    <m/>
    <x v="7"/>
  </r>
  <r>
    <x v="161"/>
    <s v="rom_fact_woodland_realm"/>
    <n v="30"/>
    <x v="11"/>
    <n v="0"/>
    <n v="8475"/>
    <n v="2500"/>
    <n v="0"/>
    <m/>
    <x v="8"/>
  </r>
  <r>
    <x v="161"/>
    <s v="rom_fact_lothlorien"/>
    <n v="64"/>
    <x v="11"/>
    <n v="0"/>
    <n v="4721"/>
    <n v="2500"/>
    <n v="0"/>
    <m/>
    <x v="9"/>
  </r>
  <r>
    <x v="161"/>
    <s v="rom_fact_khand"/>
    <n v="0"/>
    <x v="11"/>
    <n v="0"/>
    <n v="4919"/>
    <n v="1750"/>
    <n v="0"/>
    <m/>
    <x v="10"/>
  </r>
  <r>
    <x v="161"/>
    <s v="rom_fact_umbar"/>
    <n v="26"/>
    <x v="18"/>
    <n v="314.60000000000002"/>
    <n v="838316"/>
    <n v="68556"/>
    <n v="6639"/>
    <m/>
    <x v="11"/>
  </r>
  <r>
    <x v="161"/>
    <s v="rom_fact_mahuds"/>
    <n v="0"/>
    <x v="11"/>
    <n v="0"/>
    <n v="9228"/>
    <n v="1750"/>
    <n v="0"/>
    <m/>
    <x v="12"/>
  </r>
  <r>
    <x v="161"/>
    <s v="rom_fact_harad"/>
    <n v="550"/>
    <x v="27"/>
    <n v="371"/>
    <n v="376686"/>
    <n v="68839"/>
    <n v="5938"/>
    <m/>
    <x v="13"/>
  </r>
  <r>
    <x v="161"/>
    <s v="rom_fact_dunland"/>
    <n v="421"/>
    <x v="9"/>
    <n v="106.8"/>
    <n v="217630"/>
    <n v="23723"/>
    <n v="0"/>
    <m/>
    <x v="14"/>
  </r>
  <r>
    <x v="161"/>
    <s v="rom_fact_haerrim"/>
    <n v="0"/>
    <x v="11"/>
    <n v="0"/>
    <n v="5352"/>
    <n v="1750"/>
    <n v="0"/>
    <m/>
    <x v="15"/>
  </r>
  <r>
    <x v="161"/>
    <s v="rom_fact_goblins"/>
    <n v="666"/>
    <x v="11"/>
    <n v="0"/>
    <n v="128480"/>
    <n v="2500"/>
    <n v="0"/>
    <m/>
    <x v="16"/>
  </r>
  <r>
    <x v="161"/>
    <s v="rom_fact_balchoth"/>
    <n v="0"/>
    <x v="11"/>
    <n v="0"/>
    <n v="4872"/>
    <n v="1750"/>
    <n v="0"/>
    <m/>
    <x v="17"/>
  </r>
  <r>
    <x v="161"/>
    <s v="rom_fact_rhurim"/>
    <n v="754"/>
    <x v="3"/>
    <n v="36"/>
    <n v="455092"/>
    <n v="7145"/>
    <n v="0"/>
    <m/>
    <x v="18"/>
  </r>
  <r>
    <x v="161"/>
    <s v="rom_fact_feredrim"/>
    <n v="0"/>
    <x v="11"/>
    <n v="0"/>
    <n v="7360"/>
    <n v="1750"/>
    <n v="0"/>
    <m/>
    <x v="19"/>
  </r>
  <r>
    <x v="161"/>
    <s v="rom_fact_wainriders"/>
    <n v="0"/>
    <x v="11"/>
    <n v="0"/>
    <n v="6395"/>
    <n v="1750"/>
    <n v="0"/>
    <m/>
    <x v="20"/>
  </r>
  <r>
    <x v="161"/>
    <s v="rom_fact_blacklock"/>
    <n v="9"/>
    <x v="13"/>
    <n v="131.5"/>
    <n v="83512"/>
    <n v="31673"/>
    <n v="2627"/>
    <m/>
    <x v="21"/>
  </r>
  <r>
    <x v="161"/>
    <s v="rom_fact_ironfist"/>
    <n v="10"/>
    <x v="13"/>
    <n v="154"/>
    <n v="67899"/>
    <n v="40603"/>
    <n v="2344"/>
    <m/>
    <x v="22"/>
  </r>
  <r>
    <x v="161"/>
    <s v="rom_fact_gundabad"/>
    <n v="245"/>
    <x v="11"/>
    <n v="0"/>
    <n v="9750"/>
    <n v="2500"/>
    <n v="0"/>
    <m/>
    <x v="23"/>
  </r>
  <r>
    <x v="161"/>
    <s v="rom_fact_rohan_scouts"/>
    <n v="0"/>
    <x v="11"/>
    <n v="3"/>
    <n v="187177"/>
    <n v="2354"/>
    <n v="0"/>
    <m/>
    <x v="24"/>
  </r>
  <r>
    <x v="161"/>
    <s v="rom_fact_northern_enedwaith"/>
    <n v="0"/>
    <x v="11"/>
    <n v="0"/>
    <n v="23466"/>
    <n v="1750"/>
    <n v="0"/>
    <m/>
    <x v="25"/>
  </r>
  <r>
    <x v="161"/>
    <s v="rom_fact_southern_enedwaith"/>
    <n v="0"/>
    <x v="11"/>
    <n v="0"/>
    <n v="54023"/>
    <n v="1750"/>
    <n v="0"/>
    <m/>
    <x v="26"/>
  </r>
  <r>
    <x v="161"/>
    <s v="rom_fact_druedain"/>
    <n v="0"/>
    <x v="11"/>
    <n v="0"/>
    <n v="32146"/>
    <n v="1750"/>
    <n v="0"/>
    <m/>
    <x v="27"/>
  </r>
  <r>
    <x v="161"/>
    <s v="rom_fact_harondor"/>
    <n v="0"/>
    <x v="11"/>
    <n v="0"/>
    <n v="15146"/>
    <n v="1750"/>
    <n v="0"/>
    <m/>
    <x v="28"/>
  </r>
  <r>
    <x v="161"/>
    <s v="rom_fact_southron_nomads"/>
    <n v="0"/>
    <x v="11"/>
    <n v="0"/>
    <n v="4000"/>
    <n v="1750"/>
    <n v="0"/>
    <m/>
    <x v="29"/>
  </r>
  <r>
    <x v="161"/>
    <s v="rom_fact_separatist_harad"/>
    <n v="0"/>
    <x v="11"/>
    <n v="0"/>
    <n v="4000"/>
    <n v="1750"/>
    <n v="0"/>
    <m/>
    <x v="30"/>
  </r>
  <r>
    <x v="161"/>
    <s v="rom_fact_separatist_khand"/>
    <n v="0"/>
    <x v="11"/>
    <n v="0"/>
    <n v="4000"/>
    <n v="1750"/>
    <n v="0"/>
    <m/>
    <x v="30"/>
  </r>
  <r>
    <x v="161"/>
    <s v="rom_fact_separatist_balchoth"/>
    <n v="0"/>
    <x v="11"/>
    <n v="0"/>
    <n v="4000"/>
    <n v="1750"/>
    <n v="0"/>
    <m/>
    <x v="30"/>
  </r>
  <r>
    <x v="161"/>
    <s v="rom_fact_separatist_feredrim"/>
    <n v="0"/>
    <x v="11"/>
    <n v="0"/>
    <n v="4000"/>
    <n v="1750"/>
    <n v="0"/>
    <m/>
    <x v="30"/>
  </r>
  <r>
    <x v="161"/>
    <s v="rom_fact_separatist_haerrim"/>
    <n v="0"/>
    <x v="11"/>
    <n v="0"/>
    <n v="4000"/>
    <n v="1750"/>
    <n v="0"/>
    <m/>
    <x v="30"/>
  </r>
  <r>
    <x v="161"/>
    <s v="rom_fact_separatist_wainriders"/>
    <n v="0"/>
    <x v="11"/>
    <n v="0"/>
    <n v="4000"/>
    <n v="1750"/>
    <n v="0"/>
    <m/>
    <x v="30"/>
  </r>
  <r>
    <x v="161"/>
    <s v="rom_fact_separatist_rhurim"/>
    <n v="0"/>
    <x v="11"/>
    <n v="0"/>
    <n v="4000"/>
    <n v="1750"/>
    <n v="0"/>
    <m/>
    <x v="30"/>
  </r>
  <r>
    <x v="161"/>
    <s v="rom_fact_separatist_mahuds"/>
    <n v="0"/>
    <x v="11"/>
    <n v="0"/>
    <n v="4000"/>
    <n v="1750"/>
    <n v="0"/>
    <m/>
    <x v="30"/>
  </r>
  <r>
    <x v="161"/>
    <s v="rom_fact_separatist_umbar"/>
    <n v="0"/>
    <x v="11"/>
    <n v="0"/>
    <n v="4000"/>
    <n v="1750"/>
    <n v="0"/>
    <m/>
    <x v="30"/>
  </r>
  <r>
    <x v="162"/>
    <s v="rom_fact_mordor"/>
    <n v="1379"/>
    <x v="54"/>
    <n v="943.2"/>
    <n v="67139"/>
    <n v="174443"/>
    <n v="16632"/>
    <m/>
    <x v="0"/>
  </r>
  <r>
    <x v="162"/>
    <s v="rom_fact_gondor"/>
    <n v="146"/>
    <x v="11"/>
    <n v="0"/>
    <n v="55420"/>
    <n v="2500"/>
    <n v="0"/>
    <m/>
    <x v="1"/>
  </r>
  <r>
    <x v="162"/>
    <s v="rom_fact_dale"/>
    <n v="199"/>
    <x v="11"/>
    <n v="0"/>
    <n v="10343"/>
    <n v="2500"/>
    <n v="0"/>
    <m/>
    <x v="2"/>
  </r>
  <r>
    <x v="162"/>
    <s v="rom_fact_erebor"/>
    <n v="200"/>
    <x v="11"/>
    <n v="0"/>
    <n v="10040"/>
    <n v="2500"/>
    <n v="0"/>
    <m/>
    <x v="3"/>
  </r>
  <r>
    <x v="162"/>
    <s v="rom_fact_rohan"/>
    <n v="157"/>
    <x v="11"/>
    <n v="0"/>
    <n v="6638"/>
    <n v="2500"/>
    <n v="0"/>
    <m/>
    <x v="4"/>
  </r>
  <r>
    <x v="162"/>
    <s v="rom_fact_dol_guldur"/>
    <n v="621"/>
    <x v="21"/>
    <n v="355.7"/>
    <n v="1135400"/>
    <n v="66547"/>
    <n v="7501"/>
    <m/>
    <x v="5"/>
  </r>
  <r>
    <x v="162"/>
    <s v="rom_fact_anduin_vale"/>
    <n v="58"/>
    <x v="11"/>
    <n v="0"/>
    <n v="4515"/>
    <n v="2500"/>
    <n v="0"/>
    <m/>
    <x v="6"/>
  </r>
  <r>
    <x v="162"/>
    <s v="rom_fact_isengard"/>
    <n v="329"/>
    <x v="11"/>
    <n v="0"/>
    <n v="23007"/>
    <n v="2500"/>
    <n v="0"/>
    <m/>
    <x v="7"/>
  </r>
  <r>
    <x v="162"/>
    <s v="rom_fact_woodland_realm"/>
    <n v="30"/>
    <x v="11"/>
    <n v="0"/>
    <n v="8475"/>
    <n v="2500"/>
    <n v="0"/>
    <m/>
    <x v="8"/>
  </r>
  <r>
    <x v="162"/>
    <s v="rom_fact_lothlorien"/>
    <n v="64"/>
    <x v="11"/>
    <n v="0"/>
    <n v="4721"/>
    <n v="2500"/>
    <n v="0"/>
    <m/>
    <x v="9"/>
  </r>
  <r>
    <x v="162"/>
    <s v="rom_fact_khand"/>
    <n v="0"/>
    <x v="11"/>
    <n v="0"/>
    <n v="4919"/>
    <n v="1750"/>
    <n v="0"/>
    <m/>
    <x v="10"/>
  </r>
  <r>
    <x v="162"/>
    <s v="rom_fact_umbar"/>
    <n v="26"/>
    <x v="18"/>
    <n v="313.60000000000002"/>
    <n v="914874"/>
    <n v="70981"/>
    <n v="7073"/>
    <m/>
    <x v="11"/>
  </r>
  <r>
    <x v="162"/>
    <s v="rom_fact_mahuds"/>
    <n v="0"/>
    <x v="11"/>
    <n v="0"/>
    <n v="9228"/>
    <n v="1750"/>
    <n v="0"/>
    <m/>
    <x v="12"/>
  </r>
  <r>
    <x v="162"/>
    <s v="rom_fact_harad"/>
    <n v="587"/>
    <x v="28"/>
    <n v="379"/>
    <n v="403586"/>
    <n v="67787"/>
    <n v="6096"/>
    <m/>
    <x v="13"/>
  </r>
  <r>
    <x v="162"/>
    <s v="rom_fact_dunland"/>
    <n v="421"/>
    <x v="9"/>
    <n v="107.8"/>
    <n v="221479"/>
    <n v="22818"/>
    <n v="0"/>
    <m/>
    <x v="14"/>
  </r>
  <r>
    <x v="162"/>
    <s v="rom_fact_haerrim"/>
    <n v="0"/>
    <x v="11"/>
    <n v="0"/>
    <n v="5352"/>
    <n v="1750"/>
    <n v="0"/>
    <m/>
    <x v="15"/>
  </r>
  <r>
    <x v="162"/>
    <s v="rom_fact_goblins"/>
    <n v="666"/>
    <x v="11"/>
    <n v="0"/>
    <n v="128480"/>
    <n v="2500"/>
    <n v="0"/>
    <m/>
    <x v="16"/>
  </r>
  <r>
    <x v="162"/>
    <s v="rom_fact_balchoth"/>
    <n v="0"/>
    <x v="11"/>
    <n v="0"/>
    <n v="4872"/>
    <n v="1750"/>
    <n v="0"/>
    <m/>
    <x v="17"/>
  </r>
  <r>
    <x v="162"/>
    <s v="rom_fact_rhurim"/>
    <n v="753"/>
    <x v="10"/>
    <n v="29"/>
    <n v="461242"/>
    <n v="4757"/>
    <n v="0"/>
    <m/>
    <x v="18"/>
  </r>
  <r>
    <x v="162"/>
    <s v="rom_fact_feredrim"/>
    <n v="0"/>
    <x v="11"/>
    <n v="0"/>
    <n v="7360"/>
    <n v="1750"/>
    <n v="0"/>
    <m/>
    <x v="19"/>
  </r>
  <r>
    <x v="162"/>
    <s v="rom_fact_wainriders"/>
    <n v="0"/>
    <x v="11"/>
    <n v="0"/>
    <n v="6395"/>
    <n v="1750"/>
    <n v="0"/>
    <m/>
    <x v="20"/>
  </r>
  <r>
    <x v="162"/>
    <s v="rom_fact_blacklock"/>
    <n v="9"/>
    <x v="13"/>
    <n v="133.5"/>
    <n v="89922"/>
    <n v="32143"/>
    <n v="2628"/>
    <m/>
    <x v="21"/>
  </r>
  <r>
    <x v="162"/>
    <s v="rom_fact_ironfist"/>
    <n v="10"/>
    <x v="13"/>
    <n v="152"/>
    <n v="75310"/>
    <n v="42643"/>
    <n v="2346"/>
    <m/>
    <x v="22"/>
  </r>
  <r>
    <x v="162"/>
    <s v="rom_fact_gundabad"/>
    <n v="245"/>
    <x v="11"/>
    <n v="0"/>
    <n v="9750"/>
    <n v="2500"/>
    <n v="0"/>
    <m/>
    <x v="23"/>
  </r>
  <r>
    <x v="162"/>
    <s v="rom_fact_rohan_scouts"/>
    <n v="0"/>
    <x v="11"/>
    <n v="3"/>
    <n v="188323"/>
    <n v="2354"/>
    <n v="0"/>
    <m/>
    <x v="24"/>
  </r>
  <r>
    <x v="162"/>
    <s v="rom_fact_northern_enedwaith"/>
    <n v="0"/>
    <x v="11"/>
    <n v="0"/>
    <n v="23466"/>
    <n v="1750"/>
    <n v="0"/>
    <m/>
    <x v="25"/>
  </r>
  <r>
    <x v="162"/>
    <s v="rom_fact_southern_enedwaith"/>
    <n v="0"/>
    <x v="11"/>
    <n v="0"/>
    <n v="54023"/>
    <n v="1750"/>
    <n v="0"/>
    <m/>
    <x v="26"/>
  </r>
  <r>
    <x v="162"/>
    <s v="rom_fact_druedain"/>
    <n v="0"/>
    <x v="11"/>
    <n v="0"/>
    <n v="32146"/>
    <n v="1750"/>
    <n v="0"/>
    <m/>
    <x v="27"/>
  </r>
  <r>
    <x v="162"/>
    <s v="rom_fact_harondor"/>
    <n v="0"/>
    <x v="11"/>
    <n v="0"/>
    <n v="15146"/>
    <n v="1750"/>
    <n v="0"/>
    <m/>
    <x v="28"/>
  </r>
  <r>
    <x v="162"/>
    <s v="rom_fact_southron_nomads"/>
    <n v="0"/>
    <x v="11"/>
    <n v="0"/>
    <n v="4000"/>
    <n v="1750"/>
    <n v="0"/>
    <m/>
    <x v="29"/>
  </r>
  <r>
    <x v="162"/>
    <s v="rom_fact_separatist_harad"/>
    <n v="0"/>
    <x v="11"/>
    <n v="0"/>
    <n v="4000"/>
    <n v="1750"/>
    <n v="0"/>
    <m/>
    <x v="30"/>
  </r>
  <r>
    <x v="162"/>
    <s v="rom_fact_separatist_khand"/>
    <n v="0"/>
    <x v="11"/>
    <n v="0"/>
    <n v="4000"/>
    <n v="1750"/>
    <n v="0"/>
    <m/>
    <x v="30"/>
  </r>
  <r>
    <x v="162"/>
    <s v="rom_fact_separatist_balchoth"/>
    <n v="0"/>
    <x v="11"/>
    <n v="0"/>
    <n v="4000"/>
    <n v="1750"/>
    <n v="0"/>
    <m/>
    <x v="30"/>
  </r>
  <r>
    <x v="162"/>
    <s v="rom_fact_separatist_feredrim"/>
    <n v="0"/>
    <x v="11"/>
    <n v="0"/>
    <n v="4000"/>
    <n v="1750"/>
    <n v="0"/>
    <m/>
    <x v="30"/>
  </r>
  <r>
    <x v="162"/>
    <s v="rom_fact_separatist_haerrim"/>
    <n v="0"/>
    <x v="11"/>
    <n v="0"/>
    <n v="4000"/>
    <n v="1750"/>
    <n v="0"/>
    <m/>
    <x v="30"/>
  </r>
  <r>
    <x v="162"/>
    <s v="rom_fact_separatist_wainriders"/>
    <n v="0"/>
    <x v="11"/>
    <n v="0"/>
    <n v="4000"/>
    <n v="1750"/>
    <n v="0"/>
    <m/>
    <x v="30"/>
  </r>
  <r>
    <x v="162"/>
    <s v="rom_fact_separatist_rhurim"/>
    <n v="0"/>
    <x v="11"/>
    <n v="0"/>
    <n v="4000"/>
    <n v="1750"/>
    <n v="0"/>
    <m/>
    <x v="30"/>
  </r>
  <r>
    <x v="162"/>
    <s v="rom_fact_separatist_mahuds"/>
    <n v="0"/>
    <x v="11"/>
    <n v="0"/>
    <n v="4000"/>
    <n v="1750"/>
    <n v="0"/>
    <m/>
    <x v="30"/>
  </r>
  <r>
    <x v="162"/>
    <s v="rom_fact_separatist_umbar"/>
    <n v="0"/>
    <x v="11"/>
    <n v="0"/>
    <n v="4000"/>
    <n v="1750"/>
    <n v="0"/>
    <m/>
    <x v="30"/>
  </r>
  <r>
    <x v="163"/>
    <s v="rom_fact_mordor"/>
    <n v="1379"/>
    <x v="54"/>
    <n v="944.2"/>
    <n v="78315"/>
    <n v="177487"/>
    <n v="16956"/>
    <m/>
    <x v="0"/>
  </r>
  <r>
    <x v="163"/>
    <s v="rom_fact_gondor"/>
    <n v="146"/>
    <x v="11"/>
    <n v="0"/>
    <n v="55420"/>
    <n v="2500"/>
    <n v="0"/>
    <m/>
    <x v="1"/>
  </r>
  <r>
    <x v="163"/>
    <s v="rom_fact_dale"/>
    <n v="199"/>
    <x v="11"/>
    <n v="0"/>
    <n v="10343"/>
    <n v="2500"/>
    <n v="0"/>
    <m/>
    <x v="2"/>
  </r>
  <r>
    <x v="163"/>
    <s v="rom_fact_erebor"/>
    <n v="200"/>
    <x v="11"/>
    <n v="0"/>
    <n v="10040"/>
    <n v="2500"/>
    <n v="0"/>
    <m/>
    <x v="3"/>
  </r>
  <r>
    <x v="163"/>
    <s v="rom_fact_rohan"/>
    <n v="157"/>
    <x v="11"/>
    <n v="0"/>
    <n v="6638"/>
    <n v="2500"/>
    <n v="0"/>
    <m/>
    <x v="4"/>
  </r>
  <r>
    <x v="163"/>
    <s v="rom_fact_dol_guldur"/>
    <n v="621"/>
    <x v="21"/>
    <n v="376.6"/>
    <n v="1154081"/>
    <n v="76495"/>
    <n v="7642"/>
    <m/>
    <x v="5"/>
  </r>
  <r>
    <x v="163"/>
    <s v="rom_fact_anduin_vale"/>
    <n v="58"/>
    <x v="11"/>
    <n v="0"/>
    <n v="4515"/>
    <n v="2500"/>
    <n v="0"/>
    <m/>
    <x v="6"/>
  </r>
  <r>
    <x v="163"/>
    <s v="rom_fact_isengard"/>
    <n v="329"/>
    <x v="11"/>
    <n v="0"/>
    <n v="23007"/>
    <n v="2500"/>
    <n v="0"/>
    <m/>
    <x v="7"/>
  </r>
  <r>
    <x v="163"/>
    <s v="rom_fact_woodland_realm"/>
    <n v="30"/>
    <x v="11"/>
    <n v="0"/>
    <n v="8475"/>
    <n v="2500"/>
    <n v="0"/>
    <m/>
    <x v="8"/>
  </r>
  <r>
    <x v="163"/>
    <s v="rom_fact_lothlorien"/>
    <n v="64"/>
    <x v="11"/>
    <n v="0"/>
    <n v="4721"/>
    <n v="2500"/>
    <n v="0"/>
    <m/>
    <x v="9"/>
  </r>
  <r>
    <x v="163"/>
    <s v="rom_fact_khand"/>
    <n v="0"/>
    <x v="11"/>
    <n v="0"/>
    <n v="4919"/>
    <n v="1750"/>
    <n v="0"/>
    <m/>
    <x v="10"/>
  </r>
  <r>
    <x v="163"/>
    <s v="rom_fact_umbar"/>
    <n v="26"/>
    <x v="18"/>
    <n v="313.60000000000002"/>
    <n v="938325"/>
    <n v="74799"/>
    <n v="7096"/>
    <m/>
    <x v="11"/>
  </r>
  <r>
    <x v="163"/>
    <s v="rom_fact_mahuds"/>
    <n v="0"/>
    <x v="11"/>
    <n v="0"/>
    <n v="9228"/>
    <n v="1750"/>
    <n v="0"/>
    <m/>
    <x v="12"/>
  </r>
  <r>
    <x v="163"/>
    <s v="rom_fact_harad"/>
    <n v="601"/>
    <x v="29"/>
    <n v="368"/>
    <n v="534431"/>
    <n v="60191"/>
    <n v="6294"/>
    <m/>
    <x v="13"/>
  </r>
  <r>
    <x v="163"/>
    <s v="rom_fact_dunland"/>
    <n v="421"/>
    <x v="9"/>
    <n v="109.399999999999"/>
    <n v="223215"/>
    <n v="24258"/>
    <n v="0"/>
    <m/>
    <x v="14"/>
  </r>
  <r>
    <x v="163"/>
    <s v="rom_fact_haerrim"/>
    <n v="0"/>
    <x v="11"/>
    <n v="0"/>
    <n v="5352"/>
    <n v="1750"/>
    <n v="0"/>
    <m/>
    <x v="15"/>
  </r>
  <r>
    <x v="163"/>
    <s v="rom_fact_goblins"/>
    <n v="666"/>
    <x v="11"/>
    <n v="0"/>
    <n v="128480"/>
    <n v="2500"/>
    <n v="0"/>
    <m/>
    <x v="16"/>
  </r>
  <r>
    <x v="163"/>
    <s v="rom_fact_balchoth"/>
    <n v="0"/>
    <x v="11"/>
    <n v="0"/>
    <n v="4872"/>
    <n v="1750"/>
    <n v="0"/>
    <m/>
    <x v="17"/>
  </r>
  <r>
    <x v="163"/>
    <s v="rom_fact_rhurim"/>
    <n v="751"/>
    <x v="7"/>
    <n v="12"/>
    <n v="463021"/>
    <n v="3701"/>
    <n v="0"/>
    <m/>
    <x v="18"/>
  </r>
  <r>
    <x v="163"/>
    <s v="rom_fact_feredrim"/>
    <n v="0"/>
    <x v="11"/>
    <n v="0"/>
    <n v="7360"/>
    <n v="1750"/>
    <n v="0"/>
    <m/>
    <x v="19"/>
  </r>
  <r>
    <x v="163"/>
    <s v="rom_fact_wainriders"/>
    <n v="0"/>
    <x v="11"/>
    <n v="0"/>
    <n v="6395"/>
    <n v="1750"/>
    <n v="0"/>
    <m/>
    <x v="20"/>
  </r>
  <r>
    <x v="163"/>
    <s v="rom_fact_blacklock"/>
    <n v="9"/>
    <x v="13"/>
    <n v="133.5"/>
    <n v="94963"/>
    <n v="32672"/>
    <n v="2616"/>
    <m/>
    <x v="21"/>
  </r>
  <r>
    <x v="163"/>
    <s v="rom_fact_ironfist"/>
    <n v="10"/>
    <x v="13"/>
    <n v="152"/>
    <n v="78618"/>
    <n v="42654"/>
    <n v="2335"/>
    <m/>
    <x v="22"/>
  </r>
  <r>
    <x v="163"/>
    <s v="rom_fact_gundabad"/>
    <n v="245"/>
    <x v="11"/>
    <n v="0"/>
    <n v="9750"/>
    <n v="2500"/>
    <n v="0"/>
    <m/>
    <x v="23"/>
  </r>
  <r>
    <x v="163"/>
    <s v="rom_fact_rohan_scouts"/>
    <n v="0"/>
    <x v="11"/>
    <n v="3"/>
    <n v="189469"/>
    <n v="2354"/>
    <n v="0"/>
    <m/>
    <x v="24"/>
  </r>
  <r>
    <x v="163"/>
    <s v="rom_fact_northern_enedwaith"/>
    <n v="0"/>
    <x v="11"/>
    <n v="0"/>
    <n v="23466"/>
    <n v="1750"/>
    <n v="0"/>
    <m/>
    <x v="25"/>
  </r>
  <r>
    <x v="163"/>
    <s v="rom_fact_southern_enedwaith"/>
    <n v="0"/>
    <x v="11"/>
    <n v="0"/>
    <n v="54023"/>
    <n v="1750"/>
    <n v="0"/>
    <m/>
    <x v="26"/>
  </r>
  <r>
    <x v="163"/>
    <s v="rom_fact_druedain"/>
    <n v="0"/>
    <x v="11"/>
    <n v="0"/>
    <n v="32146"/>
    <n v="1750"/>
    <n v="0"/>
    <m/>
    <x v="27"/>
  </r>
  <r>
    <x v="163"/>
    <s v="rom_fact_harondor"/>
    <n v="0"/>
    <x v="11"/>
    <n v="0"/>
    <n v="15146"/>
    <n v="1750"/>
    <n v="0"/>
    <m/>
    <x v="28"/>
  </r>
  <r>
    <x v="163"/>
    <s v="rom_fact_southron_nomads"/>
    <n v="0"/>
    <x v="11"/>
    <n v="0"/>
    <n v="4000"/>
    <n v="1750"/>
    <n v="0"/>
    <m/>
    <x v="29"/>
  </r>
  <r>
    <x v="163"/>
    <s v="rom_fact_separatist_harad"/>
    <n v="0"/>
    <x v="11"/>
    <n v="0"/>
    <n v="4000"/>
    <n v="1750"/>
    <n v="0"/>
    <m/>
    <x v="30"/>
  </r>
  <r>
    <x v="163"/>
    <s v="rom_fact_separatist_khand"/>
    <n v="0"/>
    <x v="11"/>
    <n v="0"/>
    <n v="4000"/>
    <n v="1750"/>
    <n v="0"/>
    <m/>
    <x v="30"/>
  </r>
  <r>
    <x v="163"/>
    <s v="rom_fact_separatist_balchoth"/>
    <n v="0"/>
    <x v="11"/>
    <n v="0"/>
    <n v="4000"/>
    <n v="1750"/>
    <n v="0"/>
    <m/>
    <x v="30"/>
  </r>
  <r>
    <x v="163"/>
    <s v="rom_fact_separatist_feredrim"/>
    <n v="0"/>
    <x v="11"/>
    <n v="0"/>
    <n v="4000"/>
    <n v="1750"/>
    <n v="0"/>
    <m/>
    <x v="30"/>
  </r>
  <r>
    <x v="163"/>
    <s v="rom_fact_separatist_haerrim"/>
    <n v="0"/>
    <x v="11"/>
    <n v="0"/>
    <n v="4000"/>
    <n v="1750"/>
    <n v="0"/>
    <m/>
    <x v="30"/>
  </r>
  <r>
    <x v="163"/>
    <s v="rom_fact_separatist_wainriders"/>
    <n v="0"/>
    <x v="11"/>
    <n v="0"/>
    <n v="4000"/>
    <n v="1750"/>
    <n v="0"/>
    <m/>
    <x v="30"/>
  </r>
  <r>
    <x v="163"/>
    <s v="rom_fact_separatist_rhurim"/>
    <n v="0"/>
    <x v="11"/>
    <n v="0"/>
    <n v="4000"/>
    <n v="1750"/>
    <n v="0"/>
    <m/>
    <x v="30"/>
  </r>
  <r>
    <x v="163"/>
    <s v="rom_fact_separatist_mahuds"/>
    <n v="0"/>
    <x v="11"/>
    <n v="0"/>
    <n v="4000"/>
    <n v="1750"/>
    <n v="0"/>
    <m/>
    <x v="30"/>
  </r>
  <r>
    <x v="163"/>
    <s v="rom_fact_separatist_umbar"/>
    <n v="0"/>
    <x v="11"/>
    <n v="0"/>
    <n v="4000"/>
    <n v="1750"/>
    <n v="0"/>
    <m/>
    <x v="30"/>
  </r>
  <r>
    <x v="164"/>
    <s v="rom_fact_mordor"/>
    <n v="1379"/>
    <x v="54"/>
    <n v="950.2"/>
    <n v="67489"/>
    <n v="185399"/>
    <n v="16992"/>
    <m/>
    <x v="0"/>
  </r>
  <r>
    <x v="164"/>
    <s v="rom_fact_gondor"/>
    <n v="146"/>
    <x v="11"/>
    <n v="0"/>
    <n v="55420"/>
    <n v="2500"/>
    <n v="0"/>
    <m/>
    <x v="1"/>
  </r>
  <r>
    <x v="164"/>
    <s v="rom_fact_dale"/>
    <n v="199"/>
    <x v="11"/>
    <n v="0"/>
    <n v="10343"/>
    <n v="2500"/>
    <n v="0"/>
    <m/>
    <x v="2"/>
  </r>
  <r>
    <x v="164"/>
    <s v="rom_fact_erebor"/>
    <n v="200"/>
    <x v="11"/>
    <n v="0"/>
    <n v="10040"/>
    <n v="2500"/>
    <n v="0"/>
    <m/>
    <x v="3"/>
  </r>
  <r>
    <x v="164"/>
    <s v="rom_fact_rohan"/>
    <n v="157"/>
    <x v="11"/>
    <n v="0"/>
    <n v="6638"/>
    <n v="2500"/>
    <n v="0"/>
    <m/>
    <x v="4"/>
  </r>
  <r>
    <x v="164"/>
    <s v="rom_fact_dol_guldur"/>
    <n v="629"/>
    <x v="21"/>
    <n v="406"/>
    <n v="1182483"/>
    <n v="79041"/>
    <n v="7654"/>
    <m/>
    <x v="5"/>
  </r>
  <r>
    <x v="164"/>
    <s v="rom_fact_anduin_vale"/>
    <n v="58"/>
    <x v="11"/>
    <n v="0"/>
    <n v="4515"/>
    <n v="2500"/>
    <n v="0"/>
    <m/>
    <x v="6"/>
  </r>
  <r>
    <x v="164"/>
    <s v="rom_fact_isengard"/>
    <n v="329"/>
    <x v="11"/>
    <n v="0"/>
    <n v="23007"/>
    <n v="2500"/>
    <n v="0"/>
    <m/>
    <x v="7"/>
  </r>
  <r>
    <x v="164"/>
    <s v="rom_fact_woodland_realm"/>
    <n v="30"/>
    <x v="11"/>
    <n v="0"/>
    <n v="8475"/>
    <n v="2500"/>
    <n v="0"/>
    <m/>
    <x v="8"/>
  </r>
  <r>
    <x v="164"/>
    <s v="rom_fact_lothlorien"/>
    <n v="64"/>
    <x v="11"/>
    <n v="0"/>
    <n v="4721"/>
    <n v="2500"/>
    <n v="0"/>
    <m/>
    <x v="9"/>
  </r>
  <r>
    <x v="164"/>
    <s v="rom_fact_khand"/>
    <n v="0"/>
    <x v="11"/>
    <n v="0"/>
    <n v="4919"/>
    <n v="1750"/>
    <n v="0"/>
    <m/>
    <x v="10"/>
  </r>
  <r>
    <x v="164"/>
    <s v="rom_fact_umbar"/>
    <n v="26"/>
    <x v="18"/>
    <n v="323.60000000000002"/>
    <n v="956163"/>
    <n v="75076"/>
    <n v="7121"/>
    <m/>
    <x v="11"/>
  </r>
  <r>
    <x v="164"/>
    <s v="rom_fact_mahuds"/>
    <n v="0"/>
    <x v="11"/>
    <n v="0"/>
    <n v="9228"/>
    <n v="1750"/>
    <n v="0"/>
    <m/>
    <x v="12"/>
  </r>
  <r>
    <x v="164"/>
    <s v="rom_fact_harad"/>
    <n v="633"/>
    <x v="29"/>
    <n v="381"/>
    <n v="583820"/>
    <n v="63596"/>
    <n v="6327"/>
    <m/>
    <x v="13"/>
  </r>
  <r>
    <x v="164"/>
    <s v="rom_fact_dunland"/>
    <n v="421"/>
    <x v="9"/>
    <n v="97.2"/>
    <n v="213677"/>
    <n v="22367"/>
    <n v="0"/>
    <m/>
    <x v="14"/>
  </r>
  <r>
    <x v="164"/>
    <s v="rom_fact_haerrim"/>
    <n v="0"/>
    <x v="11"/>
    <n v="0"/>
    <n v="5352"/>
    <n v="1750"/>
    <n v="0"/>
    <m/>
    <x v="15"/>
  </r>
  <r>
    <x v="164"/>
    <s v="rom_fact_goblins"/>
    <n v="666"/>
    <x v="11"/>
    <n v="0"/>
    <n v="128480"/>
    <n v="2500"/>
    <n v="0"/>
    <m/>
    <x v="16"/>
  </r>
  <r>
    <x v="164"/>
    <s v="rom_fact_balchoth"/>
    <n v="0"/>
    <x v="11"/>
    <n v="0"/>
    <n v="4872"/>
    <n v="1750"/>
    <n v="0"/>
    <m/>
    <x v="17"/>
  </r>
  <r>
    <x v="164"/>
    <s v="rom_fact_rhurim"/>
    <n v="750"/>
    <x v="11"/>
    <n v="0"/>
    <n v="461978"/>
    <n v="2500"/>
    <n v="0"/>
    <m/>
    <x v="18"/>
  </r>
  <r>
    <x v="164"/>
    <s v="rom_fact_feredrim"/>
    <n v="0"/>
    <x v="11"/>
    <n v="0"/>
    <n v="7360"/>
    <n v="1750"/>
    <n v="0"/>
    <m/>
    <x v="19"/>
  </r>
  <r>
    <x v="164"/>
    <s v="rom_fact_wainriders"/>
    <n v="0"/>
    <x v="11"/>
    <n v="0"/>
    <n v="6395"/>
    <n v="1750"/>
    <n v="0"/>
    <m/>
    <x v="20"/>
  </r>
  <r>
    <x v="164"/>
    <s v="rom_fact_blacklock"/>
    <n v="9"/>
    <x v="13"/>
    <n v="133.5"/>
    <n v="108130"/>
    <n v="31442"/>
    <n v="2862"/>
    <m/>
    <x v="21"/>
  </r>
  <r>
    <x v="164"/>
    <s v="rom_fact_ironfist"/>
    <n v="11"/>
    <x v="12"/>
    <n v="152"/>
    <n v="85705"/>
    <n v="45159"/>
    <n v="2509"/>
    <m/>
    <x v="22"/>
  </r>
  <r>
    <x v="164"/>
    <s v="rom_fact_gundabad"/>
    <n v="245"/>
    <x v="11"/>
    <n v="0"/>
    <n v="9750"/>
    <n v="2500"/>
    <n v="0"/>
    <m/>
    <x v="23"/>
  </r>
  <r>
    <x v="164"/>
    <s v="rom_fact_rohan_scouts"/>
    <n v="0"/>
    <x v="11"/>
    <n v="3"/>
    <n v="190615"/>
    <n v="2354"/>
    <n v="0"/>
    <m/>
    <x v="24"/>
  </r>
  <r>
    <x v="164"/>
    <s v="rom_fact_northern_enedwaith"/>
    <n v="0"/>
    <x v="11"/>
    <n v="0"/>
    <n v="23466"/>
    <n v="1750"/>
    <n v="0"/>
    <m/>
    <x v="25"/>
  </r>
  <r>
    <x v="164"/>
    <s v="rom_fact_southern_enedwaith"/>
    <n v="0"/>
    <x v="11"/>
    <n v="0"/>
    <n v="54023"/>
    <n v="1750"/>
    <n v="0"/>
    <m/>
    <x v="26"/>
  </r>
  <r>
    <x v="164"/>
    <s v="rom_fact_druedain"/>
    <n v="0"/>
    <x v="11"/>
    <n v="0"/>
    <n v="32146"/>
    <n v="1750"/>
    <n v="0"/>
    <m/>
    <x v="27"/>
  </r>
  <r>
    <x v="164"/>
    <s v="rom_fact_harondor"/>
    <n v="0"/>
    <x v="11"/>
    <n v="0"/>
    <n v="15146"/>
    <n v="1750"/>
    <n v="0"/>
    <m/>
    <x v="28"/>
  </r>
  <r>
    <x v="164"/>
    <s v="rom_fact_southron_nomads"/>
    <n v="0"/>
    <x v="11"/>
    <n v="0"/>
    <n v="4000"/>
    <n v="1750"/>
    <n v="0"/>
    <m/>
    <x v="29"/>
  </r>
  <r>
    <x v="164"/>
    <s v="rom_fact_separatist_harad"/>
    <n v="0"/>
    <x v="11"/>
    <n v="0"/>
    <n v="4000"/>
    <n v="1750"/>
    <n v="0"/>
    <m/>
    <x v="30"/>
  </r>
  <r>
    <x v="164"/>
    <s v="rom_fact_separatist_khand"/>
    <n v="0"/>
    <x v="11"/>
    <n v="0"/>
    <n v="4000"/>
    <n v="1750"/>
    <n v="0"/>
    <m/>
    <x v="30"/>
  </r>
  <r>
    <x v="164"/>
    <s v="rom_fact_separatist_balchoth"/>
    <n v="0"/>
    <x v="11"/>
    <n v="0"/>
    <n v="4000"/>
    <n v="1750"/>
    <n v="0"/>
    <m/>
    <x v="30"/>
  </r>
  <r>
    <x v="164"/>
    <s v="rom_fact_separatist_feredrim"/>
    <n v="0"/>
    <x v="11"/>
    <n v="0"/>
    <n v="4000"/>
    <n v="1750"/>
    <n v="0"/>
    <m/>
    <x v="30"/>
  </r>
  <r>
    <x v="164"/>
    <s v="rom_fact_separatist_haerrim"/>
    <n v="0"/>
    <x v="11"/>
    <n v="0"/>
    <n v="4000"/>
    <n v="1750"/>
    <n v="0"/>
    <m/>
    <x v="30"/>
  </r>
  <r>
    <x v="164"/>
    <s v="rom_fact_separatist_wainriders"/>
    <n v="0"/>
    <x v="11"/>
    <n v="0"/>
    <n v="4000"/>
    <n v="1750"/>
    <n v="0"/>
    <m/>
    <x v="30"/>
  </r>
  <r>
    <x v="164"/>
    <s v="rom_fact_separatist_rhurim"/>
    <n v="0"/>
    <x v="11"/>
    <n v="0"/>
    <n v="4000"/>
    <n v="1750"/>
    <n v="0"/>
    <m/>
    <x v="30"/>
  </r>
  <r>
    <x v="164"/>
    <s v="rom_fact_separatist_mahuds"/>
    <n v="0"/>
    <x v="11"/>
    <n v="0"/>
    <n v="4000"/>
    <n v="1750"/>
    <n v="0"/>
    <m/>
    <x v="30"/>
  </r>
  <r>
    <x v="164"/>
    <s v="rom_fact_separatist_umbar"/>
    <n v="0"/>
    <x v="11"/>
    <n v="0"/>
    <n v="4000"/>
    <n v="1750"/>
    <n v="0"/>
    <m/>
    <x v="30"/>
  </r>
  <r>
    <x v="165"/>
    <s v="rom_fact_mordor"/>
    <n v="1380"/>
    <x v="55"/>
    <n v="962.1"/>
    <n v="75829"/>
    <n v="194051"/>
    <n v="17535"/>
    <m/>
    <x v="0"/>
  </r>
  <r>
    <x v="165"/>
    <s v="rom_fact_gondor"/>
    <n v="146"/>
    <x v="11"/>
    <n v="0"/>
    <n v="55420"/>
    <n v="2500"/>
    <n v="0"/>
    <m/>
    <x v="1"/>
  </r>
  <r>
    <x v="165"/>
    <s v="rom_fact_dale"/>
    <n v="199"/>
    <x v="11"/>
    <n v="0"/>
    <n v="10343"/>
    <n v="2500"/>
    <n v="0"/>
    <m/>
    <x v="2"/>
  </r>
  <r>
    <x v="165"/>
    <s v="rom_fact_erebor"/>
    <n v="200"/>
    <x v="11"/>
    <n v="0"/>
    <n v="10040"/>
    <n v="2500"/>
    <n v="0"/>
    <m/>
    <x v="3"/>
  </r>
  <r>
    <x v="165"/>
    <s v="rom_fact_rohan"/>
    <n v="157"/>
    <x v="11"/>
    <n v="0"/>
    <n v="6638"/>
    <n v="2500"/>
    <n v="0"/>
    <m/>
    <x v="4"/>
  </r>
  <r>
    <x v="165"/>
    <s v="rom_fact_dol_guldur"/>
    <n v="629"/>
    <x v="21"/>
    <n v="420"/>
    <n v="1208878"/>
    <n v="76313"/>
    <n v="7653"/>
    <m/>
    <x v="5"/>
  </r>
  <r>
    <x v="165"/>
    <s v="rom_fact_anduin_vale"/>
    <n v="58"/>
    <x v="11"/>
    <n v="0"/>
    <n v="4515"/>
    <n v="2500"/>
    <n v="0"/>
    <m/>
    <x v="6"/>
  </r>
  <r>
    <x v="165"/>
    <s v="rom_fact_isengard"/>
    <n v="329"/>
    <x v="11"/>
    <n v="0"/>
    <n v="23007"/>
    <n v="2500"/>
    <n v="0"/>
    <m/>
    <x v="7"/>
  </r>
  <r>
    <x v="165"/>
    <s v="rom_fact_woodland_realm"/>
    <n v="30"/>
    <x v="11"/>
    <n v="0"/>
    <n v="8475"/>
    <n v="2500"/>
    <n v="0"/>
    <m/>
    <x v="8"/>
  </r>
  <r>
    <x v="165"/>
    <s v="rom_fact_lothlorien"/>
    <n v="64"/>
    <x v="11"/>
    <n v="0"/>
    <n v="4721"/>
    <n v="2500"/>
    <n v="0"/>
    <m/>
    <x v="9"/>
  </r>
  <r>
    <x v="165"/>
    <s v="rom_fact_khand"/>
    <n v="0"/>
    <x v="11"/>
    <n v="0"/>
    <n v="4919"/>
    <n v="1750"/>
    <n v="0"/>
    <m/>
    <x v="10"/>
  </r>
  <r>
    <x v="165"/>
    <s v="rom_fact_umbar"/>
    <n v="26"/>
    <x v="18"/>
    <n v="324.60000000000002"/>
    <n v="985245"/>
    <n v="76006"/>
    <n v="7147"/>
    <m/>
    <x v="11"/>
  </r>
  <r>
    <x v="165"/>
    <s v="rom_fact_mahuds"/>
    <n v="0"/>
    <x v="11"/>
    <n v="0"/>
    <n v="9228"/>
    <n v="1750"/>
    <n v="0"/>
    <m/>
    <x v="12"/>
  </r>
  <r>
    <x v="165"/>
    <s v="rom_fact_harad"/>
    <n v="641"/>
    <x v="29"/>
    <n v="381"/>
    <n v="605883"/>
    <n v="65170"/>
    <n v="6343"/>
    <m/>
    <x v="13"/>
  </r>
  <r>
    <x v="165"/>
    <s v="rom_fact_dunland"/>
    <n v="420"/>
    <x v="3"/>
    <n v="53.1"/>
    <n v="219068"/>
    <n v="14974"/>
    <n v="0"/>
    <m/>
    <x v="14"/>
  </r>
  <r>
    <x v="165"/>
    <s v="rom_fact_haerrim"/>
    <n v="0"/>
    <x v="11"/>
    <n v="0"/>
    <n v="5352"/>
    <n v="1750"/>
    <n v="0"/>
    <m/>
    <x v="15"/>
  </r>
  <r>
    <x v="165"/>
    <s v="rom_fact_goblins"/>
    <n v="666"/>
    <x v="11"/>
    <n v="0"/>
    <n v="128480"/>
    <n v="2500"/>
    <n v="0"/>
    <m/>
    <x v="16"/>
  </r>
  <r>
    <x v="165"/>
    <s v="rom_fact_balchoth"/>
    <n v="0"/>
    <x v="11"/>
    <n v="0"/>
    <n v="4872"/>
    <n v="1750"/>
    <n v="0"/>
    <m/>
    <x v="17"/>
  </r>
  <r>
    <x v="165"/>
    <s v="rom_fact_rhurim"/>
    <n v="750"/>
    <x v="11"/>
    <n v="0"/>
    <n v="461978"/>
    <n v="2500"/>
    <n v="0"/>
    <m/>
    <x v="18"/>
  </r>
  <r>
    <x v="165"/>
    <s v="rom_fact_feredrim"/>
    <n v="0"/>
    <x v="11"/>
    <n v="0"/>
    <n v="7360"/>
    <n v="1750"/>
    <n v="0"/>
    <m/>
    <x v="19"/>
  </r>
  <r>
    <x v="165"/>
    <s v="rom_fact_wainriders"/>
    <n v="0"/>
    <x v="11"/>
    <n v="0"/>
    <n v="6395"/>
    <n v="1750"/>
    <n v="0"/>
    <m/>
    <x v="20"/>
  </r>
  <r>
    <x v="165"/>
    <s v="rom_fact_blacklock"/>
    <n v="9"/>
    <x v="13"/>
    <n v="135.5"/>
    <n v="117853"/>
    <n v="30092"/>
    <n v="2940"/>
    <m/>
    <x v="21"/>
  </r>
  <r>
    <x v="165"/>
    <s v="rom_fact_ironfist"/>
    <n v="11"/>
    <x v="12"/>
    <n v="157"/>
    <n v="85854"/>
    <n v="45126"/>
    <n v="2590"/>
    <m/>
    <x v="22"/>
  </r>
  <r>
    <x v="165"/>
    <s v="rom_fact_gundabad"/>
    <n v="245"/>
    <x v="11"/>
    <n v="0"/>
    <n v="9750"/>
    <n v="2500"/>
    <n v="0"/>
    <m/>
    <x v="23"/>
  </r>
  <r>
    <x v="165"/>
    <s v="rom_fact_rohan_scouts"/>
    <n v="0"/>
    <x v="11"/>
    <n v="3"/>
    <n v="191761"/>
    <n v="2354"/>
    <n v="0"/>
    <m/>
    <x v="24"/>
  </r>
  <r>
    <x v="165"/>
    <s v="rom_fact_northern_enedwaith"/>
    <n v="0"/>
    <x v="11"/>
    <n v="0"/>
    <n v="23466"/>
    <n v="1750"/>
    <n v="0"/>
    <m/>
    <x v="25"/>
  </r>
  <r>
    <x v="165"/>
    <s v="rom_fact_southern_enedwaith"/>
    <n v="0"/>
    <x v="11"/>
    <n v="0"/>
    <n v="54023"/>
    <n v="1750"/>
    <n v="0"/>
    <m/>
    <x v="26"/>
  </r>
  <r>
    <x v="165"/>
    <s v="rom_fact_druedain"/>
    <n v="0"/>
    <x v="11"/>
    <n v="0"/>
    <n v="32146"/>
    <n v="1750"/>
    <n v="0"/>
    <m/>
    <x v="27"/>
  </r>
  <r>
    <x v="165"/>
    <s v="rom_fact_harondor"/>
    <n v="0"/>
    <x v="11"/>
    <n v="0"/>
    <n v="15146"/>
    <n v="1750"/>
    <n v="0"/>
    <m/>
    <x v="28"/>
  </r>
  <r>
    <x v="165"/>
    <s v="rom_fact_southron_nomads"/>
    <n v="0"/>
    <x v="11"/>
    <n v="0"/>
    <n v="4000"/>
    <n v="1750"/>
    <n v="0"/>
    <m/>
    <x v="29"/>
  </r>
  <r>
    <x v="165"/>
    <s v="rom_fact_separatist_harad"/>
    <n v="0"/>
    <x v="11"/>
    <n v="0"/>
    <n v="4000"/>
    <n v="1750"/>
    <n v="0"/>
    <m/>
    <x v="30"/>
  </r>
  <r>
    <x v="165"/>
    <s v="rom_fact_separatist_khand"/>
    <n v="0"/>
    <x v="11"/>
    <n v="0"/>
    <n v="4000"/>
    <n v="1750"/>
    <n v="0"/>
    <m/>
    <x v="30"/>
  </r>
  <r>
    <x v="165"/>
    <s v="rom_fact_separatist_balchoth"/>
    <n v="0"/>
    <x v="11"/>
    <n v="0"/>
    <n v="4000"/>
    <n v="1750"/>
    <n v="0"/>
    <m/>
    <x v="30"/>
  </r>
  <r>
    <x v="165"/>
    <s v="rom_fact_separatist_feredrim"/>
    <n v="0"/>
    <x v="11"/>
    <n v="0"/>
    <n v="4000"/>
    <n v="1750"/>
    <n v="0"/>
    <m/>
    <x v="30"/>
  </r>
  <r>
    <x v="165"/>
    <s v="rom_fact_separatist_haerrim"/>
    <n v="0"/>
    <x v="11"/>
    <n v="0"/>
    <n v="4000"/>
    <n v="1750"/>
    <n v="0"/>
    <m/>
    <x v="30"/>
  </r>
  <r>
    <x v="165"/>
    <s v="rom_fact_separatist_wainriders"/>
    <n v="0"/>
    <x v="11"/>
    <n v="0"/>
    <n v="4000"/>
    <n v="1750"/>
    <n v="0"/>
    <m/>
    <x v="30"/>
  </r>
  <r>
    <x v="165"/>
    <s v="rom_fact_separatist_rhurim"/>
    <n v="0"/>
    <x v="11"/>
    <n v="0"/>
    <n v="4000"/>
    <n v="1750"/>
    <n v="0"/>
    <m/>
    <x v="30"/>
  </r>
  <r>
    <x v="165"/>
    <s v="rom_fact_separatist_mahuds"/>
    <n v="0"/>
    <x v="11"/>
    <n v="0"/>
    <n v="4000"/>
    <n v="1750"/>
    <n v="0"/>
    <m/>
    <x v="30"/>
  </r>
  <r>
    <x v="165"/>
    <s v="rom_fact_separatist_umbar"/>
    <n v="0"/>
    <x v="11"/>
    <n v="0"/>
    <n v="4000"/>
    <n v="1750"/>
    <n v="0"/>
    <m/>
    <x v="30"/>
  </r>
  <r>
    <x v="166"/>
    <s v="rom_fact_mordor"/>
    <n v="1390"/>
    <x v="56"/>
    <n v="981.1"/>
    <n v="79600"/>
    <n v="208378"/>
    <n v="18204"/>
    <m/>
    <x v="0"/>
  </r>
  <r>
    <x v="166"/>
    <s v="rom_fact_gondor"/>
    <n v="146"/>
    <x v="11"/>
    <n v="0"/>
    <n v="55420"/>
    <n v="2500"/>
    <n v="0"/>
    <m/>
    <x v="1"/>
  </r>
  <r>
    <x v="166"/>
    <s v="rom_fact_dale"/>
    <n v="199"/>
    <x v="11"/>
    <n v="0"/>
    <n v="10343"/>
    <n v="2500"/>
    <n v="0"/>
    <m/>
    <x v="2"/>
  </r>
  <r>
    <x v="166"/>
    <s v="rom_fact_erebor"/>
    <n v="200"/>
    <x v="11"/>
    <n v="0"/>
    <n v="10040"/>
    <n v="2500"/>
    <n v="0"/>
    <m/>
    <x v="3"/>
  </r>
  <r>
    <x v="166"/>
    <s v="rom_fact_rohan"/>
    <n v="157"/>
    <x v="11"/>
    <n v="0"/>
    <n v="6638"/>
    <n v="2500"/>
    <n v="0"/>
    <m/>
    <x v="4"/>
  </r>
  <r>
    <x v="166"/>
    <s v="rom_fact_dol_guldur"/>
    <n v="629"/>
    <x v="21"/>
    <n v="421.4"/>
    <n v="1222128"/>
    <n v="76619"/>
    <n v="7659"/>
    <m/>
    <x v="5"/>
  </r>
  <r>
    <x v="166"/>
    <s v="rom_fact_anduin_vale"/>
    <n v="58"/>
    <x v="11"/>
    <n v="0"/>
    <n v="4515"/>
    <n v="2500"/>
    <n v="0"/>
    <m/>
    <x v="6"/>
  </r>
  <r>
    <x v="166"/>
    <s v="rom_fact_isengard"/>
    <n v="329"/>
    <x v="11"/>
    <n v="0"/>
    <n v="23007"/>
    <n v="2500"/>
    <n v="0"/>
    <m/>
    <x v="7"/>
  </r>
  <r>
    <x v="166"/>
    <s v="rom_fact_woodland_realm"/>
    <n v="30"/>
    <x v="11"/>
    <n v="0"/>
    <n v="8475"/>
    <n v="2500"/>
    <n v="0"/>
    <m/>
    <x v="8"/>
  </r>
  <r>
    <x v="166"/>
    <s v="rom_fact_lothlorien"/>
    <n v="64"/>
    <x v="11"/>
    <n v="0"/>
    <n v="4721"/>
    <n v="2500"/>
    <n v="0"/>
    <m/>
    <x v="9"/>
  </r>
  <r>
    <x v="166"/>
    <s v="rom_fact_khand"/>
    <n v="0"/>
    <x v="11"/>
    <n v="0"/>
    <n v="4919"/>
    <n v="1750"/>
    <n v="0"/>
    <m/>
    <x v="10"/>
  </r>
  <r>
    <x v="166"/>
    <s v="rom_fact_umbar"/>
    <n v="26"/>
    <x v="18"/>
    <n v="325.60000000000002"/>
    <n v="1008536"/>
    <n v="72809"/>
    <n v="7159"/>
    <m/>
    <x v="11"/>
  </r>
  <r>
    <x v="166"/>
    <s v="rom_fact_mahuds"/>
    <n v="0"/>
    <x v="11"/>
    <n v="0"/>
    <n v="9228"/>
    <n v="1750"/>
    <n v="0"/>
    <m/>
    <x v="12"/>
  </r>
  <r>
    <x v="166"/>
    <s v="rom_fact_harad"/>
    <n v="641"/>
    <x v="29"/>
    <n v="384.4"/>
    <n v="653495"/>
    <n v="63494"/>
    <n v="6228"/>
    <m/>
    <x v="13"/>
  </r>
  <r>
    <x v="166"/>
    <s v="rom_fact_dunland"/>
    <n v="417"/>
    <x v="10"/>
    <n v="37.1"/>
    <n v="216372"/>
    <n v="11230"/>
    <n v="0"/>
    <m/>
    <x v="14"/>
  </r>
  <r>
    <x v="166"/>
    <s v="rom_fact_haerrim"/>
    <n v="0"/>
    <x v="11"/>
    <n v="0"/>
    <n v="5352"/>
    <n v="1750"/>
    <n v="0"/>
    <m/>
    <x v="15"/>
  </r>
  <r>
    <x v="166"/>
    <s v="rom_fact_goblins"/>
    <n v="666"/>
    <x v="11"/>
    <n v="0"/>
    <n v="128480"/>
    <n v="2500"/>
    <n v="0"/>
    <m/>
    <x v="16"/>
  </r>
  <r>
    <x v="166"/>
    <s v="rom_fact_balchoth"/>
    <n v="0"/>
    <x v="11"/>
    <n v="0"/>
    <n v="4872"/>
    <n v="1750"/>
    <n v="0"/>
    <m/>
    <x v="17"/>
  </r>
  <r>
    <x v="166"/>
    <s v="rom_fact_rhurim"/>
    <n v="750"/>
    <x v="11"/>
    <n v="0"/>
    <n v="461978"/>
    <n v="2500"/>
    <n v="0"/>
    <m/>
    <x v="18"/>
  </r>
  <r>
    <x v="166"/>
    <s v="rom_fact_feredrim"/>
    <n v="0"/>
    <x v="11"/>
    <n v="0"/>
    <n v="7360"/>
    <n v="1750"/>
    <n v="0"/>
    <m/>
    <x v="19"/>
  </r>
  <r>
    <x v="166"/>
    <s v="rom_fact_wainriders"/>
    <n v="0"/>
    <x v="11"/>
    <n v="0"/>
    <n v="6395"/>
    <n v="1750"/>
    <n v="0"/>
    <m/>
    <x v="20"/>
  </r>
  <r>
    <x v="166"/>
    <s v="rom_fact_blacklock"/>
    <n v="9"/>
    <x v="13"/>
    <n v="135.5"/>
    <n v="129784"/>
    <n v="30468"/>
    <n v="2930"/>
    <m/>
    <x v="21"/>
  </r>
  <r>
    <x v="166"/>
    <s v="rom_fact_ironfist"/>
    <n v="11"/>
    <x v="12"/>
    <n v="158"/>
    <n v="102672"/>
    <n v="42558"/>
    <n v="2574"/>
    <m/>
    <x v="22"/>
  </r>
  <r>
    <x v="166"/>
    <s v="rom_fact_gundabad"/>
    <n v="245"/>
    <x v="11"/>
    <n v="0"/>
    <n v="9750"/>
    <n v="2500"/>
    <n v="0"/>
    <m/>
    <x v="23"/>
  </r>
  <r>
    <x v="166"/>
    <s v="rom_fact_rohan_scouts"/>
    <n v="0"/>
    <x v="11"/>
    <n v="3"/>
    <n v="192907"/>
    <n v="2354"/>
    <n v="0"/>
    <m/>
    <x v="24"/>
  </r>
  <r>
    <x v="166"/>
    <s v="rom_fact_northern_enedwaith"/>
    <n v="0"/>
    <x v="11"/>
    <n v="0"/>
    <n v="23466"/>
    <n v="1750"/>
    <n v="0"/>
    <m/>
    <x v="25"/>
  </r>
  <r>
    <x v="166"/>
    <s v="rom_fact_southern_enedwaith"/>
    <n v="0"/>
    <x v="11"/>
    <n v="0"/>
    <n v="54023"/>
    <n v="1750"/>
    <n v="0"/>
    <m/>
    <x v="26"/>
  </r>
  <r>
    <x v="166"/>
    <s v="rom_fact_druedain"/>
    <n v="0"/>
    <x v="11"/>
    <n v="0"/>
    <n v="32146"/>
    <n v="1750"/>
    <n v="0"/>
    <m/>
    <x v="27"/>
  </r>
  <r>
    <x v="166"/>
    <s v="rom_fact_harondor"/>
    <n v="0"/>
    <x v="11"/>
    <n v="0"/>
    <n v="15146"/>
    <n v="1750"/>
    <n v="0"/>
    <m/>
    <x v="28"/>
  </r>
  <r>
    <x v="166"/>
    <s v="rom_fact_southron_nomads"/>
    <n v="0"/>
    <x v="11"/>
    <n v="0"/>
    <n v="4000"/>
    <n v="1750"/>
    <n v="0"/>
    <m/>
    <x v="29"/>
  </r>
  <r>
    <x v="166"/>
    <s v="rom_fact_separatist_harad"/>
    <n v="0"/>
    <x v="11"/>
    <n v="0"/>
    <n v="4000"/>
    <n v="1750"/>
    <n v="0"/>
    <m/>
    <x v="30"/>
  </r>
  <r>
    <x v="166"/>
    <s v="rom_fact_separatist_khand"/>
    <n v="0"/>
    <x v="11"/>
    <n v="0"/>
    <n v="4000"/>
    <n v="1750"/>
    <n v="0"/>
    <m/>
    <x v="30"/>
  </r>
  <r>
    <x v="166"/>
    <s v="rom_fact_separatist_balchoth"/>
    <n v="0"/>
    <x v="11"/>
    <n v="0"/>
    <n v="4000"/>
    <n v="1750"/>
    <n v="0"/>
    <m/>
    <x v="30"/>
  </r>
  <r>
    <x v="166"/>
    <s v="rom_fact_separatist_feredrim"/>
    <n v="0"/>
    <x v="11"/>
    <n v="0"/>
    <n v="4000"/>
    <n v="1750"/>
    <n v="0"/>
    <m/>
    <x v="30"/>
  </r>
  <r>
    <x v="166"/>
    <s v="rom_fact_separatist_haerrim"/>
    <n v="0"/>
    <x v="11"/>
    <n v="0"/>
    <n v="4000"/>
    <n v="1750"/>
    <n v="0"/>
    <m/>
    <x v="30"/>
  </r>
  <r>
    <x v="166"/>
    <s v="rom_fact_separatist_wainriders"/>
    <n v="0"/>
    <x v="11"/>
    <n v="0"/>
    <n v="4000"/>
    <n v="1750"/>
    <n v="0"/>
    <m/>
    <x v="30"/>
  </r>
  <r>
    <x v="166"/>
    <s v="rom_fact_separatist_rhurim"/>
    <n v="0"/>
    <x v="11"/>
    <n v="0"/>
    <n v="4000"/>
    <n v="1750"/>
    <n v="0"/>
    <m/>
    <x v="30"/>
  </r>
  <r>
    <x v="166"/>
    <s v="rom_fact_separatist_mahuds"/>
    <n v="0"/>
    <x v="11"/>
    <n v="0"/>
    <n v="4000"/>
    <n v="1750"/>
    <n v="0"/>
    <m/>
    <x v="30"/>
  </r>
  <r>
    <x v="166"/>
    <s v="rom_fact_separatist_umbar"/>
    <n v="0"/>
    <x v="11"/>
    <n v="0"/>
    <n v="4000"/>
    <n v="1750"/>
    <n v="0"/>
    <m/>
    <x v="30"/>
  </r>
  <r>
    <x v="167"/>
    <s v="rom_fact_mordor"/>
    <n v="1404"/>
    <x v="57"/>
    <n v="1003.1"/>
    <n v="103331"/>
    <n v="218027"/>
    <n v="18481"/>
    <m/>
    <x v="0"/>
  </r>
  <r>
    <x v="167"/>
    <s v="rom_fact_gondor"/>
    <n v="146"/>
    <x v="11"/>
    <n v="0"/>
    <n v="55420"/>
    <n v="2500"/>
    <n v="0"/>
    <m/>
    <x v="1"/>
  </r>
  <r>
    <x v="167"/>
    <s v="rom_fact_dale"/>
    <n v="199"/>
    <x v="11"/>
    <n v="0"/>
    <n v="10343"/>
    <n v="2500"/>
    <n v="0"/>
    <m/>
    <x v="2"/>
  </r>
  <r>
    <x v="167"/>
    <s v="rom_fact_erebor"/>
    <n v="200"/>
    <x v="11"/>
    <n v="0"/>
    <n v="10040"/>
    <n v="2500"/>
    <n v="0"/>
    <m/>
    <x v="3"/>
  </r>
  <r>
    <x v="167"/>
    <s v="rom_fact_rohan"/>
    <n v="157"/>
    <x v="11"/>
    <n v="0"/>
    <n v="6638"/>
    <n v="2500"/>
    <n v="0"/>
    <m/>
    <x v="4"/>
  </r>
  <r>
    <x v="167"/>
    <s v="rom_fact_dol_guldur"/>
    <n v="629"/>
    <x v="21"/>
    <n v="437.2"/>
    <n v="1264378"/>
    <n v="78751"/>
    <n v="7860"/>
    <m/>
    <x v="5"/>
  </r>
  <r>
    <x v="167"/>
    <s v="rom_fact_anduin_vale"/>
    <n v="58"/>
    <x v="11"/>
    <n v="0"/>
    <n v="4515"/>
    <n v="2500"/>
    <n v="0"/>
    <m/>
    <x v="6"/>
  </r>
  <r>
    <x v="167"/>
    <s v="rom_fact_isengard"/>
    <n v="329"/>
    <x v="11"/>
    <n v="0"/>
    <n v="23007"/>
    <n v="2500"/>
    <n v="0"/>
    <m/>
    <x v="7"/>
  </r>
  <r>
    <x v="167"/>
    <s v="rom_fact_woodland_realm"/>
    <n v="30"/>
    <x v="11"/>
    <n v="0"/>
    <n v="8475"/>
    <n v="2500"/>
    <n v="0"/>
    <m/>
    <x v="8"/>
  </r>
  <r>
    <x v="167"/>
    <s v="rom_fact_lothlorien"/>
    <n v="64"/>
    <x v="11"/>
    <n v="0"/>
    <n v="4721"/>
    <n v="2500"/>
    <n v="0"/>
    <m/>
    <x v="9"/>
  </r>
  <r>
    <x v="167"/>
    <s v="rom_fact_khand"/>
    <n v="0"/>
    <x v="11"/>
    <n v="0"/>
    <n v="4919"/>
    <n v="1750"/>
    <n v="0"/>
    <m/>
    <x v="10"/>
  </r>
  <r>
    <x v="167"/>
    <s v="rom_fact_umbar"/>
    <n v="26"/>
    <x v="18"/>
    <n v="330.6"/>
    <n v="1035354"/>
    <n v="74109"/>
    <n v="7179"/>
    <m/>
    <x v="11"/>
  </r>
  <r>
    <x v="167"/>
    <s v="rom_fact_mahuds"/>
    <n v="0"/>
    <x v="11"/>
    <n v="0"/>
    <n v="9228"/>
    <n v="1750"/>
    <n v="0"/>
    <m/>
    <x v="12"/>
  </r>
  <r>
    <x v="167"/>
    <s v="rom_fact_harad"/>
    <n v="641"/>
    <x v="29"/>
    <n v="390.1"/>
    <n v="696697"/>
    <n v="63685"/>
    <n v="6337"/>
    <m/>
    <x v="13"/>
  </r>
  <r>
    <x v="167"/>
    <s v="rom_fact_dunland"/>
    <n v="415"/>
    <x v="11"/>
    <n v="1.1000000000000001"/>
    <n v="220214"/>
    <n v="2734"/>
    <n v="0"/>
    <m/>
    <x v="14"/>
  </r>
  <r>
    <x v="167"/>
    <s v="rom_fact_haerrim"/>
    <n v="0"/>
    <x v="11"/>
    <n v="0"/>
    <n v="5352"/>
    <n v="1750"/>
    <n v="0"/>
    <m/>
    <x v="15"/>
  </r>
  <r>
    <x v="167"/>
    <s v="rom_fact_goblins"/>
    <n v="666"/>
    <x v="11"/>
    <n v="0"/>
    <n v="128480"/>
    <n v="2500"/>
    <n v="0"/>
    <m/>
    <x v="16"/>
  </r>
  <r>
    <x v="167"/>
    <s v="rom_fact_balchoth"/>
    <n v="0"/>
    <x v="11"/>
    <n v="0"/>
    <n v="4872"/>
    <n v="1750"/>
    <n v="0"/>
    <m/>
    <x v="17"/>
  </r>
  <r>
    <x v="167"/>
    <s v="rom_fact_rhurim"/>
    <n v="750"/>
    <x v="11"/>
    <n v="0"/>
    <n v="461978"/>
    <n v="2500"/>
    <n v="0"/>
    <m/>
    <x v="18"/>
  </r>
  <r>
    <x v="167"/>
    <s v="rom_fact_feredrim"/>
    <n v="0"/>
    <x v="11"/>
    <n v="0"/>
    <n v="7360"/>
    <n v="1750"/>
    <n v="0"/>
    <m/>
    <x v="19"/>
  </r>
  <r>
    <x v="167"/>
    <s v="rom_fact_wainriders"/>
    <n v="0"/>
    <x v="11"/>
    <n v="0"/>
    <n v="6395"/>
    <n v="1750"/>
    <n v="0"/>
    <m/>
    <x v="20"/>
  </r>
  <r>
    <x v="167"/>
    <s v="rom_fact_blacklock"/>
    <n v="9"/>
    <x v="13"/>
    <n v="138.5"/>
    <n v="136432"/>
    <n v="30890"/>
    <n v="2931"/>
    <m/>
    <x v="21"/>
  </r>
  <r>
    <x v="167"/>
    <s v="rom_fact_ironfist"/>
    <n v="11"/>
    <x v="12"/>
    <n v="159"/>
    <n v="121671"/>
    <n v="43432"/>
    <n v="2579"/>
    <m/>
    <x v="22"/>
  </r>
  <r>
    <x v="167"/>
    <s v="rom_fact_gundabad"/>
    <n v="245"/>
    <x v="11"/>
    <n v="0"/>
    <n v="9750"/>
    <n v="2500"/>
    <n v="0"/>
    <m/>
    <x v="23"/>
  </r>
  <r>
    <x v="167"/>
    <s v="rom_fact_rohan_scouts"/>
    <n v="0"/>
    <x v="11"/>
    <n v="3"/>
    <n v="194053"/>
    <n v="2354"/>
    <n v="0"/>
    <m/>
    <x v="24"/>
  </r>
  <r>
    <x v="167"/>
    <s v="rom_fact_northern_enedwaith"/>
    <n v="0"/>
    <x v="11"/>
    <n v="0"/>
    <n v="23466"/>
    <n v="1750"/>
    <n v="0"/>
    <m/>
    <x v="25"/>
  </r>
  <r>
    <x v="167"/>
    <s v="rom_fact_southern_enedwaith"/>
    <n v="0"/>
    <x v="11"/>
    <n v="0"/>
    <n v="54023"/>
    <n v="1750"/>
    <n v="0"/>
    <m/>
    <x v="26"/>
  </r>
  <r>
    <x v="167"/>
    <s v="rom_fact_druedain"/>
    <n v="0"/>
    <x v="11"/>
    <n v="0"/>
    <n v="32146"/>
    <n v="1750"/>
    <n v="0"/>
    <m/>
    <x v="27"/>
  </r>
  <r>
    <x v="167"/>
    <s v="rom_fact_harondor"/>
    <n v="0"/>
    <x v="11"/>
    <n v="0"/>
    <n v="15146"/>
    <n v="1750"/>
    <n v="0"/>
    <m/>
    <x v="28"/>
  </r>
  <r>
    <x v="167"/>
    <s v="rom_fact_southron_nomads"/>
    <n v="0"/>
    <x v="11"/>
    <n v="0"/>
    <n v="4000"/>
    <n v="1750"/>
    <n v="0"/>
    <m/>
    <x v="29"/>
  </r>
  <r>
    <x v="167"/>
    <s v="rom_fact_separatist_harad"/>
    <n v="0"/>
    <x v="11"/>
    <n v="0"/>
    <n v="4000"/>
    <n v="1750"/>
    <n v="0"/>
    <m/>
    <x v="30"/>
  </r>
  <r>
    <x v="167"/>
    <s v="rom_fact_separatist_khand"/>
    <n v="0"/>
    <x v="11"/>
    <n v="0"/>
    <n v="4000"/>
    <n v="1750"/>
    <n v="0"/>
    <m/>
    <x v="30"/>
  </r>
  <r>
    <x v="167"/>
    <s v="rom_fact_separatist_balchoth"/>
    <n v="0"/>
    <x v="11"/>
    <n v="0"/>
    <n v="4000"/>
    <n v="1750"/>
    <n v="0"/>
    <m/>
    <x v="30"/>
  </r>
  <r>
    <x v="167"/>
    <s v="rom_fact_separatist_feredrim"/>
    <n v="0"/>
    <x v="11"/>
    <n v="0"/>
    <n v="4000"/>
    <n v="1750"/>
    <n v="0"/>
    <m/>
    <x v="30"/>
  </r>
  <r>
    <x v="167"/>
    <s v="rom_fact_separatist_haerrim"/>
    <n v="0"/>
    <x v="11"/>
    <n v="0"/>
    <n v="4000"/>
    <n v="1750"/>
    <n v="0"/>
    <m/>
    <x v="30"/>
  </r>
  <r>
    <x v="167"/>
    <s v="rom_fact_separatist_wainriders"/>
    <n v="0"/>
    <x v="11"/>
    <n v="0"/>
    <n v="4000"/>
    <n v="1750"/>
    <n v="0"/>
    <m/>
    <x v="30"/>
  </r>
  <r>
    <x v="167"/>
    <s v="rom_fact_separatist_rhurim"/>
    <n v="0"/>
    <x v="11"/>
    <n v="0"/>
    <n v="4000"/>
    <n v="1750"/>
    <n v="0"/>
    <m/>
    <x v="30"/>
  </r>
  <r>
    <x v="167"/>
    <s v="rom_fact_separatist_mahuds"/>
    <n v="0"/>
    <x v="11"/>
    <n v="0"/>
    <n v="4000"/>
    <n v="1750"/>
    <n v="0"/>
    <m/>
    <x v="30"/>
  </r>
  <r>
    <x v="167"/>
    <s v="rom_fact_separatist_umbar"/>
    <n v="0"/>
    <x v="11"/>
    <n v="0"/>
    <n v="4000"/>
    <n v="1750"/>
    <n v="0"/>
    <m/>
    <x v="30"/>
  </r>
  <r>
    <x v="168"/>
    <s v="rom_fact_mordor"/>
    <n v="1420"/>
    <x v="57"/>
    <n v="1028.0999999999999"/>
    <n v="150972"/>
    <n v="225545"/>
    <n v="18734"/>
    <m/>
    <x v="0"/>
  </r>
  <r>
    <x v="168"/>
    <s v="rom_fact_gondor"/>
    <n v="146"/>
    <x v="11"/>
    <n v="0"/>
    <n v="55420"/>
    <n v="2500"/>
    <n v="0"/>
    <m/>
    <x v="1"/>
  </r>
  <r>
    <x v="168"/>
    <s v="rom_fact_dale"/>
    <n v="199"/>
    <x v="11"/>
    <n v="0"/>
    <n v="10343"/>
    <n v="2500"/>
    <n v="0"/>
    <m/>
    <x v="2"/>
  </r>
  <r>
    <x v="168"/>
    <s v="rom_fact_erebor"/>
    <n v="200"/>
    <x v="11"/>
    <n v="0"/>
    <n v="10040"/>
    <n v="2500"/>
    <n v="0"/>
    <m/>
    <x v="3"/>
  </r>
  <r>
    <x v="168"/>
    <s v="rom_fact_rohan"/>
    <n v="157"/>
    <x v="11"/>
    <n v="0"/>
    <n v="6638"/>
    <n v="2500"/>
    <n v="0"/>
    <m/>
    <x v="4"/>
  </r>
  <r>
    <x v="168"/>
    <s v="rom_fact_dol_guldur"/>
    <n v="629"/>
    <x v="21"/>
    <n v="446"/>
    <n v="1288224"/>
    <n v="80075"/>
    <n v="7875"/>
    <m/>
    <x v="5"/>
  </r>
  <r>
    <x v="168"/>
    <s v="rom_fact_anduin_vale"/>
    <n v="58"/>
    <x v="11"/>
    <n v="0"/>
    <n v="4515"/>
    <n v="2500"/>
    <n v="0"/>
    <m/>
    <x v="6"/>
  </r>
  <r>
    <x v="168"/>
    <s v="rom_fact_isengard"/>
    <n v="329"/>
    <x v="11"/>
    <n v="0"/>
    <n v="23007"/>
    <n v="2500"/>
    <n v="0"/>
    <m/>
    <x v="7"/>
  </r>
  <r>
    <x v="168"/>
    <s v="rom_fact_woodland_realm"/>
    <n v="30"/>
    <x v="11"/>
    <n v="0"/>
    <n v="8475"/>
    <n v="2500"/>
    <n v="0"/>
    <m/>
    <x v="8"/>
  </r>
  <r>
    <x v="168"/>
    <s v="rom_fact_lothlorien"/>
    <n v="64"/>
    <x v="11"/>
    <n v="0"/>
    <n v="4721"/>
    <n v="2500"/>
    <n v="0"/>
    <m/>
    <x v="9"/>
  </r>
  <r>
    <x v="168"/>
    <s v="rom_fact_khand"/>
    <n v="0"/>
    <x v="11"/>
    <n v="0"/>
    <n v="4919"/>
    <n v="1750"/>
    <n v="0"/>
    <m/>
    <x v="10"/>
  </r>
  <r>
    <x v="168"/>
    <s v="rom_fact_umbar"/>
    <n v="26"/>
    <x v="18"/>
    <n v="335.6"/>
    <n v="1078051"/>
    <n v="72311"/>
    <n v="6647"/>
    <m/>
    <x v="11"/>
  </r>
  <r>
    <x v="168"/>
    <s v="rom_fact_mahuds"/>
    <n v="0"/>
    <x v="11"/>
    <n v="0"/>
    <n v="9228"/>
    <n v="1750"/>
    <n v="0"/>
    <m/>
    <x v="12"/>
  </r>
  <r>
    <x v="168"/>
    <s v="rom_fact_harad"/>
    <n v="641"/>
    <x v="29"/>
    <n v="392.2"/>
    <n v="713872"/>
    <n v="68044"/>
    <n v="6551"/>
    <m/>
    <x v="13"/>
  </r>
  <r>
    <x v="168"/>
    <s v="rom_fact_dunland"/>
    <n v="415"/>
    <x v="11"/>
    <n v="1.1000000000000001"/>
    <n v="222480"/>
    <n v="2734"/>
    <n v="0"/>
    <m/>
    <x v="14"/>
  </r>
  <r>
    <x v="168"/>
    <s v="rom_fact_haerrim"/>
    <n v="0"/>
    <x v="11"/>
    <n v="0"/>
    <n v="5352"/>
    <n v="1750"/>
    <n v="0"/>
    <m/>
    <x v="15"/>
  </r>
  <r>
    <x v="168"/>
    <s v="rom_fact_goblins"/>
    <n v="666"/>
    <x v="11"/>
    <n v="0"/>
    <n v="128480"/>
    <n v="2500"/>
    <n v="0"/>
    <m/>
    <x v="16"/>
  </r>
  <r>
    <x v="168"/>
    <s v="rom_fact_balchoth"/>
    <n v="0"/>
    <x v="11"/>
    <n v="0"/>
    <n v="4872"/>
    <n v="1750"/>
    <n v="0"/>
    <m/>
    <x v="17"/>
  </r>
  <r>
    <x v="168"/>
    <s v="rom_fact_rhurim"/>
    <n v="750"/>
    <x v="11"/>
    <n v="0"/>
    <n v="461978"/>
    <n v="2500"/>
    <n v="0"/>
    <m/>
    <x v="18"/>
  </r>
  <r>
    <x v="168"/>
    <s v="rom_fact_feredrim"/>
    <n v="0"/>
    <x v="11"/>
    <n v="0"/>
    <n v="7360"/>
    <n v="1750"/>
    <n v="0"/>
    <m/>
    <x v="19"/>
  </r>
  <r>
    <x v="168"/>
    <s v="rom_fact_wainriders"/>
    <n v="0"/>
    <x v="11"/>
    <n v="0"/>
    <n v="6395"/>
    <n v="1750"/>
    <n v="0"/>
    <m/>
    <x v="20"/>
  </r>
  <r>
    <x v="168"/>
    <s v="rom_fact_blacklock"/>
    <n v="9"/>
    <x v="13"/>
    <n v="145.1"/>
    <n v="129364"/>
    <n v="32194"/>
    <n v="2943"/>
    <m/>
    <x v="21"/>
  </r>
  <r>
    <x v="168"/>
    <s v="rom_fact_ironfist"/>
    <n v="11"/>
    <x v="12"/>
    <n v="163"/>
    <n v="137441"/>
    <n v="43737"/>
    <n v="2591"/>
    <m/>
    <x v="22"/>
  </r>
  <r>
    <x v="168"/>
    <s v="rom_fact_gundabad"/>
    <n v="245"/>
    <x v="11"/>
    <n v="0"/>
    <n v="9750"/>
    <n v="2500"/>
    <n v="0"/>
    <m/>
    <x v="23"/>
  </r>
  <r>
    <x v="168"/>
    <s v="rom_fact_rohan_scouts"/>
    <n v="0"/>
    <x v="11"/>
    <n v="3"/>
    <n v="195199"/>
    <n v="2354"/>
    <n v="0"/>
    <m/>
    <x v="24"/>
  </r>
  <r>
    <x v="168"/>
    <s v="rom_fact_northern_enedwaith"/>
    <n v="0"/>
    <x v="11"/>
    <n v="0"/>
    <n v="23466"/>
    <n v="1750"/>
    <n v="0"/>
    <m/>
    <x v="25"/>
  </r>
  <r>
    <x v="168"/>
    <s v="rom_fact_southern_enedwaith"/>
    <n v="0"/>
    <x v="11"/>
    <n v="0"/>
    <n v="54023"/>
    <n v="1750"/>
    <n v="0"/>
    <m/>
    <x v="26"/>
  </r>
  <r>
    <x v="168"/>
    <s v="rom_fact_druedain"/>
    <n v="0"/>
    <x v="11"/>
    <n v="0"/>
    <n v="32146"/>
    <n v="1750"/>
    <n v="0"/>
    <m/>
    <x v="27"/>
  </r>
  <r>
    <x v="168"/>
    <s v="rom_fact_harondor"/>
    <n v="0"/>
    <x v="11"/>
    <n v="0"/>
    <n v="15146"/>
    <n v="1750"/>
    <n v="0"/>
    <m/>
    <x v="28"/>
  </r>
  <r>
    <x v="168"/>
    <s v="rom_fact_southron_nomads"/>
    <n v="0"/>
    <x v="11"/>
    <n v="0"/>
    <n v="4000"/>
    <n v="1750"/>
    <n v="0"/>
    <m/>
    <x v="29"/>
  </r>
  <r>
    <x v="168"/>
    <s v="rom_fact_separatist_harad"/>
    <n v="0"/>
    <x v="11"/>
    <n v="0"/>
    <n v="4000"/>
    <n v="1750"/>
    <n v="0"/>
    <m/>
    <x v="30"/>
  </r>
  <r>
    <x v="168"/>
    <s v="rom_fact_separatist_khand"/>
    <n v="0"/>
    <x v="11"/>
    <n v="0"/>
    <n v="4000"/>
    <n v="1750"/>
    <n v="0"/>
    <m/>
    <x v="30"/>
  </r>
  <r>
    <x v="168"/>
    <s v="rom_fact_separatist_balchoth"/>
    <n v="0"/>
    <x v="11"/>
    <n v="0"/>
    <n v="4000"/>
    <n v="1750"/>
    <n v="0"/>
    <m/>
    <x v="30"/>
  </r>
  <r>
    <x v="168"/>
    <s v="rom_fact_separatist_feredrim"/>
    <n v="0"/>
    <x v="11"/>
    <n v="0"/>
    <n v="4000"/>
    <n v="1750"/>
    <n v="0"/>
    <m/>
    <x v="30"/>
  </r>
  <r>
    <x v="168"/>
    <s v="rom_fact_separatist_haerrim"/>
    <n v="0"/>
    <x v="11"/>
    <n v="0"/>
    <n v="4000"/>
    <n v="1750"/>
    <n v="0"/>
    <m/>
    <x v="30"/>
  </r>
  <r>
    <x v="168"/>
    <s v="rom_fact_separatist_wainriders"/>
    <n v="0"/>
    <x v="11"/>
    <n v="0"/>
    <n v="4000"/>
    <n v="1750"/>
    <n v="0"/>
    <m/>
    <x v="30"/>
  </r>
  <r>
    <x v="168"/>
    <s v="rom_fact_separatist_rhurim"/>
    <n v="0"/>
    <x v="11"/>
    <n v="0"/>
    <n v="4000"/>
    <n v="1750"/>
    <n v="0"/>
    <m/>
    <x v="30"/>
  </r>
  <r>
    <x v="168"/>
    <s v="rom_fact_separatist_mahuds"/>
    <n v="0"/>
    <x v="11"/>
    <n v="0"/>
    <n v="4000"/>
    <n v="1750"/>
    <n v="0"/>
    <m/>
    <x v="30"/>
  </r>
  <r>
    <x v="168"/>
    <s v="rom_fact_separatist_umbar"/>
    <n v="0"/>
    <x v="11"/>
    <n v="0"/>
    <n v="4000"/>
    <n v="1750"/>
    <n v="0"/>
    <m/>
    <x v="30"/>
  </r>
  <r>
    <x v="169"/>
    <m/>
    <m/>
    <x v="58"/>
    <m/>
    <m/>
    <m/>
    <m/>
    <m/>
    <x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ED1DA3-208F-425E-AD83-CD95F4ADA10E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6">
  <location ref="A3:AH175" firstHeaderRow="1" firstDataRow="2" firstDataCol="1" rowPageCount="1" colPageCount="1"/>
  <pivotFields count="10">
    <pivotField axis="axisRow" showAll="0" sortType="ascending">
      <items count="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m="1" x="170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m="1" x="175"/>
        <item m="1" x="171"/>
        <item m="1" x="176"/>
        <item m="1" x="177"/>
        <item m="1" x="178"/>
        <item m="1" x="179"/>
        <item m="1" x="172"/>
        <item m="1" x="180"/>
        <item m="1" x="181"/>
        <item m="1" x="173"/>
        <item m="1" x="182"/>
        <item m="1" x="174"/>
        <item m="1" x="183"/>
        <item m="1" x="184"/>
        <item m="1" x="185"/>
        <item m="1" x="186"/>
        <item m="1" x="187"/>
        <item m="1" x="188"/>
        <item x="169"/>
        <item t="default"/>
      </items>
    </pivotField>
    <pivotField showAll="0"/>
    <pivotField showAll="0"/>
    <pivotField axis="axisPage" multipleItemSelectionAllowed="1" showAll="0">
      <items count="73">
        <item x="11"/>
        <item x="7"/>
        <item x="10"/>
        <item x="3"/>
        <item x="9"/>
        <item x="8"/>
        <item x="5"/>
        <item x="13"/>
        <item x="12"/>
        <item x="6"/>
        <item x="17"/>
        <item x="0"/>
        <item x="2"/>
        <item x="16"/>
        <item x="4"/>
        <item x="15"/>
        <item x="14"/>
        <item x="20"/>
        <item x="18"/>
        <item x="1"/>
        <item x="25"/>
        <item x="27"/>
        <item x="28"/>
        <item x="29"/>
        <item x="19"/>
        <item x="21"/>
        <item x="30"/>
        <item x="32"/>
        <item x="31"/>
        <item x="33"/>
        <item x="24"/>
        <item x="22"/>
        <item x="23"/>
        <item x="26"/>
        <item m="1" x="59"/>
        <item x="35"/>
        <item x="34"/>
        <item x="36"/>
        <item x="37"/>
        <item x="38"/>
        <item m="1" x="60"/>
        <item x="39"/>
        <item m="1" x="62"/>
        <item x="41"/>
        <item m="1" x="61"/>
        <item x="43"/>
        <item m="1" x="64"/>
        <item m="1" x="63"/>
        <item m="1" x="65"/>
        <item m="1" x="66"/>
        <item m="1" x="67"/>
        <item m="1" x="68"/>
        <item x="47"/>
        <item m="1" x="69"/>
        <item x="48"/>
        <item x="49"/>
        <item x="51"/>
        <item m="1" x="70"/>
        <item x="52"/>
        <item m="1" x="71"/>
        <item x="54"/>
        <item x="55"/>
        <item x="40"/>
        <item x="44"/>
        <item x="46"/>
        <item x="42"/>
        <item x="45"/>
        <item x="50"/>
        <item x="53"/>
        <item x="58"/>
        <item x="56"/>
        <item x="57"/>
        <item t="default"/>
      </items>
    </pivotField>
    <pivotField dataField="1" showAll="0"/>
    <pivotField showAll="0"/>
    <pivotField showAll="0"/>
    <pivotField showAll="0"/>
    <pivotField showAll="0"/>
    <pivotField axis="axisCol" showAll="0" sortType="ascending">
      <items count="34">
        <item m="1" x="32"/>
        <item x="30"/>
        <item x="6"/>
        <item x="17"/>
        <item x="21"/>
        <item x="11"/>
        <item x="2"/>
        <item x="5"/>
        <item x="27"/>
        <item x="14"/>
        <item x="3"/>
        <item x="19"/>
        <item x="16"/>
        <item x="1"/>
        <item x="23"/>
        <item x="15"/>
        <item x="13"/>
        <item x="28"/>
        <item x="22"/>
        <item x="7"/>
        <item x="9"/>
        <item x="12"/>
        <item x="0"/>
        <item x="25"/>
        <item x="20"/>
        <item x="18"/>
        <item x="4"/>
        <item x="24"/>
        <item x="26"/>
        <item x="29"/>
        <item x="10"/>
        <item x="8"/>
        <item x="31"/>
        <item t="default"/>
      </items>
    </pivotField>
  </pivotFields>
  <rowFields count="1">
    <field x="0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88"/>
    </i>
    <i t="grand">
      <x/>
    </i>
  </rowItems>
  <colFields count="1">
    <field x="9"/>
  </colFields>
  <colItems count="3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pageFields count="1">
    <pageField fld="3" hier="-1"/>
  </pageFields>
  <dataFields count="1">
    <dataField name="Sum of Strength" fld="4" baseField="0" baseItem="0"/>
  </dataFields>
  <chartFormats count="32">
    <chartFormat chart="77" format="17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7" format="17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7" format="17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7" format="17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7" format="17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77" format="18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77" format="18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77" format="18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77" format="18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77" format="18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77" format="18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77" format="18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77" format="18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77" format="18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77" format="19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77" format="19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77" format="19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77" format="19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77" format="19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77" format="19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77" format="19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77" format="19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77" format="20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77" format="20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77" format="20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77" format="20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77" format="20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77" format="20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77" format="20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7" format="20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  <chartFormat chart="77" format="20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77" format="2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A79C6-2696-4108-8E96-D01D4EDC820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20">
  <location ref="A4:AH176" firstHeaderRow="1" firstDataRow="2" firstDataCol="1" rowPageCount="1" colPageCount="1"/>
  <pivotFields count="10">
    <pivotField axis="axisRow" showAll="0" sortType="ascending">
      <items count="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m="1" x="170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m="1" x="175"/>
        <item m="1" x="171"/>
        <item m="1" x="176"/>
        <item m="1" x="177"/>
        <item m="1" x="178"/>
        <item m="1" x="179"/>
        <item m="1" x="172"/>
        <item m="1" x="180"/>
        <item m="1" x="181"/>
        <item m="1" x="173"/>
        <item m="1" x="182"/>
        <item m="1" x="174"/>
        <item m="1" x="183"/>
        <item m="1" x="184"/>
        <item m="1" x="185"/>
        <item m="1" x="186"/>
        <item m="1" x="187"/>
        <item m="1" x="188"/>
        <item x="169"/>
        <item t="default"/>
      </items>
    </pivotField>
    <pivotField showAll="0"/>
    <pivotField showAll="0"/>
    <pivotField axis="axisPage" dataField="1" multipleItemSelectionAllowed="1" showAll="0">
      <items count="73">
        <item x="11"/>
        <item x="7"/>
        <item x="10"/>
        <item x="3"/>
        <item x="9"/>
        <item x="8"/>
        <item x="5"/>
        <item x="13"/>
        <item x="12"/>
        <item x="6"/>
        <item x="17"/>
        <item x="0"/>
        <item x="2"/>
        <item x="16"/>
        <item x="4"/>
        <item x="15"/>
        <item x="14"/>
        <item x="20"/>
        <item x="18"/>
        <item x="1"/>
        <item x="25"/>
        <item x="27"/>
        <item x="28"/>
        <item x="29"/>
        <item x="19"/>
        <item x="21"/>
        <item x="30"/>
        <item x="32"/>
        <item x="31"/>
        <item x="33"/>
        <item x="24"/>
        <item x="22"/>
        <item x="23"/>
        <item x="26"/>
        <item m="1" x="59"/>
        <item x="35"/>
        <item x="34"/>
        <item x="36"/>
        <item x="37"/>
        <item x="38"/>
        <item m="1" x="60"/>
        <item x="39"/>
        <item m="1" x="62"/>
        <item x="41"/>
        <item m="1" x="61"/>
        <item x="43"/>
        <item m="1" x="64"/>
        <item m="1" x="63"/>
        <item m="1" x="65"/>
        <item m="1" x="66"/>
        <item m="1" x="67"/>
        <item m="1" x="68"/>
        <item x="47"/>
        <item m="1" x="69"/>
        <item x="48"/>
        <item x="49"/>
        <item x="51"/>
        <item m="1" x="70"/>
        <item x="52"/>
        <item m="1" x="71"/>
        <item x="54"/>
        <item x="55"/>
        <item x="40"/>
        <item x="44"/>
        <item x="46"/>
        <item x="42"/>
        <item x="45"/>
        <item x="50"/>
        <item x="53"/>
        <item x="58"/>
        <item x="56"/>
        <item x="57"/>
        <item t="default"/>
      </items>
    </pivotField>
    <pivotField showAll="0"/>
    <pivotField showAll="0"/>
    <pivotField showAll="0"/>
    <pivotField showAll="0"/>
    <pivotField showAll="0"/>
    <pivotField axis="axisCol" showAll="0" sortType="ascending">
      <items count="34">
        <item m="1" x="32"/>
        <item x="30"/>
        <item x="6"/>
        <item x="17"/>
        <item x="21"/>
        <item x="11"/>
        <item x="2"/>
        <item x="5"/>
        <item x="27"/>
        <item x="14"/>
        <item x="3"/>
        <item x="19"/>
        <item x="16"/>
        <item x="1"/>
        <item x="23"/>
        <item x="15"/>
        <item x="13"/>
        <item x="28"/>
        <item x="22"/>
        <item x="7"/>
        <item x="9"/>
        <item x="12"/>
        <item x="0"/>
        <item x="25"/>
        <item x="20"/>
        <item x="18"/>
        <item x="4"/>
        <item x="24"/>
        <item x="26"/>
        <item x="29"/>
        <item x="10"/>
        <item x="8"/>
        <item x="31"/>
        <item t="default"/>
      </items>
    </pivotField>
  </pivotFields>
  <rowFields count="1">
    <field x="0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88"/>
    </i>
    <i t="grand">
      <x/>
    </i>
  </rowItems>
  <colFields count="1">
    <field x="9"/>
  </colFields>
  <colItems count="3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colItems>
  <pageFields count="1">
    <pageField fld="3" hier="-1"/>
  </pageFields>
  <dataFields count="1">
    <dataField name="Sum of Regions" fld="3" baseField="0" baseItem="0"/>
  </dataFields>
  <chartFormats count="33">
    <chartFormat chart="81" format="20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81" format="20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81" format="20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81" format="20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81" format="2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81" format="2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81" format="2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81" format="2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81" format="2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81" format="2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81" format="2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81" format="2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81" format="2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81" format="2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81" format="2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81" format="2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81" format="2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81" format="2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81" format="2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81" format="2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81" format="2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81" format="2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81" format="2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81" format="2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81" format="2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81" format="2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81" format="23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81" format="2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81" format="2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  <chartFormat chart="81" format="24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81" format="24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81" format="25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7"/>
          </reference>
        </references>
      </pivotArea>
    </chartFormat>
    <chartFormat chart="81" format="25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AB183F-BA49-41F3-9F6D-380421855FFF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118">
  <location ref="A3:AE175" firstHeaderRow="1" firstDataRow="2" firstDataCol="1" rowPageCount="1" colPageCount="1"/>
  <pivotFields count="10">
    <pivotField axis="axisRow" showAll="0" sortType="ascending">
      <items count="1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m="1" x="170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m="1" x="175"/>
        <item m="1" x="171"/>
        <item m="1" x="176"/>
        <item m="1" x="177"/>
        <item m="1" x="178"/>
        <item m="1" x="179"/>
        <item m="1" x="172"/>
        <item m="1" x="180"/>
        <item m="1" x="181"/>
        <item m="1" x="173"/>
        <item m="1" x="182"/>
        <item m="1" x="174"/>
        <item m="1" x="183"/>
        <item m="1" x="184"/>
        <item m="1" x="185"/>
        <item m="1" x="186"/>
        <item m="1" x="187"/>
        <item m="1" x="188"/>
        <item x="169"/>
        <item t="default"/>
      </items>
    </pivotField>
    <pivotField showAll="0"/>
    <pivotField dataField="1" showAll="0"/>
    <pivotField axis="axisPage" multipleItemSelectionAllowed="1" showAll="0">
      <items count="73">
        <item h="1" x="11"/>
        <item x="7"/>
        <item x="10"/>
        <item x="3"/>
        <item x="9"/>
        <item x="8"/>
        <item x="5"/>
        <item x="13"/>
        <item x="12"/>
        <item x="6"/>
        <item x="17"/>
        <item x="0"/>
        <item x="2"/>
        <item x="16"/>
        <item x="4"/>
        <item x="15"/>
        <item x="14"/>
        <item x="20"/>
        <item x="18"/>
        <item x="1"/>
        <item x="25"/>
        <item x="27"/>
        <item x="28"/>
        <item x="29"/>
        <item x="19"/>
        <item x="21"/>
        <item x="30"/>
        <item x="32"/>
        <item x="31"/>
        <item x="33"/>
        <item x="24"/>
        <item x="22"/>
        <item x="23"/>
        <item x="26"/>
        <item m="1" x="59"/>
        <item x="35"/>
        <item x="34"/>
        <item x="36"/>
        <item x="37"/>
        <item x="38"/>
        <item m="1" x="60"/>
        <item x="39"/>
        <item m="1" x="62"/>
        <item x="41"/>
        <item m="1" x="61"/>
        <item x="43"/>
        <item m="1" x="64"/>
        <item m="1" x="63"/>
        <item m="1" x="65"/>
        <item m="1" x="66"/>
        <item m="1" x="67"/>
        <item m="1" x="68"/>
        <item x="47"/>
        <item m="1" x="69"/>
        <item x="48"/>
        <item x="49"/>
        <item x="51"/>
        <item m="1" x="70"/>
        <item x="52"/>
        <item m="1" x="71"/>
        <item x="54"/>
        <item x="55"/>
        <item x="40"/>
        <item x="44"/>
        <item x="46"/>
        <item x="42"/>
        <item x="45"/>
        <item x="50"/>
        <item x="53"/>
        <item x="58"/>
        <item x="56"/>
        <item x="57"/>
        <item t="default"/>
      </items>
    </pivotField>
    <pivotField showAll="0"/>
    <pivotField showAll="0"/>
    <pivotField showAll="0"/>
    <pivotField showAll="0"/>
    <pivotField showAll="0"/>
    <pivotField axis="axisCol" showAll="0" sortType="ascending">
      <items count="34">
        <item m="1" x="32"/>
        <item x="30"/>
        <item x="6"/>
        <item x="17"/>
        <item x="21"/>
        <item x="11"/>
        <item x="2"/>
        <item x="5"/>
        <item x="27"/>
        <item x="14"/>
        <item x="3"/>
        <item x="19"/>
        <item x="16"/>
        <item x="1"/>
        <item x="23"/>
        <item x="15"/>
        <item x="13"/>
        <item x="28"/>
        <item x="22"/>
        <item x="7"/>
        <item x="9"/>
        <item x="12"/>
        <item x="0"/>
        <item x="25"/>
        <item x="20"/>
        <item x="18"/>
        <item x="4"/>
        <item x="24"/>
        <item x="26"/>
        <item x="29"/>
        <item x="10"/>
        <item x="8"/>
        <item x="31"/>
        <item t="default"/>
      </items>
    </pivotField>
  </pivotFields>
  <rowFields count="1">
    <field x="0"/>
  </rowFields>
  <rowItems count="17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88"/>
    </i>
    <i t="grand">
      <x/>
    </i>
  </rowItems>
  <colFields count="1">
    <field x="9"/>
  </colFields>
  <colItems count="30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30"/>
    </i>
    <i>
      <x v="31"/>
    </i>
    <i>
      <x v="32"/>
    </i>
    <i t="grand">
      <x/>
    </i>
  </colItems>
  <pageFields count="1">
    <pageField fld="3" hier="-1"/>
  </pageFields>
  <dataFields count="1">
    <dataField name="Sum of Prestige" fld="2" baseField="0" baseItem="0"/>
  </dataFields>
  <chartFormats count="31">
    <chartFormat chart="74" format="20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74" format="20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74" format="20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74" format="20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74" format="2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74" format="2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  <chartFormat chart="74" format="2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8"/>
          </reference>
        </references>
      </pivotArea>
    </chartFormat>
    <chartFormat chart="74" format="2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9"/>
          </reference>
        </references>
      </pivotArea>
    </chartFormat>
    <chartFormat chart="74" format="2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0"/>
          </reference>
        </references>
      </pivotArea>
    </chartFormat>
    <chartFormat chart="74" format="2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1"/>
          </reference>
        </references>
      </pivotArea>
    </chartFormat>
    <chartFormat chart="74" format="21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2"/>
          </reference>
        </references>
      </pivotArea>
    </chartFormat>
    <chartFormat chart="74" format="21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3"/>
          </reference>
        </references>
      </pivotArea>
    </chartFormat>
    <chartFormat chart="74" format="21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4"/>
          </reference>
        </references>
      </pivotArea>
    </chartFormat>
    <chartFormat chart="74" format="21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5"/>
          </reference>
        </references>
      </pivotArea>
    </chartFormat>
    <chartFormat chart="74" format="22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6"/>
          </reference>
        </references>
      </pivotArea>
    </chartFormat>
    <chartFormat chart="74" format="2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7"/>
          </reference>
        </references>
      </pivotArea>
    </chartFormat>
    <chartFormat chart="74" format="2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8"/>
          </reference>
        </references>
      </pivotArea>
    </chartFormat>
    <chartFormat chart="74" format="2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9"/>
          </reference>
        </references>
      </pivotArea>
    </chartFormat>
    <chartFormat chart="74" format="2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0"/>
          </reference>
        </references>
      </pivotArea>
    </chartFormat>
    <chartFormat chart="74" format="2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1"/>
          </reference>
        </references>
      </pivotArea>
    </chartFormat>
    <chartFormat chart="74" format="2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2"/>
          </reference>
        </references>
      </pivotArea>
    </chartFormat>
    <chartFormat chart="74" format="2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3"/>
          </reference>
        </references>
      </pivotArea>
    </chartFormat>
    <chartFormat chart="74" format="2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4"/>
          </reference>
        </references>
      </pivotArea>
    </chartFormat>
    <chartFormat chart="74" format="2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5"/>
          </reference>
        </references>
      </pivotArea>
    </chartFormat>
    <chartFormat chart="74" format="2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6"/>
          </reference>
        </references>
      </pivotArea>
    </chartFormat>
    <chartFormat chart="74" format="2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8"/>
          </reference>
        </references>
      </pivotArea>
    </chartFormat>
    <chartFormat chart="74" format="23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0"/>
          </reference>
        </references>
      </pivotArea>
    </chartFormat>
    <chartFormat chart="74" format="2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1"/>
          </reference>
        </references>
      </pivotArea>
    </chartFormat>
    <chartFormat chart="74" format="2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4" format="2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9"/>
          </reference>
        </references>
      </pivotArea>
    </chartFormat>
    <chartFormat chart="74" format="2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C9EADD-A92C-4464-AD54-44FB6BBF9826}" name="Table3" displayName="Table3" ref="A7:J6599" totalsRowShown="0">
  <autoFilter ref="A7:J6599" xr:uid="{D0C9EADD-A92C-4464-AD54-44FB6BBF9826}"/>
  <tableColumns count="10">
    <tableColumn id="1" xr3:uid="{B938F9F6-F0E6-44AA-ACA4-EB345D7BB8B7}" name="Turn"/>
    <tableColumn id="2" xr3:uid="{5EE7A97C-CEC2-431E-9B38-E27FF7B2EECE}" name="Faction ID"/>
    <tableColumn id="3" xr3:uid="{D5CEFD53-FF25-47F0-A00B-53920982A7B4}" name="Prestige"/>
    <tableColumn id="4" xr3:uid="{1972A653-CE13-4780-A8D7-D97B51AA4B4B}" name="Regions"/>
    <tableColumn id="5" xr3:uid="{3D44E09E-27A5-4CF2-BF51-90ED321CCCC2}" name="Strength"/>
    <tableColumn id="6" xr3:uid="{58350032-A171-4E07-ADA5-48050792692A}" name="Treasury"/>
    <tableColumn id="7" xr3:uid="{8C85D80F-4DF8-4ED1-9704-89A18145E334}" name="Net Income"/>
    <tableColumn id="8" xr3:uid="{AEB9B1E9-788D-4229-8C19-A21FB36BF81E}" name="Trade Income"/>
    <tableColumn id="9" xr3:uid="{A17DF685-7CD6-40E8-A39F-43BEA049E1BB}" name="Faction Strength = Sum of strengths of Field and Garrison armies and navies (slightly adjusted for force rank)"/>
    <tableColumn id="10" xr3:uid="{1E3470E0-A104-438E-9DA7-B59AA0424E23}" name="Faction" dataDxfId="0">
      <calculatedColumnFormula>VLOOKUP(Table3[[#This Row],[Faction ID]],Table4[],2)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6ACC90-7359-4C54-A341-934FF51844B4}" name="Table4" displayName="Table4" ref="A1:B40" totalsRowShown="0">
  <autoFilter ref="A1:B40" xr:uid="{816ACC90-7359-4C54-A341-934FF51844B4}"/>
  <sortState xmlns:xlrd2="http://schemas.microsoft.com/office/spreadsheetml/2017/richdata2" ref="A2:B40">
    <sortCondition ref="A1:A40"/>
  </sortState>
  <tableColumns count="2">
    <tableColumn id="1" xr3:uid="{365DB67E-E042-4BE3-98CD-6505678438D0}" name="Faction ID"/>
    <tableColumn id="2" xr3:uid="{60188BE3-9365-427E-BBC8-946FD976CA76}" name="Faction Name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9DB6B-0332-4466-916B-E5721F9E22D8}">
  <dimension ref="A1:J6599"/>
  <sheetViews>
    <sheetView tabSelected="1" workbookViewId="0">
      <selection activeCell="A2" sqref="A2"/>
    </sheetView>
  </sheetViews>
  <sheetFormatPr defaultRowHeight="15" x14ac:dyDescent="0.25"/>
  <cols>
    <col min="2" max="2" width="29.28515625" bestFit="1" customWidth="1"/>
    <col min="3" max="4" width="10.140625" customWidth="1"/>
    <col min="5" max="5" width="10.7109375" customWidth="1"/>
    <col min="6" max="6" width="13.140625" customWidth="1"/>
    <col min="7" max="7" width="15.140625" customWidth="1"/>
    <col min="10" max="10" width="25.7109375" bestFit="1" customWidth="1"/>
    <col min="11" max="11" width="29.28515625" bestFit="1" customWidth="1"/>
    <col min="12" max="12" width="21.7109375" bestFit="1" customWidth="1"/>
  </cols>
  <sheetData>
    <row r="1" spans="1:10" x14ac:dyDescent="0.25">
      <c r="A1" t="s">
        <v>105</v>
      </c>
      <c r="H1" t="s">
        <v>54</v>
      </c>
    </row>
    <row r="2" spans="1:10" x14ac:dyDescent="0.25">
      <c r="A2" t="s">
        <v>53</v>
      </c>
    </row>
    <row r="3" spans="1:10" x14ac:dyDescent="0.25">
      <c r="A3" t="s">
        <v>52</v>
      </c>
    </row>
    <row r="4" spans="1:10" x14ac:dyDescent="0.25">
      <c r="A4" t="s">
        <v>57</v>
      </c>
    </row>
    <row r="5" spans="1:10" x14ac:dyDescent="0.25">
      <c r="A5" t="s">
        <v>104</v>
      </c>
    </row>
    <row r="7" spans="1:10" x14ac:dyDescent="0.25">
      <c r="A7" t="s">
        <v>7</v>
      </c>
      <c r="B7" t="s">
        <v>59</v>
      </c>
      <c r="C7" t="s">
        <v>46</v>
      </c>
      <c r="D7" t="s">
        <v>1</v>
      </c>
      <c r="E7" t="s">
        <v>8</v>
      </c>
      <c r="F7" t="s">
        <v>47</v>
      </c>
      <c r="G7" t="s">
        <v>48</v>
      </c>
      <c r="H7" t="s">
        <v>49</v>
      </c>
      <c r="I7" t="s">
        <v>55</v>
      </c>
      <c r="J7" t="s">
        <v>0</v>
      </c>
    </row>
    <row r="8" spans="1:10" x14ac:dyDescent="0.25">
      <c r="A8">
        <v>1</v>
      </c>
      <c r="B8" t="s">
        <v>9</v>
      </c>
      <c r="C8">
        <v>22</v>
      </c>
      <c r="D8">
        <v>11</v>
      </c>
      <c r="E8">
        <v>95</v>
      </c>
      <c r="F8">
        <v>322</v>
      </c>
      <c r="G8">
        <v>8644</v>
      </c>
      <c r="H8">
        <v>400</v>
      </c>
      <c r="J8" t="str">
        <f>VLOOKUP(Table3[[#This Row],[Faction ID]],Table4[],2)</f>
        <v>Mordor</v>
      </c>
    </row>
    <row r="9" spans="1:10" x14ac:dyDescent="0.25">
      <c r="A9">
        <v>1</v>
      </c>
      <c r="B9" t="s">
        <v>4</v>
      </c>
      <c r="C9">
        <v>26</v>
      </c>
      <c r="D9">
        <v>19</v>
      </c>
      <c r="E9">
        <v>169</v>
      </c>
      <c r="F9">
        <v>8000</v>
      </c>
      <c r="G9">
        <v>13494</v>
      </c>
      <c r="H9">
        <v>0</v>
      </c>
      <c r="J9" t="str">
        <f>VLOOKUP(Table3[[#This Row],[Faction ID]],Table4[],2)</f>
        <v>Gondor</v>
      </c>
    </row>
    <row r="10" spans="1:10" x14ac:dyDescent="0.25">
      <c r="A10">
        <v>1</v>
      </c>
      <c r="B10" t="s">
        <v>6</v>
      </c>
      <c r="C10">
        <v>17</v>
      </c>
      <c r="D10">
        <v>12</v>
      </c>
      <c r="E10">
        <v>86</v>
      </c>
      <c r="F10">
        <v>6000</v>
      </c>
      <c r="G10">
        <v>8329</v>
      </c>
      <c r="H10">
        <v>0</v>
      </c>
      <c r="J10" t="str">
        <f>VLOOKUP(Table3[[#This Row],[Faction ID]],Table4[],2)</f>
        <v>Dale</v>
      </c>
    </row>
    <row r="11" spans="1:10" x14ac:dyDescent="0.25">
      <c r="A11">
        <v>1</v>
      </c>
      <c r="B11" t="s">
        <v>21</v>
      </c>
      <c r="C11">
        <v>5</v>
      </c>
      <c r="D11">
        <v>3</v>
      </c>
      <c r="E11">
        <v>30</v>
      </c>
      <c r="F11">
        <v>6000</v>
      </c>
      <c r="G11">
        <v>7250</v>
      </c>
      <c r="H11">
        <v>0</v>
      </c>
      <c r="J11" t="str">
        <f>VLOOKUP(Table3[[#This Row],[Faction ID]],Table4[],2)</f>
        <v>Erebor</v>
      </c>
    </row>
    <row r="12" spans="1:10" x14ac:dyDescent="0.25">
      <c r="A12">
        <v>1</v>
      </c>
      <c r="B12" t="s">
        <v>5</v>
      </c>
      <c r="C12">
        <v>19</v>
      </c>
      <c r="D12">
        <v>14</v>
      </c>
      <c r="E12">
        <v>99</v>
      </c>
      <c r="F12">
        <v>5000</v>
      </c>
      <c r="G12">
        <v>6677</v>
      </c>
      <c r="H12">
        <v>0</v>
      </c>
      <c r="J12" t="str">
        <f>VLOOKUP(Table3[[#This Row],[Faction ID]],Table4[],2)</f>
        <v>Rohan</v>
      </c>
    </row>
    <row r="13" spans="1:10" x14ac:dyDescent="0.25">
      <c r="A13">
        <v>1</v>
      </c>
      <c r="B13" t="s">
        <v>12</v>
      </c>
      <c r="C13">
        <v>9</v>
      </c>
      <c r="D13">
        <v>6</v>
      </c>
      <c r="E13">
        <v>48</v>
      </c>
      <c r="F13">
        <v>4000</v>
      </c>
      <c r="G13">
        <v>6938</v>
      </c>
      <c r="H13">
        <v>0</v>
      </c>
      <c r="J13" t="str">
        <f>VLOOKUP(Table3[[#This Row],[Faction ID]],Table4[],2)</f>
        <v>Dol Guldur</v>
      </c>
    </row>
    <row r="14" spans="1:10" x14ac:dyDescent="0.25">
      <c r="A14">
        <v>1</v>
      </c>
      <c r="B14" t="s">
        <v>10</v>
      </c>
      <c r="C14">
        <v>14</v>
      </c>
      <c r="D14">
        <v>9</v>
      </c>
      <c r="E14">
        <v>72</v>
      </c>
      <c r="F14">
        <v>4000</v>
      </c>
      <c r="G14">
        <v>7910</v>
      </c>
      <c r="H14">
        <v>0</v>
      </c>
      <c r="J14" t="str">
        <f>VLOOKUP(Table3[[#This Row],[Faction ID]],Table4[],2)</f>
        <v>Anduin Vale</v>
      </c>
    </row>
    <row r="15" spans="1:10" x14ac:dyDescent="0.25">
      <c r="A15">
        <v>1</v>
      </c>
      <c r="B15" t="s">
        <v>32</v>
      </c>
      <c r="C15">
        <v>3</v>
      </c>
      <c r="D15">
        <v>1</v>
      </c>
      <c r="E15">
        <v>18</v>
      </c>
      <c r="F15">
        <v>6000</v>
      </c>
      <c r="G15">
        <v>3975</v>
      </c>
      <c r="H15">
        <v>0</v>
      </c>
      <c r="J15" t="str">
        <f>VLOOKUP(Table3[[#This Row],[Faction ID]],Table4[],2)</f>
        <v>Isengard</v>
      </c>
    </row>
    <row r="16" spans="1:10" x14ac:dyDescent="0.25">
      <c r="A16">
        <v>1</v>
      </c>
      <c r="B16" t="s">
        <v>22</v>
      </c>
      <c r="C16">
        <v>5</v>
      </c>
      <c r="D16">
        <v>3</v>
      </c>
      <c r="E16">
        <v>28</v>
      </c>
      <c r="F16">
        <v>5000</v>
      </c>
      <c r="G16">
        <v>6233</v>
      </c>
      <c r="H16">
        <v>0</v>
      </c>
      <c r="J16" t="str">
        <f>VLOOKUP(Table3[[#This Row],[Faction ID]],Table4[],2)</f>
        <v>Woodland Realm</v>
      </c>
    </row>
    <row r="17" spans="1:10" x14ac:dyDescent="0.25">
      <c r="A17">
        <v>1</v>
      </c>
      <c r="B17" t="s">
        <v>23</v>
      </c>
      <c r="C17">
        <v>5</v>
      </c>
      <c r="D17">
        <v>3</v>
      </c>
      <c r="E17">
        <v>24</v>
      </c>
      <c r="F17">
        <v>4000</v>
      </c>
      <c r="G17">
        <v>5216</v>
      </c>
      <c r="H17">
        <v>0</v>
      </c>
      <c r="J17" t="str">
        <f>VLOOKUP(Table3[[#This Row],[Faction ID]],Table4[],2)</f>
        <v>Lothlorien</v>
      </c>
    </row>
    <row r="18" spans="1:10" x14ac:dyDescent="0.25">
      <c r="A18">
        <v>1</v>
      </c>
      <c r="B18" t="s">
        <v>24</v>
      </c>
      <c r="C18">
        <v>5</v>
      </c>
      <c r="D18">
        <v>3</v>
      </c>
      <c r="E18">
        <v>23</v>
      </c>
      <c r="F18">
        <v>4000</v>
      </c>
      <c r="G18">
        <v>4079</v>
      </c>
      <c r="H18">
        <v>133</v>
      </c>
      <c r="J18" t="str">
        <f>VLOOKUP(Table3[[#This Row],[Faction ID]],Table4[],2)</f>
        <v>Variags (Khand)</v>
      </c>
    </row>
    <row r="19" spans="1:10" x14ac:dyDescent="0.25">
      <c r="A19">
        <v>1</v>
      </c>
      <c r="B19" t="s">
        <v>14</v>
      </c>
      <c r="C19">
        <v>7</v>
      </c>
      <c r="D19">
        <v>5</v>
      </c>
      <c r="E19">
        <v>34</v>
      </c>
      <c r="F19">
        <v>4000</v>
      </c>
      <c r="G19">
        <v>5907</v>
      </c>
      <c r="H19">
        <v>0</v>
      </c>
      <c r="J19" t="str">
        <f>VLOOKUP(Table3[[#This Row],[Faction ID]],Table4[],2)</f>
        <v>Corsairs of Umbar</v>
      </c>
    </row>
    <row r="20" spans="1:10" x14ac:dyDescent="0.25">
      <c r="A20">
        <v>1</v>
      </c>
      <c r="B20" t="s">
        <v>25</v>
      </c>
      <c r="C20">
        <v>5</v>
      </c>
      <c r="D20">
        <v>3</v>
      </c>
      <c r="E20">
        <v>24</v>
      </c>
      <c r="F20">
        <v>4000</v>
      </c>
      <c r="G20">
        <v>3943</v>
      </c>
      <c r="H20">
        <v>0</v>
      </c>
      <c r="J20" t="str">
        <f>VLOOKUP(Table3[[#This Row],[Faction ID]],Table4[],2)</f>
        <v>Mahud</v>
      </c>
    </row>
    <row r="21" spans="1:10" x14ac:dyDescent="0.25">
      <c r="A21">
        <v>1</v>
      </c>
      <c r="B21" t="s">
        <v>11</v>
      </c>
      <c r="C21">
        <v>9</v>
      </c>
      <c r="D21">
        <v>6</v>
      </c>
      <c r="E21">
        <v>42</v>
      </c>
      <c r="F21">
        <v>6000</v>
      </c>
      <c r="G21">
        <v>5599</v>
      </c>
      <c r="H21">
        <v>0</v>
      </c>
      <c r="J21" t="str">
        <f>VLOOKUP(Table3[[#This Row],[Faction ID]],Table4[],2)</f>
        <v>Haradrim</v>
      </c>
    </row>
    <row r="22" spans="1:10" x14ac:dyDescent="0.25">
      <c r="A22">
        <v>1</v>
      </c>
      <c r="B22" t="s">
        <v>15</v>
      </c>
      <c r="C22">
        <v>7</v>
      </c>
      <c r="D22">
        <v>4</v>
      </c>
      <c r="E22">
        <v>39</v>
      </c>
      <c r="F22">
        <v>5000</v>
      </c>
      <c r="G22">
        <v>7210</v>
      </c>
      <c r="H22">
        <v>0</v>
      </c>
      <c r="J22" t="str">
        <f>VLOOKUP(Table3[[#This Row],[Faction ID]],Table4[],2)</f>
        <v>Dunlendings</v>
      </c>
    </row>
    <row r="23" spans="1:10" x14ac:dyDescent="0.25">
      <c r="A23">
        <v>1</v>
      </c>
      <c r="B23" t="s">
        <v>16</v>
      </c>
      <c r="C23">
        <v>7</v>
      </c>
      <c r="D23">
        <v>4</v>
      </c>
      <c r="E23">
        <v>35</v>
      </c>
      <c r="F23">
        <v>4000</v>
      </c>
      <c r="G23">
        <v>5245</v>
      </c>
      <c r="H23">
        <v>0</v>
      </c>
      <c r="J23" t="str">
        <f>VLOOKUP(Table3[[#This Row],[Faction ID]],Table4[],2)</f>
        <v>Haerrim</v>
      </c>
    </row>
    <row r="24" spans="1:10" x14ac:dyDescent="0.25">
      <c r="A24">
        <v>1</v>
      </c>
      <c r="B24" t="s">
        <v>13</v>
      </c>
      <c r="C24">
        <v>9</v>
      </c>
      <c r="D24">
        <v>6</v>
      </c>
      <c r="E24">
        <v>51</v>
      </c>
      <c r="F24">
        <v>4000</v>
      </c>
      <c r="G24">
        <v>5831</v>
      </c>
      <c r="H24">
        <v>0</v>
      </c>
      <c r="J24" t="str">
        <f>VLOOKUP(Table3[[#This Row],[Faction ID]],Table4[],2)</f>
        <v>Goblins</v>
      </c>
    </row>
    <row r="25" spans="1:10" x14ac:dyDescent="0.25">
      <c r="A25">
        <v>1</v>
      </c>
      <c r="B25" t="s">
        <v>17</v>
      </c>
      <c r="C25">
        <v>7</v>
      </c>
      <c r="D25">
        <v>4</v>
      </c>
      <c r="E25">
        <v>34</v>
      </c>
      <c r="F25">
        <v>4000</v>
      </c>
      <c r="G25">
        <v>5373</v>
      </c>
      <c r="H25">
        <v>0</v>
      </c>
      <c r="J25" t="str">
        <f>VLOOKUP(Table3[[#This Row],[Faction ID]],Table4[],2)</f>
        <v>Balchoth</v>
      </c>
    </row>
    <row r="26" spans="1:10" x14ac:dyDescent="0.25">
      <c r="A26">
        <v>1</v>
      </c>
      <c r="B26" t="s">
        <v>18</v>
      </c>
      <c r="C26">
        <v>9</v>
      </c>
      <c r="D26">
        <v>4</v>
      </c>
      <c r="E26">
        <v>32</v>
      </c>
      <c r="F26">
        <v>5000</v>
      </c>
      <c r="G26">
        <v>5754</v>
      </c>
      <c r="H26">
        <v>136</v>
      </c>
      <c r="J26" t="str">
        <f>VLOOKUP(Table3[[#This Row],[Faction ID]],Table4[],2)</f>
        <v>Rhurim/Rhun</v>
      </c>
    </row>
    <row r="27" spans="1:10" x14ac:dyDescent="0.25">
      <c r="A27">
        <v>1</v>
      </c>
      <c r="B27" t="s">
        <v>19</v>
      </c>
      <c r="C27">
        <v>5</v>
      </c>
      <c r="D27">
        <v>4</v>
      </c>
      <c r="E27">
        <v>31</v>
      </c>
      <c r="F27">
        <v>4000</v>
      </c>
      <c r="G27">
        <v>4131</v>
      </c>
      <c r="H27">
        <v>0</v>
      </c>
      <c r="J27" t="str">
        <f>VLOOKUP(Table3[[#This Row],[Faction ID]],Table4[],2)</f>
        <v>Feredrim</v>
      </c>
    </row>
    <row r="28" spans="1:10" x14ac:dyDescent="0.25">
      <c r="A28">
        <v>1</v>
      </c>
      <c r="B28" t="s">
        <v>26</v>
      </c>
      <c r="C28">
        <v>5</v>
      </c>
      <c r="D28">
        <v>3</v>
      </c>
      <c r="E28">
        <v>22</v>
      </c>
      <c r="F28">
        <v>4000</v>
      </c>
      <c r="G28">
        <v>3846</v>
      </c>
      <c r="H28">
        <v>0</v>
      </c>
      <c r="J28" t="str">
        <f>VLOOKUP(Table3[[#This Row],[Faction ID]],Table4[],2)</f>
        <v>Rachrohir (Wainriders)</v>
      </c>
    </row>
    <row r="29" spans="1:10" x14ac:dyDescent="0.25">
      <c r="A29">
        <v>1</v>
      </c>
      <c r="B29" t="s">
        <v>27</v>
      </c>
      <c r="C29">
        <v>5</v>
      </c>
      <c r="D29">
        <v>3</v>
      </c>
      <c r="E29">
        <v>24</v>
      </c>
      <c r="F29">
        <v>4000</v>
      </c>
      <c r="G29">
        <v>4604</v>
      </c>
      <c r="H29">
        <v>0</v>
      </c>
      <c r="J29" t="str">
        <f>VLOOKUP(Table3[[#This Row],[Faction ID]],Table4[],2)</f>
        <v>Blacklock-Stonefoot League</v>
      </c>
    </row>
    <row r="30" spans="1:10" x14ac:dyDescent="0.25">
      <c r="A30">
        <v>1</v>
      </c>
      <c r="B30" t="s">
        <v>28</v>
      </c>
      <c r="C30">
        <v>4</v>
      </c>
      <c r="D30">
        <v>2</v>
      </c>
      <c r="E30">
        <v>17</v>
      </c>
      <c r="F30">
        <v>4000</v>
      </c>
      <c r="G30">
        <v>3398</v>
      </c>
      <c r="H30">
        <v>0</v>
      </c>
      <c r="J30" t="str">
        <f>VLOOKUP(Table3[[#This Row],[Faction ID]],Table4[],2)</f>
        <v>Ironfist-Stiffbeard Union</v>
      </c>
    </row>
    <row r="31" spans="1:10" x14ac:dyDescent="0.25">
      <c r="A31">
        <v>1</v>
      </c>
      <c r="B31" t="s">
        <v>20</v>
      </c>
      <c r="C31">
        <v>8</v>
      </c>
      <c r="D31">
        <v>5</v>
      </c>
      <c r="E31">
        <v>51</v>
      </c>
      <c r="F31">
        <v>5000</v>
      </c>
      <c r="G31">
        <v>6997</v>
      </c>
      <c r="H31">
        <v>0</v>
      </c>
      <c r="J31" t="str">
        <f>VLOOKUP(Table3[[#This Row],[Faction ID]],Table4[],2)</f>
        <v>Gundabad</v>
      </c>
    </row>
    <row r="32" spans="1:10" x14ac:dyDescent="0.25">
      <c r="A32">
        <v>1</v>
      </c>
      <c r="B32" t="s">
        <v>34</v>
      </c>
      <c r="C32">
        <v>0</v>
      </c>
      <c r="D32">
        <v>0</v>
      </c>
      <c r="E32">
        <v>3</v>
      </c>
      <c r="F32">
        <v>4000</v>
      </c>
      <c r="G32">
        <v>2379</v>
      </c>
      <c r="H32">
        <v>0</v>
      </c>
      <c r="J32" t="str">
        <f>VLOOKUP(Table3[[#This Row],[Faction ID]],Table4[],2)</f>
        <v>Scouts of Rohan</v>
      </c>
    </row>
    <row r="33" spans="1:10" x14ac:dyDescent="0.25">
      <c r="A33">
        <v>1</v>
      </c>
      <c r="B33" t="s">
        <v>33</v>
      </c>
      <c r="C33">
        <v>2</v>
      </c>
      <c r="D33">
        <v>1</v>
      </c>
      <c r="E33">
        <v>11</v>
      </c>
      <c r="F33">
        <v>3000</v>
      </c>
      <c r="G33">
        <v>3169</v>
      </c>
      <c r="H33">
        <v>0</v>
      </c>
      <c r="J33" t="str">
        <f>VLOOKUP(Table3[[#This Row],[Faction ID]],Table4[],2)</f>
        <v>Northern Enedwaith</v>
      </c>
    </row>
    <row r="34" spans="1:10" x14ac:dyDescent="0.25">
      <c r="A34">
        <v>1</v>
      </c>
      <c r="B34" t="s">
        <v>29</v>
      </c>
      <c r="C34">
        <v>3</v>
      </c>
      <c r="D34">
        <v>2</v>
      </c>
      <c r="E34">
        <v>16</v>
      </c>
      <c r="F34">
        <v>3000</v>
      </c>
      <c r="G34">
        <v>3200</v>
      </c>
      <c r="H34">
        <v>0</v>
      </c>
      <c r="J34" t="str">
        <f>VLOOKUP(Table3[[#This Row],[Faction ID]],Table4[],2)</f>
        <v>Southern Enedwaith</v>
      </c>
    </row>
    <row r="35" spans="1:10" x14ac:dyDescent="0.25">
      <c r="A35">
        <v>1</v>
      </c>
      <c r="B35" t="s">
        <v>30</v>
      </c>
      <c r="C35">
        <v>4</v>
      </c>
      <c r="D35">
        <v>2</v>
      </c>
      <c r="E35">
        <v>21</v>
      </c>
      <c r="F35">
        <v>4000</v>
      </c>
      <c r="G35">
        <v>3590</v>
      </c>
      <c r="H35">
        <v>0</v>
      </c>
      <c r="J35" t="str">
        <f>VLOOKUP(Table3[[#This Row],[Faction ID]],Table4[],2)</f>
        <v>Druedain</v>
      </c>
    </row>
    <row r="36" spans="1:10" x14ac:dyDescent="0.25">
      <c r="A36">
        <v>1</v>
      </c>
      <c r="B36" t="s">
        <v>31</v>
      </c>
      <c r="C36">
        <v>4</v>
      </c>
      <c r="D36">
        <v>2</v>
      </c>
      <c r="E36">
        <v>18</v>
      </c>
      <c r="F36">
        <v>4000</v>
      </c>
      <c r="G36">
        <v>3562</v>
      </c>
      <c r="H36">
        <v>131</v>
      </c>
      <c r="J36" t="str">
        <f>VLOOKUP(Table3[[#This Row],[Faction ID]],Table4[],2)</f>
        <v>Harondor</v>
      </c>
    </row>
    <row r="37" spans="1:10" x14ac:dyDescent="0.25">
      <c r="A37">
        <v>1</v>
      </c>
      <c r="B37" t="s">
        <v>35</v>
      </c>
      <c r="C37">
        <v>0</v>
      </c>
      <c r="D37">
        <v>0</v>
      </c>
      <c r="E37">
        <v>0</v>
      </c>
      <c r="F37">
        <v>4000</v>
      </c>
      <c r="G37">
        <v>1750</v>
      </c>
      <c r="H37">
        <v>0</v>
      </c>
      <c r="J37" t="str">
        <f>VLOOKUP(Table3[[#This Row],[Faction ID]],Table4[],2)</f>
        <v>Southron Nomads</v>
      </c>
    </row>
    <row r="38" spans="1:10" x14ac:dyDescent="0.25">
      <c r="A38">
        <v>1</v>
      </c>
      <c r="B38" t="s">
        <v>36</v>
      </c>
      <c r="C38">
        <v>0</v>
      </c>
      <c r="D38">
        <v>0</v>
      </c>
      <c r="E38">
        <v>0</v>
      </c>
      <c r="F38">
        <v>4000</v>
      </c>
      <c r="G38">
        <v>1750</v>
      </c>
      <c r="H38">
        <v>0</v>
      </c>
      <c r="J38" t="str">
        <f>VLOOKUP(Table3[[#This Row],[Faction ID]],Table4[],2)</f>
        <v>_</v>
      </c>
    </row>
    <row r="39" spans="1:10" x14ac:dyDescent="0.25">
      <c r="A39">
        <v>1</v>
      </c>
      <c r="B39" t="s">
        <v>37</v>
      </c>
      <c r="C39">
        <v>0</v>
      </c>
      <c r="D39">
        <v>0</v>
      </c>
      <c r="E39">
        <v>0</v>
      </c>
      <c r="F39">
        <v>4000</v>
      </c>
      <c r="G39">
        <v>1750</v>
      </c>
      <c r="H39">
        <v>0</v>
      </c>
      <c r="J39" t="str">
        <f>VLOOKUP(Table3[[#This Row],[Faction ID]],Table4[],2)</f>
        <v>_</v>
      </c>
    </row>
    <row r="40" spans="1:10" x14ac:dyDescent="0.25">
      <c r="A40">
        <v>1</v>
      </c>
      <c r="B40" t="s">
        <v>38</v>
      </c>
      <c r="C40">
        <v>0</v>
      </c>
      <c r="D40">
        <v>0</v>
      </c>
      <c r="E40">
        <v>0</v>
      </c>
      <c r="F40">
        <v>4000</v>
      </c>
      <c r="G40">
        <v>1750</v>
      </c>
      <c r="H40">
        <v>0</v>
      </c>
      <c r="J40" t="str">
        <f>VLOOKUP(Table3[[#This Row],[Faction ID]],Table4[],2)</f>
        <v>_</v>
      </c>
    </row>
    <row r="41" spans="1:10" x14ac:dyDescent="0.25">
      <c r="A41">
        <v>1</v>
      </c>
      <c r="B41" t="s">
        <v>39</v>
      </c>
      <c r="C41">
        <v>0</v>
      </c>
      <c r="D41">
        <v>0</v>
      </c>
      <c r="E41">
        <v>0</v>
      </c>
      <c r="F41">
        <v>4000</v>
      </c>
      <c r="G41">
        <v>1750</v>
      </c>
      <c r="H41">
        <v>0</v>
      </c>
      <c r="J41" t="str">
        <f>VLOOKUP(Table3[[#This Row],[Faction ID]],Table4[],2)</f>
        <v>_</v>
      </c>
    </row>
    <row r="42" spans="1:10" x14ac:dyDescent="0.25">
      <c r="A42">
        <v>1</v>
      </c>
      <c r="B42" t="s">
        <v>40</v>
      </c>
      <c r="C42">
        <v>0</v>
      </c>
      <c r="D42">
        <v>0</v>
      </c>
      <c r="E42">
        <v>0</v>
      </c>
      <c r="F42">
        <v>4000</v>
      </c>
      <c r="G42">
        <v>1750</v>
      </c>
      <c r="H42">
        <v>0</v>
      </c>
      <c r="J42" t="str">
        <f>VLOOKUP(Table3[[#This Row],[Faction ID]],Table4[],2)</f>
        <v>_</v>
      </c>
    </row>
    <row r="43" spans="1:10" x14ac:dyDescent="0.25">
      <c r="A43">
        <v>1</v>
      </c>
      <c r="B43" t="s">
        <v>41</v>
      </c>
      <c r="C43">
        <v>0</v>
      </c>
      <c r="D43">
        <v>0</v>
      </c>
      <c r="E43">
        <v>0</v>
      </c>
      <c r="F43">
        <v>4000</v>
      </c>
      <c r="G43">
        <v>1750</v>
      </c>
      <c r="H43">
        <v>0</v>
      </c>
      <c r="J43" t="str">
        <f>VLOOKUP(Table3[[#This Row],[Faction ID]],Table4[],2)</f>
        <v>_</v>
      </c>
    </row>
    <row r="44" spans="1:10" x14ac:dyDescent="0.25">
      <c r="A44">
        <v>1</v>
      </c>
      <c r="B44" t="s">
        <v>42</v>
      </c>
      <c r="C44">
        <v>0</v>
      </c>
      <c r="D44">
        <v>0</v>
      </c>
      <c r="E44">
        <v>0</v>
      </c>
      <c r="F44">
        <v>4000</v>
      </c>
      <c r="G44">
        <v>1750</v>
      </c>
      <c r="H44">
        <v>0</v>
      </c>
      <c r="J44" t="str">
        <f>VLOOKUP(Table3[[#This Row],[Faction ID]],Table4[],2)</f>
        <v>_</v>
      </c>
    </row>
    <row r="45" spans="1:10" x14ac:dyDescent="0.25">
      <c r="A45">
        <v>1</v>
      </c>
      <c r="B45" t="s">
        <v>43</v>
      </c>
      <c r="C45">
        <v>0</v>
      </c>
      <c r="D45">
        <v>0</v>
      </c>
      <c r="E45">
        <v>0</v>
      </c>
      <c r="F45">
        <v>4000</v>
      </c>
      <c r="G45">
        <v>1750</v>
      </c>
      <c r="H45">
        <v>0</v>
      </c>
      <c r="J45" t="str">
        <f>VLOOKUP(Table3[[#This Row],[Faction ID]],Table4[],2)</f>
        <v>_</v>
      </c>
    </row>
    <row r="46" spans="1:10" x14ac:dyDescent="0.25">
      <c r="A46">
        <v>1</v>
      </c>
      <c r="B46" t="s">
        <v>44</v>
      </c>
      <c r="C46">
        <v>0</v>
      </c>
      <c r="D46">
        <v>0</v>
      </c>
      <c r="E46">
        <v>0</v>
      </c>
      <c r="F46">
        <v>4000</v>
      </c>
      <c r="G46">
        <v>1750</v>
      </c>
      <c r="H46">
        <v>0</v>
      </c>
      <c r="J46" t="str">
        <f>VLOOKUP(Table3[[#This Row],[Faction ID]],Table4[],2)</f>
        <v>_</v>
      </c>
    </row>
    <row r="47" spans="1:10" x14ac:dyDescent="0.25">
      <c r="A47">
        <v>2</v>
      </c>
      <c r="B47" t="s">
        <v>9</v>
      </c>
      <c r="C47">
        <v>22</v>
      </c>
      <c r="D47">
        <v>11</v>
      </c>
      <c r="E47">
        <v>100</v>
      </c>
      <c r="F47">
        <v>1096</v>
      </c>
      <c r="G47">
        <v>9170</v>
      </c>
      <c r="H47">
        <v>409</v>
      </c>
      <c r="J47" t="str">
        <f>VLOOKUP(Table3[[#This Row],[Faction ID]],Table4[],2)</f>
        <v>Mordor</v>
      </c>
    </row>
    <row r="48" spans="1:10" x14ac:dyDescent="0.25">
      <c r="A48">
        <v>2</v>
      </c>
      <c r="B48" t="s">
        <v>4</v>
      </c>
      <c r="C48">
        <v>26</v>
      </c>
      <c r="D48">
        <v>19</v>
      </c>
      <c r="E48">
        <v>171</v>
      </c>
      <c r="F48">
        <v>12888</v>
      </c>
      <c r="G48">
        <v>14397</v>
      </c>
      <c r="H48">
        <v>0</v>
      </c>
      <c r="J48" t="str">
        <f>VLOOKUP(Table3[[#This Row],[Faction ID]],Table4[],2)</f>
        <v>Gondor</v>
      </c>
    </row>
    <row r="49" spans="1:10" x14ac:dyDescent="0.25">
      <c r="A49">
        <v>2</v>
      </c>
      <c r="B49" t="s">
        <v>6</v>
      </c>
      <c r="C49">
        <v>17</v>
      </c>
      <c r="D49">
        <v>12</v>
      </c>
      <c r="E49">
        <v>85</v>
      </c>
      <c r="F49">
        <v>11868</v>
      </c>
      <c r="G49">
        <v>8012</v>
      </c>
      <c r="H49">
        <v>0</v>
      </c>
      <c r="J49" t="str">
        <f>VLOOKUP(Table3[[#This Row],[Faction ID]],Table4[],2)</f>
        <v>Dale</v>
      </c>
    </row>
    <row r="50" spans="1:10" x14ac:dyDescent="0.25">
      <c r="A50">
        <v>2</v>
      </c>
      <c r="B50" t="s">
        <v>21</v>
      </c>
      <c r="C50">
        <v>5</v>
      </c>
      <c r="D50">
        <v>3</v>
      </c>
      <c r="E50">
        <v>33</v>
      </c>
      <c r="F50">
        <v>8055</v>
      </c>
      <c r="G50">
        <v>7343</v>
      </c>
      <c r="H50">
        <v>0</v>
      </c>
      <c r="J50" t="str">
        <f>VLOOKUP(Table3[[#This Row],[Faction ID]],Table4[],2)</f>
        <v>Erebor</v>
      </c>
    </row>
    <row r="51" spans="1:10" x14ac:dyDescent="0.25">
      <c r="A51">
        <v>2</v>
      </c>
      <c r="B51" t="s">
        <v>5</v>
      </c>
      <c r="C51">
        <v>19</v>
      </c>
      <c r="D51">
        <v>14</v>
      </c>
      <c r="E51">
        <v>100</v>
      </c>
      <c r="F51">
        <v>9056</v>
      </c>
      <c r="G51">
        <v>6456</v>
      </c>
      <c r="H51">
        <v>0</v>
      </c>
      <c r="J51" t="str">
        <f>VLOOKUP(Table3[[#This Row],[Faction ID]],Table4[],2)</f>
        <v>Rohan</v>
      </c>
    </row>
    <row r="52" spans="1:10" x14ac:dyDescent="0.25">
      <c r="A52">
        <v>2</v>
      </c>
      <c r="B52" t="s">
        <v>12</v>
      </c>
      <c r="C52">
        <v>9</v>
      </c>
      <c r="D52">
        <v>6</v>
      </c>
      <c r="E52">
        <v>48</v>
      </c>
      <c r="F52">
        <v>7026</v>
      </c>
      <c r="G52">
        <v>6938</v>
      </c>
      <c r="H52">
        <v>0</v>
      </c>
      <c r="J52" t="str">
        <f>VLOOKUP(Table3[[#This Row],[Faction ID]],Table4[],2)</f>
        <v>Dol Guldur</v>
      </c>
    </row>
    <row r="53" spans="1:10" x14ac:dyDescent="0.25">
      <c r="A53">
        <v>2</v>
      </c>
      <c r="B53" t="s">
        <v>10</v>
      </c>
      <c r="C53">
        <v>14</v>
      </c>
      <c r="D53">
        <v>9</v>
      </c>
      <c r="E53">
        <v>73</v>
      </c>
      <c r="F53">
        <v>5743</v>
      </c>
      <c r="G53">
        <v>8203</v>
      </c>
      <c r="H53">
        <v>0</v>
      </c>
      <c r="J53" t="str">
        <f>VLOOKUP(Table3[[#This Row],[Faction ID]],Table4[],2)</f>
        <v>Anduin Vale</v>
      </c>
    </row>
    <row r="54" spans="1:10" x14ac:dyDescent="0.25">
      <c r="A54">
        <v>2</v>
      </c>
      <c r="B54" t="s">
        <v>32</v>
      </c>
      <c r="C54">
        <v>3</v>
      </c>
      <c r="D54">
        <v>1</v>
      </c>
      <c r="E54">
        <v>19</v>
      </c>
      <c r="F54">
        <v>6083</v>
      </c>
      <c r="G54">
        <v>4077</v>
      </c>
      <c r="H54">
        <v>0</v>
      </c>
      <c r="J54" t="str">
        <f>VLOOKUP(Table3[[#This Row],[Faction ID]],Table4[],2)</f>
        <v>Isengard</v>
      </c>
    </row>
    <row r="55" spans="1:10" x14ac:dyDescent="0.25">
      <c r="A55">
        <v>2</v>
      </c>
      <c r="B55" t="s">
        <v>22</v>
      </c>
      <c r="C55">
        <v>5</v>
      </c>
      <c r="D55">
        <v>3</v>
      </c>
      <c r="E55">
        <v>29</v>
      </c>
      <c r="F55">
        <v>4928</v>
      </c>
      <c r="G55">
        <v>6356</v>
      </c>
      <c r="H55">
        <v>0</v>
      </c>
      <c r="J55" t="str">
        <f>VLOOKUP(Table3[[#This Row],[Faction ID]],Table4[],2)</f>
        <v>Woodland Realm</v>
      </c>
    </row>
    <row r="56" spans="1:10" x14ac:dyDescent="0.25">
      <c r="A56">
        <v>2</v>
      </c>
      <c r="B56" t="s">
        <v>23</v>
      </c>
      <c r="C56">
        <v>5</v>
      </c>
      <c r="D56">
        <v>3</v>
      </c>
      <c r="E56">
        <v>24</v>
      </c>
      <c r="F56">
        <v>4864</v>
      </c>
      <c r="G56">
        <v>5489</v>
      </c>
      <c r="H56">
        <v>0</v>
      </c>
      <c r="J56" t="str">
        <f>VLOOKUP(Table3[[#This Row],[Faction ID]],Table4[],2)</f>
        <v>Lothlorien</v>
      </c>
    </row>
    <row r="57" spans="1:10" x14ac:dyDescent="0.25">
      <c r="A57">
        <v>2</v>
      </c>
      <c r="B57" t="s">
        <v>24</v>
      </c>
      <c r="C57">
        <v>5</v>
      </c>
      <c r="D57">
        <v>3</v>
      </c>
      <c r="E57">
        <v>23</v>
      </c>
      <c r="F57">
        <v>4919</v>
      </c>
      <c r="G57">
        <v>4187</v>
      </c>
      <c r="H57">
        <v>136</v>
      </c>
      <c r="J57" t="str">
        <f>VLOOKUP(Table3[[#This Row],[Faction ID]],Table4[],2)</f>
        <v>Variags (Khand)</v>
      </c>
    </row>
    <row r="58" spans="1:10" x14ac:dyDescent="0.25">
      <c r="A58">
        <v>2</v>
      </c>
      <c r="B58" t="s">
        <v>14</v>
      </c>
      <c r="C58">
        <v>7</v>
      </c>
      <c r="D58">
        <v>5</v>
      </c>
      <c r="E58">
        <v>36</v>
      </c>
      <c r="F58">
        <v>6896</v>
      </c>
      <c r="G58">
        <v>6520</v>
      </c>
      <c r="H58">
        <v>0</v>
      </c>
      <c r="J58" t="str">
        <f>VLOOKUP(Table3[[#This Row],[Faction ID]],Table4[],2)</f>
        <v>Corsairs of Umbar</v>
      </c>
    </row>
    <row r="59" spans="1:10" x14ac:dyDescent="0.25">
      <c r="A59">
        <v>2</v>
      </c>
      <c r="B59" t="s">
        <v>25</v>
      </c>
      <c r="C59">
        <v>5</v>
      </c>
      <c r="D59">
        <v>3</v>
      </c>
      <c r="E59">
        <v>26</v>
      </c>
      <c r="F59">
        <v>3378</v>
      </c>
      <c r="G59">
        <v>4177</v>
      </c>
      <c r="H59">
        <v>0</v>
      </c>
      <c r="J59" t="str">
        <f>VLOOKUP(Table3[[#This Row],[Faction ID]],Table4[],2)</f>
        <v>Mahud</v>
      </c>
    </row>
    <row r="60" spans="1:10" x14ac:dyDescent="0.25">
      <c r="A60">
        <v>2</v>
      </c>
      <c r="B60" t="s">
        <v>11</v>
      </c>
      <c r="C60">
        <v>9</v>
      </c>
      <c r="D60">
        <v>6</v>
      </c>
      <c r="E60">
        <v>40</v>
      </c>
      <c r="F60">
        <v>8565</v>
      </c>
      <c r="G60">
        <v>5362</v>
      </c>
      <c r="H60">
        <v>0</v>
      </c>
      <c r="J60" t="str">
        <f>VLOOKUP(Table3[[#This Row],[Faction ID]],Table4[],2)</f>
        <v>Haradrim</v>
      </c>
    </row>
    <row r="61" spans="1:10" x14ac:dyDescent="0.25">
      <c r="A61">
        <v>2</v>
      </c>
      <c r="B61" t="s">
        <v>15</v>
      </c>
      <c r="C61">
        <v>7</v>
      </c>
      <c r="D61">
        <v>4</v>
      </c>
      <c r="E61">
        <v>39</v>
      </c>
      <c r="F61">
        <v>6945</v>
      </c>
      <c r="G61">
        <v>7124</v>
      </c>
      <c r="H61">
        <v>0</v>
      </c>
      <c r="J61" t="str">
        <f>VLOOKUP(Table3[[#This Row],[Faction ID]],Table4[],2)</f>
        <v>Dunlendings</v>
      </c>
    </row>
    <row r="62" spans="1:10" x14ac:dyDescent="0.25">
      <c r="A62">
        <v>2</v>
      </c>
      <c r="B62" t="s">
        <v>16</v>
      </c>
      <c r="C62">
        <v>7</v>
      </c>
      <c r="D62">
        <v>4</v>
      </c>
      <c r="E62">
        <v>35</v>
      </c>
      <c r="F62">
        <v>6352</v>
      </c>
      <c r="G62">
        <v>5054</v>
      </c>
      <c r="H62">
        <v>0</v>
      </c>
      <c r="J62" t="str">
        <f>VLOOKUP(Table3[[#This Row],[Faction ID]],Table4[],2)</f>
        <v>Haerrim</v>
      </c>
    </row>
    <row r="63" spans="1:10" x14ac:dyDescent="0.25">
      <c r="A63">
        <v>2</v>
      </c>
      <c r="B63" t="s">
        <v>13</v>
      </c>
      <c r="C63">
        <v>9</v>
      </c>
      <c r="D63">
        <v>6</v>
      </c>
      <c r="E63">
        <v>52</v>
      </c>
      <c r="F63">
        <v>5038</v>
      </c>
      <c r="G63">
        <v>6048</v>
      </c>
      <c r="H63">
        <v>0</v>
      </c>
      <c r="J63" t="str">
        <f>VLOOKUP(Table3[[#This Row],[Faction ID]],Table4[],2)</f>
        <v>Goblins</v>
      </c>
    </row>
    <row r="64" spans="1:10" x14ac:dyDescent="0.25">
      <c r="A64">
        <v>2</v>
      </c>
      <c r="B64" t="s">
        <v>17</v>
      </c>
      <c r="C64">
        <v>7</v>
      </c>
      <c r="D64">
        <v>4</v>
      </c>
      <c r="E64">
        <v>29</v>
      </c>
      <c r="F64">
        <v>5988</v>
      </c>
      <c r="G64">
        <v>4628</v>
      </c>
      <c r="H64">
        <v>0</v>
      </c>
      <c r="J64" t="str">
        <f>VLOOKUP(Table3[[#This Row],[Faction ID]],Table4[],2)</f>
        <v>Balchoth</v>
      </c>
    </row>
    <row r="65" spans="1:10" x14ac:dyDescent="0.25">
      <c r="A65">
        <v>2</v>
      </c>
      <c r="B65" t="s">
        <v>18</v>
      </c>
      <c r="C65">
        <v>9</v>
      </c>
      <c r="D65">
        <v>4</v>
      </c>
      <c r="E65">
        <v>34</v>
      </c>
      <c r="F65">
        <v>5833</v>
      </c>
      <c r="G65">
        <v>5772</v>
      </c>
      <c r="H65">
        <v>139</v>
      </c>
      <c r="J65" t="str">
        <f>VLOOKUP(Table3[[#This Row],[Faction ID]],Table4[],2)</f>
        <v>Rhurim/Rhun</v>
      </c>
    </row>
    <row r="66" spans="1:10" x14ac:dyDescent="0.25">
      <c r="A66">
        <v>2</v>
      </c>
      <c r="B66" t="s">
        <v>19</v>
      </c>
      <c r="C66">
        <v>5</v>
      </c>
      <c r="D66">
        <v>4</v>
      </c>
      <c r="E66">
        <v>32</v>
      </c>
      <c r="F66">
        <v>3596</v>
      </c>
      <c r="G66">
        <v>4485</v>
      </c>
      <c r="H66">
        <v>0</v>
      </c>
      <c r="J66" t="str">
        <f>VLOOKUP(Table3[[#This Row],[Faction ID]],Table4[],2)</f>
        <v>Feredrim</v>
      </c>
    </row>
    <row r="67" spans="1:10" x14ac:dyDescent="0.25">
      <c r="A67">
        <v>2</v>
      </c>
      <c r="B67" t="s">
        <v>26</v>
      </c>
      <c r="C67">
        <v>5</v>
      </c>
      <c r="D67">
        <v>3</v>
      </c>
      <c r="E67">
        <v>22</v>
      </c>
      <c r="F67">
        <v>4750</v>
      </c>
      <c r="G67">
        <v>4265</v>
      </c>
      <c r="H67">
        <v>0</v>
      </c>
      <c r="J67" t="str">
        <f>VLOOKUP(Table3[[#This Row],[Faction ID]],Table4[],2)</f>
        <v>Rachrohir (Wainriders)</v>
      </c>
    </row>
    <row r="68" spans="1:10" x14ac:dyDescent="0.25">
      <c r="A68">
        <v>2</v>
      </c>
      <c r="B68" t="s">
        <v>27</v>
      </c>
      <c r="C68">
        <v>5</v>
      </c>
      <c r="D68">
        <v>3</v>
      </c>
      <c r="E68">
        <v>24</v>
      </c>
      <c r="F68">
        <v>5836</v>
      </c>
      <c r="G68">
        <v>4604</v>
      </c>
      <c r="H68">
        <v>0</v>
      </c>
      <c r="J68" t="str">
        <f>VLOOKUP(Table3[[#This Row],[Faction ID]],Table4[],2)</f>
        <v>Blacklock-Stonefoot League</v>
      </c>
    </row>
    <row r="69" spans="1:10" x14ac:dyDescent="0.25">
      <c r="A69">
        <v>2</v>
      </c>
      <c r="B69" t="s">
        <v>28</v>
      </c>
      <c r="C69">
        <v>4</v>
      </c>
      <c r="D69">
        <v>2</v>
      </c>
      <c r="E69">
        <v>17</v>
      </c>
      <c r="F69">
        <v>5315</v>
      </c>
      <c r="G69">
        <v>3398</v>
      </c>
      <c r="H69">
        <v>0</v>
      </c>
      <c r="J69" t="str">
        <f>VLOOKUP(Table3[[#This Row],[Faction ID]],Table4[],2)</f>
        <v>Ironfist-Stiffbeard Union</v>
      </c>
    </row>
    <row r="70" spans="1:10" x14ac:dyDescent="0.25">
      <c r="A70">
        <v>2</v>
      </c>
      <c r="B70" t="s">
        <v>20</v>
      </c>
      <c r="C70">
        <v>8</v>
      </c>
      <c r="D70">
        <v>5</v>
      </c>
      <c r="E70">
        <v>43</v>
      </c>
      <c r="F70">
        <v>8312</v>
      </c>
      <c r="G70">
        <v>6100</v>
      </c>
      <c r="H70">
        <v>0</v>
      </c>
      <c r="J70" t="str">
        <f>VLOOKUP(Table3[[#This Row],[Faction ID]],Table4[],2)</f>
        <v>Gundabad</v>
      </c>
    </row>
    <row r="71" spans="1:10" x14ac:dyDescent="0.25">
      <c r="A71">
        <v>2</v>
      </c>
      <c r="B71" t="s">
        <v>34</v>
      </c>
      <c r="C71">
        <v>0</v>
      </c>
      <c r="D71">
        <v>0</v>
      </c>
      <c r="E71">
        <v>3</v>
      </c>
      <c r="F71">
        <v>5121</v>
      </c>
      <c r="G71">
        <v>2379</v>
      </c>
      <c r="H71">
        <v>0</v>
      </c>
      <c r="J71" t="str">
        <f>VLOOKUP(Table3[[#This Row],[Faction ID]],Table4[],2)</f>
        <v>Scouts of Rohan</v>
      </c>
    </row>
    <row r="72" spans="1:10" x14ac:dyDescent="0.25">
      <c r="A72">
        <v>2</v>
      </c>
      <c r="B72" t="s">
        <v>33</v>
      </c>
      <c r="C72">
        <v>2</v>
      </c>
      <c r="D72">
        <v>1</v>
      </c>
      <c r="E72">
        <v>11</v>
      </c>
      <c r="F72">
        <v>4015</v>
      </c>
      <c r="G72">
        <v>3261</v>
      </c>
      <c r="H72">
        <v>0</v>
      </c>
      <c r="J72" t="str">
        <f>VLOOKUP(Table3[[#This Row],[Faction ID]],Table4[],2)</f>
        <v>Northern Enedwaith</v>
      </c>
    </row>
    <row r="73" spans="1:10" x14ac:dyDescent="0.25">
      <c r="A73">
        <v>2</v>
      </c>
      <c r="B73" t="s">
        <v>29</v>
      </c>
      <c r="C73">
        <v>3</v>
      </c>
      <c r="D73">
        <v>2</v>
      </c>
      <c r="E73">
        <v>16</v>
      </c>
      <c r="F73">
        <v>3002</v>
      </c>
      <c r="G73">
        <v>3370</v>
      </c>
      <c r="H73">
        <v>0</v>
      </c>
      <c r="J73" t="str">
        <f>VLOOKUP(Table3[[#This Row],[Faction ID]],Table4[],2)</f>
        <v>Southern Enedwaith</v>
      </c>
    </row>
    <row r="74" spans="1:10" x14ac:dyDescent="0.25">
      <c r="A74">
        <v>2</v>
      </c>
      <c r="B74" t="s">
        <v>30</v>
      </c>
      <c r="C74">
        <v>4</v>
      </c>
      <c r="D74">
        <v>2</v>
      </c>
      <c r="E74">
        <v>21</v>
      </c>
      <c r="F74">
        <v>4050</v>
      </c>
      <c r="G74">
        <v>3925</v>
      </c>
      <c r="H74">
        <v>0</v>
      </c>
      <c r="J74" t="str">
        <f>VLOOKUP(Table3[[#This Row],[Faction ID]],Table4[],2)</f>
        <v>Druedain</v>
      </c>
    </row>
    <row r="75" spans="1:10" x14ac:dyDescent="0.25">
      <c r="A75">
        <v>2</v>
      </c>
      <c r="B75" t="s">
        <v>31</v>
      </c>
      <c r="C75">
        <v>4</v>
      </c>
      <c r="D75">
        <v>2</v>
      </c>
      <c r="E75">
        <v>21</v>
      </c>
      <c r="F75">
        <v>2976</v>
      </c>
      <c r="G75">
        <v>4179</v>
      </c>
      <c r="H75">
        <v>134</v>
      </c>
      <c r="J75" t="str">
        <f>VLOOKUP(Table3[[#This Row],[Faction ID]],Table4[],2)</f>
        <v>Harondor</v>
      </c>
    </row>
    <row r="76" spans="1:10" x14ac:dyDescent="0.25">
      <c r="A76">
        <v>2</v>
      </c>
      <c r="B76" t="s">
        <v>35</v>
      </c>
      <c r="C76">
        <v>0</v>
      </c>
      <c r="D76">
        <v>0</v>
      </c>
      <c r="E76">
        <v>0</v>
      </c>
      <c r="F76">
        <v>4000</v>
      </c>
      <c r="G76">
        <v>1750</v>
      </c>
      <c r="H76">
        <v>0</v>
      </c>
      <c r="J76" t="str">
        <f>VLOOKUP(Table3[[#This Row],[Faction ID]],Table4[],2)</f>
        <v>Southron Nomads</v>
      </c>
    </row>
    <row r="77" spans="1:10" x14ac:dyDescent="0.25">
      <c r="A77">
        <v>2</v>
      </c>
      <c r="B77" t="s">
        <v>36</v>
      </c>
      <c r="C77">
        <v>0</v>
      </c>
      <c r="D77">
        <v>0</v>
      </c>
      <c r="E77">
        <v>0</v>
      </c>
      <c r="F77">
        <v>4000</v>
      </c>
      <c r="G77">
        <v>1750</v>
      </c>
      <c r="H77">
        <v>0</v>
      </c>
      <c r="J77" t="str">
        <f>VLOOKUP(Table3[[#This Row],[Faction ID]],Table4[],2)</f>
        <v>_</v>
      </c>
    </row>
    <row r="78" spans="1:10" x14ac:dyDescent="0.25">
      <c r="A78">
        <v>2</v>
      </c>
      <c r="B78" t="s">
        <v>37</v>
      </c>
      <c r="C78">
        <v>0</v>
      </c>
      <c r="D78">
        <v>0</v>
      </c>
      <c r="E78">
        <v>0</v>
      </c>
      <c r="F78">
        <v>4000</v>
      </c>
      <c r="G78">
        <v>1750</v>
      </c>
      <c r="H78">
        <v>0</v>
      </c>
      <c r="J78" t="str">
        <f>VLOOKUP(Table3[[#This Row],[Faction ID]],Table4[],2)</f>
        <v>_</v>
      </c>
    </row>
    <row r="79" spans="1:10" x14ac:dyDescent="0.25">
      <c r="A79">
        <v>2</v>
      </c>
      <c r="B79" t="s">
        <v>38</v>
      </c>
      <c r="C79">
        <v>0</v>
      </c>
      <c r="D79">
        <v>0</v>
      </c>
      <c r="E79">
        <v>0</v>
      </c>
      <c r="F79">
        <v>4000</v>
      </c>
      <c r="G79">
        <v>1750</v>
      </c>
      <c r="H79">
        <v>0</v>
      </c>
      <c r="J79" t="str">
        <f>VLOOKUP(Table3[[#This Row],[Faction ID]],Table4[],2)</f>
        <v>_</v>
      </c>
    </row>
    <row r="80" spans="1:10" x14ac:dyDescent="0.25">
      <c r="A80">
        <v>2</v>
      </c>
      <c r="B80" t="s">
        <v>39</v>
      </c>
      <c r="C80">
        <v>0</v>
      </c>
      <c r="D80">
        <v>0</v>
      </c>
      <c r="E80">
        <v>0</v>
      </c>
      <c r="F80">
        <v>4000</v>
      </c>
      <c r="G80">
        <v>1750</v>
      </c>
      <c r="H80">
        <v>0</v>
      </c>
      <c r="J80" t="str">
        <f>VLOOKUP(Table3[[#This Row],[Faction ID]],Table4[],2)</f>
        <v>_</v>
      </c>
    </row>
    <row r="81" spans="1:10" x14ac:dyDescent="0.25">
      <c r="A81">
        <v>2</v>
      </c>
      <c r="B81" t="s">
        <v>40</v>
      </c>
      <c r="C81">
        <v>0</v>
      </c>
      <c r="D81">
        <v>0</v>
      </c>
      <c r="E81">
        <v>0</v>
      </c>
      <c r="F81">
        <v>4000</v>
      </c>
      <c r="G81">
        <v>1750</v>
      </c>
      <c r="H81">
        <v>0</v>
      </c>
      <c r="J81" t="str">
        <f>VLOOKUP(Table3[[#This Row],[Faction ID]],Table4[],2)</f>
        <v>_</v>
      </c>
    </row>
    <row r="82" spans="1:10" x14ac:dyDescent="0.25">
      <c r="A82">
        <v>2</v>
      </c>
      <c r="B82" t="s">
        <v>41</v>
      </c>
      <c r="C82">
        <v>0</v>
      </c>
      <c r="D82">
        <v>0</v>
      </c>
      <c r="E82">
        <v>0</v>
      </c>
      <c r="F82">
        <v>4000</v>
      </c>
      <c r="G82">
        <v>1750</v>
      </c>
      <c r="H82">
        <v>0</v>
      </c>
      <c r="J82" t="str">
        <f>VLOOKUP(Table3[[#This Row],[Faction ID]],Table4[],2)</f>
        <v>_</v>
      </c>
    </row>
    <row r="83" spans="1:10" x14ac:dyDescent="0.25">
      <c r="A83">
        <v>2</v>
      </c>
      <c r="B83" t="s">
        <v>42</v>
      </c>
      <c r="C83">
        <v>0</v>
      </c>
      <c r="D83">
        <v>0</v>
      </c>
      <c r="E83">
        <v>0</v>
      </c>
      <c r="F83">
        <v>4000</v>
      </c>
      <c r="G83">
        <v>1750</v>
      </c>
      <c r="H83">
        <v>0</v>
      </c>
      <c r="J83" t="str">
        <f>VLOOKUP(Table3[[#This Row],[Faction ID]],Table4[],2)</f>
        <v>_</v>
      </c>
    </row>
    <row r="84" spans="1:10" x14ac:dyDescent="0.25">
      <c r="A84">
        <v>2</v>
      </c>
      <c r="B84" t="s">
        <v>43</v>
      </c>
      <c r="C84">
        <v>0</v>
      </c>
      <c r="D84">
        <v>0</v>
      </c>
      <c r="E84">
        <v>0</v>
      </c>
      <c r="F84">
        <v>4000</v>
      </c>
      <c r="G84">
        <v>1750</v>
      </c>
      <c r="H84">
        <v>0</v>
      </c>
      <c r="J84" t="str">
        <f>VLOOKUP(Table3[[#This Row],[Faction ID]],Table4[],2)</f>
        <v>_</v>
      </c>
    </row>
    <row r="85" spans="1:10" x14ac:dyDescent="0.25">
      <c r="A85">
        <v>2</v>
      </c>
      <c r="B85" t="s">
        <v>44</v>
      </c>
      <c r="C85">
        <v>0</v>
      </c>
      <c r="D85">
        <v>0</v>
      </c>
      <c r="E85">
        <v>0</v>
      </c>
      <c r="F85">
        <v>4000</v>
      </c>
      <c r="G85">
        <v>1750</v>
      </c>
      <c r="H85">
        <v>0</v>
      </c>
      <c r="J85" t="str">
        <f>VLOOKUP(Table3[[#This Row],[Faction ID]],Table4[],2)</f>
        <v>_</v>
      </c>
    </row>
    <row r="86" spans="1:10" x14ac:dyDescent="0.25">
      <c r="A86">
        <v>3</v>
      </c>
      <c r="B86" t="s">
        <v>9</v>
      </c>
      <c r="C86">
        <v>22</v>
      </c>
      <c r="D86">
        <v>11</v>
      </c>
      <c r="E86">
        <v>106</v>
      </c>
      <c r="F86">
        <v>3129</v>
      </c>
      <c r="G86">
        <v>9873</v>
      </c>
      <c r="H86">
        <v>549</v>
      </c>
      <c r="J86" t="str">
        <f>VLOOKUP(Table3[[#This Row],[Faction ID]],Table4[],2)</f>
        <v>Mordor</v>
      </c>
    </row>
    <row r="87" spans="1:10" x14ac:dyDescent="0.25">
      <c r="A87">
        <v>3</v>
      </c>
      <c r="B87" t="s">
        <v>4</v>
      </c>
      <c r="C87">
        <v>26</v>
      </c>
      <c r="D87">
        <v>19</v>
      </c>
      <c r="E87">
        <v>174</v>
      </c>
      <c r="F87">
        <v>18480</v>
      </c>
      <c r="G87">
        <v>15109</v>
      </c>
      <c r="H87">
        <v>450</v>
      </c>
      <c r="J87" t="str">
        <f>VLOOKUP(Table3[[#This Row],[Faction ID]],Table4[],2)</f>
        <v>Gondor</v>
      </c>
    </row>
    <row r="88" spans="1:10" x14ac:dyDescent="0.25">
      <c r="A88">
        <v>3</v>
      </c>
      <c r="B88" t="s">
        <v>6</v>
      </c>
      <c r="C88">
        <v>17</v>
      </c>
      <c r="D88">
        <v>12</v>
      </c>
      <c r="E88">
        <v>91</v>
      </c>
      <c r="F88">
        <v>13343</v>
      </c>
      <c r="G88">
        <v>8258</v>
      </c>
      <c r="H88">
        <v>0</v>
      </c>
      <c r="J88" t="str">
        <f>VLOOKUP(Table3[[#This Row],[Faction ID]],Table4[],2)</f>
        <v>Dale</v>
      </c>
    </row>
    <row r="89" spans="1:10" x14ac:dyDescent="0.25">
      <c r="A89">
        <v>3</v>
      </c>
      <c r="B89" t="s">
        <v>21</v>
      </c>
      <c r="C89">
        <v>5</v>
      </c>
      <c r="D89">
        <v>3</v>
      </c>
      <c r="E89">
        <v>34</v>
      </c>
      <c r="F89">
        <v>9962</v>
      </c>
      <c r="G89">
        <v>7347</v>
      </c>
      <c r="H89">
        <v>0</v>
      </c>
      <c r="J89" t="str">
        <f>VLOOKUP(Table3[[#This Row],[Faction ID]],Table4[],2)</f>
        <v>Erebor</v>
      </c>
    </row>
    <row r="90" spans="1:10" x14ac:dyDescent="0.25">
      <c r="A90">
        <v>3</v>
      </c>
      <c r="B90" t="s">
        <v>5</v>
      </c>
      <c r="C90">
        <v>19</v>
      </c>
      <c r="D90">
        <v>14</v>
      </c>
      <c r="E90">
        <v>100</v>
      </c>
      <c r="F90">
        <v>8042</v>
      </c>
      <c r="G90">
        <v>6632</v>
      </c>
      <c r="H90">
        <v>168</v>
      </c>
      <c r="J90" t="str">
        <f>VLOOKUP(Table3[[#This Row],[Faction ID]],Table4[],2)</f>
        <v>Rohan</v>
      </c>
    </row>
    <row r="91" spans="1:10" x14ac:dyDescent="0.25">
      <c r="A91">
        <v>3</v>
      </c>
      <c r="B91" t="s">
        <v>12</v>
      </c>
      <c r="C91">
        <v>9</v>
      </c>
      <c r="D91">
        <v>6</v>
      </c>
      <c r="E91">
        <v>48</v>
      </c>
      <c r="F91">
        <v>9002</v>
      </c>
      <c r="G91">
        <v>7070</v>
      </c>
      <c r="H91">
        <v>0</v>
      </c>
      <c r="J91" t="str">
        <f>VLOOKUP(Table3[[#This Row],[Faction ID]],Table4[],2)</f>
        <v>Dol Guldur</v>
      </c>
    </row>
    <row r="92" spans="1:10" x14ac:dyDescent="0.25">
      <c r="A92">
        <v>3</v>
      </c>
      <c r="B92" t="s">
        <v>10</v>
      </c>
      <c r="C92">
        <v>16</v>
      </c>
      <c r="D92">
        <v>11</v>
      </c>
      <c r="E92">
        <v>74</v>
      </c>
      <c r="F92">
        <v>9369</v>
      </c>
      <c r="G92">
        <v>7904</v>
      </c>
      <c r="H92">
        <v>0</v>
      </c>
      <c r="J92" t="str">
        <f>VLOOKUP(Table3[[#This Row],[Faction ID]],Table4[],2)</f>
        <v>Anduin Vale</v>
      </c>
    </row>
    <row r="93" spans="1:10" x14ac:dyDescent="0.25">
      <c r="A93">
        <v>3</v>
      </c>
      <c r="B93" t="s">
        <v>32</v>
      </c>
      <c r="C93">
        <v>3</v>
      </c>
      <c r="D93">
        <v>1</v>
      </c>
      <c r="E93">
        <v>22</v>
      </c>
      <c r="F93">
        <v>5942</v>
      </c>
      <c r="G93">
        <v>4227</v>
      </c>
      <c r="H93">
        <v>0</v>
      </c>
      <c r="J93" t="str">
        <f>VLOOKUP(Table3[[#This Row],[Faction ID]],Table4[],2)</f>
        <v>Isengard</v>
      </c>
    </row>
    <row r="94" spans="1:10" x14ac:dyDescent="0.25">
      <c r="A94">
        <v>3</v>
      </c>
      <c r="B94" t="s">
        <v>22</v>
      </c>
      <c r="C94">
        <v>5</v>
      </c>
      <c r="D94">
        <v>3</v>
      </c>
      <c r="E94">
        <v>31</v>
      </c>
      <c r="F94">
        <v>5458</v>
      </c>
      <c r="G94">
        <v>6610</v>
      </c>
      <c r="H94">
        <v>0</v>
      </c>
      <c r="J94" t="str">
        <f>VLOOKUP(Table3[[#This Row],[Faction ID]],Table4[],2)</f>
        <v>Woodland Realm</v>
      </c>
    </row>
    <row r="95" spans="1:10" x14ac:dyDescent="0.25">
      <c r="A95">
        <v>3</v>
      </c>
      <c r="B95" t="s">
        <v>23</v>
      </c>
      <c r="C95">
        <v>5</v>
      </c>
      <c r="D95">
        <v>3</v>
      </c>
      <c r="E95">
        <v>25</v>
      </c>
      <c r="F95">
        <v>5592</v>
      </c>
      <c r="G95">
        <v>5952</v>
      </c>
      <c r="H95">
        <v>0</v>
      </c>
      <c r="J95" t="str">
        <f>VLOOKUP(Table3[[#This Row],[Faction ID]],Table4[],2)</f>
        <v>Lothlorien</v>
      </c>
    </row>
    <row r="96" spans="1:10" x14ac:dyDescent="0.25">
      <c r="A96">
        <v>3</v>
      </c>
      <c r="B96" t="s">
        <v>24</v>
      </c>
      <c r="C96">
        <v>5</v>
      </c>
      <c r="D96">
        <v>3</v>
      </c>
      <c r="E96">
        <v>24</v>
      </c>
      <c r="F96">
        <v>4902</v>
      </c>
      <c r="G96">
        <v>4168</v>
      </c>
      <c r="H96">
        <v>138</v>
      </c>
      <c r="J96" t="str">
        <f>VLOOKUP(Table3[[#This Row],[Faction ID]],Table4[],2)</f>
        <v>Variags (Khand)</v>
      </c>
    </row>
    <row r="97" spans="1:10" x14ac:dyDescent="0.25">
      <c r="A97">
        <v>3</v>
      </c>
      <c r="B97" t="s">
        <v>14</v>
      </c>
      <c r="C97">
        <v>7</v>
      </c>
      <c r="D97">
        <v>5</v>
      </c>
      <c r="E97">
        <v>36</v>
      </c>
      <c r="F97">
        <v>8655</v>
      </c>
      <c r="G97">
        <v>6519</v>
      </c>
      <c r="H97">
        <v>0</v>
      </c>
      <c r="J97" t="str">
        <f>VLOOKUP(Table3[[#This Row],[Faction ID]],Table4[],2)</f>
        <v>Corsairs of Umbar</v>
      </c>
    </row>
    <row r="98" spans="1:10" x14ac:dyDescent="0.25">
      <c r="A98">
        <v>3</v>
      </c>
      <c r="B98" t="s">
        <v>25</v>
      </c>
      <c r="C98">
        <v>5</v>
      </c>
      <c r="D98">
        <v>3</v>
      </c>
      <c r="E98">
        <v>29</v>
      </c>
      <c r="F98">
        <v>3364</v>
      </c>
      <c r="G98">
        <v>4271</v>
      </c>
      <c r="H98">
        <v>0</v>
      </c>
      <c r="J98" t="str">
        <f>VLOOKUP(Table3[[#This Row],[Faction ID]],Table4[],2)</f>
        <v>Mahud</v>
      </c>
    </row>
    <row r="99" spans="1:10" x14ac:dyDescent="0.25">
      <c r="A99">
        <v>3</v>
      </c>
      <c r="B99" t="s">
        <v>11</v>
      </c>
      <c r="C99">
        <v>9</v>
      </c>
      <c r="D99">
        <v>6</v>
      </c>
      <c r="E99">
        <v>43</v>
      </c>
      <c r="F99">
        <v>6866</v>
      </c>
      <c r="G99">
        <v>5688</v>
      </c>
      <c r="H99">
        <v>0</v>
      </c>
      <c r="J99" t="str">
        <f>VLOOKUP(Table3[[#This Row],[Faction ID]],Table4[],2)</f>
        <v>Haradrim</v>
      </c>
    </row>
    <row r="100" spans="1:10" x14ac:dyDescent="0.25">
      <c r="A100">
        <v>3</v>
      </c>
      <c r="B100" t="s">
        <v>15</v>
      </c>
      <c r="C100">
        <v>7</v>
      </c>
      <c r="D100">
        <v>4</v>
      </c>
      <c r="E100">
        <v>41</v>
      </c>
      <c r="F100">
        <v>6540</v>
      </c>
      <c r="G100">
        <v>7133</v>
      </c>
      <c r="H100">
        <v>0</v>
      </c>
      <c r="J100" t="str">
        <f>VLOOKUP(Table3[[#This Row],[Faction ID]],Table4[],2)</f>
        <v>Dunlendings</v>
      </c>
    </row>
    <row r="101" spans="1:10" x14ac:dyDescent="0.25">
      <c r="A101">
        <v>3</v>
      </c>
      <c r="B101" t="s">
        <v>16</v>
      </c>
      <c r="C101">
        <v>0</v>
      </c>
      <c r="D101">
        <v>0</v>
      </c>
      <c r="E101">
        <v>0</v>
      </c>
      <c r="F101">
        <v>5352</v>
      </c>
      <c r="G101">
        <v>2738</v>
      </c>
      <c r="H101">
        <v>0</v>
      </c>
      <c r="J101" t="str">
        <f>VLOOKUP(Table3[[#This Row],[Faction ID]],Table4[],2)</f>
        <v>Haerrim</v>
      </c>
    </row>
    <row r="102" spans="1:10" x14ac:dyDescent="0.25">
      <c r="A102">
        <v>3</v>
      </c>
      <c r="B102" t="s">
        <v>13</v>
      </c>
      <c r="C102">
        <v>9</v>
      </c>
      <c r="D102">
        <v>6</v>
      </c>
      <c r="E102">
        <v>52</v>
      </c>
      <c r="F102">
        <v>8452</v>
      </c>
      <c r="G102">
        <v>6015</v>
      </c>
      <c r="H102">
        <v>0</v>
      </c>
      <c r="J102" t="str">
        <f>VLOOKUP(Table3[[#This Row],[Faction ID]],Table4[],2)</f>
        <v>Goblins</v>
      </c>
    </row>
    <row r="103" spans="1:10" x14ac:dyDescent="0.25">
      <c r="A103">
        <v>3</v>
      </c>
      <c r="B103" t="s">
        <v>17</v>
      </c>
      <c r="C103">
        <v>7</v>
      </c>
      <c r="D103">
        <v>4</v>
      </c>
      <c r="E103">
        <v>32</v>
      </c>
      <c r="F103">
        <v>7599</v>
      </c>
      <c r="G103">
        <v>5225</v>
      </c>
      <c r="H103">
        <v>0</v>
      </c>
      <c r="J103" t="str">
        <f>VLOOKUP(Table3[[#This Row],[Faction ID]],Table4[],2)</f>
        <v>Balchoth</v>
      </c>
    </row>
    <row r="104" spans="1:10" x14ac:dyDescent="0.25">
      <c r="A104">
        <v>3</v>
      </c>
      <c r="B104" t="s">
        <v>18</v>
      </c>
      <c r="C104">
        <v>15</v>
      </c>
      <c r="D104">
        <v>8</v>
      </c>
      <c r="E104">
        <v>48</v>
      </c>
      <c r="F104">
        <v>10499</v>
      </c>
      <c r="G104">
        <v>8660</v>
      </c>
      <c r="H104">
        <v>154</v>
      </c>
      <c r="J104" t="str">
        <f>VLOOKUP(Table3[[#This Row],[Faction ID]],Table4[],2)</f>
        <v>Rhurim/Rhun</v>
      </c>
    </row>
    <row r="105" spans="1:10" x14ac:dyDescent="0.25">
      <c r="A105">
        <v>3</v>
      </c>
      <c r="B105" t="s">
        <v>19</v>
      </c>
      <c r="C105">
        <v>5</v>
      </c>
      <c r="D105">
        <v>4</v>
      </c>
      <c r="E105">
        <v>34</v>
      </c>
      <c r="F105">
        <v>5672</v>
      </c>
      <c r="G105">
        <v>4757</v>
      </c>
      <c r="H105">
        <v>0</v>
      </c>
      <c r="J105" t="str">
        <f>VLOOKUP(Table3[[#This Row],[Faction ID]],Table4[],2)</f>
        <v>Feredrim</v>
      </c>
    </row>
    <row r="106" spans="1:10" x14ac:dyDescent="0.25">
      <c r="A106">
        <v>3</v>
      </c>
      <c r="B106" t="s">
        <v>26</v>
      </c>
      <c r="C106">
        <v>5</v>
      </c>
      <c r="D106">
        <v>3</v>
      </c>
      <c r="E106">
        <v>22</v>
      </c>
      <c r="F106">
        <v>5570</v>
      </c>
      <c r="G106">
        <v>4175</v>
      </c>
      <c r="H106">
        <v>0</v>
      </c>
      <c r="J106" t="str">
        <f>VLOOKUP(Table3[[#This Row],[Faction ID]],Table4[],2)</f>
        <v>Rachrohir (Wainriders)</v>
      </c>
    </row>
    <row r="107" spans="1:10" x14ac:dyDescent="0.25">
      <c r="A107">
        <v>3</v>
      </c>
      <c r="B107" t="s">
        <v>27</v>
      </c>
      <c r="C107">
        <v>5</v>
      </c>
      <c r="D107">
        <v>3</v>
      </c>
      <c r="E107">
        <v>25</v>
      </c>
      <c r="F107">
        <v>6162</v>
      </c>
      <c r="G107">
        <v>4730</v>
      </c>
      <c r="H107">
        <v>0</v>
      </c>
      <c r="J107" t="str">
        <f>VLOOKUP(Table3[[#This Row],[Faction ID]],Table4[],2)</f>
        <v>Blacklock-Stonefoot League</v>
      </c>
    </row>
    <row r="108" spans="1:10" x14ac:dyDescent="0.25">
      <c r="A108">
        <v>3</v>
      </c>
      <c r="B108" t="s">
        <v>28</v>
      </c>
      <c r="C108">
        <v>4</v>
      </c>
      <c r="D108">
        <v>2</v>
      </c>
      <c r="E108">
        <v>18</v>
      </c>
      <c r="F108">
        <v>3624</v>
      </c>
      <c r="G108">
        <v>3689</v>
      </c>
      <c r="H108">
        <v>0</v>
      </c>
      <c r="J108" t="str">
        <f>VLOOKUP(Table3[[#This Row],[Faction ID]],Table4[],2)</f>
        <v>Ironfist-Stiffbeard Union</v>
      </c>
    </row>
    <row r="109" spans="1:10" x14ac:dyDescent="0.25">
      <c r="A109">
        <v>3</v>
      </c>
      <c r="B109" t="s">
        <v>20</v>
      </c>
      <c r="C109">
        <v>8</v>
      </c>
      <c r="D109">
        <v>5</v>
      </c>
      <c r="E109">
        <v>44</v>
      </c>
      <c r="F109">
        <v>8108</v>
      </c>
      <c r="G109">
        <v>5962</v>
      </c>
      <c r="H109">
        <v>0</v>
      </c>
      <c r="J109" t="str">
        <f>VLOOKUP(Table3[[#This Row],[Faction ID]],Table4[],2)</f>
        <v>Gundabad</v>
      </c>
    </row>
    <row r="110" spans="1:10" x14ac:dyDescent="0.25">
      <c r="A110">
        <v>3</v>
      </c>
      <c r="B110" t="s">
        <v>34</v>
      </c>
      <c r="C110">
        <v>0</v>
      </c>
      <c r="D110">
        <v>0</v>
      </c>
      <c r="E110">
        <v>3</v>
      </c>
      <c r="F110">
        <v>6242</v>
      </c>
      <c r="G110">
        <v>2379</v>
      </c>
      <c r="H110">
        <v>0</v>
      </c>
      <c r="J110" t="str">
        <f>VLOOKUP(Table3[[#This Row],[Faction ID]],Table4[],2)</f>
        <v>Scouts of Rohan</v>
      </c>
    </row>
    <row r="111" spans="1:10" x14ac:dyDescent="0.25">
      <c r="A111">
        <v>3</v>
      </c>
      <c r="B111" t="s">
        <v>33</v>
      </c>
      <c r="C111">
        <v>4</v>
      </c>
      <c r="D111">
        <v>2</v>
      </c>
      <c r="E111">
        <v>11</v>
      </c>
      <c r="F111">
        <v>4119</v>
      </c>
      <c r="G111">
        <v>3393</v>
      </c>
      <c r="H111">
        <v>0</v>
      </c>
      <c r="J111" t="str">
        <f>VLOOKUP(Table3[[#This Row],[Faction ID]],Table4[],2)</f>
        <v>Northern Enedwaith</v>
      </c>
    </row>
    <row r="112" spans="1:10" x14ac:dyDescent="0.25">
      <c r="A112">
        <v>3</v>
      </c>
      <c r="B112" t="s">
        <v>29</v>
      </c>
      <c r="C112">
        <v>3</v>
      </c>
      <c r="D112">
        <v>2</v>
      </c>
      <c r="E112">
        <v>16</v>
      </c>
      <c r="F112">
        <v>4076</v>
      </c>
      <c r="G112">
        <v>3468</v>
      </c>
      <c r="H112">
        <v>0</v>
      </c>
      <c r="J112" t="str">
        <f>VLOOKUP(Table3[[#This Row],[Faction ID]],Table4[],2)</f>
        <v>Southern Enedwaith</v>
      </c>
    </row>
    <row r="113" spans="1:10" x14ac:dyDescent="0.25">
      <c r="A113">
        <v>3</v>
      </c>
      <c r="B113" t="s">
        <v>30</v>
      </c>
      <c r="C113">
        <v>4</v>
      </c>
      <c r="D113">
        <v>2</v>
      </c>
      <c r="E113">
        <v>21</v>
      </c>
      <c r="F113">
        <v>5327</v>
      </c>
      <c r="G113">
        <v>3925</v>
      </c>
      <c r="H113">
        <v>0</v>
      </c>
      <c r="J113" t="str">
        <f>VLOOKUP(Table3[[#This Row],[Faction ID]],Table4[],2)</f>
        <v>Druedain</v>
      </c>
    </row>
    <row r="114" spans="1:10" x14ac:dyDescent="0.25">
      <c r="A114">
        <v>3</v>
      </c>
      <c r="B114" t="s">
        <v>31</v>
      </c>
      <c r="C114">
        <v>4</v>
      </c>
      <c r="D114">
        <v>2</v>
      </c>
      <c r="E114">
        <v>22</v>
      </c>
      <c r="F114">
        <v>3566</v>
      </c>
      <c r="G114">
        <v>4396</v>
      </c>
      <c r="H114">
        <v>137</v>
      </c>
      <c r="J114" t="str">
        <f>VLOOKUP(Table3[[#This Row],[Faction ID]],Table4[],2)</f>
        <v>Harondor</v>
      </c>
    </row>
    <row r="115" spans="1:10" x14ac:dyDescent="0.25">
      <c r="A115">
        <v>3</v>
      </c>
      <c r="B115" t="s">
        <v>35</v>
      </c>
      <c r="C115">
        <v>0</v>
      </c>
      <c r="D115">
        <v>0</v>
      </c>
      <c r="E115">
        <v>0</v>
      </c>
      <c r="F115">
        <v>4000</v>
      </c>
      <c r="G115">
        <v>1750</v>
      </c>
      <c r="H115">
        <v>0</v>
      </c>
      <c r="J115" t="str">
        <f>VLOOKUP(Table3[[#This Row],[Faction ID]],Table4[],2)</f>
        <v>Southron Nomads</v>
      </c>
    </row>
    <row r="116" spans="1:10" x14ac:dyDescent="0.25">
      <c r="A116">
        <v>3</v>
      </c>
      <c r="B116" t="s">
        <v>36</v>
      </c>
      <c r="C116">
        <v>0</v>
      </c>
      <c r="D116">
        <v>0</v>
      </c>
      <c r="E116">
        <v>0</v>
      </c>
      <c r="F116">
        <v>4000</v>
      </c>
      <c r="G116">
        <v>1750</v>
      </c>
      <c r="H116">
        <v>0</v>
      </c>
      <c r="J116" t="str">
        <f>VLOOKUP(Table3[[#This Row],[Faction ID]],Table4[],2)</f>
        <v>_</v>
      </c>
    </row>
    <row r="117" spans="1:10" x14ac:dyDescent="0.25">
      <c r="A117">
        <v>3</v>
      </c>
      <c r="B117" t="s">
        <v>37</v>
      </c>
      <c r="C117">
        <v>0</v>
      </c>
      <c r="D117">
        <v>0</v>
      </c>
      <c r="E117">
        <v>0</v>
      </c>
      <c r="F117">
        <v>4000</v>
      </c>
      <c r="G117">
        <v>1750</v>
      </c>
      <c r="H117">
        <v>0</v>
      </c>
      <c r="J117" t="str">
        <f>VLOOKUP(Table3[[#This Row],[Faction ID]],Table4[],2)</f>
        <v>_</v>
      </c>
    </row>
    <row r="118" spans="1:10" x14ac:dyDescent="0.25">
      <c r="A118">
        <v>3</v>
      </c>
      <c r="B118" t="s">
        <v>38</v>
      </c>
      <c r="C118">
        <v>0</v>
      </c>
      <c r="D118">
        <v>0</v>
      </c>
      <c r="E118">
        <v>0</v>
      </c>
      <c r="F118">
        <v>4000</v>
      </c>
      <c r="G118">
        <v>1750</v>
      </c>
      <c r="H118">
        <v>0</v>
      </c>
      <c r="J118" t="str">
        <f>VLOOKUP(Table3[[#This Row],[Faction ID]],Table4[],2)</f>
        <v>_</v>
      </c>
    </row>
    <row r="119" spans="1:10" x14ac:dyDescent="0.25">
      <c r="A119">
        <v>3</v>
      </c>
      <c r="B119" t="s">
        <v>39</v>
      </c>
      <c r="C119">
        <v>0</v>
      </c>
      <c r="D119">
        <v>0</v>
      </c>
      <c r="E119">
        <v>0</v>
      </c>
      <c r="F119">
        <v>4000</v>
      </c>
      <c r="G119">
        <v>1750</v>
      </c>
      <c r="H119">
        <v>0</v>
      </c>
      <c r="J119" t="str">
        <f>VLOOKUP(Table3[[#This Row],[Faction ID]],Table4[],2)</f>
        <v>_</v>
      </c>
    </row>
    <row r="120" spans="1:10" x14ac:dyDescent="0.25">
      <c r="A120">
        <v>3</v>
      </c>
      <c r="B120" t="s">
        <v>40</v>
      </c>
      <c r="C120">
        <v>0</v>
      </c>
      <c r="D120">
        <v>0</v>
      </c>
      <c r="E120">
        <v>0</v>
      </c>
      <c r="F120">
        <v>4000</v>
      </c>
      <c r="G120">
        <v>1750</v>
      </c>
      <c r="H120">
        <v>0</v>
      </c>
      <c r="J120" t="str">
        <f>VLOOKUP(Table3[[#This Row],[Faction ID]],Table4[],2)</f>
        <v>_</v>
      </c>
    </row>
    <row r="121" spans="1:10" x14ac:dyDescent="0.25">
      <c r="A121">
        <v>3</v>
      </c>
      <c r="B121" t="s">
        <v>41</v>
      </c>
      <c r="C121">
        <v>0</v>
      </c>
      <c r="D121">
        <v>0</v>
      </c>
      <c r="E121">
        <v>0</v>
      </c>
      <c r="F121">
        <v>4000</v>
      </c>
      <c r="G121">
        <v>1750</v>
      </c>
      <c r="H121">
        <v>0</v>
      </c>
      <c r="J121" t="str">
        <f>VLOOKUP(Table3[[#This Row],[Faction ID]],Table4[],2)</f>
        <v>_</v>
      </c>
    </row>
    <row r="122" spans="1:10" x14ac:dyDescent="0.25">
      <c r="A122">
        <v>3</v>
      </c>
      <c r="B122" t="s">
        <v>42</v>
      </c>
      <c r="C122">
        <v>0</v>
      </c>
      <c r="D122">
        <v>0</v>
      </c>
      <c r="E122">
        <v>0</v>
      </c>
      <c r="F122">
        <v>4000</v>
      </c>
      <c r="G122">
        <v>1750</v>
      </c>
      <c r="H122">
        <v>0</v>
      </c>
      <c r="J122" t="str">
        <f>VLOOKUP(Table3[[#This Row],[Faction ID]],Table4[],2)</f>
        <v>_</v>
      </c>
    </row>
    <row r="123" spans="1:10" x14ac:dyDescent="0.25">
      <c r="A123">
        <v>3</v>
      </c>
      <c r="B123" t="s">
        <v>43</v>
      </c>
      <c r="C123">
        <v>0</v>
      </c>
      <c r="D123">
        <v>0</v>
      </c>
      <c r="E123">
        <v>0</v>
      </c>
      <c r="F123">
        <v>4000</v>
      </c>
      <c r="G123">
        <v>1750</v>
      </c>
      <c r="H123">
        <v>0</v>
      </c>
      <c r="J123" t="str">
        <f>VLOOKUP(Table3[[#This Row],[Faction ID]],Table4[],2)</f>
        <v>_</v>
      </c>
    </row>
    <row r="124" spans="1:10" x14ac:dyDescent="0.25">
      <c r="A124">
        <v>3</v>
      </c>
      <c r="B124" t="s">
        <v>44</v>
      </c>
      <c r="C124">
        <v>0</v>
      </c>
      <c r="D124">
        <v>0</v>
      </c>
      <c r="E124">
        <v>0</v>
      </c>
      <c r="F124">
        <v>4000</v>
      </c>
      <c r="G124">
        <v>1750</v>
      </c>
      <c r="H124">
        <v>0</v>
      </c>
      <c r="J124" t="str">
        <f>VLOOKUP(Table3[[#This Row],[Faction ID]],Table4[],2)</f>
        <v>_</v>
      </c>
    </row>
    <row r="125" spans="1:10" x14ac:dyDescent="0.25">
      <c r="A125">
        <v>4</v>
      </c>
      <c r="B125" t="s">
        <v>9</v>
      </c>
      <c r="C125">
        <v>27</v>
      </c>
      <c r="D125">
        <v>11</v>
      </c>
      <c r="E125">
        <v>106</v>
      </c>
      <c r="F125">
        <v>301</v>
      </c>
      <c r="G125">
        <v>10202</v>
      </c>
      <c r="H125">
        <v>563</v>
      </c>
      <c r="J125" t="str">
        <f>VLOOKUP(Table3[[#This Row],[Faction ID]],Table4[],2)</f>
        <v>Mordor</v>
      </c>
    </row>
    <row r="126" spans="1:10" x14ac:dyDescent="0.25">
      <c r="A126">
        <v>4</v>
      </c>
      <c r="B126" t="s">
        <v>4</v>
      </c>
      <c r="C126">
        <v>26</v>
      </c>
      <c r="D126">
        <v>19</v>
      </c>
      <c r="E126">
        <v>178</v>
      </c>
      <c r="F126">
        <v>21100</v>
      </c>
      <c r="G126">
        <v>15882</v>
      </c>
      <c r="H126">
        <v>452</v>
      </c>
      <c r="J126" t="str">
        <f>VLOOKUP(Table3[[#This Row],[Faction ID]],Table4[],2)</f>
        <v>Gondor</v>
      </c>
    </row>
    <row r="127" spans="1:10" x14ac:dyDescent="0.25">
      <c r="A127">
        <v>4</v>
      </c>
      <c r="B127" t="s">
        <v>6</v>
      </c>
      <c r="C127">
        <v>17</v>
      </c>
      <c r="D127">
        <v>12</v>
      </c>
      <c r="E127">
        <v>91</v>
      </c>
      <c r="F127">
        <v>12364</v>
      </c>
      <c r="G127">
        <v>8280</v>
      </c>
      <c r="H127">
        <v>0</v>
      </c>
      <c r="J127" t="str">
        <f>VLOOKUP(Table3[[#This Row],[Faction ID]],Table4[],2)</f>
        <v>Dale</v>
      </c>
    </row>
    <row r="128" spans="1:10" x14ac:dyDescent="0.25">
      <c r="A128">
        <v>4</v>
      </c>
      <c r="B128" t="s">
        <v>21</v>
      </c>
      <c r="C128">
        <v>5</v>
      </c>
      <c r="D128">
        <v>3</v>
      </c>
      <c r="E128">
        <v>37</v>
      </c>
      <c r="F128">
        <v>8197</v>
      </c>
      <c r="G128">
        <v>7865</v>
      </c>
      <c r="H128">
        <v>0</v>
      </c>
      <c r="J128" t="str">
        <f>VLOOKUP(Table3[[#This Row],[Faction ID]],Table4[],2)</f>
        <v>Erebor</v>
      </c>
    </row>
    <row r="129" spans="1:10" x14ac:dyDescent="0.25">
      <c r="A129">
        <v>4</v>
      </c>
      <c r="B129" t="s">
        <v>5</v>
      </c>
      <c r="C129">
        <v>19</v>
      </c>
      <c r="D129">
        <v>14</v>
      </c>
      <c r="E129">
        <v>103</v>
      </c>
      <c r="F129">
        <v>6929</v>
      </c>
      <c r="G129">
        <v>6594</v>
      </c>
      <c r="H129">
        <v>168</v>
      </c>
      <c r="J129" t="str">
        <f>VLOOKUP(Table3[[#This Row],[Faction ID]],Table4[],2)</f>
        <v>Rohan</v>
      </c>
    </row>
    <row r="130" spans="1:10" x14ac:dyDescent="0.25">
      <c r="A130">
        <v>4</v>
      </c>
      <c r="B130" t="s">
        <v>12</v>
      </c>
      <c r="C130">
        <v>9</v>
      </c>
      <c r="D130">
        <v>6</v>
      </c>
      <c r="E130">
        <v>48</v>
      </c>
      <c r="F130">
        <v>11436</v>
      </c>
      <c r="G130">
        <v>7581</v>
      </c>
      <c r="H130">
        <v>0</v>
      </c>
      <c r="J130" t="str">
        <f>VLOOKUP(Table3[[#This Row],[Faction ID]],Table4[],2)</f>
        <v>Dol Guldur</v>
      </c>
    </row>
    <row r="131" spans="1:10" x14ac:dyDescent="0.25">
      <c r="A131">
        <v>4</v>
      </c>
      <c r="B131" t="s">
        <v>10</v>
      </c>
      <c r="C131">
        <v>16</v>
      </c>
      <c r="D131">
        <v>11</v>
      </c>
      <c r="E131">
        <v>74</v>
      </c>
      <c r="F131">
        <v>9137</v>
      </c>
      <c r="G131">
        <v>8161</v>
      </c>
      <c r="H131">
        <v>0</v>
      </c>
      <c r="J131" t="str">
        <f>VLOOKUP(Table3[[#This Row],[Faction ID]],Table4[],2)</f>
        <v>Anduin Vale</v>
      </c>
    </row>
    <row r="132" spans="1:10" x14ac:dyDescent="0.25">
      <c r="A132">
        <v>4</v>
      </c>
      <c r="B132" t="s">
        <v>32</v>
      </c>
      <c r="C132">
        <v>3</v>
      </c>
      <c r="D132">
        <v>1</v>
      </c>
      <c r="E132">
        <v>26</v>
      </c>
      <c r="F132">
        <v>6916</v>
      </c>
      <c r="G132">
        <v>4806</v>
      </c>
      <c r="H132">
        <v>0</v>
      </c>
      <c r="J132" t="str">
        <f>VLOOKUP(Table3[[#This Row],[Faction ID]],Table4[],2)</f>
        <v>Isengard</v>
      </c>
    </row>
    <row r="133" spans="1:10" x14ac:dyDescent="0.25">
      <c r="A133">
        <v>4</v>
      </c>
      <c r="B133" t="s">
        <v>22</v>
      </c>
      <c r="C133">
        <v>5</v>
      </c>
      <c r="D133">
        <v>3</v>
      </c>
      <c r="E133">
        <v>32</v>
      </c>
      <c r="F133">
        <v>6736</v>
      </c>
      <c r="G133">
        <v>6625</v>
      </c>
      <c r="H133">
        <v>0</v>
      </c>
      <c r="J133" t="str">
        <f>VLOOKUP(Table3[[#This Row],[Faction ID]],Table4[],2)</f>
        <v>Woodland Realm</v>
      </c>
    </row>
    <row r="134" spans="1:10" x14ac:dyDescent="0.25">
      <c r="A134">
        <v>4</v>
      </c>
      <c r="B134" t="s">
        <v>23</v>
      </c>
      <c r="C134">
        <v>5</v>
      </c>
      <c r="D134">
        <v>3</v>
      </c>
      <c r="E134">
        <v>27</v>
      </c>
      <c r="F134">
        <v>5018</v>
      </c>
      <c r="G134">
        <v>6270</v>
      </c>
      <c r="H134">
        <v>0</v>
      </c>
      <c r="J134" t="str">
        <f>VLOOKUP(Table3[[#This Row],[Faction ID]],Table4[],2)</f>
        <v>Lothlorien</v>
      </c>
    </row>
    <row r="135" spans="1:10" x14ac:dyDescent="0.25">
      <c r="A135">
        <v>4</v>
      </c>
      <c r="B135" t="s">
        <v>24</v>
      </c>
      <c r="C135">
        <v>5</v>
      </c>
      <c r="D135">
        <v>3</v>
      </c>
      <c r="E135">
        <v>25</v>
      </c>
      <c r="F135">
        <v>3854</v>
      </c>
      <c r="G135">
        <v>4655</v>
      </c>
      <c r="H135">
        <v>240</v>
      </c>
      <c r="J135" t="str">
        <f>VLOOKUP(Table3[[#This Row],[Faction ID]],Table4[],2)</f>
        <v>Variags (Khand)</v>
      </c>
    </row>
    <row r="136" spans="1:10" x14ac:dyDescent="0.25">
      <c r="A136">
        <v>4</v>
      </c>
      <c r="B136" t="s">
        <v>14</v>
      </c>
      <c r="C136">
        <v>7</v>
      </c>
      <c r="D136">
        <v>5</v>
      </c>
      <c r="E136">
        <v>38</v>
      </c>
      <c r="F136">
        <v>10548</v>
      </c>
      <c r="G136">
        <v>6476</v>
      </c>
      <c r="H136">
        <v>0</v>
      </c>
      <c r="J136" t="str">
        <f>VLOOKUP(Table3[[#This Row],[Faction ID]],Table4[],2)</f>
        <v>Corsairs of Umbar</v>
      </c>
    </row>
    <row r="137" spans="1:10" x14ac:dyDescent="0.25">
      <c r="A137">
        <v>4</v>
      </c>
      <c r="B137" t="s">
        <v>25</v>
      </c>
      <c r="C137">
        <v>5</v>
      </c>
      <c r="D137">
        <v>3</v>
      </c>
      <c r="E137">
        <v>31</v>
      </c>
      <c r="F137">
        <v>3831</v>
      </c>
      <c r="G137">
        <v>4459</v>
      </c>
      <c r="H137">
        <v>0</v>
      </c>
      <c r="J137" t="str">
        <f>VLOOKUP(Table3[[#This Row],[Faction ID]],Table4[],2)</f>
        <v>Mahud</v>
      </c>
    </row>
    <row r="138" spans="1:10" x14ac:dyDescent="0.25">
      <c r="A138">
        <v>4</v>
      </c>
      <c r="B138" t="s">
        <v>11</v>
      </c>
      <c r="C138">
        <v>9</v>
      </c>
      <c r="D138">
        <v>6</v>
      </c>
      <c r="E138">
        <v>46</v>
      </c>
      <c r="F138">
        <v>7576</v>
      </c>
      <c r="G138">
        <v>6257</v>
      </c>
      <c r="H138">
        <v>0</v>
      </c>
      <c r="J138" t="str">
        <f>VLOOKUP(Table3[[#This Row],[Faction ID]],Table4[],2)</f>
        <v>Haradrim</v>
      </c>
    </row>
    <row r="139" spans="1:10" x14ac:dyDescent="0.25">
      <c r="A139">
        <v>4</v>
      </c>
      <c r="B139" t="s">
        <v>15</v>
      </c>
      <c r="C139">
        <v>7</v>
      </c>
      <c r="D139">
        <v>4</v>
      </c>
      <c r="E139">
        <v>41</v>
      </c>
      <c r="F139">
        <v>6872</v>
      </c>
      <c r="G139">
        <v>7476</v>
      </c>
      <c r="H139">
        <v>0</v>
      </c>
      <c r="J139" t="str">
        <f>VLOOKUP(Table3[[#This Row],[Faction ID]],Table4[],2)</f>
        <v>Dunlendings</v>
      </c>
    </row>
    <row r="140" spans="1:10" x14ac:dyDescent="0.25">
      <c r="A140">
        <v>4</v>
      </c>
      <c r="B140" t="s">
        <v>16</v>
      </c>
      <c r="C140">
        <v>0</v>
      </c>
      <c r="D140">
        <v>0</v>
      </c>
      <c r="E140">
        <v>0</v>
      </c>
      <c r="F140">
        <v>5352</v>
      </c>
      <c r="G140">
        <v>1750</v>
      </c>
      <c r="H140">
        <v>0</v>
      </c>
      <c r="J140" t="str">
        <f>VLOOKUP(Table3[[#This Row],[Faction ID]],Table4[],2)</f>
        <v>Haerrim</v>
      </c>
    </row>
    <row r="141" spans="1:10" x14ac:dyDescent="0.25">
      <c r="A141">
        <v>4</v>
      </c>
      <c r="B141" t="s">
        <v>13</v>
      </c>
      <c r="C141">
        <v>9</v>
      </c>
      <c r="D141">
        <v>6</v>
      </c>
      <c r="E141">
        <v>52</v>
      </c>
      <c r="F141">
        <v>9965</v>
      </c>
      <c r="G141">
        <v>6054</v>
      </c>
      <c r="H141">
        <v>0</v>
      </c>
      <c r="J141" t="str">
        <f>VLOOKUP(Table3[[#This Row],[Faction ID]],Table4[],2)</f>
        <v>Goblins</v>
      </c>
    </row>
    <row r="142" spans="1:10" x14ac:dyDescent="0.25">
      <c r="A142">
        <v>4</v>
      </c>
      <c r="B142" t="s">
        <v>17</v>
      </c>
      <c r="C142">
        <v>0</v>
      </c>
      <c r="D142">
        <v>0</v>
      </c>
      <c r="E142">
        <v>0</v>
      </c>
      <c r="F142">
        <v>4872</v>
      </c>
      <c r="G142">
        <v>2549</v>
      </c>
      <c r="H142">
        <v>0</v>
      </c>
      <c r="J142" t="str">
        <f>VLOOKUP(Table3[[#This Row],[Faction ID]],Table4[],2)</f>
        <v>Balchoth</v>
      </c>
    </row>
    <row r="143" spans="1:10" x14ac:dyDescent="0.25">
      <c r="A143">
        <v>4</v>
      </c>
      <c r="B143" t="s">
        <v>18</v>
      </c>
      <c r="C143">
        <v>21</v>
      </c>
      <c r="D143">
        <v>12</v>
      </c>
      <c r="E143">
        <v>65</v>
      </c>
      <c r="F143">
        <v>11726</v>
      </c>
      <c r="G143">
        <v>11454</v>
      </c>
      <c r="H143">
        <v>305</v>
      </c>
      <c r="J143" t="str">
        <f>VLOOKUP(Table3[[#This Row],[Faction ID]],Table4[],2)</f>
        <v>Rhurim/Rhun</v>
      </c>
    </row>
    <row r="144" spans="1:10" x14ac:dyDescent="0.25">
      <c r="A144">
        <v>4</v>
      </c>
      <c r="B144" t="s">
        <v>19</v>
      </c>
      <c r="C144">
        <v>5</v>
      </c>
      <c r="D144">
        <v>4</v>
      </c>
      <c r="E144">
        <v>38</v>
      </c>
      <c r="F144">
        <v>6600</v>
      </c>
      <c r="G144">
        <v>4851</v>
      </c>
      <c r="H144">
        <v>0</v>
      </c>
      <c r="J144" t="str">
        <f>VLOOKUP(Table3[[#This Row],[Faction ID]],Table4[],2)</f>
        <v>Feredrim</v>
      </c>
    </row>
    <row r="145" spans="1:10" x14ac:dyDescent="0.25">
      <c r="A145">
        <v>4</v>
      </c>
      <c r="B145" t="s">
        <v>26</v>
      </c>
      <c r="C145">
        <v>5</v>
      </c>
      <c r="D145">
        <v>3</v>
      </c>
      <c r="E145">
        <v>26</v>
      </c>
      <c r="F145">
        <v>5331</v>
      </c>
      <c r="G145">
        <v>4669</v>
      </c>
      <c r="H145">
        <v>140</v>
      </c>
      <c r="J145" t="str">
        <f>VLOOKUP(Table3[[#This Row],[Faction ID]],Table4[],2)</f>
        <v>Rachrohir (Wainriders)</v>
      </c>
    </row>
    <row r="146" spans="1:10" x14ac:dyDescent="0.25">
      <c r="A146">
        <v>4</v>
      </c>
      <c r="B146" t="s">
        <v>27</v>
      </c>
      <c r="C146">
        <v>5</v>
      </c>
      <c r="D146">
        <v>3</v>
      </c>
      <c r="E146">
        <v>27</v>
      </c>
      <c r="F146">
        <v>7164</v>
      </c>
      <c r="G146">
        <v>4954</v>
      </c>
      <c r="H146">
        <v>0</v>
      </c>
      <c r="J146" t="str">
        <f>VLOOKUP(Table3[[#This Row],[Faction ID]],Table4[],2)</f>
        <v>Blacklock-Stonefoot League</v>
      </c>
    </row>
    <row r="147" spans="1:10" x14ac:dyDescent="0.25">
      <c r="A147">
        <v>4</v>
      </c>
      <c r="B147" t="s">
        <v>28</v>
      </c>
      <c r="C147">
        <v>4</v>
      </c>
      <c r="D147">
        <v>2</v>
      </c>
      <c r="E147">
        <v>19</v>
      </c>
      <c r="F147">
        <v>4004</v>
      </c>
      <c r="G147">
        <v>3808</v>
      </c>
      <c r="H147">
        <v>0</v>
      </c>
      <c r="J147" t="str">
        <f>VLOOKUP(Table3[[#This Row],[Faction ID]],Table4[],2)</f>
        <v>Ironfist-Stiffbeard Union</v>
      </c>
    </row>
    <row r="148" spans="1:10" x14ac:dyDescent="0.25">
      <c r="A148">
        <v>4</v>
      </c>
      <c r="B148" t="s">
        <v>20</v>
      </c>
      <c r="C148">
        <v>8</v>
      </c>
      <c r="D148">
        <v>5</v>
      </c>
      <c r="E148">
        <v>50</v>
      </c>
      <c r="F148">
        <v>8732</v>
      </c>
      <c r="G148">
        <v>6805</v>
      </c>
      <c r="H148">
        <v>0</v>
      </c>
      <c r="J148" t="str">
        <f>VLOOKUP(Table3[[#This Row],[Faction ID]],Table4[],2)</f>
        <v>Gundabad</v>
      </c>
    </row>
    <row r="149" spans="1:10" x14ac:dyDescent="0.25">
      <c r="A149">
        <v>4</v>
      </c>
      <c r="B149" t="s">
        <v>34</v>
      </c>
      <c r="C149">
        <v>0</v>
      </c>
      <c r="D149">
        <v>0</v>
      </c>
      <c r="E149">
        <v>3</v>
      </c>
      <c r="F149">
        <v>7363</v>
      </c>
      <c r="G149">
        <v>2379</v>
      </c>
      <c r="H149">
        <v>0</v>
      </c>
      <c r="J149" t="str">
        <f>VLOOKUP(Table3[[#This Row],[Faction ID]],Table4[],2)</f>
        <v>Scouts of Rohan</v>
      </c>
    </row>
    <row r="150" spans="1:10" x14ac:dyDescent="0.25">
      <c r="A150">
        <v>4</v>
      </c>
      <c r="B150" t="s">
        <v>33</v>
      </c>
      <c r="C150">
        <v>5</v>
      </c>
      <c r="D150">
        <v>3</v>
      </c>
      <c r="E150">
        <v>9</v>
      </c>
      <c r="F150">
        <v>3482</v>
      </c>
      <c r="G150">
        <v>3099</v>
      </c>
      <c r="H150">
        <v>0</v>
      </c>
      <c r="J150" t="str">
        <f>VLOOKUP(Table3[[#This Row],[Faction ID]],Table4[],2)</f>
        <v>Northern Enedwaith</v>
      </c>
    </row>
    <row r="151" spans="1:10" x14ac:dyDescent="0.25">
      <c r="A151">
        <v>4</v>
      </c>
      <c r="B151" t="s">
        <v>29</v>
      </c>
      <c r="C151">
        <v>3</v>
      </c>
      <c r="D151">
        <v>2</v>
      </c>
      <c r="E151">
        <v>16</v>
      </c>
      <c r="F151">
        <v>5248</v>
      </c>
      <c r="G151">
        <v>3380</v>
      </c>
      <c r="H151">
        <v>0</v>
      </c>
      <c r="J151" t="str">
        <f>VLOOKUP(Table3[[#This Row],[Faction ID]],Table4[],2)</f>
        <v>Southern Enedwaith</v>
      </c>
    </row>
    <row r="152" spans="1:10" x14ac:dyDescent="0.25">
      <c r="A152">
        <v>4</v>
      </c>
      <c r="B152" t="s">
        <v>30</v>
      </c>
      <c r="C152">
        <v>5</v>
      </c>
      <c r="D152">
        <v>3</v>
      </c>
      <c r="E152">
        <v>21</v>
      </c>
      <c r="F152">
        <v>4453</v>
      </c>
      <c r="G152">
        <v>3808</v>
      </c>
      <c r="H152">
        <v>0</v>
      </c>
      <c r="J152" t="str">
        <f>VLOOKUP(Table3[[#This Row],[Faction ID]],Table4[],2)</f>
        <v>Druedain</v>
      </c>
    </row>
    <row r="153" spans="1:10" x14ac:dyDescent="0.25">
      <c r="A153">
        <v>4</v>
      </c>
      <c r="B153" t="s">
        <v>31</v>
      </c>
      <c r="C153">
        <v>4</v>
      </c>
      <c r="D153">
        <v>2</v>
      </c>
      <c r="E153">
        <v>23</v>
      </c>
      <c r="F153">
        <v>3914</v>
      </c>
      <c r="G153">
        <v>4552</v>
      </c>
      <c r="H153">
        <v>137</v>
      </c>
      <c r="J153" t="str">
        <f>VLOOKUP(Table3[[#This Row],[Faction ID]],Table4[],2)</f>
        <v>Harondor</v>
      </c>
    </row>
    <row r="154" spans="1:10" x14ac:dyDescent="0.25">
      <c r="A154">
        <v>4</v>
      </c>
      <c r="B154" t="s">
        <v>35</v>
      </c>
      <c r="C154">
        <v>0</v>
      </c>
      <c r="D154">
        <v>0</v>
      </c>
      <c r="E154">
        <v>0</v>
      </c>
      <c r="F154">
        <v>4000</v>
      </c>
      <c r="G154">
        <v>1750</v>
      </c>
      <c r="H154">
        <v>0</v>
      </c>
      <c r="J154" t="str">
        <f>VLOOKUP(Table3[[#This Row],[Faction ID]],Table4[],2)</f>
        <v>Southron Nomads</v>
      </c>
    </row>
    <row r="155" spans="1:10" x14ac:dyDescent="0.25">
      <c r="A155">
        <v>4</v>
      </c>
      <c r="B155" t="s">
        <v>36</v>
      </c>
      <c r="C155">
        <v>0</v>
      </c>
      <c r="D155">
        <v>0</v>
      </c>
      <c r="E155">
        <v>0</v>
      </c>
      <c r="F155">
        <v>4000</v>
      </c>
      <c r="G155">
        <v>1750</v>
      </c>
      <c r="H155">
        <v>0</v>
      </c>
      <c r="J155" t="str">
        <f>VLOOKUP(Table3[[#This Row],[Faction ID]],Table4[],2)</f>
        <v>_</v>
      </c>
    </row>
    <row r="156" spans="1:10" x14ac:dyDescent="0.25">
      <c r="A156">
        <v>4</v>
      </c>
      <c r="B156" t="s">
        <v>37</v>
      </c>
      <c r="C156">
        <v>0</v>
      </c>
      <c r="D156">
        <v>0</v>
      </c>
      <c r="E156">
        <v>0</v>
      </c>
      <c r="F156">
        <v>4000</v>
      </c>
      <c r="G156">
        <v>1750</v>
      </c>
      <c r="H156">
        <v>0</v>
      </c>
      <c r="J156" t="str">
        <f>VLOOKUP(Table3[[#This Row],[Faction ID]],Table4[],2)</f>
        <v>_</v>
      </c>
    </row>
    <row r="157" spans="1:10" x14ac:dyDescent="0.25">
      <c r="A157">
        <v>4</v>
      </c>
      <c r="B157" t="s">
        <v>38</v>
      </c>
      <c r="C157">
        <v>0</v>
      </c>
      <c r="D157">
        <v>0</v>
      </c>
      <c r="E157">
        <v>0</v>
      </c>
      <c r="F157">
        <v>4000</v>
      </c>
      <c r="G157">
        <v>1750</v>
      </c>
      <c r="H157">
        <v>0</v>
      </c>
      <c r="J157" t="str">
        <f>VLOOKUP(Table3[[#This Row],[Faction ID]],Table4[],2)</f>
        <v>_</v>
      </c>
    </row>
    <row r="158" spans="1:10" x14ac:dyDescent="0.25">
      <c r="A158">
        <v>4</v>
      </c>
      <c r="B158" t="s">
        <v>39</v>
      </c>
      <c r="C158">
        <v>0</v>
      </c>
      <c r="D158">
        <v>0</v>
      </c>
      <c r="E158">
        <v>0</v>
      </c>
      <c r="F158">
        <v>4000</v>
      </c>
      <c r="G158">
        <v>1750</v>
      </c>
      <c r="H158">
        <v>0</v>
      </c>
      <c r="J158" t="str">
        <f>VLOOKUP(Table3[[#This Row],[Faction ID]],Table4[],2)</f>
        <v>_</v>
      </c>
    </row>
    <row r="159" spans="1:10" x14ac:dyDescent="0.25">
      <c r="A159">
        <v>4</v>
      </c>
      <c r="B159" t="s">
        <v>40</v>
      </c>
      <c r="C159">
        <v>0</v>
      </c>
      <c r="D159">
        <v>0</v>
      </c>
      <c r="E159">
        <v>0</v>
      </c>
      <c r="F159">
        <v>4000</v>
      </c>
      <c r="G159">
        <v>1750</v>
      </c>
      <c r="H159">
        <v>0</v>
      </c>
      <c r="J159" t="str">
        <f>VLOOKUP(Table3[[#This Row],[Faction ID]],Table4[],2)</f>
        <v>_</v>
      </c>
    </row>
    <row r="160" spans="1:10" x14ac:dyDescent="0.25">
      <c r="A160">
        <v>4</v>
      </c>
      <c r="B160" t="s">
        <v>41</v>
      </c>
      <c r="C160">
        <v>0</v>
      </c>
      <c r="D160">
        <v>0</v>
      </c>
      <c r="E160">
        <v>0</v>
      </c>
      <c r="F160">
        <v>4000</v>
      </c>
      <c r="G160">
        <v>1750</v>
      </c>
      <c r="H160">
        <v>0</v>
      </c>
      <c r="J160" t="str">
        <f>VLOOKUP(Table3[[#This Row],[Faction ID]],Table4[],2)</f>
        <v>_</v>
      </c>
    </row>
    <row r="161" spans="1:10" x14ac:dyDescent="0.25">
      <c r="A161">
        <v>4</v>
      </c>
      <c r="B161" t="s">
        <v>42</v>
      </c>
      <c r="C161">
        <v>0</v>
      </c>
      <c r="D161">
        <v>0</v>
      </c>
      <c r="E161">
        <v>0</v>
      </c>
      <c r="F161">
        <v>4000</v>
      </c>
      <c r="G161">
        <v>1750</v>
      </c>
      <c r="H161">
        <v>0</v>
      </c>
      <c r="J161" t="str">
        <f>VLOOKUP(Table3[[#This Row],[Faction ID]],Table4[],2)</f>
        <v>_</v>
      </c>
    </row>
    <row r="162" spans="1:10" x14ac:dyDescent="0.25">
      <c r="A162">
        <v>4</v>
      </c>
      <c r="B162" t="s">
        <v>43</v>
      </c>
      <c r="C162">
        <v>0</v>
      </c>
      <c r="D162">
        <v>0</v>
      </c>
      <c r="E162">
        <v>0</v>
      </c>
      <c r="F162">
        <v>4000</v>
      </c>
      <c r="G162">
        <v>1750</v>
      </c>
      <c r="H162">
        <v>0</v>
      </c>
      <c r="J162" t="str">
        <f>VLOOKUP(Table3[[#This Row],[Faction ID]],Table4[],2)</f>
        <v>_</v>
      </c>
    </row>
    <row r="163" spans="1:10" x14ac:dyDescent="0.25">
      <c r="A163">
        <v>4</v>
      </c>
      <c r="B163" t="s">
        <v>44</v>
      </c>
      <c r="C163">
        <v>0</v>
      </c>
      <c r="D163">
        <v>0</v>
      </c>
      <c r="E163">
        <v>0</v>
      </c>
      <c r="F163">
        <v>4000</v>
      </c>
      <c r="G163">
        <v>1750</v>
      </c>
      <c r="H163">
        <v>0</v>
      </c>
      <c r="J163" t="str">
        <f>VLOOKUP(Table3[[#This Row],[Faction ID]],Table4[],2)</f>
        <v>_</v>
      </c>
    </row>
    <row r="164" spans="1:10" x14ac:dyDescent="0.25">
      <c r="A164">
        <v>5</v>
      </c>
      <c r="B164" t="s">
        <v>9</v>
      </c>
      <c r="C164">
        <v>27</v>
      </c>
      <c r="D164">
        <v>11</v>
      </c>
      <c r="E164">
        <v>110</v>
      </c>
      <c r="F164">
        <v>135</v>
      </c>
      <c r="G164">
        <v>10377</v>
      </c>
      <c r="H164">
        <v>562</v>
      </c>
      <c r="J164" t="str">
        <f>VLOOKUP(Table3[[#This Row],[Faction ID]],Table4[],2)</f>
        <v>Mordor</v>
      </c>
    </row>
    <row r="165" spans="1:10" x14ac:dyDescent="0.25">
      <c r="A165">
        <v>5</v>
      </c>
      <c r="B165" t="s">
        <v>4</v>
      </c>
      <c r="C165">
        <v>31</v>
      </c>
      <c r="D165">
        <v>19</v>
      </c>
      <c r="E165">
        <v>179</v>
      </c>
      <c r="F165">
        <v>17899</v>
      </c>
      <c r="G165">
        <v>16327</v>
      </c>
      <c r="H165">
        <v>453</v>
      </c>
      <c r="J165" t="str">
        <f>VLOOKUP(Table3[[#This Row],[Faction ID]],Table4[],2)</f>
        <v>Gondor</v>
      </c>
    </row>
    <row r="166" spans="1:10" x14ac:dyDescent="0.25">
      <c r="A166">
        <v>5</v>
      </c>
      <c r="B166" t="s">
        <v>6</v>
      </c>
      <c r="C166">
        <v>26</v>
      </c>
      <c r="D166">
        <v>12</v>
      </c>
      <c r="E166">
        <v>100</v>
      </c>
      <c r="F166">
        <v>11893</v>
      </c>
      <c r="G166">
        <v>9158</v>
      </c>
      <c r="H166">
        <v>0</v>
      </c>
      <c r="J166" t="str">
        <f>VLOOKUP(Table3[[#This Row],[Faction ID]],Table4[],2)</f>
        <v>Dale</v>
      </c>
    </row>
    <row r="167" spans="1:10" x14ac:dyDescent="0.25">
      <c r="A167">
        <v>5</v>
      </c>
      <c r="B167" t="s">
        <v>21</v>
      </c>
      <c r="C167">
        <v>10</v>
      </c>
      <c r="D167">
        <v>3</v>
      </c>
      <c r="E167">
        <v>38</v>
      </c>
      <c r="F167">
        <v>10216</v>
      </c>
      <c r="G167">
        <v>8005</v>
      </c>
      <c r="H167">
        <v>0</v>
      </c>
      <c r="J167" t="str">
        <f>VLOOKUP(Table3[[#This Row],[Faction ID]],Table4[],2)</f>
        <v>Erebor</v>
      </c>
    </row>
    <row r="168" spans="1:10" x14ac:dyDescent="0.25">
      <c r="A168">
        <v>5</v>
      </c>
      <c r="B168" t="s">
        <v>5</v>
      </c>
      <c r="C168">
        <v>19</v>
      </c>
      <c r="D168">
        <v>14</v>
      </c>
      <c r="E168">
        <v>107</v>
      </c>
      <c r="F168">
        <v>5062</v>
      </c>
      <c r="G168">
        <v>6843</v>
      </c>
      <c r="H168">
        <v>168</v>
      </c>
      <c r="J168" t="str">
        <f>VLOOKUP(Table3[[#This Row],[Faction ID]],Table4[],2)</f>
        <v>Rohan</v>
      </c>
    </row>
    <row r="169" spans="1:10" x14ac:dyDescent="0.25">
      <c r="A169">
        <v>5</v>
      </c>
      <c r="B169" t="s">
        <v>12</v>
      </c>
      <c r="C169">
        <v>14</v>
      </c>
      <c r="D169">
        <v>6</v>
      </c>
      <c r="E169">
        <v>47</v>
      </c>
      <c r="F169">
        <v>13695</v>
      </c>
      <c r="G169">
        <v>7507</v>
      </c>
      <c r="H169">
        <v>0</v>
      </c>
      <c r="J169" t="str">
        <f>VLOOKUP(Table3[[#This Row],[Faction ID]],Table4[],2)</f>
        <v>Dol Guldur</v>
      </c>
    </row>
    <row r="170" spans="1:10" x14ac:dyDescent="0.25">
      <c r="A170">
        <v>5</v>
      </c>
      <c r="B170" t="s">
        <v>10</v>
      </c>
      <c r="C170">
        <v>21</v>
      </c>
      <c r="D170">
        <v>11</v>
      </c>
      <c r="E170">
        <v>77</v>
      </c>
      <c r="F170">
        <v>8071</v>
      </c>
      <c r="G170">
        <v>8380</v>
      </c>
      <c r="H170">
        <v>0</v>
      </c>
      <c r="J170" t="str">
        <f>VLOOKUP(Table3[[#This Row],[Faction ID]],Table4[],2)</f>
        <v>Anduin Vale</v>
      </c>
    </row>
    <row r="171" spans="1:10" x14ac:dyDescent="0.25">
      <c r="A171">
        <v>5</v>
      </c>
      <c r="B171" t="s">
        <v>32</v>
      </c>
      <c r="C171">
        <v>8</v>
      </c>
      <c r="D171">
        <v>1</v>
      </c>
      <c r="E171">
        <v>30</v>
      </c>
      <c r="F171">
        <v>7814</v>
      </c>
      <c r="G171">
        <v>5191</v>
      </c>
      <c r="H171">
        <v>0</v>
      </c>
      <c r="J171" t="str">
        <f>VLOOKUP(Table3[[#This Row],[Faction ID]],Table4[],2)</f>
        <v>Isengard</v>
      </c>
    </row>
    <row r="172" spans="1:10" x14ac:dyDescent="0.25">
      <c r="A172">
        <v>5</v>
      </c>
      <c r="B172" t="s">
        <v>22</v>
      </c>
      <c r="C172">
        <v>10</v>
      </c>
      <c r="D172">
        <v>3</v>
      </c>
      <c r="E172">
        <v>33</v>
      </c>
      <c r="F172">
        <v>4495</v>
      </c>
      <c r="G172">
        <v>7045</v>
      </c>
      <c r="H172">
        <v>0</v>
      </c>
      <c r="J172" t="str">
        <f>VLOOKUP(Table3[[#This Row],[Faction ID]],Table4[],2)</f>
        <v>Woodland Realm</v>
      </c>
    </row>
    <row r="173" spans="1:10" x14ac:dyDescent="0.25">
      <c r="A173">
        <v>5</v>
      </c>
      <c r="B173" t="s">
        <v>23</v>
      </c>
      <c r="C173">
        <v>10</v>
      </c>
      <c r="D173">
        <v>3</v>
      </c>
      <c r="E173">
        <v>29</v>
      </c>
      <c r="F173">
        <v>6612</v>
      </c>
      <c r="G173">
        <v>6536</v>
      </c>
      <c r="H173">
        <v>0</v>
      </c>
      <c r="J173" t="str">
        <f>VLOOKUP(Table3[[#This Row],[Faction ID]],Table4[],2)</f>
        <v>Lothlorien</v>
      </c>
    </row>
    <row r="174" spans="1:10" x14ac:dyDescent="0.25">
      <c r="A174">
        <v>5</v>
      </c>
      <c r="B174" t="s">
        <v>24</v>
      </c>
      <c r="C174">
        <v>5</v>
      </c>
      <c r="D174">
        <v>3</v>
      </c>
      <c r="E174">
        <v>27</v>
      </c>
      <c r="F174">
        <v>5066</v>
      </c>
      <c r="G174">
        <v>4822</v>
      </c>
      <c r="H174">
        <v>239</v>
      </c>
      <c r="J174" t="str">
        <f>VLOOKUP(Table3[[#This Row],[Faction ID]],Table4[],2)</f>
        <v>Variags (Khand)</v>
      </c>
    </row>
    <row r="175" spans="1:10" x14ac:dyDescent="0.25">
      <c r="A175">
        <v>5</v>
      </c>
      <c r="B175" t="s">
        <v>14</v>
      </c>
      <c r="C175">
        <v>7</v>
      </c>
      <c r="D175">
        <v>5</v>
      </c>
      <c r="E175">
        <v>40</v>
      </c>
      <c r="F175">
        <v>8716</v>
      </c>
      <c r="G175">
        <v>6700</v>
      </c>
      <c r="H175">
        <v>0</v>
      </c>
      <c r="J175" t="str">
        <f>VLOOKUP(Table3[[#This Row],[Faction ID]],Table4[],2)</f>
        <v>Corsairs of Umbar</v>
      </c>
    </row>
    <row r="176" spans="1:10" x14ac:dyDescent="0.25">
      <c r="A176">
        <v>5</v>
      </c>
      <c r="B176" t="s">
        <v>25</v>
      </c>
      <c r="C176">
        <v>5</v>
      </c>
      <c r="D176">
        <v>3</v>
      </c>
      <c r="E176">
        <v>31</v>
      </c>
      <c r="F176">
        <v>5360</v>
      </c>
      <c r="G176">
        <v>4459</v>
      </c>
      <c r="H176">
        <v>0</v>
      </c>
      <c r="J176" t="str">
        <f>VLOOKUP(Table3[[#This Row],[Faction ID]],Table4[],2)</f>
        <v>Mahud</v>
      </c>
    </row>
    <row r="177" spans="1:10" x14ac:dyDescent="0.25">
      <c r="A177">
        <v>5</v>
      </c>
      <c r="B177" t="s">
        <v>11</v>
      </c>
      <c r="C177">
        <v>18</v>
      </c>
      <c r="D177">
        <v>6</v>
      </c>
      <c r="E177">
        <v>50</v>
      </c>
      <c r="F177">
        <v>9630</v>
      </c>
      <c r="G177">
        <v>6708</v>
      </c>
      <c r="H177">
        <v>0</v>
      </c>
      <c r="J177" t="str">
        <f>VLOOKUP(Table3[[#This Row],[Faction ID]],Table4[],2)</f>
        <v>Haradrim</v>
      </c>
    </row>
    <row r="178" spans="1:10" x14ac:dyDescent="0.25">
      <c r="A178">
        <v>5</v>
      </c>
      <c r="B178" t="s">
        <v>15</v>
      </c>
      <c r="C178">
        <v>12</v>
      </c>
      <c r="D178">
        <v>4</v>
      </c>
      <c r="E178">
        <v>41</v>
      </c>
      <c r="F178">
        <v>5816</v>
      </c>
      <c r="G178">
        <v>7839</v>
      </c>
      <c r="H178">
        <v>0</v>
      </c>
      <c r="J178" t="str">
        <f>VLOOKUP(Table3[[#This Row],[Faction ID]],Table4[],2)</f>
        <v>Dunlendings</v>
      </c>
    </row>
    <row r="179" spans="1:10" x14ac:dyDescent="0.25">
      <c r="A179">
        <v>5</v>
      </c>
      <c r="B179" t="s">
        <v>16</v>
      </c>
      <c r="C179">
        <v>0</v>
      </c>
      <c r="D179">
        <v>0</v>
      </c>
      <c r="E179">
        <v>0</v>
      </c>
      <c r="F179">
        <v>5352</v>
      </c>
      <c r="G179">
        <v>1750</v>
      </c>
      <c r="H179">
        <v>0</v>
      </c>
      <c r="J179" t="str">
        <f>VLOOKUP(Table3[[#This Row],[Faction ID]],Table4[],2)</f>
        <v>Haerrim</v>
      </c>
    </row>
    <row r="180" spans="1:10" x14ac:dyDescent="0.25">
      <c r="A180">
        <v>5</v>
      </c>
      <c r="B180" t="s">
        <v>13</v>
      </c>
      <c r="C180">
        <v>15</v>
      </c>
      <c r="D180">
        <v>7</v>
      </c>
      <c r="E180">
        <v>57</v>
      </c>
      <c r="F180">
        <v>8047</v>
      </c>
      <c r="G180">
        <v>6607</v>
      </c>
      <c r="H180">
        <v>0</v>
      </c>
      <c r="J180" t="str">
        <f>VLOOKUP(Table3[[#This Row],[Faction ID]],Table4[],2)</f>
        <v>Goblins</v>
      </c>
    </row>
    <row r="181" spans="1:10" x14ac:dyDescent="0.25">
      <c r="A181">
        <v>5</v>
      </c>
      <c r="B181" t="s">
        <v>17</v>
      </c>
      <c r="C181">
        <v>0</v>
      </c>
      <c r="D181">
        <v>0</v>
      </c>
      <c r="E181">
        <v>0</v>
      </c>
      <c r="F181">
        <v>4872</v>
      </c>
      <c r="G181">
        <v>2549</v>
      </c>
      <c r="H181">
        <v>0</v>
      </c>
      <c r="J181" t="str">
        <f>VLOOKUP(Table3[[#This Row],[Faction ID]],Table4[],2)</f>
        <v>Balchoth</v>
      </c>
    </row>
    <row r="182" spans="1:10" x14ac:dyDescent="0.25">
      <c r="A182">
        <v>5</v>
      </c>
      <c r="B182" t="s">
        <v>18</v>
      </c>
      <c r="C182">
        <v>21</v>
      </c>
      <c r="D182">
        <v>12</v>
      </c>
      <c r="E182">
        <v>88</v>
      </c>
      <c r="F182">
        <v>13741</v>
      </c>
      <c r="G182">
        <v>12210</v>
      </c>
      <c r="H182">
        <v>309</v>
      </c>
      <c r="J182" t="str">
        <f>VLOOKUP(Table3[[#This Row],[Faction ID]],Table4[],2)</f>
        <v>Rhurim/Rhun</v>
      </c>
    </row>
    <row r="183" spans="1:10" x14ac:dyDescent="0.25">
      <c r="A183">
        <v>5</v>
      </c>
      <c r="B183" t="s">
        <v>19</v>
      </c>
      <c r="C183">
        <v>5</v>
      </c>
      <c r="D183">
        <v>4</v>
      </c>
      <c r="E183">
        <v>43</v>
      </c>
      <c r="F183">
        <v>4564</v>
      </c>
      <c r="G183">
        <v>5061</v>
      </c>
      <c r="H183">
        <v>0</v>
      </c>
      <c r="J183" t="str">
        <f>VLOOKUP(Table3[[#This Row],[Faction ID]],Table4[],2)</f>
        <v>Feredrim</v>
      </c>
    </row>
    <row r="184" spans="1:10" x14ac:dyDescent="0.25">
      <c r="A184">
        <v>5</v>
      </c>
      <c r="B184" t="s">
        <v>26</v>
      </c>
      <c r="C184">
        <v>5</v>
      </c>
      <c r="D184">
        <v>3</v>
      </c>
      <c r="E184">
        <v>27</v>
      </c>
      <c r="F184">
        <v>6198</v>
      </c>
      <c r="G184">
        <v>4801</v>
      </c>
      <c r="H184">
        <v>143</v>
      </c>
      <c r="J184" t="str">
        <f>VLOOKUP(Table3[[#This Row],[Faction ID]],Table4[],2)</f>
        <v>Rachrohir (Wainriders)</v>
      </c>
    </row>
    <row r="185" spans="1:10" x14ac:dyDescent="0.25">
      <c r="A185">
        <v>5</v>
      </c>
      <c r="B185" t="s">
        <v>27</v>
      </c>
      <c r="C185">
        <v>5</v>
      </c>
      <c r="D185">
        <v>3</v>
      </c>
      <c r="E185">
        <v>29</v>
      </c>
      <c r="F185">
        <v>4576</v>
      </c>
      <c r="G185">
        <v>5383</v>
      </c>
      <c r="H185">
        <v>0</v>
      </c>
      <c r="J185" t="str">
        <f>VLOOKUP(Table3[[#This Row],[Faction ID]],Table4[],2)</f>
        <v>Blacklock-Stonefoot League</v>
      </c>
    </row>
    <row r="186" spans="1:10" x14ac:dyDescent="0.25">
      <c r="A186">
        <v>5</v>
      </c>
      <c r="B186" t="s">
        <v>28</v>
      </c>
      <c r="C186">
        <v>4</v>
      </c>
      <c r="D186">
        <v>2</v>
      </c>
      <c r="E186">
        <v>20</v>
      </c>
      <c r="F186">
        <v>5241</v>
      </c>
      <c r="G186">
        <v>4072</v>
      </c>
      <c r="H186">
        <v>0</v>
      </c>
      <c r="J186" t="str">
        <f>VLOOKUP(Table3[[#This Row],[Faction ID]],Table4[],2)</f>
        <v>Ironfist-Stiffbeard Union</v>
      </c>
    </row>
    <row r="187" spans="1:10" x14ac:dyDescent="0.25">
      <c r="A187">
        <v>5</v>
      </c>
      <c r="B187" t="s">
        <v>20</v>
      </c>
      <c r="C187">
        <v>13</v>
      </c>
      <c r="D187">
        <v>5</v>
      </c>
      <c r="E187">
        <v>57</v>
      </c>
      <c r="F187">
        <v>6871</v>
      </c>
      <c r="G187">
        <v>7925</v>
      </c>
      <c r="H187">
        <v>0</v>
      </c>
      <c r="J187" t="str">
        <f>VLOOKUP(Table3[[#This Row],[Faction ID]],Table4[],2)</f>
        <v>Gundabad</v>
      </c>
    </row>
    <row r="188" spans="1:10" x14ac:dyDescent="0.25">
      <c r="A188">
        <v>5</v>
      </c>
      <c r="B188" t="s">
        <v>34</v>
      </c>
      <c r="C188">
        <v>0</v>
      </c>
      <c r="D188">
        <v>0</v>
      </c>
      <c r="E188">
        <v>3</v>
      </c>
      <c r="F188">
        <v>8484</v>
      </c>
      <c r="G188">
        <v>2379</v>
      </c>
      <c r="H188">
        <v>0</v>
      </c>
      <c r="J188" t="str">
        <f>VLOOKUP(Table3[[#This Row],[Faction ID]],Table4[],2)</f>
        <v>Scouts of Rohan</v>
      </c>
    </row>
    <row r="189" spans="1:10" x14ac:dyDescent="0.25">
      <c r="A189">
        <v>5</v>
      </c>
      <c r="B189" t="s">
        <v>33</v>
      </c>
      <c r="C189">
        <v>5</v>
      </c>
      <c r="D189">
        <v>3</v>
      </c>
      <c r="E189">
        <v>9</v>
      </c>
      <c r="F189">
        <v>5122</v>
      </c>
      <c r="G189">
        <v>3126</v>
      </c>
      <c r="H189">
        <v>0</v>
      </c>
      <c r="J189" t="str">
        <f>VLOOKUP(Table3[[#This Row],[Faction ID]],Table4[],2)</f>
        <v>Northern Enedwaith</v>
      </c>
    </row>
    <row r="190" spans="1:10" x14ac:dyDescent="0.25">
      <c r="A190">
        <v>5</v>
      </c>
      <c r="B190" t="s">
        <v>29</v>
      </c>
      <c r="C190">
        <v>3</v>
      </c>
      <c r="D190">
        <v>2</v>
      </c>
      <c r="E190">
        <v>16</v>
      </c>
      <c r="F190">
        <v>6430</v>
      </c>
      <c r="G190">
        <v>3380</v>
      </c>
      <c r="H190">
        <v>0</v>
      </c>
      <c r="J190" t="str">
        <f>VLOOKUP(Table3[[#This Row],[Faction ID]],Table4[],2)</f>
        <v>Southern Enedwaith</v>
      </c>
    </row>
    <row r="191" spans="1:10" x14ac:dyDescent="0.25">
      <c r="A191">
        <v>5</v>
      </c>
      <c r="B191" t="s">
        <v>30</v>
      </c>
      <c r="C191">
        <v>5</v>
      </c>
      <c r="D191">
        <v>3</v>
      </c>
      <c r="E191">
        <v>21</v>
      </c>
      <c r="F191">
        <v>5721</v>
      </c>
      <c r="G191">
        <v>3952</v>
      </c>
      <c r="H191">
        <v>0</v>
      </c>
      <c r="J191" t="str">
        <f>VLOOKUP(Table3[[#This Row],[Faction ID]],Table4[],2)</f>
        <v>Druedain</v>
      </c>
    </row>
    <row r="192" spans="1:10" x14ac:dyDescent="0.25">
      <c r="A192">
        <v>5</v>
      </c>
      <c r="B192" t="s">
        <v>31</v>
      </c>
      <c r="C192">
        <v>4</v>
      </c>
      <c r="D192">
        <v>2</v>
      </c>
      <c r="E192">
        <v>23</v>
      </c>
      <c r="F192">
        <v>5051</v>
      </c>
      <c r="G192">
        <v>4551</v>
      </c>
      <c r="H192">
        <v>136</v>
      </c>
      <c r="J192" t="str">
        <f>VLOOKUP(Table3[[#This Row],[Faction ID]],Table4[],2)</f>
        <v>Harondor</v>
      </c>
    </row>
    <row r="193" spans="1:10" x14ac:dyDescent="0.25">
      <c r="A193">
        <v>5</v>
      </c>
      <c r="B193" t="s">
        <v>35</v>
      </c>
      <c r="C193">
        <v>0</v>
      </c>
      <c r="D193">
        <v>0</v>
      </c>
      <c r="E193">
        <v>0</v>
      </c>
      <c r="F193">
        <v>4000</v>
      </c>
      <c r="G193">
        <v>1750</v>
      </c>
      <c r="H193">
        <v>0</v>
      </c>
      <c r="J193" t="str">
        <f>VLOOKUP(Table3[[#This Row],[Faction ID]],Table4[],2)</f>
        <v>Southron Nomads</v>
      </c>
    </row>
    <row r="194" spans="1:10" x14ac:dyDescent="0.25">
      <c r="A194">
        <v>5</v>
      </c>
      <c r="B194" t="s">
        <v>36</v>
      </c>
      <c r="C194">
        <v>0</v>
      </c>
      <c r="D194">
        <v>0</v>
      </c>
      <c r="E194">
        <v>0</v>
      </c>
      <c r="F194">
        <v>4000</v>
      </c>
      <c r="G194">
        <v>1750</v>
      </c>
      <c r="H194">
        <v>0</v>
      </c>
      <c r="J194" t="str">
        <f>VLOOKUP(Table3[[#This Row],[Faction ID]],Table4[],2)</f>
        <v>_</v>
      </c>
    </row>
    <row r="195" spans="1:10" x14ac:dyDescent="0.25">
      <c r="A195">
        <v>5</v>
      </c>
      <c r="B195" t="s">
        <v>37</v>
      </c>
      <c r="C195">
        <v>0</v>
      </c>
      <c r="D195">
        <v>0</v>
      </c>
      <c r="E195">
        <v>0</v>
      </c>
      <c r="F195">
        <v>4000</v>
      </c>
      <c r="G195">
        <v>1750</v>
      </c>
      <c r="H195">
        <v>0</v>
      </c>
      <c r="J195" t="str">
        <f>VLOOKUP(Table3[[#This Row],[Faction ID]],Table4[],2)</f>
        <v>_</v>
      </c>
    </row>
    <row r="196" spans="1:10" x14ac:dyDescent="0.25">
      <c r="A196">
        <v>5</v>
      </c>
      <c r="B196" t="s">
        <v>38</v>
      </c>
      <c r="C196">
        <v>0</v>
      </c>
      <c r="D196">
        <v>0</v>
      </c>
      <c r="E196">
        <v>0</v>
      </c>
      <c r="F196">
        <v>4000</v>
      </c>
      <c r="G196">
        <v>1750</v>
      </c>
      <c r="H196">
        <v>0</v>
      </c>
      <c r="J196" t="str">
        <f>VLOOKUP(Table3[[#This Row],[Faction ID]],Table4[],2)</f>
        <v>_</v>
      </c>
    </row>
    <row r="197" spans="1:10" x14ac:dyDescent="0.25">
      <c r="A197">
        <v>5</v>
      </c>
      <c r="B197" t="s">
        <v>39</v>
      </c>
      <c r="C197">
        <v>0</v>
      </c>
      <c r="D197">
        <v>0</v>
      </c>
      <c r="E197">
        <v>0</v>
      </c>
      <c r="F197">
        <v>4000</v>
      </c>
      <c r="G197">
        <v>1750</v>
      </c>
      <c r="H197">
        <v>0</v>
      </c>
      <c r="J197" t="str">
        <f>VLOOKUP(Table3[[#This Row],[Faction ID]],Table4[],2)</f>
        <v>_</v>
      </c>
    </row>
    <row r="198" spans="1:10" x14ac:dyDescent="0.25">
      <c r="A198">
        <v>5</v>
      </c>
      <c r="B198" t="s">
        <v>40</v>
      </c>
      <c r="C198">
        <v>0</v>
      </c>
      <c r="D198">
        <v>0</v>
      </c>
      <c r="E198">
        <v>0</v>
      </c>
      <c r="F198">
        <v>4000</v>
      </c>
      <c r="G198">
        <v>1750</v>
      </c>
      <c r="H198">
        <v>0</v>
      </c>
      <c r="J198" t="str">
        <f>VLOOKUP(Table3[[#This Row],[Faction ID]],Table4[],2)</f>
        <v>_</v>
      </c>
    </row>
    <row r="199" spans="1:10" x14ac:dyDescent="0.25">
      <c r="A199">
        <v>5</v>
      </c>
      <c r="B199" t="s">
        <v>41</v>
      </c>
      <c r="C199">
        <v>0</v>
      </c>
      <c r="D199">
        <v>0</v>
      </c>
      <c r="E199">
        <v>0</v>
      </c>
      <c r="F199">
        <v>4000</v>
      </c>
      <c r="G199">
        <v>1750</v>
      </c>
      <c r="H199">
        <v>0</v>
      </c>
      <c r="J199" t="str">
        <f>VLOOKUP(Table3[[#This Row],[Faction ID]],Table4[],2)</f>
        <v>_</v>
      </c>
    </row>
    <row r="200" spans="1:10" x14ac:dyDescent="0.25">
      <c r="A200">
        <v>5</v>
      </c>
      <c r="B200" t="s">
        <v>42</v>
      </c>
      <c r="C200">
        <v>0</v>
      </c>
      <c r="D200">
        <v>0</v>
      </c>
      <c r="E200">
        <v>0</v>
      </c>
      <c r="F200">
        <v>4000</v>
      </c>
      <c r="G200">
        <v>1750</v>
      </c>
      <c r="H200">
        <v>0</v>
      </c>
      <c r="J200" t="str">
        <f>VLOOKUP(Table3[[#This Row],[Faction ID]],Table4[],2)</f>
        <v>_</v>
      </c>
    </row>
    <row r="201" spans="1:10" x14ac:dyDescent="0.25">
      <c r="A201">
        <v>5</v>
      </c>
      <c r="B201" t="s">
        <v>43</v>
      </c>
      <c r="C201">
        <v>0</v>
      </c>
      <c r="D201">
        <v>0</v>
      </c>
      <c r="E201">
        <v>0</v>
      </c>
      <c r="F201">
        <v>4000</v>
      </c>
      <c r="G201">
        <v>1750</v>
      </c>
      <c r="H201">
        <v>0</v>
      </c>
      <c r="J201" t="str">
        <f>VLOOKUP(Table3[[#This Row],[Faction ID]],Table4[],2)</f>
        <v>_</v>
      </c>
    </row>
    <row r="202" spans="1:10" x14ac:dyDescent="0.25">
      <c r="A202">
        <v>5</v>
      </c>
      <c r="B202" t="s">
        <v>44</v>
      </c>
      <c r="C202">
        <v>0</v>
      </c>
      <c r="D202">
        <v>0</v>
      </c>
      <c r="E202">
        <v>0</v>
      </c>
      <c r="F202">
        <v>4000</v>
      </c>
      <c r="G202">
        <v>1750</v>
      </c>
      <c r="H202">
        <v>0</v>
      </c>
      <c r="J202" t="str">
        <f>VLOOKUP(Table3[[#This Row],[Faction ID]],Table4[],2)</f>
        <v>_</v>
      </c>
    </row>
    <row r="203" spans="1:10" x14ac:dyDescent="0.25">
      <c r="A203">
        <v>6</v>
      </c>
      <c r="B203" t="s">
        <v>9</v>
      </c>
      <c r="C203">
        <v>27</v>
      </c>
      <c r="D203">
        <v>11</v>
      </c>
      <c r="E203">
        <v>114</v>
      </c>
      <c r="F203">
        <v>3202</v>
      </c>
      <c r="G203">
        <v>11214</v>
      </c>
      <c r="H203">
        <v>562</v>
      </c>
      <c r="J203" t="str">
        <f>VLOOKUP(Table3[[#This Row],[Faction ID]],Table4[],2)</f>
        <v>Mordor</v>
      </c>
    </row>
    <row r="204" spans="1:10" x14ac:dyDescent="0.25">
      <c r="A204">
        <v>6</v>
      </c>
      <c r="B204" t="s">
        <v>4</v>
      </c>
      <c r="C204">
        <v>31</v>
      </c>
      <c r="D204">
        <v>19</v>
      </c>
      <c r="E204">
        <v>180</v>
      </c>
      <c r="F204">
        <v>19780</v>
      </c>
      <c r="G204">
        <v>16320</v>
      </c>
      <c r="H204">
        <v>454</v>
      </c>
      <c r="J204" t="str">
        <f>VLOOKUP(Table3[[#This Row],[Faction ID]],Table4[],2)</f>
        <v>Gondor</v>
      </c>
    </row>
    <row r="205" spans="1:10" x14ac:dyDescent="0.25">
      <c r="A205">
        <v>6</v>
      </c>
      <c r="B205" t="s">
        <v>6</v>
      </c>
      <c r="C205">
        <v>26</v>
      </c>
      <c r="D205">
        <v>12</v>
      </c>
      <c r="E205">
        <v>103</v>
      </c>
      <c r="F205">
        <v>9454</v>
      </c>
      <c r="G205">
        <v>10046</v>
      </c>
      <c r="H205">
        <v>0</v>
      </c>
      <c r="J205" t="str">
        <f>VLOOKUP(Table3[[#This Row],[Faction ID]],Table4[],2)</f>
        <v>Dale</v>
      </c>
    </row>
    <row r="206" spans="1:10" x14ac:dyDescent="0.25">
      <c r="A206">
        <v>6</v>
      </c>
      <c r="B206" t="s">
        <v>21</v>
      </c>
      <c r="C206">
        <v>10</v>
      </c>
      <c r="D206">
        <v>3</v>
      </c>
      <c r="E206">
        <v>40</v>
      </c>
      <c r="F206">
        <v>10527</v>
      </c>
      <c r="G206">
        <v>8226</v>
      </c>
      <c r="H206">
        <v>0</v>
      </c>
      <c r="J206" t="str">
        <f>VLOOKUP(Table3[[#This Row],[Faction ID]],Table4[],2)</f>
        <v>Erebor</v>
      </c>
    </row>
    <row r="207" spans="1:10" x14ac:dyDescent="0.25">
      <c r="A207">
        <v>6</v>
      </c>
      <c r="B207" t="s">
        <v>5</v>
      </c>
      <c r="C207">
        <v>28</v>
      </c>
      <c r="D207">
        <v>14</v>
      </c>
      <c r="E207">
        <v>111</v>
      </c>
      <c r="F207">
        <v>8038</v>
      </c>
      <c r="G207">
        <v>8508</v>
      </c>
      <c r="H207">
        <v>168</v>
      </c>
      <c r="J207" t="str">
        <f>VLOOKUP(Table3[[#This Row],[Faction ID]],Table4[],2)</f>
        <v>Rohan</v>
      </c>
    </row>
    <row r="208" spans="1:10" x14ac:dyDescent="0.25">
      <c r="A208">
        <v>6</v>
      </c>
      <c r="B208" t="s">
        <v>12</v>
      </c>
      <c r="C208">
        <v>14</v>
      </c>
      <c r="D208">
        <v>6</v>
      </c>
      <c r="E208">
        <v>52</v>
      </c>
      <c r="F208">
        <v>12986</v>
      </c>
      <c r="G208">
        <v>8231</v>
      </c>
      <c r="H208">
        <v>0</v>
      </c>
      <c r="J208" t="str">
        <f>VLOOKUP(Table3[[#This Row],[Faction ID]],Table4[],2)</f>
        <v>Dol Guldur</v>
      </c>
    </row>
    <row r="209" spans="1:10" x14ac:dyDescent="0.25">
      <c r="A209">
        <v>6</v>
      </c>
      <c r="B209" t="s">
        <v>10</v>
      </c>
      <c r="C209">
        <v>26</v>
      </c>
      <c r="D209">
        <v>12</v>
      </c>
      <c r="E209">
        <v>84</v>
      </c>
      <c r="F209">
        <v>9267</v>
      </c>
      <c r="G209">
        <v>8837</v>
      </c>
      <c r="H209">
        <v>0</v>
      </c>
      <c r="J209" t="str">
        <f>VLOOKUP(Table3[[#This Row],[Faction ID]],Table4[],2)</f>
        <v>Anduin Vale</v>
      </c>
    </row>
    <row r="210" spans="1:10" x14ac:dyDescent="0.25">
      <c r="A210">
        <v>6</v>
      </c>
      <c r="B210" t="s">
        <v>32</v>
      </c>
      <c r="C210">
        <v>8</v>
      </c>
      <c r="D210">
        <v>1</v>
      </c>
      <c r="E210">
        <v>32</v>
      </c>
      <c r="F210">
        <v>7588</v>
      </c>
      <c r="G210">
        <v>5824</v>
      </c>
      <c r="H210">
        <v>0</v>
      </c>
      <c r="J210" t="str">
        <f>VLOOKUP(Table3[[#This Row],[Faction ID]],Table4[],2)</f>
        <v>Isengard</v>
      </c>
    </row>
    <row r="211" spans="1:10" x14ac:dyDescent="0.25">
      <c r="A211">
        <v>6</v>
      </c>
      <c r="B211" t="s">
        <v>22</v>
      </c>
      <c r="C211">
        <v>10</v>
      </c>
      <c r="D211">
        <v>3</v>
      </c>
      <c r="E211">
        <v>35</v>
      </c>
      <c r="F211">
        <v>4657</v>
      </c>
      <c r="G211">
        <v>7349</v>
      </c>
      <c r="H211">
        <v>0</v>
      </c>
      <c r="J211" t="str">
        <f>VLOOKUP(Table3[[#This Row],[Faction ID]],Table4[],2)</f>
        <v>Woodland Realm</v>
      </c>
    </row>
    <row r="212" spans="1:10" x14ac:dyDescent="0.25">
      <c r="A212">
        <v>6</v>
      </c>
      <c r="B212" t="s">
        <v>23</v>
      </c>
      <c r="C212">
        <v>10</v>
      </c>
      <c r="D212">
        <v>3</v>
      </c>
      <c r="E212">
        <v>31</v>
      </c>
      <c r="F212">
        <v>5738</v>
      </c>
      <c r="G212">
        <v>6945</v>
      </c>
      <c r="H212">
        <v>0</v>
      </c>
      <c r="J212" t="str">
        <f>VLOOKUP(Table3[[#This Row],[Faction ID]],Table4[],2)</f>
        <v>Lothlorien</v>
      </c>
    </row>
    <row r="213" spans="1:10" x14ac:dyDescent="0.25">
      <c r="A213">
        <v>6</v>
      </c>
      <c r="B213" t="s">
        <v>24</v>
      </c>
      <c r="C213">
        <v>5</v>
      </c>
      <c r="D213">
        <v>3</v>
      </c>
      <c r="E213">
        <v>29</v>
      </c>
      <c r="F213">
        <v>5291</v>
      </c>
      <c r="G213">
        <v>5300</v>
      </c>
      <c r="H213">
        <v>239</v>
      </c>
      <c r="J213" t="str">
        <f>VLOOKUP(Table3[[#This Row],[Faction ID]],Table4[],2)</f>
        <v>Variags (Khand)</v>
      </c>
    </row>
    <row r="214" spans="1:10" x14ac:dyDescent="0.25">
      <c r="A214">
        <v>6</v>
      </c>
      <c r="B214" t="s">
        <v>14</v>
      </c>
      <c r="C214">
        <v>7</v>
      </c>
      <c r="D214">
        <v>5</v>
      </c>
      <c r="E214">
        <v>42</v>
      </c>
      <c r="F214">
        <v>7056</v>
      </c>
      <c r="G214">
        <v>6556</v>
      </c>
      <c r="H214">
        <v>0</v>
      </c>
      <c r="J214" t="str">
        <f>VLOOKUP(Table3[[#This Row],[Faction ID]],Table4[],2)</f>
        <v>Corsairs of Umbar</v>
      </c>
    </row>
    <row r="215" spans="1:10" x14ac:dyDescent="0.25">
      <c r="A215">
        <v>6</v>
      </c>
      <c r="B215" t="s">
        <v>25</v>
      </c>
      <c r="C215">
        <v>5</v>
      </c>
      <c r="D215">
        <v>3</v>
      </c>
      <c r="E215">
        <v>31</v>
      </c>
      <c r="F215">
        <v>5773</v>
      </c>
      <c r="G215">
        <v>4800</v>
      </c>
      <c r="H215">
        <v>0</v>
      </c>
      <c r="J215" t="str">
        <f>VLOOKUP(Table3[[#This Row],[Faction ID]],Table4[],2)</f>
        <v>Mahud</v>
      </c>
    </row>
    <row r="216" spans="1:10" x14ac:dyDescent="0.25">
      <c r="A216">
        <v>6</v>
      </c>
      <c r="B216" t="s">
        <v>11</v>
      </c>
      <c r="C216">
        <v>18</v>
      </c>
      <c r="D216">
        <v>6</v>
      </c>
      <c r="E216">
        <v>56</v>
      </c>
      <c r="F216">
        <v>7992</v>
      </c>
      <c r="G216">
        <v>7033</v>
      </c>
      <c r="H216">
        <v>0</v>
      </c>
      <c r="J216" t="str">
        <f>VLOOKUP(Table3[[#This Row],[Faction ID]],Table4[],2)</f>
        <v>Haradrim</v>
      </c>
    </row>
    <row r="217" spans="1:10" x14ac:dyDescent="0.25">
      <c r="A217">
        <v>6</v>
      </c>
      <c r="B217" t="s">
        <v>15</v>
      </c>
      <c r="C217">
        <v>12</v>
      </c>
      <c r="D217">
        <v>4</v>
      </c>
      <c r="E217">
        <v>44</v>
      </c>
      <c r="F217">
        <v>6822</v>
      </c>
      <c r="G217">
        <v>8053</v>
      </c>
      <c r="H217">
        <v>0</v>
      </c>
      <c r="J217" t="str">
        <f>VLOOKUP(Table3[[#This Row],[Faction ID]],Table4[],2)</f>
        <v>Dunlendings</v>
      </c>
    </row>
    <row r="218" spans="1:10" x14ac:dyDescent="0.25">
      <c r="A218">
        <v>6</v>
      </c>
      <c r="B218" t="s">
        <v>16</v>
      </c>
      <c r="C218">
        <v>0</v>
      </c>
      <c r="D218">
        <v>0</v>
      </c>
      <c r="E218">
        <v>0</v>
      </c>
      <c r="F218">
        <v>5352</v>
      </c>
      <c r="G218">
        <v>1750</v>
      </c>
      <c r="H218">
        <v>0</v>
      </c>
      <c r="J218" t="str">
        <f>VLOOKUP(Table3[[#This Row],[Faction ID]],Table4[],2)</f>
        <v>Haerrim</v>
      </c>
    </row>
    <row r="219" spans="1:10" x14ac:dyDescent="0.25">
      <c r="A219">
        <v>6</v>
      </c>
      <c r="B219" t="s">
        <v>13</v>
      </c>
      <c r="C219">
        <v>15</v>
      </c>
      <c r="D219">
        <v>7</v>
      </c>
      <c r="E219">
        <v>67</v>
      </c>
      <c r="F219">
        <v>9949</v>
      </c>
      <c r="G219">
        <v>8077</v>
      </c>
      <c r="H219">
        <v>0</v>
      </c>
      <c r="J219" t="str">
        <f>VLOOKUP(Table3[[#This Row],[Faction ID]],Table4[],2)</f>
        <v>Goblins</v>
      </c>
    </row>
    <row r="220" spans="1:10" x14ac:dyDescent="0.25">
      <c r="A220">
        <v>6</v>
      </c>
      <c r="B220" t="s">
        <v>17</v>
      </c>
      <c r="C220">
        <v>0</v>
      </c>
      <c r="D220">
        <v>0</v>
      </c>
      <c r="E220">
        <v>0</v>
      </c>
      <c r="F220">
        <v>4872</v>
      </c>
      <c r="G220">
        <v>2549</v>
      </c>
      <c r="H220">
        <v>0</v>
      </c>
      <c r="J220" t="str">
        <f>VLOOKUP(Table3[[#This Row],[Faction ID]],Table4[],2)</f>
        <v>Balchoth</v>
      </c>
    </row>
    <row r="221" spans="1:10" x14ac:dyDescent="0.25">
      <c r="A221">
        <v>6</v>
      </c>
      <c r="B221" t="s">
        <v>18</v>
      </c>
      <c r="C221">
        <v>21</v>
      </c>
      <c r="D221">
        <v>12</v>
      </c>
      <c r="E221">
        <v>101</v>
      </c>
      <c r="F221">
        <v>14488</v>
      </c>
      <c r="G221">
        <v>13030</v>
      </c>
      <c r="H221">
        <v>311</v>
      </c>
      <c r="J221" t="str">
        <f>VLOOKUP(Table3[[#This Row],[Faction ID]],Table4[],2)</f>
        <v>Rhurim/Rhun</v>
      </c>
    </row>
    <row r="222" spans="1:10" x14ac:dyDescent="0.25">
      <c r="A222">
        <v>6</v>
      </c>
      <c r="B222" t="s">
        <v>19</v>
      </c>
      <c r="C222">
        <v>6</v>
      </c>
      <c r="D222">
        <v>5</v>
      </c>
      <c r="E222">
        <v>45</v>
      </c>
      <c r="F222">
        <v>5812</v>
      </c>
      <c r="G222">
        <v>5067</v>
      </c>
      <c r="H222">
        <v>0</v>
      </c>
      <c r="J222" t="str">
        <f>VLOOKUP(Table3[[#This Row],[Faction ID]],Table4[],2)</f>
        <v>Feredrim</v>
      </c>
    </row>
    <row r="223" spans="1:10" x14ac:dyDescent="0.25">
      <c r="A223">
        <v>6</v>
      </c>
      <c r="B223" t="s">
        <v>26</v>
      </c>
      <c r="C223">
        <v>5</v>
      </c>
      <c r="D223">
        <v>3</v>
      </c>
      <c r="E223">
        <v>30</v>
      </c>
      <c r="F223">
        <v>3399</v>
      </c>
      <c r="G223">
        <v>5103</v>
      </c>
      <c r="H223">
        <v>144</v>
      </c>
      <c r="J223" t="str">
        <f>VLOOKUP(Table3[[#This Row],[Faction ID]],Table4[],2)</f>
        <v>Rachrohir (Wainriders)</v>
      </c>
    </row>
    <row r="224" spans="1:10" x14ac:dyDescent="0.25">
      <c r="A224">
        <v>6</v>
      </c>
      <c r="B224" t="s">
        <v>27</v>
      </c>
      <c r="C224">
        <v>5</v>
      </c>
      <c r="D224">
        <v>3</v>
      </c>
      <c r="E224">
        <v>30</v>
      </c>
      <c r="F224">
        <v>6022</v>
      </c>
      <c r="G224">
        <v>5563</v>
      </c>
      <c r="H224">
        <v>0</v>
      </c>
      <c r="J224" t="str">
        <f>VLOOKUP(Table3[[#This Row],[Faction ID]],Table4[],2)</f>
        <v>Blacklock-Stonefoot League</v>
      </c>
    </row>
    <row r="225" spans="1:10" x14ac:dyDescent="0.25">
      <c r="A225">
        <v>6</v>
      </c>
      <c r="B225" t="s">
        <v>28</v>
      </c>
      <c r="C225">
        <v>4</v>
      </c>
      <c r="D225">
        <v>2</v>
      </c>
      <c r="E225">
        <v>21</v>
      </c>
      <c r="F225">
        <v>4068</v>
      </c>
      <c r="G225">
        <v>4231</v>
      </c>
      <c r="H225">
        <v>0</v>
      </c>
      <c r="J225" t="str">
        <f>VLOOKUP(Table3[[#This Row],[Faction ID]],Table4[],2)</f>
        <v>Ironfist-Stiffbeard Union</v>
      </c>
    </row>
    <row r="226" spans="1:10" x14ac:dyDescent="0.25">
      <c r="A226">
        <v>6</v>
      </c>
      <c r="B226" t="s">
        <v>20</v>
      </c>
      <c r="C226">
        <v>13</v>
      </c>
      <c r="D226">
        <v>5</v>
      </c>
      <c r="E226">
        <v>61</v>
      </c>
      <c r="F226">
        <v>7751</v>
      </c>
      <c r="G226">
        <v>8022</v>
      </c>
      <c r="H226">
        <v>0</v>
      </c>
      <c r="J226" t="str">
        <f>VLOOKUP(Table3[[#This Row],[Faction ID]],Table4[],2)</f>
        <v>Gundabad</v>
      </c>
    </row>
    <row r="227" spans="1:10" x14ac:dyDescent="0.25">
      <c r="A227">
        <v>6</v>
      </c>
      <c r="B227" t="s">
        <v>34</v>
      </c>
      <c r="C227">
        <v>0</v>
      </c>
      <c r="D227">
        <v>0</v>
      </c>
      <c r="E227">
        <v>3</v>
      </c>
      <c r="F227">
        <v>9605</v>
      </c>
      <c r="G227">
        <v>2379</v>
      </c>
      <c r="H227">
        <v>0</v>
      </c>
      <c r="J227" t="str">
        <f>VLOOKUP(Table3[[#This Row],[Faction ID]],Table4[],2)</f>
        <v>Scouts of Rohan</v>
      </c>
    </row>
    <row r="228" spans="1:10" x14ac:dyDescent="0.25">
      <c r="A228">
        <v>6</v>
      </c>
      <c r="B228" t="s">
        <v>33</v>
      </c>
      <c r="C228">
        <v>5</v>
      </c>
      <c r="D228">
        <v>3</v>
      </c>
      <c r="E228">
        <v>9</v>
      </c>
      <c r="F228">
        <v>4446</v>
      </c>
      <c r="G228">
        <v>3192</v>
      </c>
      <c r="H228">
        <v>0</v>
      </c>
      <c r="J228" t="str">
        <f>VLOOKUP(Table3[[#This Row],[Faction ID]],Table4[],2)</f>
        <v>Northern Enedwaith</v>
      </c>
    </row>
    <row r="229" spans="1:10" x14ac:dyDescent="0.25">
      <c r="A229">
        <v>6</v>
      </c>
      <c r="B229" t="s">
        <v>29</v>
      </c>
      <c r="C229">
        <v>3</v>
      </c>
      <c r="D229">
        <v>2</v>
      </c>
      <c r="E229">
        <v>16</v>
      </c>
      <c r="F229">
        <v>5362</v>
      </c>
      <c r="G229">
        <v>3393</v>
      </c>
      <c r="H229">
        <v>0</v>
      </c>
      <c r="J229" t="str">
        <f>VLOOKUP(Table3[[#This Row],[Faction ID]],Table4[],2)</f>
        <v>Southern Enedwaith</v>
      </c>
    </row>
    <row r="230" spans="1:10" x14ac:dyDescent="0.25">
      <c r="A230">
        <v>6</v>
      </c>
      <c r="B230" t="s">
        <v>30</v>
      </c>
      <c r="C230">
        <v>5</v>
      </c>
      <c r="D230">
        <v>3</v>
      </c>
      <c r="E230">
        <v>21</v>
      </c>
      <c r="F230">
        <v>7025</v>
      </c>
      <c r="G230">
        <v>3956</v>
      </c>
      <c r="H230">
        <v>0</v>
      </c>
      <c r="J230" t="str">
        <f>VLOOKUP(Table3[[#This Row],[Faction ID]],Table4[],2)</f>
        <v>Druedain</v>
      </c>
    </row>
    <row r="231" spans="1:10" x14ac:dyDescent="0.25">
      <c r="A231">
        <v>6</v>
      </c>
      <c r="B231" t="s">
        <v>31</v>
      </c>
      <c r="C231">
        <v>4</v>
      </c>
      <c r="D231">
        <v>2</v>
      </c>
      <c r="E231">
        <v>23</v>
      </c>
      <c r="F231">
        <v>6185</v>
      </c>
      <c r="G231">
        <v>4550</v>
      </c>
      <c r="H231">
        <v>135</v>
      </c>
      <c r="J231" t="str">
        <f>VLOOKUP(Table3[[#This Row],[Faction ID]],Table4[],2)</f>
        <v>Harondor</v>
      </c>
    </row>
    <row r="232" spans="1:10" x14ac:dyDescent="0.25">
      <c r="A232">
        <v>6</v>
      </c>
      <c r="B232" t="s">
        <v>35</v>
      </c>
      <c r="C232">
        <v>0</v>
      </c>
      <c r="D232">
        <v>0</v>
      </c>
      <c r="E232">
        <v>0</v>
      </c>
      <c r="F232">
        <v>4000</v>
      </c>
      <c r="G232">
        <v>1750</v>
      </c>
      <c r="H232">
        <v>0</v>
      </c>
      <c r="J232" t="str">
        <f>VLOOKUP(Table3[[#This Row],[Faction ID]],Table4[],2)</f>
        <v>Southron Nomads</v>
      </c>
    </row>
    <row r="233" spans="1:10" x14ac:dyDescent="0.25">
      <c r="A233">
        <v>6</v>
      </c>
      <c r="B233" t="s">
        <v>36</v>
      </c>
      <c r="C233">
        <v>0</v>
      </c>
      <c r="D233">
        <v>0</v>
      </c>
      <c r="E233">
        <v>0</v>
      </c>
      <c r="F233">
        <v>4000</v>
      </c>
      <c r="G233">
        <v>1750</v>
      </c>
      <c r="H233">
        <v>0</v>
      </c>
      <c r="J233" t="str">
        <f>VLOOKUP(Table3[[#This Row],[Faction ID]],Table4[],2)</f>
        <v>_</v>
      </c>
    </row>
    <row r="234" spans="1:10" x14ac:dyDescent="0.25">
      <c r="A234">
        <v>6</v>
      </c>
      <c r="B234" t="s">
        <v>37</v>
      </c>
      <c r="C234">
        <v>0</v>
      </c>
      <c r="D234">
        <v>0</v>
      </c>
      <c r="E234">
        <v>0</v>
      </c>
      <c r="F234">
        <v>4000</v>
      </c>
      <c r="G234">
        <v>1750</v>
      </c>
      <c r="H234">
        <v>0</v>
      </c>
      <c r="J234" t="str">
        <f>VLOOKUP(Table3[[#This Row],[Faction ID]],Table4[],2)</f>
        <v>_</v>
      </c>
    </row>
    <row r="235" spans="1:10" x14ac:dyDescent="0.25">
      <c r="A235">
        <v>6</v>
      </c>
      <c r="B235" t="s">
        <v>38</v>
      </c>
      <c r="C235">
        <v>0</v>
      </c>
      <c r="D235">
        <v>0</v>
      </c>
      <c r="E235">
        <v>0</v>
      </c>
      <c r="F235">
        <v>4000</v>
      </c>
      <c r="G235">
        <v>1750</v>
      </c>
      <c r="H235">
        <v>0</v>
      </c>
      <c r="J235" t="str">
        <f>VLOOKUP(Table3[[#This Row],[Faction ID]],Table4[],2)</f>
        <v>_</v>
      </c>
    </row>
    <row r="236" spans="1:10" x14ac:dyDescent="0.25">
      <c r="A236">
        <v>6</v>
      </c>
      <c r="B236" t="s">
        <v>39</v>
      </c>
      <c r="C236">
        <v>0</v>
      </c>
      <c r="D236">
        <v>0</v>
      </c>
      <c r="E236">
        <v>0</v>
      </c>
      <c r="F236">
        <v>4000</v>
      </c>
      <c r="G236">
        <v>1750</v>
      </c>
      <c r="H236">
        <v>0</v>
      </c>
      <c r="J236" t="str">
        <f>VLOOKUP(Table3[[#This Row],[Faction ID]],Table4[],2)</f>
        <v>_</v>
      </c>
    </row>
    <row r="237" spans="1:10" x14ac:dyDescent="0.25">
      <c r="A237">
        <v>6</v>
      </c>
      <c r="B237" t="s">
        <v>40</v>
      </c>
      <c r="C237">
        <v>0</v>
      </c>
      <c r="D237">
        <v>0</v>
      </c>
      <c r="E237">
        <v>0</v>
      </c>
      <c r="F237">
        <v>4000</v>
      </c>
      <c r="G237">
        <v>1750</v>
      </c>
      <c r="H237">
        <v>0</v>
      </c>
      <c r="J237" t="str">
        <f>VLOOKUP(Table3[[#This Row],[Faction ID]],Table4[],2)</f>
        <v>_</v>
      </c>
    </row>
    <row r="238" spans="1:10" x14ac:dyDescent="0.25">
      <c r="A238">
        <v>6</v>
      </c>
      <c r="B238" t="s">
        <v>41</v>
      </c>
      <c r="C238">
        <v>0</v>
      </c>
      <c r="D238">
        <v>0</v>
      </c>
      <c r="E238">
        <v>0</v>
      </c>
      <c r="F238">
        <v>4000</v>
      </c>
      <c r="G238">
        <v>1750</v>
      </c>
      <c r="H238">
        <v>0</v>
      </c>
      <c r="J238" t="str">
        <f>VLOOKUP(Table3[[#This Row],[Faction ID]],Table4[],2)</f>
        <v>_</v>
      </c>
    </row>
    <row r="239" spans="1:10" x14ac:dyDescent="0.25">
      <c r="A239">
        <v>6</v>
      </c>
      <c r="B239" t="s">
        <v>42</v>
      </c>
      <c r="C239">
        <v>0</v>
      </c>
      <c r="D239">
        <v>0</v>
      </c>
      <c r="E239">
        <v>0</v>
      </c>
      <c r="F239">
        <v>4000</v>
      </c>
      <c r="G239">
        <v>1750</v>
      </c>
      <c r="H239">
        <v>0</v>
      </c>
      <c r="J239" t="str">
        <f>VLOOKUP(Table3[[#This Row],[Faction ID]],Table4[],2)</f>
        <v>_</v>
      </c>
    </row>
    <row r="240" spans="1:10" x14ac:dyDescent="0.25">
      <c r="A240">
        <v>6</v>
      </c>
      <c r="B240" t="s">
        <v>43</v>
      </c>
      <c r="C240">
        <v>0</v>
      </c>
      <c r="D240">
        <v>0</v>
      </c>
      <c r="E240">
        <v>0</v>
      </c>
      <c r="F240">
        <v>4000</v>
      </c>
      <c r="G240">
        <v>1750</v>
      </c>
      <c r="H240">
        <v>0</v>
      </c>
      <c r="J240" t="str">
        <f>VLOOKUP(Table3[[#This Row],[Faction ID]],Table4[],2)</f>
        <v>_</v>
      </c>
    </row>
    <row r="241" spans="1:10" x14ac:dyDescent="0.25">
      <c r="A241">
        <v>6</v>
      </c>
      <c r="B241" t="s">
        <v>44</v>
      </c>
      <c r="C241">
        <v>0</v>
      </c>
      <c r="D241">
        <v>0</v>
      </c>
      <c r="E241">
        <v>0</v>
      </c>
      <c r="F241">
        <v>4000</v>
      </c>
      <c r="G241">
        <v>1750</v>
      </c>
      <c r="H241">
        <v>0</v>
      </c>
      <c r="J241" t="str">
        <f>VLOOKUP(Table3[[#This Row],[Faction ID]],Table4[],2)</f>
        <v>_</v>
      </c>
    </row>
    <row r="242" spans="1:10" x14ac:dyDescent="0.25">
      <c r="A242">
        <v>7</v>
      </c>
      <c r="B242" t="s">
        <v>9</v>
      </c>
      <c r="C242">
        <v>35</v>
      </c>
      <c r="D242">
        <v>14</v>
      </c>
      <c r="E242">
        <v>114.5</v>
      </c>
      <c r="F242">
        <v>40</v>
      </c>
      <c r="G242">
        <v>12458</v>
      </c>
      <c r="H242">
        <v>570</v>
      </c>
      <c r="J242" t="str">
        <f>VLOOKUP(Table3[[#This Row],[Faction ID]],Table4[],2)</f>
        <v>Mordor</v>
      </c>
    </row>
    <row r="243" spans="1:10" x14ac:dyDescent="0.25">
      <c r="A243">
        <v>7</v>
      </c>
      <c r="B243" t="s">
        <v>4</v>
      </c>
      <c r="C243">
        <v>28</v>
      </c>
      <c r="D243">
        <v>16</v>
      </c>
      <c r="E243">
        <v>160</v>
      </c>
      <c r="F243">
        <v>20271</v>
      </c>
      <c r="G243">
        <v>16441</v>
      </c>
      <c r="H243">
        <v>453</v>
      </c>
      <c r="J243" t="str">
        <f>VLOOKUP(Table3[[#This Row],[Faction ID]],Table4[],2)</f>
        <v>Gondor</v>
      </c>
    </row>
    <row r="244" spans="1:10" x14ac:dyDescent="0.25">
      <c r="A244">
        <v>7</v>
      </c>
      <c r="B244" t="s">
        <v>6</v>
      </c>
      <c r="C244">
        <v>26</v>
      </c>
      <c r="D244">
        <v>12</v>
      </c>
      <c r="E244">
        <v>106</v>
      </c>
      <c r="F244">
        <v>8557</v>
      </c>
      <c r="G244">
        <v>10166</v>
      </c>
      <c r="H244">
        <v>0</v>
      </c>
      <c r="J244" t="str">
        <f>VLOOKUP(Table3[[#This Row],[Faction ID]],Table4[],2)</f>
        <v>Dale</v>
      </c>
    </row>
    <row r="245" spans="1:10" x14ac:dyDescent="0.25">
      <c r="A245">
        <v>7</v>
      </c>
      <c r="B245" t="s">
        <v>21</v>
      </c>
      <c r="C245">
        <v>10</v>
      </c>
      <c r="D245">
        <v>3</v>
      </c>
      <c r="E245">
        <v>42</v>
      </c>
      <c r="F245">
        <v>9319</v>
      </c>
      <c r="G245">
        <v>9179</v>
      </c>
      <c r="H245">
        <v>0</v>
      </c>
      <c r="J245" t="str">
        <f>VLOOKUP(Table3[[#This Row],[Faction ID]],Table4[],2)</f>
        <v>Erebor</v>
      </c>
    </row>
    <row r="246" spans="1:10" x14ac:dyDescent="0.25">
      <c r="A246">
        <v>7</v>
      </c>
      <c r="B246" t="s">
        <v>5</v>
      </c>
      <c r="C246">
        <v>28</v>
      </c>
      <c r="D246">
        <v>14</v>
      </c>
      <c r="E246">
        <v>112</v>
      </c>
      <c r="F246">
        <v>8963</v>
      </c>
      <c r="G246">
        <v>8567</v>
      </c>
      <c r="H246">
        <v>166</v>
      </c>
      <c r="J246" t="str">
        <f>VLOOKUP(Table3[[#This Row],[Faction ID]],Table4[],2)</f>
        <v>Rohan</v>
      </c>
    </row>
    <row r="247" spans="1:10" x14ac:dyDescent="0.25">
      <c r="A247">
        <v>7</v>
      </c>
      <c r="B247" t="s">
        <v>12</v>
      </c>
      <c r="C247">
        <v>14</v>
      </c>
      <c r="D247">
        <v>6</v>
      </c>
      <c r="E247">
        <v>58</v>
      </c>
      <c r="F247">
        <v>9237</v>
      </c>
      <c r="G247">
        <v>9507</v>
      </c>
      <c r="H247">
        <v>0</v>
      </c>
      <c r="J247" t="str">
        <f>VLOOKUP(Table3[[#This Row],[Faction ID]],Table4[],2)</f>
        <v>Dol Guldur</v>
      </c>
    </row>
    <row r="248" spans="1:10" x14ac:dyDescent="0.25">
      <c r="A248">
        <v>7</v>
      </c>
      <c r="B248" t="s">
        <v>10</v>
      </c>
      <c r="C248">
        <v>26</v>
      </c>
      <c r="D248">
        <v>12</v>
      </c>
      <c r="E248">
        <v>89</v>
      </c>
      <c r="F248">
        <v>9138</v>
      </c>
      <c r="G248">
        <v>8872</v>
      </c>
      <c r="H248">
        <v>0</v>
      </c>
      <c r="J248" t="str">
        <f>VLOOKUP(Table3[[#This Row],[Faction ID]],Table4[],2)</f>
        <v>Anduin Vale</v>
      </c>
    </row>
    <row r="249" spans="1:10" x14ac:dyDescent="0.25">
      <c r="A249">
        <v>7</v>
      </c>
      <c r="B249" t="s">
        <v>32</v>
      </c>
      <c r="C249">
        <v>8</v>
      </c>
      <c r="D249">
        <v>1</v>
      </c>
      <c r="E249">
        <v>35</v>
      </c>
      <c r="F249">
        <v>6296</v>
      </c>
      <c r="G249">
        <v>6047</v>
      </c>
      <c r="H249">
        <v>0</v>
      </c>
      <c r="J249" t="str">
        <f>VLOOKUP(Table3[[#This Row],[Faction ID]],Table4[],2)</f>
        <v>Isengard</v>
      </c>
    </row>
    <row r="250" spans="1:10" x14ac:dyDescent="0.25">
      <c r="A250">
        <v>7</v>
      </c>
      <c r="B250" t="s">
        <v>22</v>
      </c>
      <c r="C250">
        <v>10</v>
      </c>
      <c r="D250">
        <v>3</v>
      </c>
      <c r="E250">
        <v>36</v>
      </c>
      <c r="F250">
        <v>5536</v>
      </c>
      <c r="G250">
        <v>7682</v>
      </c>
      <c r="H250">
        <v>0</v>
      </c>
      <c r="J250" t="str">
        <f>VLOOKUP(Table3[[#This Row],[Faction ID]],Table4[],2)</f>
        <v>Woodland Realm</v>
      </c>
    </row>
    <row r="251" spans="1:10" x14ac:dyDescent="0.25">
      <c r="A251">
        <v>7</v>
      </c>
      <c r="B251" t="s">
        <v>23</v>
      </c>
      <c r="C251">
        <v>10</v>
      </c>
      <c r="D251">
        <v>3</v>
      </c>
      <c r="E251">
        <v>33</v>
      </c>
      <c r="F251">
        <v>5783</v>
      </c>
      <c r="G251">
        <v>7268</v>
      </c>
      <c r="H251">
        <v>0</v>
      </c>
      <c r="J251" t="str">
        <f>VLOOKUP(Table3[[#This Row],[Faction ID]],Table4[],2)</f>
        <v>Lothlorien</v>
      </c>
    </row>
    <row r="252" spans="1:10" x14ac:dyDescent="0.25">
      <c r="A252">
        <v>7</v>
      </c>
      <c r="B252" t="s">
        <v>24</v>
      </c>
      <c r="C252">
        <v>5</v>
      </c>
      <c r="D252">
        <v>3</v>
      </c>
      <c r="E252">
        <v>31</v>
      </c>
      <c r="F252">
        <v>4417</v>
      </c>
      <c r="G252">
        <v>5460</v>
      </c>
      <c r="H252">
        <v>242</v>
      </c>
      <c r="J252" t="str">
        <f>VLOOKUP(Table3[[#This Row],[Faction ID]],Table4[],2)</f>
        <v>Variags (Khand)</v>
      </c>
    </row>
    <row r="253" spans="1:10" x14ac:dyDescent="0.25">
      <c r="A253">
        <v>7</v>
      </c>
      <c r="B253" t="s">
        <v>14</v>
      </c>
      <c r="C253">
        <v>7</v>
      </c>
      <c r="D253">
        <v>5</v>
      </c>
      <c r="E253">
        <v>43</v>
      </c>
      <c r="F253">
        <v>6698</v>
      </c>
      <c r="G253">
        <v>6664</v>
      </c>
      <c r="H253">
        <v>0</v>
      </c>
      <c r="J253" t="str">
        <f>VLOOKUP(Table3[[#This Row],[Faction ID]],Table4[],2)</f>
        <v>Corsairs of Umbar</v>
      </c>
    </row>
    <row r="254" spans="1:10" x14ac:dyDescent="0.25">
      <c r="A254">
        <v>7</v>
      </c>
      <c r="B254" t="s">
        <v>25</v>
      </c>
      <c r="C254">
        <v>5</v>
      </c>
      <c r="D254">
        <v>3</v>
      </c>
      <c r="E254">
        <v>32</v>
      </c>
      <c r="F254">
        <v>6461</v>
      </c>
      <c r="G254">
        <v>4790</v>
      </c>
      <c r="H254">
        <v>0</v>
      </c>
      <c r="J254" t="str">
        <f>VLOOKUP(Table3[[#This Row],[Faction ID]],Table4[],2)</f>
        <v>Mahud</v>
      </c>
    </row>
    <row r="255" spans="1:10" x14ac:dyDescent="0.25">
      <c r="A255">
        <v>7</v>
      </c>
      <c r="B255" t="s">
        <v>11</v>
      </c>
      <c r="C255">
        <v>18</v>
      </c>
      <c r="D255">
        <v>6</v>
      </c>
      <c r="E255">
        <v>60</v>
      </c>
      <c r="F255">
        <v>8674</v>
      </c>
      <c r="G255">
        <v>7798</v>
      </c>
      <c r="H255">
        <v>0</v>
      </c>
      <c r="J255" t="str">
        <f>VLOOKUP(Table3[[#This Row],[Faction ID]],Table4[],2)</f>
        <v>Haradrim</v>
      </c>
    </row>
    <row r="256" spans="1:10" x14ac:dyDescent="0.25">
      <c r="A256">
        <v>7</v>
      </c>
      <c r="B256" t="s">
        <v>15</v>
      </c>
      <c r="C256">
        <v>12</v>
      </c>
      <c r="D256">
        <v>4</v>
      </c>
      <c r="E256">
        <v>45</v>
      </c>
      <c r="F256">
        <v>5906</v>
      </c>
      <c r="G256">
        <v>8426</v>
      </c>
      <c r="H256">
        <v>0</v>
      </c>
      <c r="J256" t="str">
        <f>VLOOKUP(Table3[[#This Row],[Faction ID]],Table4[],2)</f>
        <v>Dunlendings</v>
      </c>
    </row>
    <row r="257" spans="1:10" x14ac:dyDescent="0.25">
      <c r="A257">
        <v>7</v>
      </c>
      <c r="B257" t="s">
        <v>16</v>
      </c>
      <c r="C257">
        <v>0</v>
      </c>
      <c r="D257">
        <v>0</v>
      </c>
      <c r="E257">
        <v>0</v>
      </c>
      <c r="F257">
        <v>5352</v>
      </c>
      <c r="G257">
        <v>1750</v>
      </c>
      <c r="H257">
        <v>0</v>
      </c>
      <c r="J257" t="str">
        <f>VLOOKUP(Table3[[#This Row],[Faction ID]],Table4[],2)</f>
        <v>Haerrim</v>
      </c>
    </row>
    <row r="258" spans="1:10" x14ac:dyDescent="0.25">
      <c r="A258">
        <v>7</v>
      </c>
      <c r="B258" t="s">
        <v>13</v>
      </c>
      <c r="C258">
        <v>15</v>
      </c>
      <c r="D258">
        <v>7</v>
      </c>
      <c r="E258">
        <v>71</v>
      </c>
      <c r="F258">
        <v>12818</v>
      </c>
      <c r="G258">
        <v>8614</v>
      </c>
      <c r="H258">
        <v>0</v>
      </c>
      <c r="J258" t="str">
        <f>VLOOKUP(Table3[[#This Row],[Faction ID]],Table4[],2)</f>
        <v>Goblins</v>
      </c>
    </row>
    <row r="259" spans="1:10" x14ac:dyDescent="0.25">
      <c r="A259">
        <v>7</v>
      </c>
      <c r="B259" t="s">
        <v>17</v>
      </c>
      <c r="C259">
        <v>0</v>
      </c>
      <c r="D259">
        <v>0</v>
      </c>
      <c r="E259">
        <v>0</v>
      </c>
      <c r="F259">
        <v>4872</v>
      </c>
      <c r="G259">
        <v>1750</v>
      </c>
      <c r="H259">
        <v>0</v>
      </c>
      <c r="J259" t="str">
        <f>VLOOKUP(Table3[[#This Row],[Faction ID]],Table4[],2)</f>
        <v>Balchoth</v>
      </c>
    </row>
    <row r="260" spans="1:10" x14ac:dyDescent="0.25">
      <c r="A260">
        <v>7</v>
      </c>
      <c r="B260" t="s">
        <v>18</v>
      </c>
      <c r="C260">
        <v>26</v>
      </c>
      <c r="D260">
        <v>12</v>
      </c>
      <c r="E260">
        <v>110</v>
      </c>
      <c r="F260">
        <v>16719</v>
      </c>
      <c r="G260">
        <v>13420</v>
      </c>
      <c r="H260">
        <v>313</v>
      </c>
      <c r="J260" t="str">
        <f>VLOOKUP(Table3[[#This Row],[Faction ID]],Table4[],2)</f>
        <v>Rhurim/Rhun</v>
      </c>
    </row>
    <row r="261" spans="1:10" x14ac:dyDescent="0.25">
      <c r="A261">
        <v>7</v>
      </c>
      <c r="B261" t="s">
        <v>19</v>
      </c>
      <c r="C261">
        <v>6</v>
      </c>
      <c r="D261">
        <v>5</v>
      </c>
      <c r="E261">
        <v>45</v>
      </c>
      <c r="F261">
        <v>5671</v>
      </c>
      <c r="G261">
        <v>5229</v>
      </c>
      <c r="H261">
        <v>0</v>
      </c>
      <c r="J261" t="str">
        <f>VLOOKUP(Table3[[#This Row],[Faction ID]],Table4[],2)</f>
        <v>Feredrim</v>
      </c>
    </row>
    <row r="262" spans="1:10" x14ac:dyDescent="0.25">
      <c r="A262">
        <v>7</v>
      </c>
      <c r="B262" t="s">
        <v>26</v>
      </c>
      <c r="C262">
        <v>5</v>
      </c>
      <c r="D262">
        <v>3</v>
      </c>
      <c r="E262">
        <v>32</v>
      </c>
      <c r="F262">
        <v>4097</v>
      </c>
      <c r="G262">
        <v>5449</v>
      </c>
      <c r="H262">
        <v>144</v>
      </c>
      <c r="J262" t="str">
        <f>VLOOKUP(Table3[[#This Row],[Faction ID]],Table4[],2)</f>
        <v>Rachrohir (Wainriders)</v>
      </c>
    </row>
    <row r="263" spans="1:10" x14ac:dyDescent="0.25">
      <c r="A263">
        <v>7</v>
      </c>
      <c r="B263" t="s">
        <v>27</v>
      </c>
      <c r="C263">
        <v>5</v>
      </c>
      <c r="D263">
        <v>3</v>
      </c>
      <c r="E263">
        <v>32</v>
      </c>
      <c r="F263">
        <v>5955</v>
      </c>
      <c r="G263">
        <v>5808</v>
      </c>
      <c r="H263">
        <v>0</v>
      </c>
      <c r="J263" t="str">
        <f>VLOOKUP(Table3[[#This Row],[Faction ID]],Table4[],2)</f>
        <v>Blacklock-Stonefoot League</v>
      </c>
    </row>
    <row r="264" spans="1:10" x14ac:dyDescent="0.25">
      <c r="A264">
        <v>7</v>
      </c>
      <c r="B264" t="s">
        <v>28</v>
      </c>
      <c r="C264">
        <v>4</v>
      </c>
      <c r="D264">
        <v>2</v>
      </c>
      <c r="E264">
        <v>23</v>
      </c>
      <c r="F264">
        <v>5298</v>
      </c>
      <c r="G264">
        <v>4430</v>
      </c>
      <c r="H264">
        <v>0</v>
      </c>
      <c r="J264" t="str">
        <f>VLOOKUP(Table3[[#This Row],[Faction ID]],Table4[],2)</f>
        <v>Ironfist-Stiffbeard Union</v>
      </c>
    </row>
    <row r="265" spans="1:10" x14ac:dyDescent="0.25">
      <c r="A265">
        <v>7</v>
      </c>
      <c r="B265" t="s">
        <v>20</v>
      </c>
      <c r="C265">
        <v>13</v>
      </c>
      <c r="D265">
        <v>5</v>
      </c>
      <c r="E265">
        <v>62</v>
      </c>
      <c r="F265">
        <v>9945</v>
      </c>
      <c r="G265">
        <v>8436</v>
      </c>
      <c r="H265">
        <v>0</v>
      </c>
      <c r="J265" t="str">
        <f>VLOOKUP(Table3[[#This Row],[Faction ID]],Table4[],2)</f>
        <v>Gundabad</v>
      </c>
    </row>
    <row r="266" spans="1:10" x14ac:dyDescent="0.25">
      <c r="A266">
        <v>7</v>
      </c>
      <c r="B266" t="s">
        <v>34</v>
      </c>
      <c r="C266">
        <v>0</v>
      </c>
      <c r="D266">
        <v>0</v>
      </c>
      <c r="E266">
        <v>3</v>
      </c>
      <c r="F266">
        <v>10726</v>
      </c>
      <c r="G266">
        <v>2379</v>
      </c>
      <c r="H266">
        <v>0</v>
      </c>
      <c r="J266" t="str">
        <f>VLOOKUP(Table3[[#This Row],[Faction ID]],Table4[],2)</f>
        <v>Scouts of Rohan</v>
      </c>
    </row>
    <row r="267" spans="1:10" x14ac:dyDescent="0.25">
      <c r="A267">
        <v>7</v>
      </c>
      <c r="B267" t="s">
        <v>33</v>
      </c>
      <c r="C267">
        <v>5</v>
      </c>
      <c r="D267">
        <v>3</v>
      </c>
      <c r="E267">
        <v>9</v>
      </c>
      <c r="F267">
        <v>6020</v>
      </c>
      <c r="G267">
        <v>3156</v>
      </c>
      <c r="H267">
        <v>0</v>
      </c>
      <c r="J267" t="str">
        <f>VLOOKUP(Table3[[#This Row],[Faction ID]],Table4[],2)</f>
        <v>Northern Enedwaith</v>
      </c>
    </row>
    <row r="268" spans="1:10" x14ac:dyDescent="0.25">
      <c r="A268">
        <v>7</v>
      </c>
      <c r="B268" t="s">
        <v>29</v>
      </c>
      <c r="C268">
        <v>3</v>
      </c>
      <c r="D268">
        <v>2</v>
      </c>
      <c r="E268">
        <v>16</v>
      </c>
      <c r="F268">
        <v>6557</v>
      </c>
      <c r="G268">
        <v>3357</v>
      </c>
      <c r="H268">
        <v>0</v>
      </c>
      <c r="J268" t="str">
        <f>VLOOKUP(Table3[[#This Row],[Faction ID]],Table4[],2)</f>
        <v>Southern Enedwaith</v>
      </c>
    </row>
    <row r="269" spans="1:10" x14ac:dyDescent="0.25">
      <c r="A269">
        <v>7</v>
      </c>
      <c r="B269" t="s">
        <v>30</v>
      </c>
      <c r="C269">
        <v>5</v>
      </c>
      <c r="D269">
        <v>3</v>
      </c>
      <c r="E269">
        <v>21</v>
      </c>
      <c r="F269">
        <v>8441</v>
      </c>
      <c r="G269">
        <v>3841</v>
      </c>
      <c r="H269">
        <v>0</v>
      </c>
      <c r="J269" t="str">
        <f>VLOOKUP(Table3[[#This Row],[Faction ID]],Table4[],2)</f>
        <v>Druedain</v>
      </c>
    </row>
    <row r="270" spans="1:10" x14ac:dyDescent="0.25">
      <c r="A270">
        <v>7</v>
      </c>
      <c r="B270" t="s">
        <v>31</v>
      </c>
      <c r="C270">
        <v>4</v>
      </c>
      <c r="D270">
        <v>2</v>
      </c>
      <c r="E270">
        <v>23</v>
      </c>
      <c r="F270">
        <v>4621</v>
      </c>
      <c r="G270">
        <v>4553</v>
      </c>
      <c r="H270">
        <v>138</v>
      </c>
      <c r="J270" t="str">
        <f>VLOOKUP(Table3[[#This Row],[Faction ID]],Table4[],2)</f>
        <v>Harondor</v>
      </c>
    </row>
    <row r="271" spans="1:10" x14ac:dyDescent="0.25">
      <c r="A271">
        <v>7</v>
      </c>
      <c r="B271" t="s">
        <v>35</v>
      </c>
      <c r="C271">
        <v>0</v>
      </c>
      <c r="D271">
        <v>0</v>
      </c>
      <c r="E271">
        <v>0</v>
      </c>
      <c r="F271">
        <v>4000</v>
      </c>
      <c r="G271">
        <v>1750</v>
      </c>
      <c r="H271">
        <v>0</v>
      </c>
      <c r="J271" t="str">
        <f>VLOOKUP(Table3[[#This Row],[Faction ID]],Table4[],2)</f>
        <v>Southron Nomads</v>
      </c>
    </row>
    <row r="272" spans="1:10" x14ac:dyDescent="0.25">
      <c r="A272">
        <v>7</v>
      </c>
      <c r="B272" t="s">
        <v>36</v>
      </c>
      <c r="C272">
        <v>0</v>
      </c>
      <c r="D272">
        <v>0</v>
      </c>
      <c r="E272">
        <v>0</v>
      </c>
      <c r="F272">
        <v>4000</v>
      </c>
      <c r="G272">
        <v>1750</v>
      </c>
      <c r="H272">
        <v>0</v>
      </c>
      <c r="J272" t="str">
        <f>VLOOKUP(Table3[[#This Row],[Faction ID]],Table4[],2)</f>
        <v>_</v>
      </c>
    </row>
    <row r="273" spans="1:10" x14ac:dyDescent="0.25">
      <c r="A273">
        <v>7</v>
      </c>
      <c r="B273" t="s">
        <v>37</v>
      </c>
      <c r="C273">
        <v>0</v>
      </c>
      <c r="D273">
        <v>0</v>
      </c>
      <c r="E273">
        <v>0</v>
      </c>
      <c r="F273">
        <v>4000</v>
      </c>
      <c r="G273">
        <v>1750</v>
      </c>
      <c r="H273">
        <v>0</v>
      </c>
      <c r="J273" t="str">
        <f>VLOOKUP(Table3[[#This Row],[Faction ID]],Table4[],2)</f>
        <v>_</v>
      </c>
    </row>
    <row r="274" spans="1:10" x14ac:dyDescent="0.25">
      <c r="A274">
        <v>7</v>
      </c>
      <c r="B274" t="s">
        <v>38</v>
      </c>
      <c r="C274">
        <v>0</v>
      </c>
      <c r="D274">
        <v>0</v>
      </c>
      <c r="E274">
        <v>0</v>
      </c>
      <c r="F274">
        <v>4000</v>
      </c>
      <c r="G274">
        <v>1750</v>
      </c>
      <c r="H274">
        <v>0</v>
      </c>
      <c r="J274" t="str">
        <f>VLOOKUP(Table3[[#This Row],[Faction ID]],Table4[],2)</f>
        <v>_</v>
      </c>
    </row>
    <row r="275" spans="1:10" x14ac:dyDescent="0.25">
      <c r="A275">
        <v>7</v>
      </c>
      <c r="B275" t="s">
        <v>39</v>
      </c>
      <c r="C275">
        <v>0</v>
      </c>
      <c r="D275">
        <v>0</v>
      </c>
      <c r="E275">
        <v>0</v>
      </c>
      <c r="F275">
        <v>4000</v>
      </c>
      <c r="G275">
        <v>1750</v>
      </c>
      <c r="H275">
        <v>0</v>
      </c>
      <c r="J275" t="str">
        <f>VLOOKUP(Table3[[#This Row],[Faction ID]],Table4[],2)</f>
        <v>_</v>
      </c>
    </row>
    <row r="276" spans="1:10" x14ac:dyDescent="0.25">
      <c r="A276">
        <v>7</v>
      </c>
      <c r="B276" t="s">
        <v>40</v>
      </c>
      <c r="C276">
        <v>0</v>
      </c>
      <c r="D276">
        <v>0</v>
      </c>
      <c r="E276">
        <v>0</v>
      </c>
      <c r="F276">
        <v>4000</v>
      </c>
      <c r="G276">
        <v>1750</v>
      </c>
      <c r="H276">
        <v>0</v>
      </c>
      <c r="J276" t="str">
        <f>VLOOKUP(Table3[[#This Row],[Faction ID]],Table4[],2)</f>
        <v>_</v>
      </c>
    </row>
    <row r="277" spans="1:10" x14ac:dyDescent="0.25">
      <c r="A277">
        <v>7</v>
      </c>
      <c r="B277" t="s">
        <v>41</v>
      </c>
      <c r="C277">
        <v>0</v>
      </c>
      <c r="D277">
        <v>0</v>
      </c>
      <c r="E277">
        <v>0</v>
      </c>
      <c r="F277">
        <v>4000</v>
      </c>
      <c r="G277">
        <v>1750</v>
      </c>
      <c r="H277">
        <v>0</v>
      </c>
      <c r="J277" t="str">
        <f>VLOOKUP(Table3[[#This Row],[Faction ID]],Table4[],2)</f>
        <v>_</v>
      </c>
    </row>
    <row r="278" spans="1:10" x14ac:dyDescent="0.25">
      <c r="A278">
        <v>7</v>
      </c>
      <c r="B278" t="s">
        <v>42</v>
      </c>
      <c r="C278">
        <v>0</v>
      </c>
      <c r="D278">
        <v>0</v>
      </c>
      <c r="E278">
        <v>0</v>
      </c>
      <c r="F278">
        <v>4000</v>
      </c>
      <c r="G278">
        <v>1750</v>
      </c>
      <c r="H278">
        <v>0</v>
      </c>
      <c r="J278" t="str">
        <f>VLOOKUP(Table3[[#This Row],[Faction ID]],Table4[],2)</f>
        <v>_</v>
      </c>
    </row>
    <row r="279" spans="1:10" x14ac:dyDescent="0.25">
      <c r="A279">
        <v>7</v>
      </c>
      <c r="B279" t="s">
        <v>43</v>
      </c>
      <c r="C279">
        <v>0</v>
      </c>
      <c r="D279">
        <v>0</v>
      </c>
      <c r="E279">
        <v>0</v>
      </c>
      <c r="F279">
        <v>4000</v>
      </c>
      <c r="G279">
        <v>1750</v>
      </c>
      <c r="H279">
        <v>0</v>
      </c>
      <c r="J279" t="str">
        <f>VLOOKUP(Table3[[#This Row],[Faction ID]],Table4[],2)</f>
        <v>_</v>
      </c>
    </row>
    <row r="280" spans="1:10" x14ac:dyDescent="0.25">
      <c r="A280">
        <v>7</v>
      </c>
      <c r="B280" t="s">
        <v>44</v>
      </c>
      <c r="C280">
        <v>0</v>
      </c>
      <c r="D280">
        <v>0</v>
      </c>
      <c r="E280">
        <v>0</v>
      </c>
      <c r="F280">
        <v>4000</v>
      </c>
      <c r="G280">
        <v>1750</v>
      </c>
      <c r="H280">
        <v>0</v>
      </c>
      <c r="J280" t="str">
        <f>VLOOKUP(Table3[[#This Row],[Faction ID]],Table4[],2)</f>
        <v>_</v>
      </c>
    </row>
    <row r="281" spans="1:10" x14ac:dyDescent="0.25">
      <c r="A281">
        <v>8</v>
      </c>
      <c r="B281" t="s">
        <v>9</v>
      </c>
      <c r="C281">
        <v>35</v>
      </c>
      <c r="D281">
        <v>14</v>
      </c>
      <c r="E281">
        <v>117.5</v>
      </c>
      <c r="F281">
        <v>3597</v>
      </c>
      <c r="G281">
        <v>12717</v>
      </c>
      <c r="H281">
        <v>573</v>
      </c>
      <c r="J281" t="str">
        <f>VLOOKUP(Table3[[#This Row],[Faction ID]],Table4[],2)</f>
        <v>Mordor</v>
      </c>
    </row>
    <row r="282" spans="1:10" x14ac:dyDescent="0.25">
      <c r="A282">
        <v>8</v>
      </c>
      <c r="B282" t="s">
        <v>4</v>
      </c>
      <c r="C282">
        <v>33</v>
      </c>
      <c r="D282">
        <v>16</v>
      </c>
      <c r="E282">
        <v>160</v>
      </c>
      <c r="F282">
        <v>18194</v>
      </c>
      <c r="G282">
        <v>16642</v>
      </c>
      <c r="H282">
        <v>456</v>
      </c>
      <c r="J282" t="str">
        <f>VLOOKUP(Table3[[#This Row],[Faction ID]],Table4[],2)</f>
        <v>Gondor</v>
      </c>
    </row>
    <row r="283" spans="1:10" x14ac:dyDescent="0.25">
      <c r="A283">
        <v>8</v>
      </c>
      <c r="B283" t="s">
        <v>6</v>
      </c>
      <c r="C283">
        <v>31</v>
      </c>
      <c r="D283">
        <v>12</v>
      </c>
      <c r="E283">
        <v>109</v>
      </c>
      <c r="F283">
        <v>8186</v>
      </c>
      <c r="G283">
        <v>11453</v>
      </c>
      <c r="H283">
        <v>259</v>
      </c>
      <c r="J283" t="str">
        <f>VLOOKUP(Table3[[#This Row],[Faction ID]],Table4[],2)</f>
        <v>Dale</v>
      </c>
    </row>
    <row r="284" spans="1:10" x14ac:dyDescent="0.25">
      <c r="A284">
        <v>8</v>
      </c>
      <c r="B284" t="s">
        <v>21</v>
      </c>
      <c r="C284">
        <v>15</v>
      </c>
      <c r="D284">
        <v>3</v>
      </c>
      <c r="E284">
        <v>42</v>
      </c>
      <c r="F284">
        <v>12246</v>
      </c>
      <c r="G284">
        <v>9868</v>
      </c>
      <c r="H284">
        <v>663</v>
      </c>
      <c r="J284" t="str">
        <f>VLOOKUP(Table3[[#This Row],[Faction ID]],Table4[],2)</f>
        <v>Erebor</v>
      </c>
    </row>
    <row r="285" spans="1:10" x14ac:dyDescent="0.25">
      <c r="A285">
        <v>8</v>
      </c>
      <c r="B285" t="s">
        <v>5</v>
      </c>
      <c r="C285">
        <v>28</v>
      </c>
      <c r="D285">
        <v>14</v>
      </c>
      <c r="E285">
        <v>115</v>
      </c>
      <c r="F285">
        <v>5484</v>
      </c>
      <c r="G285">
        <v>8687</v>
      </c>
      <c r="H285">
        <v>297</v>
      </c>
      <c r="J285" t="str">
        <f>VLOOKUP(Table3[[#This Row],[Faction ID]],Table4[],2)</f>
        <v>Rohan</v>
      </c>
    </row>
    <row r="286" spans="1:10" x14ac:dyDescent="0.25">
      <c r="A286">
        <v>8</v>
      </c>
      <c r="B286" t="s">
        <v>12</v>
      </c>
      <c r="C286">
        <v>19</v>
      </c>
      <c r="D286">
        <v>6</v>
      </c>
      <c r="E286">
        <v>66</v>
      </c>
      <c r="F286">
        <v>10103</v>
      </c>
      <c r="G286">
        <v>10121</v>
      </c>
      <c r="H286">
        <v>0</v>
      </c>
      <c r="J286" t="str">
        <f>VLOOKUP(Table3[[#This Row],[Faction ID]],Table4[],2)</f>
        <v>Dol Guldur</v>
      </c>
    </row>
    <row r="287" spans="1:10" x14ac:dyDescent="0.25">
      <c r="A287">
        <v>8</v>
      </c>
      <c r="B287" t="s">
        <v>10</v>
      </c>
      <c r="C287">
        <v>31</v>
      </c>
      <c r="D287">
        <v>12</v>
      </c>
      <c r="E287">
        <v>84</v>
      </c>
      <c r="F287">
        <v>13019</v>
      </c>
      <c r="G287">
        <v>8806</v>
      </c>
      <c r="H287">
        <v>0</v>
      </c>
      <c r="J287" t="str">
        <f>VLOOKUP(Table3[[#This Row],[Faction ID]],Table4[],2)</f>
        <v>Anduin Vale</v>
      </c>
    </row>
    <row r="288" spans="1:10" x14ac:dyDescent="0.25">
      <c r="A288">
        <v>8</v>
      </c>
      <c r="B288" t="s">
        <v>32</v>
      </c>
      <c r="C288">
        <v>13</v>
      </c>
      <c r="D288">
        <v>1</v>
      </c>
      <c r="E288">
        <v>38</v>
      </c>
      <c r="F288">
        <v>7277</v>
      </c>
      <c r="G288">
        <v>6523</v>
      </c>
      <c r="H288">
        <v>250</v>
      </c>
      <c r="J288" t="str">
        <f>VLOOKUP(Table3[[#This Row],[Faction ID]],Table4[],2)</f>
        <v>Isengard</v>
      </c>
    </row>
    <row r="289" spans="1:10" x14ac:dyDescent="0.25">
      <c r="A289">
        <v>8</v>
      </c>
      <c r="B289" t="s">
        <v>22</v>
      </c>
      <c r="C289">
        <v>15</v>
      </c>
      <c r="D289">
        <v>3</v>
      </c>
      <c r="E289">
        <v>37</v>
      </c>
      <c r="F289">
        <v>4075</v>
      </c>
      <c r="G289">
        <v>7984</v>
      </c>
      <c r="H289">
        <v>0</v>
      </c>
      <c r="J289" t="str">
        <f>VLOOKUP(Table3[[#This Row],[Faction ID]],Table4[],2)</f>
        <v>Woodland Realm</v>
      </c>
    </row>
    <row r="290" spans="1:10" x14ac:dyDescent="0.25">
      <c r="A290">
        <v>8</v>
      </c>
      <c r="B290" t="s">
        <v>23</v>
      </c>
      <c r="C290">
        <v>10</v>
      </c>
      <c r="D290">
        <v>3</v>
      </c>
      <c r="E290">
        <v>35</v>
      </c>
      <c r="F290">
        <v>5382</v>
      </c>
      <c r="G290">
        <v>8025</v>
      </c>
      <c r="H290">
        <v>0</v>
      </c>
      <c r="J290" t="str">
        <f>VLOOKUP(Table3[[#This Row],[Faction ID]],Table4[],2)</f>
        <v>Lothlorien</v>
      </c>
    </row>
    <row r="291" spans="1:10" x14ac:dyDescent="0.25">
      <c r="A291">
        <v>8</v>
      </c>
      <c r="B291" t="s">
        <v>24</v>
      </c>
      <c r="C291">
        <v>5</v>
      </c>
      <c r="D291">
        <v>3</v>
      </c>
      <c r="E291">
        <v>34</v>
      </c>
      <c r="F291">
        <v>5405</v>
      </c>
      <c r="G291">
        <v>5713</v>
      </c>
      <c r="H291">
        <v>243</v>
      </c>
      <c r="J291" t="str">
        <f>VLOOKUP(Table3[[#This Row],[Faction ID]],Table4[],2)</f>
        <v>Variags (Khand)</v>
      </c>
    </row>
    <row r="292" spans="1:10" x14ac:dyDescent="0.25">
      <c r="A292">
        <v>8</v>
      </c>
      <c r="B292" t="s">
        <v>14</v>
      </c>
      <c r="C292">
        <v>7</v>
      </c>
      <c r="D292">
        <v>5</v>
      </c>
      <c r="E292">
        <v>44</v>
      </c>
      <c r="F292">
        <v>7948</v>
      </c>
      <c r="G292">
        <v>6860</v>
      </c>
      <c r="H292">
        <v>0</v>
      </c>
      <c r="J292" t="str">
        <f>VLOOKUP(Table3[[#This Row],[Faction ID]],Table4[],2)</f>
        <v>Corsairs of Umbar</v>
      </c>
    </row>
    <row r="293" spans="1:10" x14ac:dyDescent="0.25">
      <c r="A293">
        <v>8</v>
      </c>
      <c r="B293" t="s">
        <v>25</v>
      </c>
      <c r="C293">
        <v>5</v>
      </c>
      <c r="D293">
        <v>3</v>
      </c>
      <c r="E293">
        <v>34</v>
      </c>
      <c r="F293">
        <v>3495</v>
      </c>
      <c r="G293">
        <v>4958</v>
      </c>
      <c r="H293">
        <v>0</v>
      </c>
      <c r="J293" t="str">
        <f>VLOOKUP(Table3[[#This Row],[Faction ID]],Table4[],2)</f>
        <v>Mahud</v>
      </c>
    </row>
    <row r="294" spans="1:10" x14ac:dyDescent="0.25">
      <c r="A294">
        <v>8</v>
      </c>
      <c r="B294" t="s">
        <v>11</v>
      </c>
      <c r="C294">
        <v>23</v>
      </c>
      <c r="D294">
        <v>6</v>
      </c>
      <c r="E294">
        <v>62</v>
      </c>
      <c r="F294">
        <v>10316</v>
      </c>
      <c r="G294">
        <v>8295</v>
      </c>
      <c r="H294">
        <v>0</v>
      </c>
      <c r="J294" t="str">
        <f>VLOOKUP(Table3[[#This Row],[Faction ID]],Table4[],2)</f>
        <v>Haradrim</v>
      </c>
    </row>
    <row r="295" spans="1:10" x14ac:dyDescent="0.25">
      <c r="A295">
        <v>8</v>
      </c>
      <c r="B295" t="s">
        <v>15</v>
      </c>
      <c r="C295">
        <v>17</v>
      </c>
      <c r="D295">
        <v>4</v>
      </c>
      <c r="E295">
        <v>48</v>
      </c>
      <c r="F295">
        <v>7132</v>
      </c>
      <c r="G295">
        <v>8600</v>
      </c>
      <c r="H295">
        <v>0</v>
      </c>
      <c r="J295" t="str">
        <f>VLOOKUP(Table3[[#This Row],[Faction ID]],Table4[],2)</f>
        <v>Dunlendings</v>
      </c>
    </row>
    <row r="296" spans="1:10" x14ac:dyDescent="0.25">
      <c r="A296">
        <v>8</v>
      </c>
      <c r="B296" t="s">
        <v>16</v>
      </c>
      <c r="C296">
        <v>0</v>
      </c>
      <c r="D296">
        <v>0</v>
      </c>
      <c r="E296">
        <v>0</v>
      </c>
      <c r="F296">
        <v>5352</v>
      </c>
      <c r="G296">
        <v>1750</v>
      </c>
      <c r="H296">
        <v>0</v>
      </c>
      <c r="J296" t="str">
        <f>VLOOKUP(Table3[[#This Row],[Faction ID]],Table4[],2)</f>
        <v>Haerrim</v>
      </c>
    </row>
    <row r="297" spans="1:10" x14ac:dyDescent="0.25">
      <c r="A297">
        <v>8</v>
      </c>
      <c r="B297" t="s">
        <v>13</v>
      </c>
      <c r="C297">
        <v>20</v>
      </c>
      <c r="D297">
        <v>7</v>
      </c>
      <c r="E297">
        <v>74</v>
      </c>
      <c r="F297">
        <v>13454</v>
      </c>
      <c r="G297">
        <v>8940</v>
      </c>
      <c r="H297">
        <v>0</v>
      </c>
      <c r="J297" t="str">
        <f>VLOOKUP(Table3[[#This Row],[Faction ID]],Table4[],2)</f>
        <v>Goblins</v>
      </c>
    </row>
    <row r="298" spans="1:10" x14ac:dyDescent="0.25">
      <c r="A298">
        <v>8</v>
      </c>
      <c r="B298" t="s">
        <v>17</v>
      </c>
      <c r="C298">
        <v>0</v>
      </c>
      <c r="D298">
        <v>0</v>
      </c>
      <c r="E298">
        <v>0</v>
      </c>
      <c r="F298">
        <v>4872</v>
      </c>
      <c r="G298">
        <v>1750</v>
      </c>
      <c r="H298">
        <v>0</v>
      </c>
      <c r="J298" t="str">
        <f>VLOOKUP(Table3[[#This Row],[Faction ID]],Table4[],2)</f>
        <v>Balchoth</v>
      </c>
    </row>
    <row r="299" spans="1:10" x14ac:dyDescent="0.25">
      <c r="A299">
        <v>8</v>
      </c>
      <c r="B299" t="s">
        <v>18</v>
      </c>
      <c r="C299">
        <v>26</v>
      </c>
      <c r="D299">
        <v>12</v>
      </c>
      <c r="E299">
        <v>121</v>
      </c>
      <c r="F299">
        <v>16757</v>
      </c>
      <c r="G299">
        <v>14041</v>
      </c>
      <c r="H299">
        <v>315</v>
      </c>
      <c r="J299" t="str">
        <f>VLOOKUP(Table3[[#This Row],[Faction ID]],Table4[],2)</f>
        <v>Rhurim/Rhun</v>
      </c>
    </row>
    <row r="300" spans="1:10" x14ac:dyDescent="0.25">
      <c r="A300">
        <v>8</v>
      </c>
      <c r="B300" t="s">
        <v>19</v>
      </c>
      <c r="C300">
        <v>8</v>
      </c>
      <c r="D300">
        <v>6</v>
      </c>
      <c r="E300">
        <v>41</v>
      </c>
      <c r="F300">
        <v>8200</v>
      </c>
      <c r="G300">
        <v>4673</v>
      </c>
      <c r="H300">
        <v>0</v>
      </c>
      <c r="J300" t="str">
        <f>VLOOKUP(Table3[[#This Row],[Faction ID]],Table4[],2)</f>
        <v>Feredrim</v>
      </c>
    </row>
    <row r="301" spans="1:10" x14ac:dyDescent="0.25">
      <c r="A301">
        <v>8</v>
      </c>
      <c r="B301" t="s">
        <v>26</v>
      </c>
      <c r="C301">
        <v>5</v>
      </c>
      <c r="D301">
        <v>3</v>
      </c>
      <c r="E301">
        <v>33</v>
      </c>
      <c r="F301">
        <v>5272</v>
      </c>
      <c r="G301">
        <v>5654</v>
      </c>
      <c r="H301">
        <v>145</v>
      </c>
      <c r="J301" t="str">
        <f>VLOOKUP(Table3[[#This Row],[Faction ID]],Table4[],2)</f>
        <v>Rachrohir (Wainriders)</v>
      </c>
    </row>
    <row r="302" spans="1:10" x14ac:dyDescent="0.25">
      <c r="A302">
        <v>8</v>
      </c>
      <c r="B302" t="s">
        <v>27</v>
      </c>
      <c r="C302">
        <v>5</v>
      </c>
      <c r="D302">
        <v>3</v>
      </c>
      <c r="E302">
        <v>32</v>
      </c>
      <c r="F302">
        <v>5496</v>
      </c>
      <c r="G302">
        <v>5840</v>
      </c>
      <c r="H302">
        <v>0</v>
      </c>
      <c r="J302" t="str">
        <f>VLOOKUP(Table3[[#This Row],[Faction ID]],Table4[],2)</f>
        <v>Blacklock-Stonefoot League</v>
      </c>
    </row>
    <row r="303" spans="1:10" x14ac:dyDescent="0.25">
      <c r="A303">
        <v>8</v>
      </c>
      <c r="B303" t="s">
        <v>28</v>
      </c>
      <c r="C303">
        <v>4</v>
      </c>
      <c r="D303">
        <v>2</v>
      </c>
      <c r="E303">
        <v>24</v>
      </c>
      <c r="F303">
        <v>6417</v>
      </c>
      <c r="G303">
        <v>4372</v>
      </c>
      <c r="H303">
        <v>0</v>
      </c>
      <c r="J303" t="str">
        <f>VLOOKUP(Table3[[#This Row],[Faction ID]],Table4[],2)</f>
        <v>Ironfist-Stiffbeard Union</v>
      </c>
    </row>
    <row r="304" spans="1:10" x14ac:dyDescent="0.25">
      <c r="A304">
        <v>8</v>
      </c>
      <c r="B304" t="s">
        <v>20</v>
      </c>
      <c r="C304">
        <v>18</v>
      </c>
      <c r="D304">
        <v>5</v>
      </c>
      <c r="E304">
        <v>62</v>
      </c>
      <c r="F304">
        <v>12792</v>
      </c>
      <c r="G304">
        <v>8758</v>
      </c>
      <c r="H304">
        <v>0</v>
      </c>
      <c r="J304" t="str">
        <f>VLOOKUP(Table3[[#This Row],[Faction ID]],Table4[],2)</f>
        <v>Gundabad</v>
      </c>
    </row>
    <row r="305" spans="1:10" x14ac:dyDescent="0.25">
      <c r="A305">
        <v>8</v>
      </c>
      <c r="B305" t="s">
        <v>34</v>
      </c>
      <c r="C305">
        <v>0</v>
      </c>
      <c r="D305">
        <v>0</v>
      </c>
      <c r="E305">
        <v>3</v>
      </c>
      <c r="F305">
        <v>11847</v>
      </c>
      <c r="G305">
        <v>2379</v>
      </c>
      <c r="H305">
        <v>0</v>
      </c>
      <c r="J305" t="str">
        <f>VLOOKUP(Table3[[#This Row],[Faction ID]],Table4[],2)</f>
        <v>Scouts of Rohan</v>
      </c>
    </row>
    <row r="306" spans="1:10" x14ac:dyDescent="0.25">
      <c r="A306">
        <v>8</v>
      </c>
      <c r="B306" t="s">
        <v>33</v>
      </c>
      <c r="C306">
        <v>5</v>
      </c>
      <c r="D306">
        <v>3</v>
      </c>
      <c r="E306">
        <v>9</v>
      </c>
      <c r="F306">
        <v>6058</v>
      </c>
      <c r="G306">
        <v>3186</v>
      </c>
      <c r="H306">
        <v>0</v>
      </c>
      <c r="J306" t="str">
        <f>VLOOKUP(Table3[[#This Row],[Faction ID]],Table4[],2)</f>
        <v>Northern Enedwaith</v>
      </c>
    </row>
    <row r="307" spans="1:10" x14ac:dyDescent="0.25">
      <c r="A307">
        <v>8</v>
      </c>
      <c r="B307" t="s">
        <v>29</v>
      </c>
      <c r="C307">
        <v>3</v>
      </c>
      <c r="D307">
        <v>2</v>
      </c>
      <c r="E307">
        <v>16</v>
      </c>
      <c r="F307">
        <v>4266</v>
      </c>
      <c r="G307">
        <v>3387</v>
      </c>
      <c r="H307">
        <v>0</v>
      </c>
      <c r="J307" t="str">
        <f>VLOOKUP(Table3[[#This Row],[Faction ID]],Table4[],2)</f>
        <v>Southern Enedwaith</v>
      </c>
    </row>
    <row r="308" spans="1:10" x14ac:dyDescent="0.25">
      <c r="A308">
        <v>8</v>
      </c>
      <c r="B308" t="s">
        <v>30</v>
      </c>
      <c r="C308">
        <v>5</v>
      </c>
      <c r="D308">
        <v>3</v>
      </c>
      <c r="E308">
        <v>21</v>
      </c>
      <c r="F308">
        <v>4975</v>
      </c>
      <c r="G308">
        <v>3841</v>
      </c>
      <c r="H308">
        <v>0</v>
      </c>
      <c r="J308" t="str">
        <f>VLOOKUP(Table3[[#This Row],[Faction ID]],Table4[],2)</f>
        <v>Druedain</v>
      </c>
    </row>
    <row r="309" spans="1:10" x14ac:dyDescent="0.25">
      <c r="A309">
        <v>8</v>
      </c>
      <c r="B309" t="s">
        <v>31</v>
      </c>
      <c r="C309">
        <v>4</v>
      </c>
      <c r="D309">
        <v>2</v>
      </c>
      <c r="E309">
        <v>23</v>
      </c>
      <c r="F309">
        <v>5760</v>
      </c>
      <c r="G309">
        <v>4588</v>
      </c>
      <c r="H309">
        <v>139</v>
      </c>
      <c r="J309" t="str">
        <f>VLOOKUP(Table3[[#This Row],[Faction ID]],Table4[],2)</f>
        <v>Harondor</v>
      </c>
    </row>
    <row r="310" spans="1:10" x14ac:dyDescent="0.25">
      <c r="A310">
        <v>8</v>
      </c>
      <c r="B310" t="s">
        <v>35</v>
      </c>
      <c r="C310">
        <v>0</v>
      </c>
      <c r="D310">
        <v>0</v>
      </c>
      <c r="E310">
        <v>0</v>
      </c>
      <c r="F310">
        <v>4000</v>
      </c>
      <c r="G310">
        <v>1750</v>
      </c>
      <c r="H310">
        <v>0</v>
      </c>
      <c r="J310" t="str">
        <f>VLOOKUP(Table3[[#This Row],[Faction ID]],Table4[],2)</f>
        <v>Southron Nomads</v>
      </c>
    </row>
    <row r="311" spans="1:10" x14ac:dyDescent="0.25">
      <c r="A311">
        <v>8</v>
      </c>
      <c r="B311" t="s">
        <v>36</v>
      </c>
      <c r="C311">
        <v>0</v>
      </c>
      <c r="D311">
        <v>0</v>
      </c>
      <c r="E311">
        <v>0</v>
      </c>
      <c r="F311">
        <v>4000</v>
      </c>
      <c r="G311">
        <v>1750</v>
      </c>
      <c r="H311">
        <v>0</v>
      </c>
      <c r="J311" t="str">
        <f>VLOOKUP(Table3[[#This Row],[Faction ID]],Table4[],2)</f>
        <v>_</v>
      </c>
    </row>
    <row r="312" spans="1:10" x14ac:dyDescent="0.25">
      <c r="A312">
        <v>8</v>
      </c>
      <c r="B312" t="s">
        <v>37</v>
      </c>
      <c r="C312">
        <v>0</v>
      </c>
      <c r="D312">
        <v>0</v>
      </c>
      <c r="E312">
        <v>0</v>
      </c>
      <c r="F312">
        <v>4000</v>
      </c>
      <c r="G312">
        <v>1750</v>
      </c>
      <c r="H312">
        <v>0</v>
      </c>
      <c r="J312" t="str">
        <f>VLOOKUP(Table3[[#This Row],[Faction ID]],Table4[],2)</f>
        <v>_</v>
      </c>
    </row>
    <row r="313" spans="1:10" x14ac:dyDescent="0.25">
      <c r="A313">
        <v>8</v>
      </c>
      <c r="B313" t="s">
        <v>38</v>
      </c>
      <c r="C313">
        <v>0</v>
      </c>
      <c r="D313">
        <v>0</v>
      </c>
      <c r="E313">
        <v>0</v>
      </c>
      <c r="F313">
        <v>4000</v>
      </c>
      <c r="G313">
        <v>1750</v>
      </c>
      <c r="H313">
        <v>0</v>
      </c>
      <c r="J313" t="str">
        <f>VLOOKUP(Table3[[#This Row],[Faction ID]],Table4[],2)</f>
        <v>_</v>
      </c>
    </row>
    <row r="314" spans="1:10" x14ac:dyDescent="0.25">
      <c r="A314">
        <v>8</v>
      </c>
      <c r="B314" t="s">
        <v>39</v>
      </c>
      <c r="C314">
        <v>0</v>
      </c>
      <c r="D314">
        <v>0</v>
      </c>
      <c r="E314">
        <v>0</v>
      </c>
      <c r="F314">
        <v>4000</v>
      </c>
      <c r="G314">
        <v>1750</v>
      </c>
      <c r="H314">
        <v>0</v>
      </c>
      <c r="J314" t="str">
        <f>VLOOKUP(Table3[[#This Row],[Faction ID]],Table4[],2)</f>
        <v>_</v>
      </c>
    </row>
    <row r="315" spans="1:10" x14ac:dyDescent="0.25">
      <c r="A315">
        <v>8</v>
      </c>
      <c r="B315" t="s">
        <v>40</v>
      </c>
      <c r="C315">
        <v>0</v>
      </c>
      <c r="D315">
        <v>0</v>
      </c>
      <c r="E315">
        <v>0</v>
      </c>
      <c r="F315">
        <v>4000</v>
      </c>
      <c r="G315">
        <v>1750</v>
      </c>
      <c r="H315">
        <v>0</v>
      </c>
      <c r="J315" t="str">
        <f>VLOOKUP(Table3[[#This Row],[Faction ID]],Table4[],2)</f>
        <v>_</v>
      </c>
    </row>
    <row r="316" spans="1:10" x14ac:dyDescent="0.25">
      <c r="A316">
        <v>8</v>
      </c>
      <c r="B316" t="s">
        <v>41</v>
      </c>
      <c r="C316">
        <v>0</v>
      </c>
      <c r="D316">
        <v>0</v>
      </c>
      <c r="E316">
        <v>0</v>
      </c>
      <c r="F316">
        <v>4000</v>
      </c>
      <c r="G316">
        <v>1750</v>
      </c>
      <c r="H316">
        <v>0</v>
      </c>
      <c r="J316" t="str">
        <f>VLOOKUP(Table3[[#This Row],[Faction ID]],Table4[],2)</f>
        <v>_</v>
      </c>
    </row>
    <row r="317" spans="1:10" x14ac:dyDescent="0.25">
      <c r="A317">
        <v>8</v>
      </c>
      <c r="B317" t="s">
        <v>42</v>
      </c>
      <c r="C317">
        <v>0</v>
      </c>
      <c r="D317">
        <v>0</v>
      </c>
      <c r="E317">
        <v>0</v>
      </c>
      <c r="F317">
        <v>4000</v>
      </c>
      <c r="G317">
        <v>1750</v>
      </c>
      <c r="H317">
        <v>0</v>
      </c>
      <c r="J317" t="str">
        <f>VLOOKUP(Table3[[#This Row],[Faction ID]],Table4[],2)</f>
        <v>_</v>
      </c>
    </row>
    <row r="318" spans="1:10" x14ac:dyDescent="0.25">
      <c r="A318">
        <v>8</v>
      </c>
      <c r="B318" t="s">
        <v>43</v>
      </c>
      <c r="C318">
        <v>0</v>
      </c>
      <c r="D318">
        <v>0</v>
      </c>
      <c r="E318">
        <v>0</v>
      </c>
      <c r="F318">
        <v>4000</v>
      </c>
      <c r="G318">
        <v>1750</v>
      </c>
      <c r="H318">
        <v>0</v>
      </c>
      <c r="J318" t="str">
        <f>VLOOKUP(Table3[[#This Row],[Faction ID]],Table4[],2)</f>
        <v>_</v>
      </c>
    </row>
    <row r="319" spans="1:10" x14ac:dyDescent="0.25">
      <c r="A319">
        <v>8</v>
      </c>
      <c r="B319" t="s">
        <v>44</v>
      </c>
      <c r="C319">
        <v>0</v>
      </c>
      <c r="D319">
        <v>0</v>
      </c>
      <c r="E319">
        <v>0</v>
      </c>
      <c r="F319">
        <v>4000</v>
      </c>
      <c r="G319">
        <v>1750</v>
      </c>
      <c r="H319">
        <v>0</v>
      </c>
      <c r="J319" t="str">
        <f>VLOOKUP(Table3[[#This Row],[Faction ID]],Table4[],2)</f>
        <v>_</v>
      </c>
    </row>
    <row r="320" spans="1:10" x14ac:dyDescent="0.25">
      <c r="A320">
        <v>9</v>
      </c>
      <c r="B320" t="s">
        <v>9</v>
      </c>
      <c r="C320">
        <v>43</v>
      </c>
      <c r="D320">
        <v>15</v>
      </c>
      <c r="E320">
        <v>120.5</v>
      </c>
      <c r="F320">
        <v>558</v>
      </c>
      <c r="G320">
        <v>12855</v>
      </c>
      <c r="H320">
        <v>578</v>
      </c>
      <c r="J320" t="str">
        <f>VLOOKUP(Table3[[#This Row],[Faction ID]],Table4[],2)</f>
        <v>Mordor</v>
      </c>
    </row>
    <row r="321" spans="1:10" x14ac:dyDescent="0.25">
      <c r="A321">
        <v>9</v>
      </c>
      <c r="B321" t="s">
        <v>4</v>
      </c>
      <c r="C321">
        <v>30</v>
      </c>
      <c r="D321">
        <v>15</v>
      </c>
      <c r="E321">
        <v>148</v>
      </c>
      <c r="F321">
        <v>20673</v>
      </c>
      <c r="G321">
        <v>17365</v>
      </c>
      <c r="H321">
        <v>538</v>
      </c>
      <c r="J321" t="str">
        <f>VLOOKUP(Table3[[#This Row],[Faction ID]],Table4[],2)</f>
        <v>Gondor</v>
      </c>
    </row>
    <row r="322" spans="1:10" x14ac:dyDescent="0.25">
      <c r="A322">
        <v>9</v>
      </c>
      <c r="B322" t="s">
        <v>6</v>
      </c>
      <c r="C322">
        <v>30</v>
      </c>
      <c r="D322">
        <v>11</v>
      </c>
      <c r="E322">
        <v>111</v>
      </c>
      <c r="F322">
        <v>8850</v>
      </c>
      <c r="G322">
        <v>11476</v>
      </c>
      <c r="H322">
        <v>263</v>
      </c>
      <c r="J322" t="str">
        <f>VLOOKUP(Table3[[#This Row],[Faction ID]],Table4[],2)</f>
        <v>Dale</v>
      </c>
    </row>
    <row r="323" spans="1:10" x14ac:dyDescent="0.25">
      <c r="A323">
        <v>9</v>
      </c>
      <c r="B323" t="s">
        <v>21</v>
      </c>
      <c r="C323">
        <v>19</v>
      </c>
      <c r="D323">
        <v>3</v>
      </c>
      <c r="E323">
        <v>43</v>
      </c>
      <c r="F323">
        <v>7669</v>
      </c>
      <c r="G323">
        <v>10727</v>
      </c>
      <c r="H323">
        <v>788</v>
      </c>
      <c r="J323" t="str">
        <f>VLOOKUP(Table3[[#This Row],[Faction ID]],Table4[],2)</f>
        <v>Erebor</v>
      </c>
    </row>
    <row r="324" spans="1:10" x14ac:dyDescent="0.25">
      <c r="A324">
        <v>9</v>
      </c>
      <c r="B324" t="s">
        <v>5</v>
      </c>
      <c r="C324">
        <v>28</v>
      </c>
      <c r="D324">
        <v>14</v>
      </c>
      <c r="E324">
        <v>118</v>
      </c>
      <c r="F324">
        <v>4873</v>
      </c>
      <c r="G324">
        <v>9315</v>
      </c>
      <c r="H324">
        <v>302</v>
      </c>
      <c r="J324" t="str">
        <f>VLOOKUP(Table3[[#This Row],[Faction ID]],Table4[],2)</f>
        <v>Rohan</v>
      </c>
    </row>
    <row r="325" spans="1:10" x14ac:dyDescent="0.25">
      <c r="A325">
        <v>9</v>
      </c>
      <c r="B325" t="s">
        <v>12</v>
      </c>
      <c r="C325">
        <v>20</v>
      </c>
      <c r="D325">
        <v>7</v>
      </c>
      <c r="E325">
        <v>67</v>
      </c>
      <c r="F325">
        <v>11074</v>
      </c>
      <c r="G325">
        <v>11211</v>
      </c>
      <c r="H325">
        <v>0</v>
      </c>
      <c r="J325" t="str">
        <f>VLOOKUP(Table3[[#This Row],[Faction ID]],Table4[],2)</f>
        <v>Dol Guldur</v>
      </c>
    </row>
    <row r="326" spans="1:10" x14ac:dyDescent="0.25">
      <c r="A326">
        <v>9</v>
      </c>
      <c r="B326" t="s">
        <v>10</v>
      </c>
      <c r="C326">
        <v>31</v>
      </c>
      <c r="D326">
        <v>12</v>
      </c>
      <c r="E326">
        <v>87</v>
      </c>
      <c r="F326">
        <v>10647</v>
      </c>
      <c r="G326">
        <v>8063</v>
      </c>
      <c r="H326">
        <v>0</v>
      </c>
      <c r="J326" t="str">
        <f>VLOOKUP(Table3[[#This Row],[Faction ID]],Table4[],2)</f>
        <v>Anduin Vale</v>
      </c>
    </row>
    <row r="327" spans="1:10" x14ac:dyDescent="0.25">
      <c r="A327">
        <v>9</v>
      </c>
      <c r="B327" t="s">
        <v>32</v>
      </c>
      <c r="C327">
        <v>13</v>
      </c>
      <c r="D327">
        <v>1</v>
      </c>
      <c r="E327">
        <v>41</v>
      </c>
      <c r="F327">
        <v>8021</v>
      </c>
      <c r="G327">
        <v>7018</v>
      </c>
      <c r="H327">
        <v>255</v>
      </c>
      <c r="J327" t="str">
        <f>VLOOKUP(Table3[[#This Row],[Faction ID]],Table4[],2)</f>
        <v>Isengard</v>
      </c>
    </row>
    <row r="328" spans="1:10" x14ac:dyDescent="0.25">
      <c r="A328">
        <v>9</v>
      </c>
      <c r="B328" t="s">
        <v>22</v>
      </c>
      <c r="C328">
        <v>14</v>
      </c>
      <c r="D328">
        <v>2</v>
      </c>
      <c r="E328">
        <v>24</v>
      </c>
      <c r="F328">
        <v>5169</v>
      </c>
      <c r="G328">
        <v>5708</v>
      </c>
      <c r="H328">
        <v>0</v>
      </c>
      <c r="J328" t="str">
        <f>VLOOKUP(Table3[[#This Row],[Faction ID]],Table4[],2)</f>
        <v>Woodland Realm</v>
      </c>
    </row>
    <row r="329" spans="1:10" x14ac:dyDescent="0.25">
      <c r="A329">
        <v>9</v>
      </c>
      <c r="B329" t="s">
        <v>23</v>
      </c>
      <c r="C329">
        <v>15</v>
      </c>
      <c r="D329">
        <v>3</v>
      </c>
      <c r="E329">
        <v>36</v>
      </c>
      <c r="F329">
        <v>6404</v>
      </c>
      <c r="G329">
        <v>8162</v>
      </c>
      <c r="H329">
        <v>0</v>
      </c>
      <c r="J329" t="str">
        <f>VLOOKUP(Table3[[#This Row],[Faction ID]],Table4[],2)</f>
        <v>Lothlorien</v>
      </c>
    </row>
    <row r="330" spans="1:10" x14ac:dyDescent="0.25">
      <c r="A330">
        <v>9</v>
      </c>
      <c r="B330" t="s">
        <v>24</v>
      </c>
      <c r="C330">
        <v>5</v>
      </c>
      <c r="D330">
        <v>3</v>
      </c>
      <c r="E330">
        <v>36</v>
      </c>
      <c r="F330">
        <v>6284</v>
      </c>
      <c r="G330">
        <v>5798</v>
      </c>
      <c r="H330">
        <v>243</v>
      </c>
      <c r="J330" t="str">
        <f>VLOOKUP(Table3[[#This Row],[Faction ID]],Table4[],2)</f>
        <v>Variags (Khand)</v>
      </c>
    </row>
    <row r="331" spans="1:10" x14ac:dyDescent="0.25">
      <c r="A331">
        <v>9</v>
      </c>
      <c r="B331" t="s">
        <v>14</v>
      </c>
      <c r="C331">
        <v>7</v>
      </c>
      <c r="D331">
        <v>5</v>
      </c>
      <c r="E331">
        <v>44</v>
      </c>
      <c r="F331">
        <v>7500</v>
      </c>
      <c r="G331">
        <v>7000</v>
      </c>
      <c r="H331">
        <v>0</v>
      </c>
      <c r="J331" t="str">
        <f>VLOOKUP(Table3[[#This Row],[Faction ID]],Table4[],2)</f>
        <v>Corsairs of Umbar</v>
      </c>
    </row>
    <row r="332" spans="1:10" x14ac:dyDescent="0.25">
      <c r="A332">
        <v>9</v>
      </c>
      <c r="B332" t="s">
        <v>25</v>
      </c>
      <c r="C332">
        <v>5</v>
      </c>
      <c r="D332">
        <v>3</v>
      </c>
      <c r="E332">
        <v>35</v>
      </c>
      <c r="F332">
        <v>4383</v>
      </c>
      <c r="G332">
        <v>5097</v>
      </c>
      <c r="H332">
        <v>0</v>
      </c>
      <c r="J332" t="str">
        <f>VLOOKUP(Table3[[#This Row],[Faction ID]],Table4[],2)</f>
        <v>Mahud</v>
      </c>
    </row>
    <row r="333" spans="1:10" x14ac:dyDescent="0.25">
      <c r="A333">
        <v>9</v>
      </c>
      <c r="B333" t="s">
        <v>11</v>
      </c>
      <c r="C333">
        <v>23</v>
      </c>
      <c r="D333">
        <v>6</v>
      </c>
      <c r="E333">
        <v>62</v>
      </c>
      <c r="F333">
        <v>9173</v>
      </c>
      <c r="G333">
        <v>8341</v>
      </c>
      <c r="H333">
        <v>0</v>
      </c>
      <c r="J333" t="str">
        <f>VLOOKUP(Table3[[#This Row],[Faction ID]],Table4[],2)</f>
        <v>Haradrim</v>
      </c>
    </row>
    <row r="334" spans="1:10" x14ac:dyDescent="0.25">
      <c r="A334">
        <v>9</v>
      </c>
      <c r="B334" t="s">
        <v>15</v>
      </c>
      <c r="C334">
        <v>17</v>
      </c>
      <c r="D334">
        <v>4</v>
      </c>
      <c r="E334">
        <v>51</v>
      </c>
      <c r="F334">
        <v>7852</v>
      </c>
      <c r="G334">
        <v>9401</v>
      </c>
      <c r="H334">
        <v>0</v>
      </c>
      <c r="J334" t="str">
        <f>VLOOKUP(Table3[[#This Row],[Faction ID]],Table4[],2)</f>
        <v>Dunlendings</v>
      </c>
    </row>
    <row r="335" spans="1:10" x14ac:dyDescent="0.25">
      <c r="A335">
        <v>9</v>
      </c>
      <c r="B335" t="s">
        <v>16</v>
      </c>
      <c r="C335">
        <v>0</v>
      </c>
      <c r="D335">
        <v>0</v>
      </c>
      <c r="E335">
        <v>0</v>
      </c>
      <c r="F335">
        <v>5352</v>
      </c>
      <c r="G335">
        <v>1750</v>
      </c>
      <c r="H335">
        <v>0</v>
      </c>
      <c r="J335" t="str">
        <f>VLOOKUP(Table3[[#This Row],[Faction ID]],Table4[],2)</f>
        <v>Haerrim</v>
      </c>
    </row>
    <row r="336" spans="1:10" x14ac:dyDescent="0.25">
      <c r="A336">
        <v>9</v>
      </c>
      <c r="B336" t="s">
        <v>13</v>
      </c>
      <c r="C336">
        <v>20</v>
      </c>
      <c r="D336">
        <v>7</v>
      </c>
      <c r="E336">
        <v>79</v>
      </c>
      <c r="F336">
        <v>16301</v>
      </c>
      <c r="G336">
        <v>9012</v>
      </c>
      <c r="H336">
        <v>0</v>
      </c>
      <c r="J336" t="str">
        <f>VLOOKUP(Table3[[#This Row],[Faction ID]],Table4[],2)</f>
        <v>Goblins</v>
      </c>
    </row>
    <row r="337" spans="1:10" x14ac:dyDescent="0.25">
      <c r="A337">
        <v>9</v>
      </c>
      <c r="B337" t="s">
        <v>17</v>
      </c>
      <c r="C337">
        <v>0</v>
      </c>
      <c r="D337">
        <v>0</v>
      </c>
      <c r="E337">
        <v>0</v>
      </c>
      <c r="F337">
        <v>4872</v>
      </c>
      <c r="G337">
        <v>1750</v>
      </c>
      <c r="H337">
        <v>0</v>
      </c>
      <c r="J337" t="str">
        <f>VLOOKUP(Table3[[#This Row],[Faction ID]],Table4[],2)</f>
        <v>Balchoth</v>
      </c>
    </row>
    <row r="338" spans="1:10" x14ac:dyDescent="0.25">
      <c r="A338">
        <v>9</v>
      </c>
      <c r="B338" t="s">
        <v>18</v>
      </c>
      <c r="C338">
        <v>31</v>
      </c>
      <c r="D338">
        <v>12</v>
      </c>
      <c r="E338">
        <v>131.5</v>
      </c>
      <c r="F338">
        <v>18989</v>
      </c>
      <c r="G338">
        <v>15115</v>
      </c>
      <c r="H338">
        <v>320</v>
      </c>
      <c r="J338" t="str">
        <f>VLOOKUP(Table3[[#This Row],[Faction ID]],Table4[],2)</f>
        <v>Rhurim/Rhun</v>
      </c>
    </row>
    <row r="339" spans="1:10" x14ac:dyDescent="0.25">
      <c r="A339">
        <v>9</v>
      </c>
      <c r="B339" t="s">
        <v>19</v>
      </c>
      <c r="C339">
        <v>8</v>
      </c>
      <c r="D339">
        <v>6</v>
      </c>
      <c r="E339">
        <v>41</v>
      </c>
      <c r="F339">
        <v>5906</v>
      </c>
      <c r="G339">
        <v>5092</v>
      </c>
      <c r="H339">
        <v>0</v>
      </c>
      <c r="J339" t="str">
        <f>VLOOKUP(Table3[[#This Row],[Faction ID]],Table4[],2)</f>
        <v>Feredrim</v>
      </c>
    </row>
    <row r="340" spans="1:10" x14ac:dyDescent="0.25">
      <c r="A340">
        <v>9</v>
      </c>
      <c r="B340" t="s">
        <v>26</v>
      </c>
      <c r="C340">
        <v>6</v>
      </c>
      <c r="D340">
        <v>4</v>
      </c>
      <c r="E340">
        <v>35</v>
      </c>
      <c r="F340">
        <v>4044</v>
      </c>
      <c r="G340">
        <v>5799</v>
      </c>
      <c r="H340">
        <v>147</v>
      </c>
      <c r="J340" t="str">
        <f>VLOOKUP(Table3[[#This Row],[Faction ID]],Table4[],2)</f>
        <v>Rachrohir (Wainriders)</v>
      </c>
    </row>
    <row r="341" spans="1:10" x14ac:dyDescent="0.25">
      <c r="A341">
        <v>9</v>
      </c>
      <c r="B341" t="s">
        <v>27</v>
      </c>
      <c r="C341">
        <v>5</v>
      </c>
      <c r="D341">
        <v>3</v>
      </c>
      <c r="E341">
        <v>33</v>
      </c>
      <c r="F341">
        <v>7503</v>
      </c>
      <c r="G341">
        <v>6037</v>
      </c>
      <c r="H341">
        <v>0</v>
      </c>
      <c r="J341" t="str">
        <f>VLOOKUP(Table3[[#This Row],[Faction ID]],Table4[],2)</f>
        <v>Blacklock-Stonefoot League</v>
      </c>
    </row>
    <row r="342" spans="1:10" x14ac:dyDescent="0.25">
      <c r="A342">
        <v>9</v>
      </c>
      <c r="B342" t="s">
        <v>28</v>
      </c>
      <c r="C342">
        <v>4</v>
      </c>
      <c r="D342">
        <v>2</v>
      </c>
      <c r="E342">
        <v>25</v>
      </c>
      <c r="F342">
        <v>4671</v>
      </c>
      <c r="G342">
        <v>4399</v>
      </c>
      <c r="H342">
        <v>0</v>
      </c>
      <c r="J342" t="str">
        <f>VLOOKUP(Table3[[#This Row],[Faction ID]],Table4[],2)</f>
        <v>Ironfist-Stiffbeard Union</v>
      </c>
    </row>
    <row r="343" spans="1:10" x14ac:dyDescent="0.25">
      <c r="A343">
        <v>9</v>
      </c>
      <c r="B343" t="s">
        <v>20</v>
      </c>
      <c r="C343">
        <v>18</v>
      </c>
      <c r="D343">
        <v>5</v>
      </c>
      <c r="E343">
        <v>70</v>
      </c>
      <c r="F343">
        <v>8560</v>
      </c>
      <c r="G343">
        <v>9871</v>
      </c>
      <c r="H343">
        <v>0</v>
      </c>
      <c r="J343" t="str">
        <f>VLOOKUP(Table3[[#This Row],[Faction ID]],Table4[],2)</f>
        <v>Gundabad</v>
      </c>
    </row>
    <row r="344" spans="1:10" x14ac:dyDescent="0.25">
      <c r="A344">
        <v>9</v>
      </c>
      <c r="B344" t="s">
        <v>34</v>
      </c>
      <c r="C344">
        <v>0</v>
      </c>
      <c r="D344">
        <v>0</v>
      </c>
      <c r="E344">
        <v>3</v>
      </c>
      <c r="F344">
        <v>12968</v>
      </c>
      <c r="G344">
        <v>2379</v>
      </c>
      <c r="H344">
        <v>0</v>
      </c>
      <c r="J344" t="str">
        <f>VLOOKUP(Table3[[#This Row],[Faction ID]],Table4[],2)</f>
        <v>Scouts of Rohan</v>
      </c>
    </row>
    <row r="345" spans="1:10" x14ac:dyDescent="0.25">
      <c r="A345">
        <v>9</v>
      </c>
      <c r="B345" t="s">
        <v>33</v>
      </c>
      <c r="C345">
        <v>5</v>
      </c>
      <c r="D345">
        <v>3</v>
      </c>
      <c r="E345">
        <v>14</v>
      </c>
      <c r="F345">
        <v>5307</v>
      </c>
      <c r="G345">
        <v>3286</v>
      </c>
      <c r="H345">
        <v>0</v>
      </c>
      <c r="J345" t="str">
        <f>VLOOKUP(Table3[[#This Row],[Faction ID]],Table4[],2)</f>
        <v>Northern Enedwaith</v>
      </c>
    </row>
    <row r="346" spans="1:10" x14ac:dyDescent="0.25">
      <c r="A346">
        <v>9</v>
      </c>
      <c r="B346" t="s">
        <v>29</v>
      </c>
      <c r="C346">
        <v>3</v>
      </c>
      <c r="D346">
        <v>2</v>
      </c>
      <c r="E346">
        <v>16</v>
      </c>
      <c r="F346">
        <v>5323</v>
      </c>
      <c r="G346">
        <v>3459</v>
      </c>
      <c r="H346">
        <v>0</v>
      </c>
      <c r="J346" t="str">
        <f>VLOOKUP(Table3[[#This Row],[Faction ID]],Table4[],2)</f>
        <v>Southern Enedwaith</v>
      </c>
    </row>
    <row r="347" spans="1:10" x14ac:dyDescent="0.25">
      <c r="A347">
        <v>9</v>
      </c>
      <c r="B347" t="s">
        <v>30</v>
      </c>
      <c r="C347">
        <v>5</v>
      </c>
      <c r="D347">
        <v>3</v>
      </c>
      <c r="E347">
        <v>26</v>
      </c>
      <c r="F347">
        <v>6384</v>
      </c>
      <c r="G347">
        <v>3982</v>
      </c>
      <c r="H347">
        <v>0</v>
      </c>
      <c r="J347" t="str">
        <f>VLOOKUP(Table3[[#This Row],[Faction ID]],Table4[],2)</f>
        <v>Druedain</v>
      </c>
    </row>
    <row r="348" spans="1:10" x14ac:dyDescent="0.25">
      <c r="A348">
        <v>9</v>
      </c>
      <c r="B348" t="s">
        <v>31</v>
      </c>
      <c r="C348">
        <v>4</v>
      </c>
      <c r="D348">
        <v>2</v>
      </c>
      <c r="E348">
        <v>24</v>
      </c>
      <c r="F348">
        <v>6307</v>
      </c>
      <c r="G348">
        <v>4684</v>
      </c>
      <c r="H348">
        <v>141</v>
      </c>
      <c r="J348" t="str">
        <f>VLOOKUP(Table3[[#This Row],[Faction ID]],Table4[],2)</f>
        <v>Harondor</v>
      </c>
    </row>
    <row r="349" spans="1:10" x14ac:dyDescent="0.25">
      <c r="A349">
        <v>9</v>
      </c>
      <c r="B349" t="s">
        <v>35</v>
      </c>
      <c r="C349">
        <v>0</v>
      </c>
      <c r="D349">
        <v>0</v>
      </c>
      <c r="E349">
        <v>0</v>
      </c>
      <c r="F349">
        <v>4000</v>
      </c>
      <c r="G349">
        <v>1750</v>
      </c>
      <c r="H349">
        <v>0</v>
      </c>
      <c r="J349" t="str">
        <f>VLOOKUP(Table3[[#This Row],[Faction ID]],Table4[],2)</f>
        <v>Southron Nomads</v>
      </c>
    </row>
    <row r="350" spans="1:10" x14ac:dyDescent="0.25">
      <c r="A350">
        <v>9</v>
      </c>
      <c r="B350" t="s">
        <v>36</v>
      </c>
      <c r="C350">
        <v>0</v>
      </c>
      <c r="D350">
        <v>0</v>
      </c>
      <c r="E350">
        <v>0</v>
      </c>
      <c r="F350">
        <v>4000</v>
      </c>
      <c r="G350">
        <v>1750</v>
      </c>
      <c r="H350">
        <v>0</v>
      </c>
      <c r="J350" t="str">
        <f>VLOOKUP(Table3[[#This Row],[Faction ID]],Table4[],2)</f>
        <v>_</v>
      </c>
    </row>
    <row r="351" spans="1:10" x14ac:dyDescent="0.25">
      <c r="A351">
        <v>9</v>
      </c>
      <c r="B351" t="s">
        <v>37</v>
      </c>
      <c r="C351">
        <v>0</v>
      </c>
      <c r="D351">
        <v>0</v>
      </c>
      <c r="E351">
        <v>0</v>
      </c>
      <c r="F351">
        <v>4000</v>
      </c>
      <c r="G351">
        <v>1750</v>
      </c>
      <c r="H351">
        <v>0</v>
      </c>
      <c r="J351" t="str">
        <f>VLOOKUP(Table3[[#This Row],[Faction ID]],Table4[],2)</f>
        <v>_</v>
      </c>
    </row>
    <row r="352" spans="1:10" x14ac:dyDescent="0.25">
      <c r="A352">
        <v>9</v>
      </c>
      <c r="B352" t="s">
        <v>38</v>
      </c>
      <c r="C352">
        <v>0</v>
      </c>
      <c r="D352">
        <v>0</v>
      </c>
      <c r="E352">
        <v>0</v>
      </c>
      <c r="F352">
        <v>4000</v>
      </c>
      <c r="G352">
        <v>1750</v>
      </c>
      <c r="H352">
        <v>0</v>
      </c>
      <c r="J352" t="str">
        <f>VLOOKUP(Table3[[#This Row],[Faction ID]],Table4[],2)</f>
        <v>_</v>
      </c>
    </row>
    <row r="353" spans="1:10" x14ac:dyDescent="0.25">
      <c r="A353">
        <v>9</v>
      </c>
      <c r="B353" t="s">
        <v>39</v>
      </c>
      <c r="C353">
        <v>0</v>
      </c>
      <c r="D353">
        <v>0</v>
      </c>
      <c r="E353">
        <v>0</v>
      </c>
      <c r="F353">
        <v>4000</v>
      </c>
      <c r="G353">
        <v>1750</v>
      </c>
      <c r="H353">
        <v>0</v>
      </c>
      <c r="J353" t="str">
        <f>VLOOKUP(Table3[[#This Row],[Faction ID]],Table4[],2)</f>
        <v>_</v>
      </c>
    </row>
    <row r="354" spans="1:10" x14ac:dyDescent="0.25">
      <c r="A354">
        <v>9</v>
      </c>
      <c r="B354" t="s">
        <v>40</v>
      </c>
      <c r="C354">
        <v>0</v>
      </c>
      <c r="D354">
        <v>0</v>
      </c>
      <c r="E354">
        <v>0</v>
      </c>
      <c r="F354">
        <v>4000</v>
      </c>
      <c r="G354">
        <v>1750</v>
      </c>
      <c r="H354">
        <v>0</v>
      </c>
      <c r="J354" t="str">
        <f>VLOOKUP(Table3[[#This Row],[Faction ID]],Table4[],2)</f>
        <v>_</v>
      </c>
    </row>
    <row r="355" spans="1:10" x14ac:dyDescent="0.25">
      <c r="A355">
        <v>9</v>
      </c>
      <c r="B355" t="s">
        <v>41</v>
      </c>
      <c r="C355">
        <v>0</v>
      </c>
      <c r="D355">
        <v>0</v>
      </c>
      <c r="E355">
        <v>0</v>
      </c>
      <c r="F355">
        <v>4000</v>
      </c>
      <c r="G355">
        <v>1750</v>
      </c>
      <c r="H355">
        <v>0</v>
      </c>
      <c r="J355" t="str">
        <f>VLOOKUP(Table3[[#This Row],[Faction ID]],Table4[],2)</f>
        <v>_</v>
      </c>
    </row>
    <row r="356" spans="1:10" x14ac:dyDescent="0.25">
      <c r="A356">
        <v>9</v>
      </c>
      <c r="B356" t="s">
        <v>42</v>
      </c>
      <c r="C356">
        <v>0</v>
      </c>
      <c r="D356">
        <v>0</v>
      </c>
      <c r="E356">
        <v>0</v>
      </c>
      <c r="F356">
        <v>4000</v>
      </c>
      <c r="G356">
        <v>1750</v>
      </c>
      <c r="H356">
        <v>0</v>
      </c>
      <c r="J356" t="str">
        <f>VLOOKUP(Table3[[#This Row],[Faction ID]],Table4[],2)</f>
        <v>_</v>
      </c>
    </row>
    <row r="357" spans="1:10" x14ac:dyDescent="0.25">
      <c r="A357">
        <v>9</v>
      </c>
      <c r="B357" t="s">
        <v>43</v>
      </c>
      <c r="C357">
        <v>0</v>
      </c>
      <c r="D357">
        <v>0</v>
      </c>
      <c r="E357">
        <v>0</v>
      </c>
      <c r="F357">
        <v>4000</v>
      </c>
      <c r="G357">
        <v>1750</v>
      </c>
      <c r="H357">
        <v>0</v>
      </c>
      <c r="J357" t="str">
        <f>VLOOKUP(Table3[[#This Row],[Faction ID]],Table4[],2)</f>
        <v>_</v>
      </c>
    </row>
    <row r="358" spans="1:10" x14ac:dyDescent="0.25">
      <c r="A358">
        <v>9</v>
      </c>
      <c r="B358" t="s">
        <v>44</v>
      </c>
      <c r="C358">
        <v>0</v>
      </c>
      <c r="D358">
        <v>0</v>
      </c>
      <c r="E358">
        <v>0</v>
      </c>
      <c r="F358">
        <v>4000</v>
      </c>
      <c r="G358">
        <v>1750</v>
      </c>
      <c r="H358">
        <v>0</v>
      </c>
      <c r="J358" t="str">
        <f>VLOOKUP(Table3[[#This Row],[Faction ID]],Table4[],2)</f>
        <v>_</v>
      </c>
    </row>
    <row r="359" spans="1:10" x14ac:dyDescent="0.25">
      <c r="A359">
        <v>10</v>
      </c>
      <c r="B359" t="s">
        <v>9</v>
      </c>
      <c r="C359">
        <v>48</v>
      </c>
      <c r="D359">
        <v>15</v>
      </c>
      <c r="E359">
        <v>124.5</v>
      </c>
      <c r="F359">
        <v>1356</v>
      </c>
      <c r="G359">
        <v>13291</v>
      </c>
      <c r="H359">
        <v>580</v>
      </c>
      <c r="J359" t="str">
        <f>VLOOKUP(Table3[[#This Row],[Faction ID]],Table4[],2)</f>
        <v>Mordor</v>
      </c>
    </row>
    <row r="360" spans="1:10" x14ac:dyDescent="0.25">
      <c r="A360">
        <v>10</v>
      </c>
      <c r="B360" t="s">
        <v>4</v>
      </c>
      <c r="C360">
        <v>50</v>
      </c>
      <c r="D360">
        <v>15</v>
      </c>
      <c r="E360">
        <v>152</v>
      </c>
      <c r="F360">
        <v>21245</v>
      </c>
      <c r="G360">
        <v>17550</v>
      </c>
      <c r="H360">
        <v>541</v>
      </c>
      <c r="J360" t="str">
        <f>VLOOKUP(Table3[[#This Row],[Faction ID]],Table4[],2)</f>
        <v>Gondor</v>
      </c>
    </row>
    <row r="361" spans="1:10" x14ac:dyDescent="0.25">
      <c r="A361">
        <v>10</v>
      </c>
      <c r="B361" t="s">
        <v>6</v>
      </c>
      <c r="C361">
        <v>30</v>
      </c>
      <c r="D361">
        <v>11</v>
      </c>
      <c r="E361">
        <v>116</v>
      </c>
      <c r="F361">
        <v>10105</v>
      </c>
      <c r="G361">
        <v>12433</v>
      </c>
      <c r="H361">
        <v>264</v>
      </c>
      <c r="J361" t="str">
        <f>VLOOKUP(Table3[[#This Row],[Faction ID]],Table4[],2)</f>
        <v>Dale</v>
      </c>
    </row>
    <row r="362" spans="1:10" x14ac:dyDescent="0.25">
      <c r="A362">
        <v>10</v>
      </c>
      <c r="B362" t="s">
        <v>21</v>
      </c>
      <c r="C362">
        <v>19</v>
      </c>
      <c r="D362">
        <v>3</v>
      </c>
      <c r="E362">
        <v>46</v>
      </c>
      <c r="F362">
        <v>10531</v>
      </c>
      <c r="G362">
        <v>11092</v>
      </c>
      <c r="H362">
        <v>792</v>
      </c>
      <c r="J362" t="str">
        <f>VLOOKUP(Table3[[#This Row],[Faction ID]],Table4[],2)</f>
        <v>Erebor</v>
      </c>
    </row>
    <row r="363" spans="1:10" x14ac:dyDescent="0.25">
      <c r="A363">
        <v>10</v>
      </c>
      <c r="B363" t="s">
        <v>5</v>
      </c>
      <c r="C363">
        <v>33</v>
      </c>
      <c r="D363">
        <v>14</v>
      </c>
      <c r="E363">
        <v>121</v>
      </c>
      <c r="F363">
        <v>5877</v>
      </c>
      <c r="G363">
        <v>9401</v>
      </c>
      <c r="H363">
        <v>304</v>
      </c>
      <c r="J363" t="str">
        <f>VLOOKUP(Table3[[#This Row],[Faction ID]],Table4[],2)</f>
        <v>Rohan</v>
      </c>
    </row>
    <row r="364" spans="1:10" x14ac:dyDescent="0.25">
      <c r="A364">
        <v>10</v>
      </c>
      <c r="B364" t="s">
        <v>12</v>
      </c>
      <c r="C364">
        <v>24</v>
      </c>
      <c r="D364">
        <v>7</v>
      </c>
      <c r="E364">
        <v>78</v>
      </c>
      <c r="F364">
        <v>13598</v>
      </c>
      <c r="G364">
        <v>12284</v>
      </c>
      <c r="H364">
        <v>0</v>
      </c>
      <c r="J364" t="str">
        <f>VLOOKUP(Table3[[#This Row],[Faction ID]],Table4[],2)</f>
        <v>Dol Guldur</v>
      </c>
    </row>
    <row r="365" spans="1:10" x14ac:dyDescent="0.25">
      <c r="A365">
        <v>10</v>
      </c>
      <c r="B365" t="s">
        <v>10</v>
      </c>
      <c r="C365">
        <v>30</v>
      </c>
      <c r="D365">
        <v>11</v>
      </c>
      <c r="E365">
        <v>84</v>
      </c>
      <c r="F365">
        <v>7267</v>
      </c>
      <c r="G365">
        <v>8680</v>
      </c>
      <c r="H365">
        <v>0</v>
      </c>
      <c r="J365" t="str">
        <f>VLOOKUP(Table3[[#This Row],[Faction ID]],Table4[],2)</f>
        <v>Anduin Vale</v>
      </c>
    </row>
    <row r="366" spans="1:10" x14ac:dyDescent="0.25">
      <c r="A366">
        <v>10</v>
      </c>
      <c r="B366" t="s">
        <v>32</v>
      </c>
      <c r="C366">
        <v>13</v>
      </c>
      <c r="D366">
        <v>1</v>
      </c>
      <c r="E366">
        <v>44</v>
      </c>
      <c r="F366">
        <v>7917</v>
      </c>
      <c r="G366">
        <v>7464</v>
      </c>
      <c r="H366">
        <v>257</v>
      </c>
      <c r="J366" t="str">
        <f>VLOOKUP(Table3[[#This Row],[Faction ID]],Table4[],2)</f>
        <v>Isengard</v>
      </c>
    </row>
    <row r="367" spans="1:10" x14ac:dyDescent="0.25">
      <c r="A367">
        <v>10</v>
      </c>
      <c r="B367" t="s">
        <v>22</v>
      </c>
      <c r="C367">
        <v>14</v>
      </c>
      <c r="D367">
        <v>2</v>
      </c>
      <c r="E367">
        <v>27</v>
      </c>
      <c r="F367">
        <v>4303</v>
      </c>
      <c r="G367">
        <v>6087</v>
      </c>
      <c r="H367">
        <v>0</v>
      </c>
      <c r="J367" t="str">
        <f>VLOOKUP(Table3[[#This Row],[Faction ID]],Table4[],2)</f>
        <v>Woodland Realm</v>
      </c>
    </row>
    <row r="368" spans="1:10" x14ac:dyDescent="0.25">
      <c r="A368">
        <v>10</v>
      </c>
      <c r="B368" t="s">
        <v>23</v>
      </c>
      <c r="C368">
        <v>15</v>
      </c>
      <c r="D368">
        <v>3</v>
      </c>
      <c r="E368">
        <v>37</v>
      </c>
      <c r="F368">
        <v>8259</v>
      </c>
      <c r="G368">
        <v>8547</v>
      </c>
      <c r="H368">
        <v>0</v>
      </c>
      <c r="J368" t="str">
        <f>VLOOKUP(Table3[[#This Row],[Faction ID]],Table4[],2)</f>
        <v>Lothlorien</v>
      </c>
    </row>
    <row r="369" spans="1:10" x14ac:dyDescent="0.25">
      <c r="A369">
        <v>10</v>
      </c>
      <c r="B369" t="s">
        <v>24</v>
      </c>
      <c r="C369">
        <v>5</v>
      </c>
      <c r="D369">
        <v>3</v>
      </c>
      <c r="E369">
        <v>39</v>
      </c>
      <c r="F369">
        <v>3471</v>
      </c>
      <c r="G369">
        <v>6298</v>
      </c>
      <c r="H369">
        <v>244</v>
      </c>
      <c r="J369" t="str">
        <f>VLOOKUP(Table3[[#This Row],[Faction ID]],Table4[],2)</f>
        <v>Variags (Khand)</v>
      </c>
    </row>
    <row r="370" spans="1:10" x14ac:dyDescent="0.25">
      <c r="A370">
        <v>10</v>
      </c>
      <c r="B370" t="s">
        <v>14</v>
      </c>
      <c r="C370">
        <v>7</v>
      </c>
      <c r="D370">
        <v>5</v>
      </c>
      <c r="E370">
        <v>45</v>
      </c>
      <c r="F370">
        <v>8415</v>
      </c>
      <c r="G370">
        <v>7169</v>
      </c>
      <c r="H370">
        <v>0</v>
      </c>
      <c r="J370" t="str">
        <f>VLOOKUP(Table3[[#This Row],[Faction ID]],Table4[],2)</f>
        <v>Corsairs of Umbar</v>
      </c>
    </row>
    <row r="371" spans="1:10" x14ac:dyDescent="0.25">
      <c r="A371">
        <v>10</v>
      </c>
      <c r="B371" t="s">
        <v>25</v>
      </c>
      <c r="C371">
        <v>5</v>
      </c>
      <c r="D371">
        <v>3</v>
      </c>
      <c r="E371">
        <v>37</v>
      </c>
      <c r="F371">
        <v>5193</v>
      </c>
      <c r="G371">
        <v>5433</v>
      </c>
      <c r="H371">
        <v>0</v>
      </c>
      <c r="J371" t="str">
        <f>VLOOKUP(Table3[[#This Row],[Faction ID]],Table4[],2)</f>
        <v>Mahud</v>
      </c>
    </row>
    <row r="372" spans="1:10" x14ac:dyDescent="0.25">
      <c r="A372">
        <v>10</v>
      </c>
      <c r="B372" t="s">
        <v>11</v>
      </c>
      <c r="C372">
        <v>23</v>
      </c>
      <c r="D372">
        <v>6</v>
      </c>
      <c r="E372">
        <v>63</v>
      </c>
      <c r="F372">
        <v>8257</v>
      </c>
      <c r="G372">
        <v>8869</v>
      </c>
      <c r="H372">
        <v>0</v>
      </c>
      <c r="J372" t="str">
        <f>VLOOKUP(Table3[[#This Row],[Faction ID]],Table4[],2)</f>
        <v>Haradrim</v>
      </c>
    </row>
    <row r="373" spans="1:10" x14ac:dyDescent="0.25">
      <c r="A373">
        <v>10</v>
      </c>
      <c r="B373" t="s">
        <v>15</v>
      </c>
      <c r="C373">
        <v>17</v>
      </c>
      <c r="D373">
        <v>4</v>
      </c>
      <c r="E373">
        <v>52</v>
      </c>
      <c r="F373">
        <v>6765</v>
      </c>
      <c r="G373">
        <v>9759</v>
      </c>
      <c r="H373">
        <v>0</v>
      </c>
      <c r="J373" t="str">
        <f>VLOOKUP(Table3[[#This Row],[Faction ID]],Table4[],2)</f>
        <v>Dunlendings</v>
      </c>
    </row>
    <row r="374" spans="1:10" x14ac:dyDescent="0.25">
      <c r="A374">
        <v>10</v>
      </c>
      <c r="B374" t="s">
        <v>16</v>
      </c>
      <c r="C374">
        <v>0</v>
      </c>
      <c r="D374">
        <v>0</v>
      </c>
      <c r="E374">
        <v>0</v>
      </c>
      <c r="F374">
        <v>5352</v>
      </c>
      <c r="G374">
        <v>1750</v>
      </c>
      <c r="H374">
        <v>0</v>
      </c>
      <c r="J374" t="str">
        <f>VLOOKUP(Table3[[#This Row],[Faction ID]],Table4[],2)</f>
        <v>Haerrim</v>
      </c>
    </row>
    <row r="375" spans="1:10" x14ac:dyDescent="0.25">
      <c r="A375">
        <v>10</v>
      </c>
      <c r="B375" t="s">
        <v>13</v>
      </c>
      <c r="C375">
        <v>20</v>
      </c>
      <c r="D375">
        <v>7</v>
      </c>
      <c r="E375">
        <v>79</v>
      </c>
      <c r="F375">
        <v>15106</v>
      </c>
      <c r="G375">
        <v>9012</v>
      </c>
      <c r="H375">
        <v>0</v>
      </c>
      <c r="J375" t="str">
        <f>VLOOKUP(Table3[[#This Row],[Faction ID]],Table4[],2)</f>
        <v>Goblins</v>
      </c>
    </row>
    <row r="376" spans="1:10" x14ac:dyDescent="0.25">
      <c r="A376">
        <v>10</v>
      </c>
      <c r="B376" t="s">
        <v>17</v>
      </c>
      <c r="C376">
        <v>0</v>
      </c>
      <c r="D376">
        <v>0</v>
      </c>
      <c r="E376">
        <v>0</v>
      </c>
      <c r="F376">
        <v>4872</v>
      </c>
      <c r="G376">
        <v>1750</v>
      </c>
      <c r="H376">
        <v>0</v>
      </c>
      <c r="J376" t="str">
        <f>VLOOKUP(Table3[[#This Row],[Faction ID]],Table4[],2)</f>
        <v>Balchoth</v>
      </c>
    </row>
    <row r="377" spans="1:10" x14ac:dyDescent="0.25">
      <c r="A377">
        <v>10</v>
      </c>
      <c r="B377" t="s">
        <v>18</v>
      </c>
      <c r="C377">
        <v>40</v>
      </c>
      <c r="D377">
        <v>12</v>
      </c>
      <c r="E377">
        <v>130.30000000000001</v>
      </c>
      <c r="F377">
        <v>17135</v>
      </c>
      <c r="G377">
        <v>15285</v>
      </c>
      <c r="H377">
        <v>322</v>
      </c>
      <c r="J377" t="str">
        <f>VLOOKUP(Table3[[#This Row],[Faction ID]],Table4[],2)</f>
        <v>Rhurim/Rhun</v>
      </c>
    </row>
    <row r="378" spans="1:10" x14ac:dyDescent="0.25">
      <c r="A378">
        <v>10</v>
      </c>
      <c r="B378" t="s">
        <v>19</v>
      </c>
      <c r="C378">
        <v>8</v>
      </c>
      <c r="D378">
        <v>6</v>
      </c>
      <c r="E378">
        <v>45</v>
      </c>
      <c r="F378">
        <v>7428</v>
      </c>
      <c r="G378">
        <v>5418</v>
      </c>
      <c r="H378">
        <v>0</v>
      </c>
      <c r="J378" t="str">
        <f>VLOOKUP(Table3[[#This Row],[Faction ID]],Table4[],2)</f>
        <v>Feredrim</v>
      </c>
    </row>
    <row r="379" spans="1:10" x14ac:dyDescent="0.25">
      <c r="A379">
        <v>10</v>
      </c>
      <c r="B379" t="s">
        <v>26</v>
      </c>
      <c r="C379">
        <v>6</v>
      </c>
      <c r="D379">
        <v>4</v>
      </c>
      <c r="E379">
        <v>35</v>
      </c>
      <c r="F379">
        <v>3784</v>
      </c>
      <c r="G379">
        <v>6062</v>
      </c>
      <c r="H379">
        <v>148</v>
      </c>
      <c r="J379" t="str">
        <f>VLOOKUP(Table3[[#This Row],[Faction ID]],Table4[],2)</f>
        <v>Rachrohir (Wainriders)</v>
      </c>
    </row>
    <row r="380" spans="1:10" x14ac:dyDescent="0.25">
      <c r="A380">
        <v>10</v>
      </c>
      <c r="B380" t="s">
        <v>27</v>
      </c>
      <c r="C380">
        <v>5</v>
      </c>
      <c r="D380">
        <v>3</v>
      </c>
      <c r="E380">
        <v>33</v>
      </c>
      <c r="F380">
        <v>9588</v>
      </c>
      <c r="G380">
        <v>5817</v>
      </c>
      <c r="H380">
        <v>0</v>
      </c>
      <c r="J380" t="str">
        <f>VLOOKUP(Table3[[#This Row],[Faction ID]],Table4[],2)</f>
        <v>Blacklock-Stonefoot League</v>
      </c>
    </row>
    <row r="381" spans="1:10" x14ac:dyDescent="0.25">
      <c r="A381">
        <v>10</v>
      </c>
      <c r="B381" t="s">
        <v>28</v>
      </c>
      <c r="C381">
        <v>4</v>
      </c>
      <c r="D381">
        <v>2</v>
      </c>
      <c r="E381">
        <v>25</v>
      </c>
      <c r="F381">
        <v>6000</v>
      </c>
      <c r="G381">
        <v>4399</v>
      </c>
      <c r="H381">
        <v>0</v>
      </c>
      <c r="J381" t="str">
        <f>VLOOKUP(Table3[[#This Row],[Faction ID]],Table4[],2)</f>
        <v>Ironfist-Stiffbeard Union</v>
      </c>
    </row>
    <row r="382" spans="1:10" x14ac:dyDescent="0.25">
      <c r="A382">
        <v>10</v>
      </c>
      <c r="B382" t="s">
        <v>20</v>
      </c>
      <c r="C382">
        <v>19</v>
      </c>
      <c r="D382">
        <v>6</v>
      </c>
      <c r="E382">
        <v>81</v>
      </c>
      <c r="F382">
        <v>9211</v>
      </c>
      <c r="G382">
        <v>10864</v>
      </c>
      <c r="H382">
        <v>0</v>
      </c>
      <c r="J382" t="str">
        <f>VLOOKUP(Table3[[#This Row],[Faction ID]],Table4[],2)</f>
        <v>Gundabad</v>
      </c>
    </row>
    <row r="383" spans="1:10" x14ac:dyDescent="0.25">
      <c r="A383">
        <v>10</v>
      </c>
      <c r="B383" t="s">
        <v>34</v>
      </c>
      <c r="C383">
        <v>0</v>
      </c>
      <c r="D383">
        <v>0</v>
      </c>
      <c r="E383">
        <v>3</v>
      </c>
      <c r="F383">
        <v>14089</v>
      </c>
      <c r="G383">
        <v>2379</v>
      </c>
      <c r="H383">
        <v>0</v>
      </c>
      <c r="J383" t="str">
        <f>VLOOKUP(Table3[[#This Row],[Faction ID]],Table4[],2)</f>
        <v>Scouts of Rohan</v>
      </c>
    </row>
    <row r="384" spans="1:10" x14ac:dyDescent="0.25">
      <c r="A384">
        <v>10</v>
      </c>
      <c r="B384" t="s">
        <v>33</v>
      </c>
      <c r="C384">
        <v>5</v>
      </c>
      <c r="D384">
        <v>3</v>
      </c>
      <c r="E384">
        <v>14</v>
      </c>
      <c r="F384">
        <v>6936</v>
      </c>
      <c r="G384">
        <v>3286</v>
      </c>
      <c r="H384">
        <v>0</v>
      </c>
      <c r="J384" t="str">
        <f>VLOOKUP(Table3[[#This Row],[Faction ID]],Table4[],2)</f>
        <v>Northern Enedwaith</v>
      </c>
    </row>
    <row r="385" spans="1:10" x14ac:dyDescent="0.25">
      <c r="A385">
        <v>10</v>
      </c>
      <c r="B385" t="s">
        <v>29</v>
      </c>
      <c r="C385">
        <v>3</v>
      </c>
      <c r="D385">
        <v>2</v>
      </c>
      <c r="E385">
        <v>16</v>
      </c>
      <c r="F385">
        <v>6611</v>
      </c>
      <c r="G385">
        <v>3337</v>
      </c>
      <c r="H385">
        <v>0</v>
      </c>
      <c r="J385" t="str">
        <f>VLOOKUP(Table3[[#This Row],[Faction ID]],Table4[],2)</f>
        <v>Southern Enedwaith</v>
      </c>
    </row>
    <row r="386" spans="1:10" x14ac:dyDescent="0.25">
      <c r="A386">
        <v>10</v>
      </c>
      <c r="B386" t="s">
        <v>30</v>
      </c>
      <c r="C386">
        <v>5</v>
      </c>
      <c r="D386">
        <v>3</v>
      </c>
      <c r="E386">
        <v>27</v>
      </c>
      <c r="F386">
        <v>7934</v>
      </c>
      <c r="G386">
        <v>4158</v>
      </c>
      <c r="H386">
        <v>0</v>
      </c>
      <c r="J386" t="str">
        <f>VLOOKUP(Table3[[#This Row],[Faction ID]],Table4[],2)</f>
        <v>Druedain</v>
      </c>
    </row>
    <row r="387" spans="1:10" x14ac:dyDescent="0.25">
      <c r="A387">
        <v>10</v>
      </c>
      <c r="B387" t="s">
        <v>31</v>
      </c>
      <c r="C387">
        <v>4</v>
      </c>
      <c r="D387">
        <v>2</v>
      </c>
      <c r="E387">
        <v>24</v>
      </c>
      <c r="F387">
        <v>7388</v>
      </c>
      <c r="G387">
        <v>4684</v>
      </c>
      <c r="H387">
        <v>141</v>
      </c>
      <c r="J387" t="str">
        <f>VLOOKUP(Table3[[#This Row],[Faction ID]],Table4[],2)</f>
        <v>Harondor</v>
      </c>
    </row>
    <row r="388" spans="1:10" x14ac:dyDescent="0.25">
      <c r="A388">
        <v>10</v>
      </c>
      <c r="B388" t="s">
        <v>35</v>
      </c>
      <c r="C388">
        <v>0</v>
      </c>
      <c r="D388">
        <v>0</v>
      </c>
      <c r="E388">
        <v>0</v>
      </c>
      <c r="F388">
        <v>4000</v>
      </c>
      <c r="G388">
        <v>1750</v>
      </c>
      <c r="H388">
        <v>0</v>
      </c>
      <c r="J388" t="str">
        <f>VLOOKUP(Table3[[#This Row],[Faction ID]],Table4[],2)</f>
        <v>Southron Nomads</v>
      </c>
    </row>
    <row r="389" spans="1:10" x14ac:dyDescent="0.25">
      <c r="A389">
        <v>10</v>
      </c>
      <c r="B389" t="s">
        <v>36</v>
      </c>
      <c r="C389">
        <v>0</v>
      </c>
      <c r="D389">
        <v>0</v>
      </c>
      <c r="E389">
        <v>0</v>
      </c>
      <c r="F389">
        <v>4000</v>
      </c>
      <c r="G389">
        <v>1750</v>
      </c>
      <c r="H389">
        <v>0</v>
      </c>
      <c r="J389" t="str">
        <f>VLOOKUP(Table3[[#This Row],[Faction ID]],Table4[],2)</f>
        <v>_</v>
      </c>
    </row>
    <row r="390" spans="1:10" x14ac:dyDescent="0.25">
      <c r="A390">
        <v>10</v>
      </c>
      <c r="B390" t="s">
        <v>37</v>
      </c>
      <c r="C390">
        <v>0</v>
      </c>
      <c r="D390">
        <v>0</v>
      </c>
      <c r="E390">
        <v>0</v>
      </c>
      <c r="F390">
        <v>4000</v>
      </c>
      <c r="G390">
        <v>1750</v>
      </c>
      <c r="H390">
        <v>0</v>
      </c>
      <c r="J390" t="str">
        <f>VLOOKUP(Table3[[#This Row],[Faction ID]],Table4[],2)</f>
        <v>_</v>
      </c>
    </row>
    <row r="391" spans="1:10" x14ac:dyDescent="0.25">
      <c r="A391">
        <v>10</v>
      </c>
      <c r="B391" t="s">
        <v>38</v>
      </c>
      <c r="C391">
        <v>0</v>
      </c>
      <c r="D391">
        <v>0</v>
      </c>
      <c r="E391">
        <v>0</v>
      </c>
      <c r="F391">
        <v>4000</v>
      </c>
      <c r="G391">
        <v>1750</v>
      </c>
      <c r="H391">
        <v>0</v>
      </c>
      <c r="J391" t="str">
        <f>VLOOKUP(Table3[[#This Row],[Faction ID]],Table4[],2)</f>
        <v>_</v>
      </c>
    </row>
    <row r="392" spans="1:10" x14ac:dyDescent="0.25">
      <c r="A392">
        <v>10</v>
      </c>
      <c r="B392" t="s">
        <v>39</v>
      </c>
      <c r="C392">
        <v>0</v>
      </c>
      <c r="D392">
        <v>0</v>
      </c>
      <c r="E392">
        <v>0</v>
      </c>
      <c r="F392">
        <v>4000</v>
      </c>
      <c r="G392">
        <v>1750</v>
      </c>
      <c r="H392">
        <v>0</v>
      </c>
      <c r="J392" t="str">
        <f>VLOOKUP(Table3[[#This Row],[Faction ID]],Table4[],2)</f>
        <v>_</v>
      </c>
    </row>
    <row r="393" spans="1:10" x14ac:dyDescent="0.25">
      <c r="A393">
        <v>10</v>
      </c>
      <c r="B393" t="s">
        <v>40</v>
      </c>
      <c r="C393">
        <v>0</v>
      </c>
      <c r="D393">
        <v>0</v>
      </c>
      <c r="E393">
        <v>0</v>
      </c>
      <c r="F393">
        <v>4000</v>
      </c>
      <c r="G393">
        <v>1750</v>
      </c>
      <c r="H393">
        <v>0</v>
      </c>
      <c r="J393" t="str">
        <f>VLOOKUP(Table3[[#This Row],[Faction ID]],Table4[],2)</f>
        <v>_</v>
      </c>
    </row>
    <row r="394" spans="1:10" x14ac:dyDescent="0.25">
      <c r="A394">
        <v>10</v>
      </c>
      <c r="B394" t="s">
        <v>41</v>
      </c>
      <c r="C394">
        <v>0</v>
      </c>
      <c r="D394">
        <v>0</v>
      </c>
      <c r="E394">
        <v>0</v>
      </c>
      <c r="F394">
        <v>4000</v>
      </c>
      <c r="G394">
        <v>1750</v>
      </c>
      <c r="H394">
        <v>0</v>
      </c>
      <c r="J394" t="str">
        <f>VLOOKUP(Table3[[#This Row],[Faction ID]],Table4[],2)</f>
        <v>_</v>
      </c>
    </row>
    <row r="395" spans="1:10" x14ac:dyDescent="0.25">
      <c r="A395">
        <v>10</v>
      </c>
      <c r="B395" t="s">
        <v>42</v>
      </c>
      <c r="C395">
        <v>0</v>
      </c>
      <c r="D395">
        <v>0</v>
      </c>
      <c r="E395">
        <v>0</v>
      </c>
      <c r="F395">
        <v>4000</v>
      </c>
      <c r="G395">
        <v>1750</v>
      </c>
      <c r="H395">
        <v>0</v>
      </c>
      <c r="J395" t="str">
        <f>VLOOKUP(Table3[[#This Row],[Faction ID]],Table4[],2)</f>
        <v>_</v>
      </c>
    </row>
    <row r="396" spans="1:10" x14ac:dyDescent="0.25">
      <c r="A396">
        <v>10</v>
      </c>
      <c r="B396" t="s">
        <v>43</v>
      </c>
      <c r="C396">
        <v>0</v>
      </c>
      <c r="D396">
        <v>0</v>
      </c>
      <c r="E396">
        <v>0</v>
      </c>
      <c r="F396">
        <v>4000</v>
      </c>
      <c r="G396">
        <v>1750</v>
      </c>
      <c r="H396">
        <v>0</v>
      </c>
      <c r="J396" t="str">
        <f>VLOOKUP(Table3[[#This Row],[Faction ID]],Table4[],2)</f>
        <v>_</v>
      </c>
    </row>
    <row r="397" spans="1:10" x14ac:dyDescent="0.25">
      <c r="A397">
        <v>10</v>
      </c>
      <c r="B397" t="s">
        <v>44</v>
      </c>
      <c r="C397">
        <v>0</v>
      </c>
      <c r="D397">
        <v>0</v>
      </c>
      <c r="E397">
        <v>0</v>
      </c>
      <c r="F397">
        <v>4000</v>
      </c>
      <c r="G397">
        <v>1750</v>
      </c>
      <c r="H397">
        <v>0</v>
      </c>
      <c r="J397" t="str">
        <f>VLOOKUP(Table3[[#This Row],[Faction ID]],Table4[],2)</f>
        <v>_</v>
      </c>
    </row>
    <row r="398" spans="1:10" x14ac:dyDescent="0.25">
      <c r="A398">
        <v>11</v>
      </c>
      <c r="B398" t="s">
        <v>9</v>
      </c>
      <c r="C398">
        <v>48</v>
      </c>
      <c r="D398">
        <v>15</v>
      </c>
      <c r="E398">
        <v>128.6</v>
      </c>
      <c r="F398">
        <v>3452</v>
      </c>
      <c r="G398">
        <v>14017</v>
      </c>
      <c r="H398">
        <v>580</v>
      </c>
      <c r="J398" t="str">
        <f>VLOOKUP(Table3[[#This Row],[Faction ID]],Table4[],2)</f>
        <v>Mordor</v>
      </c>
    </row>
    <row r="399" spans="1:10" x14ac:dyDescent="0.25">
      <c r="A399">
        <v>11</v>
      </c>
      <c r="B399" t="s">
        <v>4</v>
      </c>
      <c r="C399">
        <v>55</v>
      </c>
      <c r="D399">
        <v>15</v>
      </c>
      <c r="E399">
        <v>155</v>
      </c>
      <c r="F399">
        <v>19889</v>
      </c>
      <c r="G399">
        <v>18119</v>
      </c>
      <c r="H399">
        <v>544</v>
      </c>
      <c r="J399" t="str">
        <f>VLOOKUP(Table3[[#This Row],[Faction ID]],Table4[],2)</f>
        <v>Gondor</v>
      </c>
    </row>
    <row r="400" spans="1:10" x14ac:dyDescent="0.25">
      <c r="A400">
        <v>11</v>
      </c>
      <c r="B400" t="s">
        <v>6</v>
      </c>
      <c r="C400">
        <v>30</v>
      </c>
      <c r="D400">
        <v>11</v>
      </c>
      <c r="E400">
        <v>112</v>
      </c>
      <c r="F400">
        <v>10684</v>
      </c>
      <c r="G400">
        <v>12410</v>
      </c>
      <c r="H400">
        <v>263</v>
      </c>
      <c r="J400" t="str">
        <f>VLOOKUP(Table3[[#This Row],[Faction ID]],Table4[],2)</f>
        <v>Dale</v>
      </c>
    </row>
    <row r="401" spans="1:10" x14ac:dyDescent="0.25">
      <c r="A401">
        <v>11</v>
      </c>
      <c r="B401" t="s">
        <v>21</v>
      </c>
      <c r="C401">
        <v>24</v>
      </c>
      <c r="D401">
        <v>3</v>
      </c>
      <c r="E401">
        <v>49</v>
      </c>
      <c r="F401">
        <v>14548</v>
      </c>
      <c r="G401">
        <v>11481</v>
      </c>
      <c r="H401">
        <v>792</v>
      </c>
      <c r="J401" t="str">
        <f>VLOOKUP(Table3[[#This Row],[Faction ID]],Table4[],2)</f>
        <v>Erebor</v>
      </c>
    </row>
    <row r="402" spans="1:10" x14ac:dyDescent="0.25">
      <c r="A402">
        <v>11</v>
      </c>
      <c r="B402" t="s">
        <v>5</v>
      </c>
      <c r="C402">
        <v>32</v>
      </c>
      <c r="D402">
        <v>13</v>
      </c>
      <c r="E402">
        <v>118</v>
      </c>
      <c r="F402">
        <v>4115</v>
      </c>
      <c r="G402">
        <v>9925</v>
      </c>
      <c r="H402">
        <v>305</v>
      </c>
      <c r="J402" t="str">
        <f>VLOOKUP(Table3[[#This Row],[Faction ID]],Table4[],2)</f>
        <v>Rohan</v>
      </c>
    </row>
    <row r="403" spans="1:10" x14ac:dyDescent="0.25">
      <c r="A403">
        <v>11</v>
      </c>
      <c r="B403" t="s">
        <v>12</v>
      </c>
      <c r="C403">
        <v>29</v>
      </c>
      <c r="D403">
        <v>7</v>
      </c>
      <c r="E403">
        <v>84</v>
      </c>
      <c r="F403">
        <v>11983</v>
      </c>
      <c r="G403">
        <v>12855</v>
      </c>
      <c r="H403">
        <v>0</v>
      </c>
      <c r="J403" t="str">
        <f>VLOOKUP(Table3[[#This Row],[Faction ID]],Table4[],2)</f>
        <v>Dol Guldur</v>
      </c>
    </row>
    <row r="404" spans="1:10" x14ac:dyDescent="0.25">
      <c r="A404">
        <v>11</v>
      </c>
      <c r="B404" t="s">
        <v>10</v>
      </c>
      <c r="C404">
        <v>35</v>
      </c>
      <c r="D404">
        <v>11</v>
      </c>
      <c r="E404">
        <v>77</v>
      </c>
      <c r="F404">
        <v>10407</v>
      </c>
      <c r="G404">
        <v>8540</v>
      </c>
      <c r="H404">
        <v>0</v>
      </c>
      <c r="J404" t="str">
        <f>VLOOKUP(Table3[[#This Row],[Faction ID]],Table4[],2)</f>
        <v>Anduin Vale</v>
      </c>
    </row>
    <row r="405" spans="1:10" x14ac:dyDescent="0.25">
      <c r="A405">
        <v>11</v>
      </c>
      <c r="B405" t="s">
        <v>32</v>
      </c>
      <c r="C405">
        <v>13</v>
      </c>
      <c r="D405">
        <v>1</v>
      </c>
      <c r="E405">
        <v>48</v>
      </c>
      <c r="F405">
        <v>8888</v>
      </c>
      <c r="G405">
        <v>8171</v>
      </c>
      <c r="H405">
        <v>257</v>
      </c>
      <c r="J405" t="str">
        <f>VLOOKUP(Table3[[#This Row],[Faction ID]],Table4[],2)</f>
        <v>Isengard</v>
      </c>
    </row>
    <row r="406" spans="1:10" x14ac:dyDescent="0.25">
      <c r="A406">
        <v>11</v>
      </c>
      <c r="B406" t="s">
        <v>22</v>
      </c>
      <c r="C406">
        <v>19</v>
      </c>
      <c r="D406">
        <v>2</v>
      </c>
      <c r="E406">
        <v>30</v>
      </c>
      <c r="F406">
        <v>4865</v>
      </c>
      <c r="G406">
        <v>6338</v>
      </c>
      <c r="H406">
        <v>0</v>
      </c>
      <c r="J406" t="str">
        <f>VLOOKUP(Table3[[#This Row],[Faction ID]],Table4[],2)</f>
        <v>Woodland Realm</v>
      </c>
    </row>
    <row r="407" spans="1:10" x14ac:dyDescent="0.25">
      <c r="A407">
        <v>11</v>
      </c>
      <c r="B407" t="s">
        <v>23</v>
      </c>
      <c r="C407">
        <v>15</v>
      </c>
      <c r="D407">
        <v>3</v>
      </c>
      <c r="E407">
        <v>39</v>
      </c>
      <c r="F407">
        <v>9326</v>
      </c>
      <c r="G407">
        <v>9400</v>
      </c>
      <c r="H407">
        <v>0</v>
      </c>
      <c r="J407" t="str">
        <f>VLOOKUP(Table3[[#This Row],[Faction ID]],Table4[],2)</f>
        <v>Lothlorien</v>
      </c>
    </row>
    <row r="408" spans="1:10" x14ac:dyDescent="0.25">
      <c r="A408">
        <v>11</v>
      </c>
      <c r="B408" t="s">
        <v>24</v>
      </c>
      <c r="C408">
        <v>5</v>
      </c>
      <c r="D408">
        <v>3</v>
      </c>
      <c r="E408">
        <v>39</v>
      </c>
      <c r="F408">
        <v>4511</v>
      </c>
      <c r="G408">
        <v>6300</v>
      </c>
      <c r="H408">
        <v>244</v>
      </c>
      <c r="J408" t="str">
        <f>VLOOKUP(Table3[[#This Row],[Faction ID]],Table4[],2)</f>
        <v>Variags (Khand)</v>
      </c>
    </row>
    <row r="409" spans="1:10" x14ac:dyDescent="0.25">
      <c r="A409">
        <v>11</v>
      </c>
      <c r="B409" t="s">
        <v>14</v>
      </c>
      <c r="C409">
        <v>7</v>
      </c>
      <c r="D409">
        <v>5</v>
      </c>
      <c r="E409">
        <v>50</v>
      </c>
      <c r="F409">
        <v>6856</v>
      </c>
      <c r="G409">
        <v>7521</v>
      </c>
      <c r="H409">
        <v>0</v>
      </c>
      <c r="J409" t="str">
        <f>VLOOKUP(Table3[[#This Row],[Faction ID]],Table4[],2)</f>
        <v>Corsairs of Umbar</v>
      </c>
    </row>
    <row r="410" spans="1:10" x14ac:dyDescent="0.25">
      <c r="A410">
        <v>11</v>
      </c>
      <c r="B410" t="s">
        <v>25</v>
      </c>
      <c r="C410">
        <v>5</v>
      </c>
      <c r="D410">
        <v>3</v>
      </c>
      <c r="E410">
        <v>40</v>
      </c>
      <c r="F410">
        <v>3726</v>
      </c>
      <c r="G410">
        <v>5730</v>
      </c>
      <c r="H410">
        <v>0</v>
      </c>
      <c r="J410" t="str">
        <f>VLOOKUP(Table3[[#This Row],[Faction ID]],Table4[],2)</f>
        <v>Mahud</v>
      </c>
    </row>
    <row r="411" spans="1:10" x14ac:dyDescent="0.25">
      <c r="A411">
        <v>11</v>
      </c>
      <c r="B411" t="s">
        <v>11</v>
      </c>
      <c r="C411">
        <v>28</v>
      </c>
      <c r="D411">
        <v>6</v>
      </c>
      <c r="E411">
        <v>66</v>
      </c>
      <c r="F411">
        <v>10471</v>
      </c>
      <c r="G411">
        <v>8638</v>
      </c>
      <c r="H411">
        <v>0</v>
      </c>
      <c r="J411" t="str">
        <f>VLOOKUP(Table3[[#This Row],[Faction ID]],Table4[],2)</f>
        <v>Haradrim</v>
      </c>
    </row>
    <row r="412" spans="1:10" x14ac:dyDescent="0.25">
      <c r="A412">
        <v>11</v>
      </c>
      <c r="B412" t="s">
        <v>15</v>
      </c>
      <c r="C412">
        <v>23</v>
      </c>
      <c r="D412">
        <v>5</v>
      </c>
      <c r="E412">
        <v>56</v>
      </c>
      <c r="F412">
        <v>7516</v>
      </c>
      <c r="G412">
        <v>10032</v>
      </c>
      <c r="H412">
        <v>0</v>
      </c>
      <c r="J412" t="str">
        <f>VLOOKUP(Table3[[#This Row],[Faction ID]],Table4[],2)</f>
        <v>Dunlendings</v>
      </c>
    </row>
    <row r="413" spans="1:10" x14ac:dyDescent="0.25">
      <c r="A413">
        <v>11</v>
      </c>
      <c r="B413" t="s">
        <v>16</v>
      </c>
      <c r="C413">
        <v>0</v>
      </c>
      <c r="D413">
        <v>0</v>
      </c>
      <c r="E413">
        <v>0</v>
      </c>
      <c r="F413">
        <v>5352</v>
      </c>
      <c r="G413">
        <v>1750</v>
      </c>
      <c r="H413">
        <v>0</v>
      </c>
      <c r="J413" t="str">
        <f>VLOOKUP(Table3[[#This Row],[Faction ID]],Table4[],2)</f>
        <v>Haerrim</v>
      </c>
    </row>
    <row r="414" spans="1:10" x14ac:dyDescent="0.25">
      <c r="A414">
        <v>11</v>
      </c>
      <c r="B414" t="s">
        <v>13</v>
      </c>
      <c r="C414">
        <v>20</v>
      </c>
      <c r="D414">
        <v>7</v>
      </c>
      <c r="E414">
        <v>84</v>
      </c>
      <c r="F414">
        <v>13209</v>
      </c>
      <c r="G414">
        <v>9717</v>
      </c>
      <c r="H414">
        <v>0</v>
      </c>
      <c r="J414" t="str">
        <f>VLOOKUP(Table3[[#This Row],[Faction ID]],Table4[],2)</f>
        <v>Goblins</v>
      </c>
    </row>
    <row r="415" spans="1:10" x14ac:dyDescent="0.25">
      <c r="A415">
        <v>11</v>
      </c>
      <c r="B415" t="s">
        <v>17</v>
      </c>
      <c r="C415">
        <v>0</v>
      </c>
      <c r="D415">
        <v>0</v>
      </c>
      <c r="E415">
        <v>0</v>
      </c>
      <c r="F415">
        <v>4872</v>
      </c>
      <c r="G415">
        <v>1750</v>
      </c>
      <c r="H415">
        <v>0</v>
      </c>
      <c r="J415" t="str">
        <f>VLOOKUP(Table3[[#This Row],[Faction ID]],Table4[],2)</f>
        <v>Balchoth</v>
      </c>
    </row>
    <row r="416" spans="1:10" x14ac:dyDescent="0.25">
      <c r="A416">
        <v>11</v>
      </c>
      <c r="B416" t="s">
        <v>18</v>
      </c>
      <c r="C416">
        <v>40</v>
      </c>
      <c r="D416">
        <v>12</v>
      </c>
      <c r="E416">
        <v>135.30000000000001</v>
      </c>
      <c r="F416">
        <v>15826</v>
      </c>
      <c r="G416">
        <v>15626</v>
      </c>
      <c r="H416">
        <v>323</v>
      </c>
      <c r="J416" t="str">
        <f>VLOOKUP(Table3[[#This Row],[Faction ID]],Table4[],2)</f>
        <v>Rhurim/Rhun</v>
      </c>
    </row>
    <row r="417" spans="1:10" x14ac:dyDescent="0.25">
      <c r="A417">
        <v>11</v>
      </c>
      <c r="B417" t="s">
        <v>19</v>
      </c>
      <c r="C417">
        <v>8</v>
      </c>
      <c r="D417">
        <v>6</v>
      </c>
      <c r="E417">
        <v>48</v>
      </c>
      <c r="F417">
        <v>6444</v>
      </c>
      <c r="G417">
        <v>5714</v>
      </c>
      <c r="H417">
        <v>0</v>
      </c>
      <c r="J417" t="str">
        <f>VLOOKUP(Table3[[#This Row],[Faction ID]],Table4[],2)</f>
        <v>Feredrim</v>
      </c>
    </row>
    <row r="418" spans="1:10" x14ac:dyDescent="0.25">
      <c r="A418">
        <v>11</v>
      </c>
      <c r="B418" t="s">
        <v>26</v>
      </c>
      <c r="C418">
        <v>6</v>
      </c>
      <c r="D418">
        <v>4</v>
      </c>
      <c r="E418">
        <v>36</v>
      </c>
      <c r="F418">
        <v>5015</v>
      </c>
      <c r="G418">
        <v>6232</v>
      </c>
      <c r="H418">
        <v>149</v>
      </c>
      <c r="J418" t="str">
        <f>VLOOKUP(Table3[[#This Row],[Faction ID]],Table4[],2)</f>
        <v>Rachrohir (Wainriders)</v>
      </c>
    </row>
    <row r="419" spans="1:10" x14ac:dyDescent="0.25">
      <c r="A419">
        <v>11</v>
      </c>
      <c r="B419" t="s">
        <v>27</v>
      </c>
      <c r="C419">
        <v>5</v>
      </c>
      <c r="D419">
        <v>3</v>
      </c>
      <c r="E419">
        <v>33</v>
      </c>
      <c r="F419">
        <v>11453</v>
      </c>
      <c r="G419">
        <v>5817</v>
      </c>
      <c r="H419">
        <v>0</v>
      </c>
      <c r="J419" t="str">
        <f>VLOOKUP(Table3[[#This Row],[Faction ID]],Table4[],2)</f>
        <v>Blacklock-Stonefoot League</v>
      </c>
    </row>
    <row r="420" spans="1:10" x14ac:dyDescent="0.25">
      <c r="A420">
        <v>11</v>
      </c>
      <c r="B420" t="s">
        <v>28</v>
      </c>
      <c r="C420">
        <v>4</v>
      </c>
      <c r="D420">
        <v>2</v>
      </c>
      <c r="E420">
        <v>26</v>
      </c>
      <c r="F420">
        <v>7329</v>
      </c>
      <c r="G420">
        <v>4528</v>
      </c>
      <c r="H420">
        <v>0</v>
      </c>
      <c r="J420" t="str">
        <f>VLOOKUP(Table3[[#This Row],[Faction ID]],Table4[],2)</f>
        <v>Ironfist-Stiffbeard Union</v>
      </c>
    </row>
    <row r="421" spans="1:10" x14ac:dyDescent="0.25">
      <c r="A421">
        <v>11</v>
      </c>
      <c r="B421" t="s">
        <v>20</v>
      </c>
      <c r="C421">
        <v>19</v>
      </c>
      <c r="D421">
        <v>6</v>
      </c>
      <c r="E421">
        <v>85</v>
      </c>
      <c r="F421">
        <v>12236</v>
      </c>
      <c r="G421">
        <v>11687</v>
      </c>
      <c r="H421">
        <v>0</v>
      </c>
      <c r="J421" t="str">
        <f>VLOOKUP(Table3[[#This Row],[Faction ID]],Table4[],2)</f>
        <v>Gundabad</v>
      </c>
    </row>
    <row r="422" spans="1:10" x14ac:dyDescent="0.25">
      <c r="A422">
        <v>11</v>
      </c>
      <c r="B422" t="s">
        <v>34</v>
      </c>
      <c r="C422">
        <v>0</v>
      </c>
      <c r="D422">
        <v>0</v>
      </c>
      <c r="E422">
        <v>3</v>
      </c>
      <c r="F422">
        <v>15210</v>
      </c>
      <c r="G422">
        <v>2379</v>
      </c>
      <c r="H422">
        <v>0</v>
      </c>
      <c r="J422" t="str">
        <f>VLOOKUP(Table3[[#This Row],[Faction ID]],Table4[],2)</f>
        <v>Scouts of Rohan</v>
      </c>
    </row>
    <row r="423" spans="1:10" x14ac:dyDescent="0.25">
      <c r="A423">
        <v>11</v>
      </c>
      <c r="B423" t="s">
        <v>33</v>
      </c>
      <c r="C423">
        <v>5</v>
      </c>
      <c r="D423">
        <v>3</v>
      </c>
      <c r="E423">
        <v>15</v>
      </c>
      <c r="F423">
        <v>7582</v>
      </c>
      <c r="G423">
        <v>3313</v>
      </c>
      <c r="H423">
        <v>0</v>
      </c>
      <c r="J423" t="str">
        <f>VLOOKUP(Table3[[#This Row],[Faction ID]],Table4[],2)</f>
        <v>Northern Enedwaith</v>
      </c>
    </row>
    <row r="424" spans="1:10" x14ac:dyDescent="0.25">
      <c r="A424">
        <v>11</v>
      </c>
      <c r="B424" t="s">
        <v>29</v>
      </c>
      <c r="C424">
        <v>3</v>
      </c>
      <c r="D424">
        <v>2</v>
      </c>
      <c r="E424">
        <v>16</v>
      </c>
      <c r="F424">
        <v>7761</v>
      </c>
      <c r="G424">
        <v>3544</v>
      </c>
      <c r="H424">
        <v>0</v>
      </c>
      <c r="J424" t="str">
        <f>VLOOKUP(Table3[[#This Row],[Faction ID]],Table4[],2)</f>
        <v>Southern Enedwaith</v>
      </c>
    </row>
    <row r="425" spans="1:10" x14ac:dyDescent="0.25">
      <c r="A425">
        <v>11</v>
      </c>
      <c r="B425" t="s">
        <v>30</v>
      </c>
      <c r="C425">
        <v>5</v>
      </c>
      <c r="D425">
        <v>3</v>
      </c>
      <c r="E425">
        <v>27</v>
      </c>
      <c r="F425">
        <v>9016</v>
      </c>
      <c r="G425">
        <v>4037</v>
      </c>
      <c r="H425">
        <v>0</v>
      </c>
      <c r="J425" t="str">
        <f>VLOOKUP(Table3[[#This Row],[Faction ID]],Table4[],2)</f>
        <v>Druedain</v>
      </c>
    </row>
    <row r="426" spans="1:10" x14ac:dyDescent="0.25">
      <c r="A426">
        <v>11</v>
      </c>
      <c r="B426" t="s">
        <v>31</v>
      </c>
      <c r="C426">
        <v>4</v>
      </c>
      <c r="D426">
        <v>2</v>
      </c>
      <c r="E426">
        <v>24</v>
      </c>
      <c r="F426">
        <v>8525</v>
      </c>
      <c r="G426">
        <v>4627</v>
      </c>
      <c r="H426">
        <v>141</v>
      </c>
      <c r="J426" t="str">
        <f>VLOOKUP(Table3[[#This Row],[Faction ID]],Table4[],2)</f>
        <v>Harondor</v>
      </c>
    </row>
    <row r="427" spans="1:10" x14ac:dyDescent="0.25">
      <c r="A427">
        <v>11</v>
      </c>
      <c r="B427" t="s">
        <v>35</v>
      </c>
      <c r="C427">
        <v>0</v>
      </c>
      <c r="D427">
        <v>0</v>
      </c>
      <c r="E427">
        <v>0</v>
      </c>
      <c r="F427">
        <v>4000</v>
      </c>
      <c r="G427">
        <v>1750</v>
      </c>
      <c r="H427">
        <v>0</v>
      </c>
      <c r="J427" t="str">
        <f>VLOOKUP(Table3[[#This Row],[Faction ID]],Table4[],2)</f>
        <v>Southron Nomads</v>
      </c>
    </row>
    <row r="428" spans="1:10" x14ac:dyDescent="0.25">
      <c r="A428">
        <v>11</v>
      </c>
      <c r="B428" t="s">
        <v>36</v>
      </c>
      <c r="C428">
        <v>0</v>
      </c>
      <c r="D428">
        <v>0</v>
      </c>
      <c r="E428">
        <v>0</v>
      </c>
      <c r="F428">
        <v>4000</v>
      </c>
      <c r="G428">
        <v>1750</v>
      </c>
      <c r="H428">
        <v>0</v>
      </c>
      <c r="J428" t="str">
        <f>VLOOKUP(Table3[[#This Row],[Faction ID]],Table4[],2)</f>
        <v>_</v>
      </c>
    </row>
    <row r="429" spans="1:10" x14ac:dyDescent="0.25">
      <c r="A429">
        <v>11</v>
      </c>
      <c r="B429" t="s">
        <v>37</v>
      </c>
      <c r="C429">
        <v>0</v>
      </c>
      <c r="D429">
        <v>0</v>
      </c>
      <c r="E429">
        <v>0</v>
      </c>
      <c r="F429">
        <v>4000</v>
      </c>
      <c r="G429">
        <v>1750</v>
      </c>
      <c r="H429">
        <v>0</v>
      </c>
      <c r="J429" t="str">
        <f>VLOOKUP(Table3[[#This Row],[Faction ID]],Table4[],2)</f>
        <v>_</v>
      </c>
    </row>
    <row r="430" spans="1:10" x14ac:dyDescent="0.25">
      <c r="A430">
        <v>11</v>
      </c>
      <c r="B430" t="s">
        <v>38</v>
      </c>
      <c r="C430">
        <v>0</v>
      </c>
      <c r="D430">
        <v>0</v>
      </c>
      <c r="E430">
        <v>0</v>
      </c>
      <c r="F430">
        <v>4000</v>
      </c>
      <c r="G430">
        <v>1750</v>
      </c>
      <c r="H430">
        <v>0</v>
      </c>
      <c r="J430" t="str">
        <f>VLOOKUP(Table3[[#This Row],[Faction ID]],Table4[],2)</f>
        <v>_</v>
      </c>
    </row>
    <row r="431" spans="1:10" x14ac:dyDescent="0.25">
      <c r="A431">
        <v>11</v>
      </c>
      <c r="B431" t="s">
        <v>39</v>
      </c>
      <c r="C431">
        <v>0</v>
      </c>
      <c r="D431">
        <v>0</v>
      </c>
      <c r="E431">
        <v>0</v>
      </c>
      <c r="F431">
        <v>4000</v>
      </c>
      <c r="G431">
        <v>1750</v>
      </c>
      <c r="H431">
        <v>0</v>
      </c>
      <c r="J431" t="str">
        <f>VLOOKUP(Table3[[#This Row],[Faction ID]],Table4[],2)</f>
        <v>_</v>
      </c>
    </row>
    <row r="432" spans="1:10" x14ac:dyDescent="0.25">
      <c r="A432">
        <v>11</v>
      </c>
      <c r="B432" t="s">
        <v>40</v>
      </c>
      <c r="C432">
        <v>0</v>
      </c>
      <c r="D432">
        <v>0</v>
      </c>
      <c r="E432">
        <v>0</v>
      </c>
      <c r="F432">
        <v>4000</v>
      </c>
      <c r="G432">
        <v>1750</v>
      </c>
      <c r="H432">
        <v>0</v>
      </c>
      <c r="J432" t="str">
        <f>VLOOKUP(Table3[[#This Row],[Faction ID]],Table4[],2)</f>
        <v>_</v>
      </c>
    </row>
    <row r="433" spans="1:10" x14ac:dyDescent="0.25">
      <c r="A433">
        <v>11</v>
      </c>
      <c r="B433" t="s">
        <v>41</v>
      </c>
      <c r="C433">
        <v>0</v>
      </c>
      <c r="D433">
        <v>0</v>
      </c>
      <c r="E433">
        <v>0</v>
      </c>
      <c r="F433">
        <v>4000</v>
      </c>
      <c r="G433">
        <v>1750</v>
      </c>
      <c r="H433">
        <v>0</v>
      </c>
      <c r="J433" t="str">
        <f>VLOOKUP(Table3[[#This Row],[Faction ID]],Table4[],2)</f>
        <v>_</v>
      </c>
    </row>
    <row r="434" spans="1:10" x14ac:dyDescent="0.25">
      <c r="A434">
        <v>11</v>
      </c>
      <c r="B434" t="s">
        <v>42</v>
      </c>
      <c r="C434">
        <v>0</v>
      </c>
      <c r="D434">
        <v>0</v>
      </c>
      <c r="E434">
        <v>0</v>
      </c>
      <c r="F434">
        <v>4000</v>
      </c>
      <c r="G434">
        <v>1750</v>
      </c>
      <c r="H434">
        <v>0</v>
      </c>
      <c r="J434" t="str">
        <f>VLOOKUP(Table3[[#This Row],[Faction ID]],Table4[],2)</f>
        <v>_</v>
      </c>
    </row>
    <row r="435" spans="1:10" x14ac:dyDescent="0.25">
      <c r="A435">
        <v>11</v>
      </c>
      <c r="B435" t="s">
        <v>43</v>
      </c>
      <c r="C435">
        <v>0</v>
      </c>
      <c r="D435">
        <v>0</v>
      </c>
      <c r="E435">
        <v>0</v>
      </c>
      <c r="F435">
        <v>4000</v>
      </c>
      <c r="G435">
        <v>1750</v>
      </c>
      <c r="H435">
        <v>0</v>
      </c>
      <c r="J435" t="str">
        <f>VLOOKUP(Table3[[#This Row],[Faction ID]],Table4[],2)</f>
        <v>_</v>
      </c>
    </row>
    <row r="436" spans="1:10" x14ac:dyDescent="0.25">
      <c r="A436">
        <v>11</v>
      </c>
      <c r="B436" t="s">
        <v>44</v>
      </c>
      <c r="C436">
        <v>0</v>
      </c>
      <c r="D436">
        <v>0</v>
      </c>
      <c r="E436">
        <v>0</v>
      </c>
      <c r="F436">
        <v>4000</v>
      </c>
      <c r="G436">
        <v>1750</v>
      </c>
      <c r="H436">
        <v>0</v>
      </c>
      <c r="J436" t="str">
        <f>VLOOKUP(Table3[[#This Row],[Faction ID]],Table4[],2)</f>
        <v>_</v>
      </c>
    </row>
    <row r="437" spans="1:10" x14ac:dyDescent="0.25">
      <c r="A437">
        <v>12</v>
      </c>
      <c r="B437" t="s">
        <v>9</v>
      </c>
      <c r="C437">
        <v>48</v>
      </c>
      <c r="D437">
        <v>15</v>
      </c>
      <c r="E437">
        <v>129.6</v>
      </c>
      <c r="F437">
        <v>1115</v>
      </c>
      <c r="G437">
        <v>13643</v>
      </c>
      <c r="H437">
        <v>576</v>
      </c>
      <c r="J437" t="str">
        <f>VLOOKUP(Table3[[#This Row],[Faction ID]],Table4[],2)</f>
        <v>Mordor</v>
      </c>
    </row>
    <row r="438" spans="1:10" x14ac:dyDescent="0.25">
      <c r="A438">
        <v>12</v>
      </c>
      <c r="B438" t="s">
        <v>4</v>
      </c>
      <c r="C438">
        <v>55</v>
      </c>
      <c r="D438">
        <v>15</v>
      </c>
      <c r="E438">
        <v>158</v>
      </c>
      <c r="F438">
        <v>20907</v>
      </c>
      <c r="G438">
        <v>18286</v>
      </c>
      <c r="H438">
        <v>548</v>
      </c>
      <c r="J438" t="str">
        <f>VLOOKUP(Table3[[#This Row],[Faction ID]],Table4[],2)</f>
        <v>Gondor</v>
      </c>
    </row>
    <row r="439" spans="1:10" x14ac:dyDescent="0.25">
      <c r="A439">
        <v>12</v>
      </c>
      <c r="B439" t="s">
        <v>6</v>
      </c>
      <c r="C439">
        <v>34</v>
      </c>
      <c r="D439">
        <v>10</v>
      </c>
      <c r="E439">
        <v>116</v>
      </c>
      <c r="F439">
        <v>11769</v>
      </c>
      <c r="G439">
        <v>12447</v>
      </c>
      <c r="H439">
        <v>221</v>
      </c>
      <c r="J439" t="str">
        <f>VLOOKUP(Table3[[#This Row],[Faction ID]],Table4[],2)</f>
        <v>Dale</v>
      </c>
    </row>
    <row r="440" spans="1:10" x14ac:dyDescent="0.25">
      <c r="A440">
        <v>12</v>
      </c>
      <c r="B440" t="s">
        <v>21</v>
      </c>
      <c r="C440">
        <v>24</v>
      </c>
      <c r="D440">
        <v>3</v>
      </c>
      <c r="E440">
        <v>50</v>
      </c>
      <c r="F440">
        <v>17976</v>
      </c>
      <c r="G440">
        <v>11831</v>
      </c>
      <c r="H440">
        <v>673</v>
      </c>
      <c r="J440" t="str">
        <f>VLOOKUP(Table3[[#This Row],[Faction ID]],Table4[],2)</f>
        <v>Erebor</v>
      </c>
    </row>
    <row r="441" spans="1:10" x14ac:dyDescent="0.25">
      <c r="A441">
        <v>12</v>
      </c>
      <c r="B441" t="s">
        <v>5</v>
      </c>
      <c r="C441">
        <v>32</v>
      </c>
      <c r="D441">
        <v>13</v>
      </c>
      <c r="E441">
        <v>121</v>
      </c>
      <c r="F441">
        <v>4367</v>
      </c>
      <c r="G441">
        <v>10194</v>
      </c>
      <c r="H441">
        <v>308</v>
      </c>
      <c r="J441" t="str">
        <f>VLOOKUP(Table3[[#This Row],[Faction ID]],Table4[],2)</f>
        <v>Rohan</v>
      </c>
    </row>
    <row r="442" spans="1:10" x14ac:dyDescent="0.25">
      <c r="A442">
        <v>12</v>
      </c>
      <c r="B442" t="s">
        <v>12</v>
      </c>
      <c r="C442">
        <v>29</v>
      </c>
      <c r="D442">
        <v>7</v>
      </c>
      <c r="E442">
        <v>92</v>
      </c>
      <c r="F442">
        <v>16169</v>
      </c>
      <c r="G442">
        <v>11842</v>
      </c>
      <c r="H442">
        <v>0</v>
      </c>
      <c r="J442" t="str">
        <f>VLOOKUP(Table3[[#This Row],[Faction ID]],Table4[],2)</f>
        <v>Dol Guldur</v>
      </c>
    </row>
    <row r="443" spans="1:10" x14ac:dyDescent="0.25">
      <c r="A443">
        <v>12</v>
      </c>
      <c r="B443" t="s">
        <v>10</v>
      </c>
      <c r="C443">
        <v>34</v>
      </c>
      <c r="D443">
        <v>10</v>
      </c>
      <c r="E443">
        <v>73</v>
      </c>
      <c r="F443">
        <v>6859</v>
      </c>
      <c r="G443">
        <v>8460</v>
      </c>
      <c r="H443">
        <v>0</v>
      </c>
      <c r="J443" t="str">
        <f>VLOOKUP(Table3[[#This Row],[Faction ID]],Table4[],2)</f>
        <v>Anduin Vale</v>
      </c>
    </row>
    <row r="444" spans="1:10" x14ac:dyDescent="0.25">
      <c r="A444">
        <v>12</v>
      </c>
      <c r="B444" t="s">
        <v>32</v>
      </c>
      <c r="C444">
        <v>18</v>
      </c>
      <c r="D444">
        <v>1</v>
      </c>
      <c r="E444">
        <v>50</v>
      </c>
      <c r="F444">
        <v>10251</v>
      </c>
      <c r="G444">
        <v>8483</v>
      </c>
      <c r="H444">
        <v>382</v>
      </c>
      <c r="J444" t="str">
        <f>VLOOKUP(Table3[[#This Row],[Faction ID]],Table4[],2)</f>
        <v>Isengard</v>
      </c>
    </row>
    <row r="445" spans="1:10" x14ac:dyDescent="0.25">
      <c r="A445">
        <v>12</v>
      </c>
      <c r="B445" t="s">
        <v>22</v>
      </c>
      <c r="C445">
        <v>19</v>
      </c>
      <c r="D445">
        <v>2</v>
      </c>
      <c r="E445">
        <v>31</v>
      </c>
      <c r="F445">
        <v>4738</v>
      </c>
      <c r="G445">
        <v>6685</v>
      </c>
      <c r="H445">
        <v>0</v>
      </c>
      <c r="J445" t="str">
        <f>VLOOKUP(Table3[[#This Row],[Faction ID]],Table4[],2)</f>
        <v>Woodland Realm</v>
      </c>
    </row>
    <row r="446" spans="1:10" x14ac:dyDescent="0.25">
      <c r="A446">
        <v>12</v>
      </c>
      <c r="B446" t="s">
        <v>23</v>
      </c>
      <c r="C446">
        <v>20</v>
      </c>
      <c r="D446">
        <v>3</v>
      </c>
      <c r="E446">
        <v>39</v>
      </c>
      <c r="F446">
        <v>11423</v>
      </c>
      <c r="G446">
        <v>9367</v>
      </c>
      <c r="H446">
        <v>0</v>
      </c>
      <c r="J446" t="str">
        <f>VLOOKUP(Table3[[#This Row],[Faction ID]],Table4[],2)</f>
        <v>Lothlorien</v>
      </c>
    </row>
    <row r="447" spans="1:10" x14ac:dyDescent="0.25">
      <c r="A447">
        <v>12</v>
      </c>
      <c r="B447" t="s">
        <v>24</v>
      </c>
      <c r="C447">
        <v>5</v>
      </c>
      <c r="D447">
        <v>3</v>
      </c>
      <c r="E447">
        <v>40</v>
      </c>
      <c r="F447">
        <v>5550</v>
      </c>
      <c r="G447">
        <v>6476</v>
      </c>
      <c r="H447">
        <v>243</v>
      </c>
      <c r="J447" t="str">
        <f>VLOOKUP(Table3[[#This Row],[Faction ID]],Table4[],2)</f>
        <v>Variags (Khand)</v>
      </c>
    </row>
    <row r="448" spans="1:10" x14ac:dyDescent="0.25">
      <c r="A448">
        <v>12</v>
      </c>
      <c r="B448" t="s">
        <v>14</v>
      </c>
      <c r="C448">
        <v>7</v>
      </c>
      <c r="D448">
        <v>5</v>
      </c>
      <c r="E448">
        <v>51</v>
      </c>
      <c r="F448">
        <v>7905</v>
      </c>
      <c r="G448">
        <v>7590</v>
      </c>
      <c r="H448">
        <v>0</v>
      </c>
      <c r="J448" t="str">
        <f>VLOOKUP(Table3[[#This Row],[Faction ID]],Table4[],2)</f>
        <v>Corsairs of Umbar</v>
      </c>
    </row>
    <row r="449" spans="1:10" x14ac:dyDescent="0.25">
      <c r="A449">
        <v>12</v>
      </c>
      <c r="B449" t="s">
        <v>25</v>
      </c>
      <c r="C449">
        <v>5</v>
      </c>
      <c r="D449">
        <v>3</v>
      </c>
      <c r="E449">
        <v>41</v>
      </c>
      <c r="F449">
        <v>4798</v>
      </c>
      <c r="G449">
        <v>6058</v>
      </c>
      <c r="H449">
        <v>0</v>
      </c>
      <c r="J449" t="str">
        <f>VLOOKUP(Table3[[#This Row],[Faction ID]],Table4[],2)</f>
        <v>Mahud</v>
      </c>
    </row>
    <row r="450" spans="1:10" x14ac:dyDescent="0.25">
      <c r="A450">
        <v>12</v>
      </c>
      <c r="B450" t="s">
        <v>11</v>
      </c>
      <c r="C450">
        <v>28</v>
      </c>
      <c r="D450">
        <v>6</v>
      </c>
      <c r="E450">
        <v>67</v>
      </c>
      <c r="F450">
        <v>9087</v>
      </c>
      <c r="G450">
        <v>8946</v>
      </c>
      <c r="H450">
        <v>0</v>
      </c>
      <c r="J450" t="str">
        <f>VLOOKUP(Table3[[#This Row],[Faction ID]],Table4[],2)</f>
        <v>Haradrim</v>
      </c>
    </row>
    <row r="451" spans="1:10" x14ac:dyDescent="0.25">
      <c r="A451">
        <v>12</v>
      </c>
      <c r="B451" t="s">
        <v>15</v>
      </c>
      <c r="C451">
        <v>27</v>
      </c>
      <c r="D451">
        <v>5</v>
      </c>
      <c r="E451">
        <v>56</v>
      </c>
      <c r="F451">
        <v>8461</v>
      </c>
      <c r="G451">
        <v>10491</v>
      </c>
      <c r="H451">
        <v>210</v>
      </c>
      <c r="J451" t="str">
        <f>VLOOKUP(Table3[[#This Row],[Faction ID]],Table4[],2)</f>
        <v>Dunlendings</v>
      </c>
    </row>
    <row r="452" spans="1:10" x14ac:dyDescent="0.25">
      <c r="A452">
        <v>12</v>
      </c>
      <c r="B452" t="s">
        <v>16</v>
      </c>
      <c r="C452">
        <v>0</v>
      </c>
      <c r="D452">
        <v>0</v>
      </c>
      <c r="E452">
        <v>0</v>
      </c>
      <c r="F452">
        <v>5352</v>
      </c>
      <c r="G452">
        <v>1750</v>
      </c>
      <c r="H452">
        <v>0</v>
      </c>
      <c r="J452" t="str">
        <f>VLOOKUP(Table3[[#This Row],[Faction ID]],Table4[],2)</f>
        <v>Haerrim</v>
      </c>
    </row>
    <row r="453" spans="1:10" x14ac:dyDescent="0.25">
      <c r="A453">
        <v>12</v>
      </c>
      <c r="B453" t="s">
        <v>13</v>
      </c>
      <c r="C453">
        <v>26</v>
      </c>
      <c r="D453">
        <v>8</v>
      </c>
      <c r="E453">
        <v>94</v>
      </c>
      <c r="F453">
        <v>13199</v>
      </c>
      <c r="G453">
        <v>10281</v>
      </c>
      <c r="H453">
        <v>0</v>
      </c>
      <c r="J453" t="str">
        <f>VLOOKUP(Table3[[#This Row],[Faction ID]],Table4[],2)</f>
        <v>Goblins</v>
      </c>
    </row>
    <row r="454" spans="1:10" x14ac:dyDescent="0.25">
      <c r="A454">
        <v>12</v>
      </c>
      <c r="B454" t="s">
        <v>17</v>
      </c>
      <c r="C454">
        <v>0</v>
      </c>
      <c r="D454">
        <v>0</v>
      </c>
      <c r="E454">
        <v>0</v>
      </c>
      <c r="F454">
        <v>4872</v>
      </c>
      <c r="G454">
        <v>1750</v>
      </c>
      <c r="H454">
        <v>0</v>
      </c>
      <c r="J454" t="str">
        <f>VLOOKUP(Table3[[#This Row],[Faction ID]],Table4[],2)</f>
        <v>Balchoth</v>
      </c>
    </row>
    <row r="455" spans="1:10" x14ac:dyDescent="0.25">
      <c r="A455">
        <v>12</v>
      </c>
      <c r="B455" t="s">
        <v>18</v>
      </c>
      <c r="C455">
        <v>41</v>
      </c>
      <c r="D455">
        <v>12</v>
      </c>
      <c r="E455">
        <v>142.5</v>
      </c>
      <c r="F455">
        <v>17158</v>
      </c>
      <c r="G455">
        <v>15913</v>
      </c>
      <c r="H455">
        <v>321</v>
      </c>
      <c r="J455" t="str">
        <f>VLOOKUP(Table3[[#This Row],[Faction ID]],Table4[],2)</f>
        <v>Rhurim/Rhun</v>
      </c>
    </row>
    <row r="456" spans="1:10" x14ac:dyDescent="0.25">
      <c r="A456">
        <v>12</v>
      </c>
      <c r="B456" t="s">
        <v>19</v>
      </c>
      <c r="C456">
        <v>8</v>
      </c>
      <c r="D456">
        <v>6</v>
      </c>
      <c r="E456">
        <v>54</v>
      </c>
      <c r="F456">
        <v>5300</v>
      </c>
      <c r="G456">
        <v>5934</v>
      </c>
      <c r="H456">
        <v>0</v>
      </c>
      <c r="J456" t="str">
        <f>VLOOKUP(Table3[[#This Row],[Faction ID]],Table4[],2)</f>
        <v>Feredrim</v>
      </c>
    </row>
    <row r="457" spans="1:10" x14ac:dyDescent="0.25">
      <c r="A457">
        <v>12</v>
      </c>
      <c r="B457" t="s">
        <v>26</v>
      </c>
      <c r="C457">
        <v>7</v>
      </c>
      <c r="D457">
        <v>5</v>
      </c>
      <c r="E457">
        <v>36</v>
      </c>
      <c r="F457">
        <v>5576</v>
      </c>
      <c r="G457">
        <v>6426</v>
      </c>
      <c r="H457">
        <v>149</v>
      </c>
      <c r="J457" t="str">
        <f>VLOOKUP(Table3[[#This Row],[Faction ID]],Table4[],2)</f>
        <v>Rachrohir (Wainriders)</v>
      </c>
    </row>
    <row r="458" spans="1:10" x14ac:dyDescent="0.25">
      <c r="A458">
        <v>12</v>
      </c>
      <c r="B458" t="s">
        <v>27</v>
      </c>
      <c r="C458">
        <v>5</v>
      </c>
      <c r="D458">
        <v>3</v>
      </c>
      <c r="E458">
        <v>33</v>
      </c>
      <c r="F458">
        <v>10280</v>
      </c>
      <c r="G458">
        <v>5957</v>
      </c>
      <c r="H458">
        <v>0</v>
      </c>
      <c r="J458" t="str">
        <f>VLOOKUP(Table3[[#This Row],[Faction ID]],Table4[],2)</f>
        <v>Blacklock-Stonefoot League</v>
      </c>
    </row>
    <row r="459" spans="1:10" x14ac:dyDescent="0.25">
      <c r="A459">
        <v>12</v>
      </c>
      <c r="B459" t="s">
        <v>28</v>
      </c>
      <c r="C459">
        <v>4</v>
      </c>
      <c r="D459">
        <v>2</v>
      </c>
      <c r="E459">
        <v>26</v>
      </c>
      <c r="F459">
        <v>8787</v>
      </c>
      <c r="G459">
        <v>4611</v>
      </c>
      <c r="H459">
        <v>0</v>
      </c>
      <c r="J459" t="str">
        <f>VLOOKUP(Table3[[#This Row],[Faction ID]],Table4[],2)</f>
        <v>Ironfist-Stiffbeard Union</v>
      </c>
    </row>
    <row r="460" spans="1:10" x14ac:dyDescent="0.25">
      <c r="A460">
        <v>12</v>
      </c>
      <c r="B460" t="s">
        <v>20</v>
      </c>
      <c r="C460">
        <v>24</v>
      </c>
      <c r="D460">
        <v>6</v>
      </c>
      <c r="E460">
        <v>90</v>
      </c>
      <c r="F460">
        <v>7376</v>
      </c>
      <c r="G460">
        <v>11714</v>
      </c>
      <c r="H460">
        <v>0</v>
      </c>
      <c r="J460" t="str">
        <f>VLOOKUP(Table3[[#This Row],[Faction ID]],Table4[],2)</f>
        <v>Gundabad</v>
      </c>
    </row>
    <row r="461" spans="1:10" x14ac:dyDescent="0.25">
      <c r="A461">
        <v>12</v>
      </c>
      <c r="B461" t="s">
        <v>34</v>
      </c>
      <c r="C461">
        <v>0</v>
      </c>
      <c r="D461">
        <v>0</v>
      </c>
      <c r="E461">
        <v>3</v>
      </c>
      <c r="F461">
        <v>16331</v>
      </c>
      <c r="G461">
        <v>2379</v>
      </c>
      <c r="H461">
        <v>0</v>
      </c>
      <c r="J461" t="str">
        <f>VLOOKUP(Table3[[#This Row],[Faction ID]],Table4[],2)</f>
        <v>Scouts of Rohan</v>
      </c>
    </row>
    <row r="462" spans="1:10" x14ac:dyDescent="0.25">
      <c r="A462">
        <v>12</v>
      </c>
      <c r="B462" t="s">
        <v>33</v>
      </c>
      <c r="C462">
        <v>5</v>
      </c>
      <c r="D462">
        <v>3</v>
      </c>
      <c r="E462">
        <v>15</v>
      </c>
      <c r="F462">
        <v>7805</v>
      </c>
      <c r="G462">
        <v>3390</v>
      </c>
      <c r="H462">
        <v>0</v>
      </c>
      <c r="J462" t="str">
        <f>VLOOKUP(Table3[[#This Row],[Faction ID]],Table4[],2)</f>
        <v>Northern Enedwaith</v>
      </c>
    </row>
    <row r="463" spans="1:10" x14ac:dyDescent="0.25">
      <c r="A463">
        <v>12</v>
      </c>
      <c r="B463" t="s">
        <v>29</v>
      </c>
      <c r="C463">
        <v>3</v>
      </c>
      <c r="D463">
        <v>2</v>
      </c>
      <c r="E463">
        <v>16</v>
      </c>
      <c r="F463">
        <v>8911</v>
      </c>
      <c r="G463">
        <v>3544</v>
      </c>
      <c r="H463">
        <v>0</v>
      </c>
      <c r="J463" t="str">
        <f>VLOOKUP(Table3[[#This Row],[Faction ID]],Table4[],2)</f>
        <v>Southern Enedwaith</v>
      </c>
    </row>
    <row r="464" spans="1:10" x14ac:dyDescent="0.25">
      <c r="A464">
        <v>12</v>
      </c>
      <c r="B464" t="s">
        <v>30</v>
      </c>
      <c r="C464">
        <v>5</v>
      </c>
      <c r="D464">
        <v>3</v>
      </c>
      <c r="E464">
        <v>28</v>
      </c>
      <c r="F464">
        <v>10376</v>
      </c>
      <c r="G464">
        <v>4326</v>
      </c>
      <c r="H464">
        <v>0</v>
      </c>
      <c r="J464" t="str">
        <f>VLOOKUP(Table3[[#This Row],[Faction ID]],Table4[],2)</f>
        <v>Druedain</v>
      </c>
    </row>
    <row r="465" spans="1:10" x14ac:dyDescent="0.25">
      <c r="A465">
        <v>12</v>
      </c>
      <c r="B465" t="s">
        <v>31</v>
      </c>
      <c r="C465">
        <v>4</v>
      </c>
      <c r="D465">
        <v>2</v>
      </c>
      <c r="E465">
        <v>24</v>
      </c>
      <c r="F465">
        <v>9761</v>
      </c>
      <c r="G465">
        <v>4626</v>
      </c>
      <c r="H465">
        <v>140</v>
      </c>
      <c r="J465" t="str">
        <f>VLOOKUP(Table3[[#This Row],[Faction ID]],Table4[],2)</f>
        <v>Harondor</v>
      </c>
    </row>
    <row r="466" spans="1:10" x14ac:dyDescent="0.25">
      <c r="A466">
        <v>12</v>
      </c>
      <c r="B466" t="s">
        <v>35</v>
      </c>
      <c r="C466">
        <v>0</v>
      </c>
      <c r="D466">
        <v>0</v>
      </c>
      <c r="E466">
        <v>0</v>
      </c>
      <c r="F466">
        <v>4000</v>
      </c>
      <c r="G466">
        <v>1750</v>
      </c>
      <c r="H466">
        <v>0</v>
      </c>
      <c r="J466" t="str">
        <f>VLOOKUP(Table3[[#This Row],[Faction ID]],Table4[],2)</f>
        <v>Southron Nomads</v>
      </c>
    </row>
    <row r="467" spans="1:10" x14ac:dyDescent="0.25">
      <c r="A467">
        <v>12</v>
      </c>
      <c r="B467" t="s">
        <v>36</v>
      </c>
      <c r="C467">
        <v>0</v>
      </c>
      <c r="D467">
        <v>0</v>
      </c>
      <c r="E467">
        <v>0</v>
      </c>
      <c r="F467">
        <v>4000</v>
      </c>
      <c r="G467">
        <v>1750</v>
      </c>
      <c r="H467">
        <v>0</v>
      </c>
      <c r="J467" t="str">
        <f>VLOOKUP(Table3[[#This Row],[Faction ID]],Table4[],2)</f>
        <v>_</v>
      </c>
    </row>
    <row r="468" spans="1:10" x14ac:dyDescent="0.25">
      <c r="A468">
        <v>12</v>
      </c>
      <c r="B468" t="s">
        <v>37</v>
      </c>
      <c r="C468">
        <v>0</v>
      </c>
      <c r="D468">
        <v>0</v>
      </c>
      <c r="E468">
        <v>0</v>
      </c>
      <c r="F468">
        <v>4000</v>
      </c>
      <c r="G468">
        <v>1750</v>
      </c>
      <c r="H468">
        <v>0</v>
      </c>
      <c r="J468" t="str">
        <f>VLOOKUP(Table3[[#This Row],[Faction ID]],Table4[],2)</f>
        <v>_</v>
      </c>
    </row>
    <row r="469" spans="1:10" x14ac:dyDescent="0.25">
      <c r="A469">
        <v>12</v>
      </c>
      <c r="B469" t="s">
        <v>38</v>
      </c>
      <c r="C469">
        <v>0</v>
      </c>
      <c r="D469">
        <v>0</v>
      </c>
      <c r="E469">
        <v>0</v>
      </c>
      <c r="F469">
        <v>4000</v>
      </c>
      <c r="G469">
        <v>1750</v>
      </c>
      <c r="H469">
        <v>0</v>
      </c>
      <c r="J469" t="str">
        <f>VLOOKUP(Table3[[#This Row],[Faction ID]],Table4[],2)</f>
        <v>_</v>
      </c>
    </row>
    <row r="470" spans="1:10" x14ac:dyDescent="0.25">
      <c r="A470">
        <v>12</v>
      </c>
      <c r="B470" t="s">
        <v>39</v>
      </c>
      <c r="C470">
        <v>0</v>
      </c>
      <c r="D470">
        <v>0</v>
      </c>
      <c r="E470">
        <v>0</v>
      </c>
      <c r="F470">
        <v>4000</v>
      </c>
      <c r="G470">
        <v>1750</v>
      </c>
      <c r="H470">
        <v>0</v>
      </c>
      <c r="J470" t="str">
        <f>VLOOKUP(Table3[[#This Row],[Faction ID]],Table4[],2)</f>
        <v>_</v>
      </c>
    </row>
    <row r="471" spans="1:10" x14ac:dyDescent="0.25">
      <c r="A471">
        <v>12</v>
      </c>
      <c r="B471" t="s">
        <v>40</v>
      </c>
      <c r="C471">
        <v>0</v>
      </c>
      <c r="D471">
        <v>0</v>
      </c>
      <c r="E471">
        <v>0</v>
      </c>
      <c r="F471">
        <v>4000</v>
      </c>
      <c r="G471">
        <v>1750</v>
      </c>
      <c r="H471">
        <v>0</v>
      </c>
      <c r="J471" t="str">
        <f>VLOOKUP(Table3[[#This Row],[Faction ID]],Table4[],2)</f>
        <v>_</v>
      </c>
    </row>
    <row r="472" spans="1:10" x14ac:dyDescent="0.25">
      <c r="A472">
        <v>12</v>
      </c>
      <c r="B472" t="s">
        <v>41</v>
      </c>
      <c r="C472">
        <v>0</v>
      </c>
      <c r="D472">
        <v>0</v>
      </c>
      <c r="E472">
        <v>0</v>
      </c>
      <c r="F472">
        <v>4000</v>
      </c>
      <c r="G472">
        <v>1750</v>
      </c>
      <c r="H472">
        <v>0</v>
      </c>
      <c r="J472" t="str">
        <f>VLOOKUP(Table3[[#This Row],[Faction ID]],Table4[],2)</f>
        <v>_</v>
      </c>
    </row>
    <row r="473" spans="1:10" x14ac:dyDescent="0.25">
      <c r="A473">
        <v>12</v>
      </c>
      <c r="B473" t="s">
        <v>42</v>
      </c>
      <c r="C473">
        <v>0</v>
      </c>
      <c r="D473">
        <v>0</v>
      </c>
      <c r="E473">
        <v>0</v>
      </c>
      <c r="F473">
        <v>4000</v>
      </c>
      <c r="G473">
        <v>1750</v>
      </c>
      <c r="H473">
        <v>0</v>
      </c>
      <c r="J473" t="str">
        <f>VLOOKUP(Table3[[#This Row],[Faction ID]],Table4[],2)</f>
        <v>_</v>
      </c>
    </row>
    <row r="474" spans="1:10" x14ac:dyDescent="0.25">
      <c r="A474">
        <v>12</v>
      </c>
      <c r="B474" t="s">
        <v>43</v>
      </c>
      <c r="C474">
        <v>0</v>
      </c>
      <c r="D474">
        <v>0</v>
      </c>
      <c r="E474">
        <v>0</v>
      </c>
      <c r="F474">
        <v>4000</v>
      </c>
      <c r="G474">
        <v>1750</v>
      </c>
      <c r="H474">
        <v>0</v>
      </c>
      <c r="J474" t="str">
        <f>VLOOKUP(Table3[[#This Row],[Faction ID]],Table4[],2)</f>
        <v>_</v>
      </c>
    </row>
    <row r="475" spans="1:10" x14ac:dyDescent="0.25">
      <c r="A475">
        <v>12</v>
      </c>
      <c r="B475" t="s">
        <v>44</v>
      </c>
      <c r="C475">
        <v>0</v>
      </c>
      <c r="D475">
        <v>0</v>
      </c>
      <c r="E475">
        <v>0</v>
      </c>
      <c r="F475">
        <v>4000</v>
      </c>
      <c r="G475">
        <v>1750</v>
      </c>
      <c r="H475">
        <v>0</v>
      </c>
      <c r="J475" t="str">
        <f>VLOOKUP(Table3[[#This Row],[Faction ID]],Table4[],2)</f>
        <v>_</v>
      </c>
    </row>
    <row r="476" spans="1:10" x14ac:dyDescent="0.25">
      <c r="A476">
        <v>13</v>
      </c>
      <c r="B476" t="s">
        <v>9</v>
      </c>
      <c r="C476">
        <v>53</v>
      </c>
      <c r="D476">
        <v>15</v>
      </c>
      <c r="E476">
        <v>129.6</v>
      </c>
      <c r="F476">
        <v>2324</v>
      </c>
      <c r="G476">
        <v>14012</v>
      </c>
      <c r="H476">
        <v>581</v>
      </c>
      <c r="J476" t="str">
        <f>VLOOKUP(Table3[[#This Row],[Faction ID]],Table4[],2)</f>
        <v>Mordor</v>
      </c>
    </row>
    <row r="477" spans="1:10" x14ac:dyDescent="0.25">
      <c r="A477">
        <v>13</v>
      </c>
      <c r="B477" t="s">
        <v>4</v>
      </c>
      <c r="C477">
        <v>55</v>
      </c>
      <c r="D477">
        <v>15</v>
      </c>
      <c r="E477">
        <v>161</v>
      </c>
      <c r="F477">
        <v>22369</v>
      </c>
      <c r="G477">
        <v>18627</v>
      </c>
      <c r="H477">
        <v>631</v>
      </c>
      <c r="J477" t="str">
        <f>VLOOKUP(Table3[[#This Row],[Faction ID]],Table4[],2)</f>
        <v>Gondor</v>
      </c>
    </row>
    <row r="478" spans="1:10" x14ac:dyDescent="0.25">
      <c r="A478">
        <v>13</v>
      </c>
      <c r="B478" t="s">
        <v>6</v>
      </c>
      <c r="C478">
        <v>33</v>
      </c>
      <c r="D478">
        <v>9</v>
      </c>
      <c r="E478">
        <v>114</v>
      </c>
      <c r="F478">
        <v>9913</v>
      </c>
      <c r="G478">
        <v>12375</v>
      </c>
      <c r="H478">
        <v>218</v>
      </c>
      <c r="J478" t="str">
        <f>VLOOKUP(Table3[[#This Row],[Faction ID]],Table4[],2)</f>
        <v>Dale</v>
      </c>
    </row>
    <row r="479" spans="1:10" x14ac:dyDescent="0.25">
      <c r="A479">
        <v>13</v>
      </c>
      <c r="B479" t="s">
        <v>21</v>
      </c>
      <c r="C479">
        <v>39</v>
      </c>
      <c r="D479">
        <v>3</v>
      </c>
      <c r="E479">
        <v>51</v>
      </c>
      <c r="F479">
        <v>12044</v>
      </c>
      <c r="G479">
        <v>11995</v>
      </c>
      <c r="H479">
        <v>672</v>
      </c>
      <c r="J479" t="str">
        <f>VLOOKUP(Table3[[#This Row],[Faction ID]],Table4[],2)</f>
        <v>Erebor</v>
      </c>
    </row>
    <row r="480" spans="1:10" x14ac:dyDescent="0.25">
      <c r="A480">
        <v>13</v>
      </c>
      <c r="B480" t="s">
        <v>5</v>
      </c>
      <c r="C480">
        <v>32</v>
      </c>
      <c r="D480">
        <v>13</v>
      </c>
      <c r="E480">
        <v>124</v>
      </c>
      <c r="F480">
        <v>6648</v>
      </c>
      <c r="G480">
        <v>10787</v>
      </c>
      <c r="H480">
        <v>310</v>
      </c>
      <c r="J480" t="str">
        <f>VLOOKUP(Table3[[#This Row],[Faction ID]],Table4[],2)</f>
        <v>Rohan</v>
      </c>
    </row>
    <row r="481" spans="1:10" x14ac:dyDescent="0.25">
      <c r="A481">
        <v>13</v>
      </c>
      <c r="B481" t="s">
        <v>12</v>
      </c>
      <c r="C481">
        <v>33</v>
      </c>
      <c r="D481">
        <v>7</v>
      </c>
      <c r="E481">
        <v>96</v>
      </c>
      <c r="F481">
        <v>11252</v>
      </c>
      <c r="G481">
        <v>13066</v>
      </c>
      <c r="H481">
        <v>0</v>
      </c>
      <c r="J481" t="str">
        <f>VLOOKUP(Table3[[#This Row],[Faction ID]],Table4[],2)</f>
        <v>Dol Guldur</v>
      </c>
    </row>
    <row r="482" spans="1:10" x14ac:dyDescent="0.25">
      <c r="A482">
        <v>13</v>
      </c>
      <c r="B482" t="s">
        <v>10</v>
      </c>
      <c r="C482">
        <v>34</v>
      </c>
      <c r="D482">
        <v>10</v>
      </c>
      <c r="E482">
        <v>81</v>
      </c>
      <c r="F482">
        <v>6865</v>
      </c>
      <c r="G482">
        <v>9248</v>
      </c>
      <c r="H482">
        <v>0</v>
      </c>
      <c r="J482" t="str">
        <f>VLOOKUP(Table3[[#This Row],[Faction ID]],Table4[],2)</f>
        <v>Anduin Vale</v>
      </c>
    </row>
    <row r="483" spans="1:10" x14ac:dyDescent="0.25">
      <c r="A483">
        <v>13</v>
      </c>
      <c r="B483" t="s">
        <v>32</v>
      </c>
      <c r="C483">
        <v>18</v>
      </c>
      <c r="D483">
        <v>1</v>
      </c>
      <c r="E483">
        <v>50</v>
      </c>
      <c r="F483">
        <v>3817</v>
      </c>
      <c r="G483">
        <v>8484</v>
      </c>
      <c r="H483">
        <v>383</v>
      </c>
      <c r="J483" t="str">
        <f>VLOOKUP(Table3[[#This Row],[Faction ID]],Table4[],2)</f>
        <v>Isengard</v>
      </c>
    </row>
    <row r="484" spans="1:10" x14ac:dyDescent="0.25">
      <c r="A484">
        <v>13</v>
      </c>
      <c r="B484" t="s">
        <v>22</v>
      </c>
      <c r="C484">
        <v>19</v>
      </c>
      <c r="D484">
        <v>2</v>
      </c>
      <c r="E484">
        <v>33</v>
      </c>
      <c r="F484">
        <v>5722</v>
      </c>
      <c r="G484">
        <v>7097</v>
      </c>
      <c r="H484">
        <v>0</v>
      </c>
      <c r="J484" t="str">
        <f>VLOOKUP(Table3[[#This Row],[Faction ID]],Table4[],2)</f>
        <v>Woodland Realm</v>
      </c>
    </row>
    <row r="485" spans="1:10" x14ac:dyDescent="0.25">
      <c r="A485">
        <v>13</v>
      </c>
      <c r="B485" t="s">
        <v>23</v>
      </c>
      <c r="C485">
        <v>19</v>
      </c>
      <c r="D485">
        <v>2</v>
      </c>
      <c r="E485">
        <v>34</v>
      </c>
      <c r="F485">
        <v>4428</v>
      </c>
      <c r="G485">
        <v>7481</v>
      </c>
      <c r="H485">
        <v>0</v>
      </c>
      <c r="J485" t="str">
        <f>VLOOKUP(Table3[[#This Row],[Faction ID]],Table4[],2)</f>
        <v>Lothlorien</v>
      </c>
    </row>
    <row r="486" spans="1:10" x14ac:dyDescent="0.25">
      <c r="A486">
        <v>13</v>
      </c>
      <c r="B486" t="s">
        <v>24</v>
      </c>
      <c r="C486">
        <v>6</v>
      </c>
      <c r="D486">
        <v>4</v>
      </c>
      <c r="E486">
        <v>41</v>
      </c>
      <c r="F486">
        <v>4295</v>
      </c>
      <c r="G486">
        <v>6602</v>
      </c>
      <c r="H486">
        <v>245</v>
      </c>
      <c r="J486" t="str">
        <f>VLOOKUP(Table3[[#This Row],[Faction ID]],Table4[],2)</f>
        <v>Variags (Khand)</v>
      </c>
    </row>
    <row r="487" spans="1:10" x14ac:dyDescent="0.25">
      <c r="A487">
        <v>13</v>
      </c>
      <c r="B487" t="s">
        <v>14</v>
      </c>
      <c r="C487">
        <v>7</v>
      </c>
      <c r="D487">
        <v>5</v>
      </c>
      <c r="E487">
        <v>53</v>
      </c>
      <c r="F487">
        <v>9682</v>
      </c>
      <c r="G487">
        <v>7945</v>
      </c>
      <c r="H487">
        <v>0</v>
      </c>
      <c r="J487" t="str">
        <f>VLOOKUP(Table3[[#This Row],[Faction ID]],Table4[],2)</f>
        <v>Corsairs of Umbar</v>
      </c>
    </row>
    <row r="488" spans="1:10" x14ac:dyDescent="0.25">
      <c r="A488">
        <v>13</v>
      </c>
      <c r="B488" t="s">
        <v>25</v>
      </c>
      <c r="C488">
        <v>5</v>
      </c>
      <c r="D488">
        <v>3</v>
      </c>
      <c r="E488">
        <v>41</v>
      </c>
      <c r="F488">
        <v>6114</v>
      </c>
      <c r="G488">
        <v>5936</v>
      </c>
      <c r="H488">
        <v>0</v>
      </c>
      <c r="J488" t="str">
        <f>VLOOKUP(Table3[[#This Row],[Faction ID]],Table4[],2)</f>
        <v>Mahud</v>
      </c>
    </row>
    <row r="489" spans="1:10" x14ac:dyDescent="0.25">
      <c r="A489">
        <v>13</v>
      </c>
      <c r="B489" t="s">
        <v>11</v>
      </c>
      <c r="C489">
        <v>27</v>
      </c>
      <c r="D489">
        <v>5</v>
      </c>
      <c r="E489">
        <v>59</v>
      </c>
      <c r="F489">
        <v>11431</v>
      </c>
      <c r="G489">
        <v>8433</v>
      </c>
      <c r="H489">
        <v>0</v>
      </c>
      <c r="J489" t="str">
        <f>VLOOKUP(Table3[[#This Row],[Faction ID]],Table4[],2)</f>
        <v>Haradrim</v>
      </c>
    </row>
    <row r="490" spans="1:10" x14ac:dyDescent="0.25">
      <c r="A490">
        <v>13</v>
      </c>
      <c r="B490" t="s">
        <v>15</v>
      </c>
      <c r="C490">
        <v>27</v>
      </c>
      <c r="D490">
        <v>5</v>
      </c>
      <c r="E490">
        <v>61</v>
      </c>
      <c r="F490">
        <v>9552</v>
      </c>
      <c r="G490">
        <v>10620</v>
      </c>
      <c r="H490">
        <v>210</v>
      </c>
      <c r="J490" t="str">
        <f>VLOOKUP(Table3[[#This Row],[Faction ID]],Table4[],2)</f>
        <v>Dunlendings</v>
      </c>
    </row>
    <row r="491" spans="1:10" x14ac:dyDescent="0.25">
      <c r="A491">
        <v>13</v>
      </c>
      <c r="B491" t="s">
        <v>16</v>
      </c>
      <c r="C491">
        <v>0</v>
      </c>
      <c r="D491">
        <v>0</v>
      </c>
      <c r="E491">
        <v>0</v>
      </c>
      <c r="F491">
        <v>5352</v>
      </c>
      <c r="G491">
        <v>1750</v>
      </c>
      <c r="H491">
        <v>0</v>
      </c>
      <c r="J491" t="str">
        <f>VLOOKUP(Table3[[#This Row],[Faction ID]],Table4[],2)</f>
        <v>Haerrim</v>
      </c>
    </row>
    <row r="492" spans="1:10" x14ac:dyDescent="0.25">
      <c r="A492">
        <v>13</v>
      </c>
      <c r="B492" t="s">
        <v>13</v>
      </c>
      <c r="C492">
        <v>42</v>
      </c>
      <c r="D492">
        <v>9</v>
      </c>
      <c r="E492">
        <v>97</v>
      </c>
      <c r="F492">
        <v>13280</v>
      </c>
      <c r="G492">
        <v>11776</v>
      </c>
      <c r="H492">
        <v>0</v>
      </c>
      <c r="J492" t="str">
        <f>VLOOKUP(Table3[[#This Row],[Faction ID]],Table4[],2)</f>
        <v>Goblins</v>
      </c>
    </row>
    <row r="493" spans="1:10" x14ac:dyDescent="0.25">
      <c r="A493">
        <v>13</v>
      </c>
      <c r="B493" t="s">
        <v>17</v>
      </c>
      <c r="C493">
        <v>0</v>
      </c>
      <c r="D493">
        <v>0</v>
      </c>
      <c r="E493">
        <v>0</v>
      </c>
      <c r="F493">
        <v>4872</v>
      </c>
      <c r="G493">
        <v>1750</v>
      </c>
      <c r="H493">
        <v>0</v>
      </c>
      <c r="J493" t="str">
        <f>VLOOKUP(Table3[[#This Row],[Faction ID]],Table4[],2)</f>
        <v>Balchoth</v>
      </c>
    </row>
    <row r="494" spans="1:10" x14ac:dyDescent="0.25">
      <c r="A494">
        <v>13</v>
      </c>
      <c r="B494" t="s">
        <v>18</v>
      </c>
      <c r="C494">
        <v>51</v>
      </c>
      <c r="D494">
        <v>13</v>
      </c>
      <c r="E494">
        <v>155.5</v>
      </c>
      <c r="F494">
        <v>13922</v>
      </c>
      <c r="G494">
        <v>17299</v>
      </c>
      <c r="H494">
        <v>328</v>
      </c>
      <c r="J494" t="str">
        <f>VLOOKUP(Table3[[#This Row],[Faction ID]],Table4[],2)</f>
        <v>Rhurim/Rhun</v>
      </c>
    </row>
    <row r="495" spans="1:10" x14ac:dyDescent="0.25">
      <c r="A495">
        <v>13</v>
      </c>
      <c r="B495" t="s">
        <v>19</v>
      </c>
      <c r="C495">
        <v>8</v>
      </c>
      <c r="D495">
        <v>6</v>
      </c>
      <c r="E495">
        <v>53</v>
      </c>
      <c r="F495">
        <v>7406</v>
      </c>
      <c r="G495">
        <v>5978</v>
      </c>
      <c r="H495">
        <v>0</v>
      </c>
      <c r="J495" t="str">
        <f>VLOOKUP(Table3[[#This Row],[Faction ID]],Table4[],2)</f>
        <v>Feredrim</v>
      </c>
    </row>
    <row r="496" spans="1:10" x14ac:dyDescent="0.25">
      <c r="A496">
        <v>13</v>
      </c>
      <c r="B496" t="s">
        <v>26</v>
      </c>
      <c r="C496">
        <v>7</v>
      </c>
      <c r="D496">
        <v>5</v>
      </c>
      <c r="E496">
        <v>36</v>
      </c>
      <c r="F496">
        <v>6395</v>
      </c>
      <c r="G496">
        <v>6487</v>
      </c>
      <c r="H496">
        <v>153</v>
      </c>
      <c r="J496" t="str">
        <f>VLOOKUP(Table3[[#This Row],[Faction ID]],Table4[],2)</f>
        <v>Rachrohir (Wainriders)</v>
      </c>
    </row>
    <row r="497" spans="1:10" x14ac:dyDescent="0.25">
      <c r="A497">
        <v>13</v>
      </c>
      <c r="B497" t="s">
        <v>27</v>
      </c>
      <c r="C497">
        <v>5</v>
      </c>
      <c r="D497">
        <v>3</v>
      </c>
      <c r="E497">
        <v>33</v>
      </c>
      <c r="F497">
        <v>12285</v>
      </c>
      <c r="G497">
        <v>5957</v>
      </c>
      <c r="H497">
        <v>0</v>
      </c>
      <c r="J497" t="str">
        <f>VLOOKUP(Table3[[#This Row],[Faction ID]],Table4[],2)</f>
        <v>Blacklock-Stonefoot League</v>
      </c>
    </row>
    <row r="498" spans="1:10" x14ac:dyDescent="0.25">
      <c r="A498">
        <v>13</v>
      </c>
      <c r="B498" t="s">
        <v>28</v>
      </c>
      <c r="C498">
        <v>4</v>
      </c>
      <c r="D498">
        <v>2</v>
      </c>
      <c r="E498">
        <v>26</v>
      </c>
      <c r="F498">
        <v>10328</v>
      </c>
      <c r="G498">
        <v>4611</v>
      </c>
      <c r="H498">
        <v>0</v>
      </c>
      <c r="J498" t="str">
        <f>VLOOKUP(Table3[[#This Row],[Faction ID]],Table4[],2)</f>
        <v>Ironfist-Stiffbeard Union</v>
      </c>
    </row>
    <row r="499" spans="1:10" x14ac:dyDescent="0.25">
      <c r="A499">
        <v>13</v>
      </c>
      <c r="B499" t="s">
        <v>20</v>
      </c>
      <c r="C499">
        <v>24</v>
      </c>
      <c r="D499">
        <v>6</v>
      </c>
      <c r="E499">
        <v>93</v>
      </c>
      <c r="F499">
        <v>8296</v>
      </c>
      <c r="G499">
        <v>11636</v>
      </c>
      <c r="H499">
        <v>0</v>
      </c>
      <c r="J499" t="str">
        <f>VLOOKUP(Table3[[#This Row],[Faction ID]],Table4[],2)</f>
        <v>Gundabad</v>
      </c>
    </row>
    <row r="500" spans="1:10" x14ac:dyDescent="0.25">
      <c r="A500">
        <v>13</v>
      </c>
      <c r="B500" t="s">
        <v>34</v>
      </c>
      <c r="C500">
        <v>0</v>
      </c>
      <c r="D500">
        <v>0</v>
      </c>
      <c r="E500">
        <v>3</v>
      </c>
      <c r="F500">
        <v>17452</v>
      </c>
      <c r="G500">
        <v>2379</v>
      </c>
      <c r="H500">
        <v>0</v>
      </c>
      <c r="J500" t="str">
        <f>VLOOKUP(Table3[[#This Row],[Faction ID]],Table4[],2)</f>
        <v>Scouts of Rohan</v>
      </c>
    </row>
    <row r="501" spans="1:10" x14ac:dyDescent="0.25">
      <c r="A501">
        <v>13</v>
      </c>
      <c r="B501" t="s">
        <v>33</v>
      </c>
      <c r="C501">
        <v>5</v>
      </c>
      <c r="D501">
        <v>3</v>
      </c>
      <c r="E501">
        <v>24</v>
      </c>
      <c r="F501">
        <v>6393</v>
      </c>
      <c r="G501">
        <v>3645</v>
      </c>
      <c r="H501">
        <v>0</v>
      </c>
      <c r="J501" t="str">
        <f>VLOOKUP(Table3[[#This Row],[Faction ID]],Table4[],2)</f>
        <v>Northern Enedwaith</v>
      </c>
    </row>
    <row r="502" spans="1:10" x14ac:dyDescent="0.25">
      <c r="A502">
        <v>13</v>
      </c>
      <c r="B502" t="s">
        <v>29</v>
      </c>
      <c r="C502">
        <v>3</v>
      </c>
      <c r="D502">
        <v>2</v>
      </c>
      <c r="E502">
        <v>16</v>
      </c>
      <c r="F502">
        <v>10061</v>
      </c>
      <c r="G502">
        <v>3544</v>
      </c>
      <c r="H502">
        <v>0</v>
      </c>
      <c r="J502" t="str">
        <f>VLOOKUP(Table3[[#This Row],[Faction ID]],Table4[],2)</f>
        <v>Southern Enedwaith</v>
      </c>
    </row>
    <row r="503" spans="1:10" x14ac:dyDescent="0.25">
      <c r="A503">
        <v>13</v>
      </c>
      <c r="B503" t="s">
        <v>30</v>
      </c>
      <c r="C503">
        <v>5</v>
      </c>
      <c r="D503">
        <v>3</v>
      </c>
      <c r="E503">
        <v>28</v>
      </c>
      <c r="F503">
        <v>11780</v>
      </c>
      <c r="G503">
        <v>4337</v>
      </c>
      <c r="H503">
        <v>0</v>
      </c>
      <c r="J503" t="str">
        <f>VLOOKUP(Table3[[#This Row],[Faction ID]],Table4[],2)</f>
        <v>Druedain</v>
      </c>
    </row>
    <row r="504" spans="1:10" x14ac:dyDescent="0.25">
      <c r="A504">
        <v>13</v>
      </c>
      <c r="B504" t="s">
        <v>31</v>
      </c>
      <c r="C504">
        <v>4</v>
      </c>
      <c r="D504">
        <v>2</v>
      </c>
      <c r="E504">
        <v>24</v>
      </c>
      <c r="F504">
        <v>10896</v>
      </c>
      <c r="G504">
        <v>4626</v>
      </c>
      <c r="H504">
        <v>140</v>
      </c>
      <c r="J504" t="str">
        <f>VLOOKUP(Table3[[#This Row],[Faction ID]],Table4[],2)</f>
        <v>Harondor</v>
      </c>
    </row>
    <row r="505" spans="1:10" x14ac:dyDescent="0.25">
      <c r="A505">
        <v>13</v>
      </c>
      <c r="B505" t="s">
        <v>35</v>
      </c>
      <c r="C505">
        <v>0</v>
      </c>
      <c r="D505">
        <v>0</v>
      </c>
      <c r="E505">
        <v>0</v>
      </c>
      <c r="F505">
        <v>4000</v>
      </c>
      <c r="G505">
        <v>1750</v>
      </c>
      <c r="H505">
        <v>0</v>
      </c>
      <c r="J505" t="str">
        <f>VLOOKUP(Table3[[#This Row],[Faction ID]],Table4[],2)</f>
        <v>Southron Nomads</v>
      </c>
    </row>
    <row r="506" spans="1:10" x14ac:dyDescent="0.25">
      <c r="A506">
        <v>13</v>
      </c>
      <c r="B506" t="s">
        <v>36</v>
      </c>
      <c r="C506">
        <v>0</v>
      </c>
      <c r="D506">
        <v>0</v>
      </c>
      <c r="E506">
        <v>0</v>
      </c>
      <c r="F506">
        <v>4000</v>
      </c>
      <c r="G506">
        <v>1750</v>
      </c>
      <c r="H506">
        <v>0</v>
      </c>
      <c r="J506" t="str">
        <f>VLOOKUP(Table3[[#This Row],[Faction ID]],Table4[],2)</f>
        <v>_</v>
      </c>
    </row>
    <row r="507" spans="1:10" x14ac:dyDescent="0.25">
      <c r="A507">
        <v>13</v>
      </c>
      <c r="B507" t="s">
        <v>37</v>
      </c>
      <c r="C507">
        <v>0</v>
      </c>
      <c r="D507">
        <v>0</v>
      </c>
      <c r="E507">
        <v>0</v>
      </c>
      <c r="F507">
        <v>4000</v>
      </c>
      <c r="G507">
        <v>1750</v>
      </c>
      <c r="H507">
        <v>0</v>
      </c>
      <c r="J507" t="str">
        <f>VLOOKUP(Table3[[#This Row],[Faction ID]],Table4[],2)</f>
        <v>_</v>
      </c>
    </row>
    <row r="508" spans="1:10" x14ac:dyDescent="0.25">
      <c r="A508">
        <v>13</v>
      </c>
      <c r="B508" t="s">
        <v>38</v>
      </c>
      <c r="C508">
        <v>0</v>
      </c>
      <c r="D508">
        <v>0</v>
      </c>
      <c r="E508">
        <v>0</v>
      </c>
      <c r="F508">
        <v>4000</v>
      </c>
      <c r="G508">
        <v>1750</v>
      </c>
      <c r="H508">
        <v>0</v>
      </c>
      <c r="J508" t="str">
        <f>VLOOKUP(Table3[[#This Row],[Faction ID]],Table4[],2)</f>
        <v>_</v>
      </c>
    </row>
    <row r="509" spans="1:10" x14ac:dyDescent="0.25">
      <c r="A509">
        <v>13</v>
      </c>
      <c r="B509" t="s">
        <v>39</v>
      </c>
      <c r="C509">
        <v>0</v>
      </c>
      <c r="D509">
        <v>0</v>
      </c>
      <c r="E509">
        <v>0</v>
      </c>
      <c r="F509">
        <v>4000</v>
      </c>
      <c r="G509">
        <v>1750</v>
      </c>
      <c r="H509">
        <v>0</v>
      </c>
      <c r="J509" t="str">
        <f>VLOOKUP(Table3[[#This Row],[Faction ID]],Table4[],2)</f>
        <v>_</v>
      </c>
    </row>
    <row r="510" spans="1:10" x14ac:dyDescent="0.25">
      <c r="A510">
        <v>13</v>
      </c>
      <c r="B510" t="s">
        <v>40</v>
      </c>
      <c r="C510">
        <v>0</v>
      </c>
      <c r="D510">
        <v>0</v>
      </c>
      <c r="E510">
        <v>0</v>
      </c>
      <c r="F510">
        <v>4000</v>
      </c>
      <c r="G510">
        <v>1750</v>
      </c>
      <c r="H510">
        <v>0</v>
      </c>
      <c r="J510" t="str">
        <f>VLOOKUP(Table3[[#This Row],[Faction ID]],Table4[],2)</f>
        <v>_</v>
      </c>
    </row>
    <row r="511" spans="1:10" x14ac:dyDescent="0.25">
      <c r="A511">
        <v>13</v>
      </c>
      <c r="B511" t="s">
        <v>41</v>
      </c>
      <c r="C511">
        <v>0</v>
      </c>
      <c r="D511">
        <v>0</v>
      </c>
      <c r="E511">
        <v>0</v>
      </c>
      <c r="F511">
        <v>4000</v>
      </c>
      <c r="G511">
        <v>1750</v>
      </c>
      <c r="H511">
        <v>0</v>
      </c>
      <c r="J511" t="str">
        <f>VLOOKUP(Table3[[#This Row],[Faction ID]],Table4[],2)</f>
        <v>_</v>
      </c>
    </row>
    <row r="512" spans="1:10" x14ac:dyDescent="0.25">
      <c r="A512">
        <v>13</v>
      </c>
      <c r="B512" t="s">
        <v>42</v>
      </c>
      <c r="C512">
        <v>0</v>
      </c>
      <c r="D512">
        <v>0</v>
      </c>
      <c r="E512">
        <v>0</v>
      </c>
      <c r="F512">
        <v>4000</v>
      </c>
      <c r="G512">
        <v>1750</v>
      </c>
      <c r="H512">
        <v>0</v>
      </c>
      <c r="J512" t="str">
        <f>VLOOKUP(Table3[[#This Row],[Faction ID]],Table4[],2)</f>
        <v>_</v>
      </c>
    </row>
    <row r="513" spans="1:10" x14ac:dyDescent="0.25">
      <c r="A513">
        <v>13</v>
      </c>
      <c r="B513" t="s">
        <v>43</v>
      </c>
      <c r="C513">
        <v>0</v>
      </c>
      <c r="D513">
        <v>0</v>
      </c>
      <c r="E513">
        <v>0</v>
      </c>
      <c r="F513">
        <v>4000</v>
      </c>
      <c r="G513">
        <v>1750</v>
      </c>
      <c r="H513">
        <v>0</v>
      </c>
      <c r="J513" t="str">
        <f>VLOOKUP(Table3[[#This Row],[Faction ID]],Table4[],2)</f>
        <v>_</v>
      </c>
    </row>
    <row r="514" spans="1:10" x14ac:dyDescent="0.25">
      <c r="A514">
        <v>13</v>
      </c>
      <c r="B514" t="s">
        <v>44</v>
      </c>
      <c r="C514">
        <v>0</v>
      </c>
      <c r="D514">
        <v>0</v>
      </c>
      <c r="E514">
        <v>0</v>
      </c>
      <c r="F514">
        <v>4000</v>
      </c>
      <c r="G514">
        <v>1750</v>
      </c>
      <c r="H514">
        <v>0</v>
      </c>
      <c r="J514" t="str">
        <f>VLOOKUP(Table3[[#This Row],[Faction ID]],Table4[],2)</f>
        <v>_</v>
      </c>
    </row>
    <row r="515" spans="1:10" x14ac:dyDescent="0.25">
      <c r="A515">
        <v>14</v>
      </c>
      <c r="B515" t="s">
        <v>9</v>
      </c>
      <c r="C515">
        <v>53</v>
      </c>
      <c r="D515">
        <v>15</v>
      </c>
      <c r="E515">
        <v>129.6</v>
      </c>
      <c r="F515">
        <v>1474</v>
      </c>
      <c r="G515">
        <v>14092</v>
      </c>
      <c r="H515">
        <v>596</v>
      </c>
      <c r="J515" t="str">
        <f>VLOOKUP(Table3[[#This Row],[Faction ID]],Table4[],2)</f>
        <v>Mordor</v>
      </c>
    </row>
    <row r="516" spans="1:10" x14ac:dyDescent="0.25">
      <c r="A516">
        <v>14</v>
      </c>
      <c r="B516" t="s">
        <v>4</v>
      </c>
      <c r="C516">
        <v>60</v>
      </c>
      <c r="D516">
        <v>15</v>
      </c>
      <c r="E516">
        <v>161</v>
      </c>
      <c r="F516">
        <v>23249</v>
      </c>
      <c r="G516">
        <v>18673</v>
      </c>
      <c r="H516">
        <v>635</v>
      </c>
      <c r="J516" t="str">
        <f>VLOOKUP(Table3[[#This Row],[Faction ID]],Table4[],2)</f>
        <v>Gondor</v>
      </c>
    </row>
    <row r="517" spans="1:10" x14ac:dyDescent="0.25">
      <c r="A517">
        <v>14</v>
      </c>
      <c r="B517" t="s">
        <v>6</v>
      </c>
      <c r="C517">
        <v>33</v>
      </c>
      <c r="D517">
        <v>9</v>
      </c>
      <c r="E517">
        <v>118</v>
      </c>
      <c r="F517">
        <v>9056</v>
      </c>
      <c r="G517">
        <v>12976</v>
      </c>
      <c r="H517">
        <v>222</v>
      </c>
      <c r="J517" t="str">
        <f>VLOOKUP(Table3[[#This Row],[Faction ID]],Table4[],2)</f>
        <v>Dale</v>
      </c>
    </row>
    <row r="518" spans="1:10" x14ac:dyDescent="0.25">
      <c r="A518">
        <v>14</v>
      </c>
      <c r="B518" t="s">
        <v>21</v>
      </c>
      <c r="C518">
        <v>45</v>
      </c>
      <c r="D518">
        <v>4</v>
      </c>
      <c r="E518">
        <v>56</v>
      </c>
      <c r="F518">
        <v>12925</v>
      </c>
      <c r="G518">
        <v>13003</v>
      </c>
      <c r="H518">
        <v>675</v>
      </c>
      <c r="J518" t="str">
        <f>VLOOKUP(Table3[[#This Row],[Faction ID]],Table4[],2)</f>
        <v>Erebor</v>
      </c>
    </row>
    <row r="519" spans="1:10" x14ac:dyDescent="0.25">
      <c r="A519">
        <v>14</v>
      </c>
      <c r="B519" t="s">
        <v>5</v>
      </c>
      <c r="C519">
        <v>37</v>
      </c>
      <c r="D519">
        <v>13</v>
      </c>
      <c r="E519">
        <v>124</v>
      </c>
      <c r="F519">
        <v>5291</v>
      </c>
      <c r="G519">
        <v>12347</v>
      </c>
      <c r="H519">
        <v>313</v>
      </c>
      <c r="J519" t="str">
        <f>VLOOKUP(Table3[[#This Row],[Faction ID]],Table4[],2)</f>
        <v>Rohan</v>
      </c>
    </row>
    <row r="520" spans="1:10" x14ac:dyDescent="0.25">
      <c r="A520">
        <v>14</v>
      </c>
      <c r="B520" t="s">
        <v>12</v>
      </c>
      <c r="C520">
        <v>38</v>
      </c>
      <c r="D520">
        <v>7</v>
      </c>
      <c r="E520">
        <v>99</v>
      </c>
      <c r="F520">
        <v>9175</v>
      </c>
      <c r="G520">
        <v>13367</v>
      </c>
      <c r="H520">
        <v>0</v>
      </c>
      <c r="J520" t="str">
        <f>VLOOKUP(Table3[[#This Row],[Faction ID]],Table4[],2)</f>
        <v>Dol Guldur</v>
      </c>
    </row>
    <row r="521" spans="1:10" x14ac:dyDescent="0.25">
      <c r="A521">
        <v>14</v>
      </c>
      <c r="B521" t="s">
        <v>10</v>
      </c>
      <c r="C521">
        <v>39</v>
      </c>
      <c r="D521">
        <v>10</v>
      </c>
      <c r="E521">
        <v>83</v>
      </c>
      <c r="F521">
        <v>4682</v>
      </c>
      <c r="G521">
        <v>9399</v>
      </c>
      <c r="H521">
        <v>0</v>
      </c>
      <c r="J521" t="str">
        <f>VLOOKUP(Table3[[#This Row],[Faction ID]],Table4[],2)</f>
        <v>Anduin Vale</v>
      </c>
    </row>
    <row r="522" spans="1:10" x14ac:dyDescent="0.25">
      <c r="A522">
        <v>14</v>
      </c>
      <c r="B522" t="s">
        <v>32</v>
      </c>
      <c r="C522">
        <v>18</v>
      </c>
      <c r="D522">
        <v>1</v>
      </c>
      <c r="E522">
        <v>54</v>
      </c>
      <c r="F522">
        <v>3666</v>
      </c>
      <c r="G522">
        <v>8929</v>
      </c>
      <c r="H522">
        <v>384</v>
      </c>
      <c r="J522" t="str">
        <f>VLOOKUP(Table3[[#This Row],[Faction ID]],Table4[],2)</f>
        <v>Isengard</v>
      </c>
    </row>
    <row r="523" spans="1:10" x14ac:dyDescent="0.25">
      <c r="A523">
        <v>14</v>
      </c>
      <c r="B523" t="s">
        <v>22</v>
      </c>
      <c r="C523">
        <v>24</v>
      </c>
      <c r="D523">
        <v>2</v>
      </c>
      <c r="E523">
        <v>34</v>
      </c>
      <c r="F523">
        <v>4961</v>
      </c>
      <c r="G523">
        <v>7380</v>
      </c>
      <c r="H523">
        <v>0</v>
      </c>
      <c r="J523" t="str">
        <f>VLOOKUP(Table3[[#This Row],[Faction ID]],Table4[],2)</f>
        <v>Woodland Realm</v>
      </c>
    </row>
    <row r="524" spans="1:10" x14ac:dyDescent="0.25">
      <c r="A524">
        <v>14</v>
      </c>
      <c r="B524" t="s">
        <v>23</v>
      </c>
      <c r="C524">
        <v>16</v>
      </c>
      <c r="D524">
        <v>1</v>
      </c>
      <c r="E524">
        <v>20</v>
      </c>
      <c r="F524">
        <v>3002</v>
      </c>
      <c r="G524">
        <v>6465</v>
      </c>
      <c r="H524">
        <v>0</v>
      </c>
      <c r="J524" t="str">
        <f>VLOOKUP(Table3[[#This Row],[Faction ID]],Table4[],2)</f>
        <v>Lothlorien</v>
      </c>
    </row>
    <row r="525" spans="1:10" x14ac:dyDescent="0.25">
      <c r="A525">
        <v>14</v>
      </c>
      <c r="B525" t="s">
        <v>24</v>
      </c>
      <c r="C525">
        <v>6</v>
      </c>
      <c r="D525">
        <v>4</v>
      </c>
      <c r="E525">
        <v>41</v>
      </c>
      <c r="F525">
        <v>5970</v>
      </c>
      <c r="G525">
        <v>7093</v>
      </c>
      <c r="H525">
        <v>245</v>
      </c>
      <c r="J525" t="str">
        <f>VLOOKUP(Table3[[#This Row],[Faction ID]],Table4[],2)</f>
        <v>Variags (Khand)</v>
      </c>
    </row>
    <row r="526" spans="1:10" x14ac:dyDescent="0.25">
      <c r="A526">
        <v>14</v>
      </c>
      <c r="B526" t="s">
        <v>14</v>
      </c>
      <c r="C526">
        <v>7</v>
      </c>
      <c r="D526">
        <v>5</v>
      </c>
      <c r="E526">
        <v>53</v>
      </c>
      <c r="F526">
        <v>9008</v>
      </c>
      <c r="G526">
        <v>8163</v>
      </c>
      <c r="H526">
        <v>0</v>
      </c>
      <c r="J526" t="str">
        <f>VLOOKUP(Table3[[#This Row],[Faction ID]],Table4[],2)</f>
        <v>Corsairs of Umbar</v>
      </c>
    </row>
    <row r="527" spans="1:10" x14ac:dyDescent="0.25">
      <c r="A527">
        <v>14</v>
      </c>
      <c r="B527" t="s">
        <v>25</v>
      </c>
      <c r="C527">
        <v>5</v>
      </c>
      <c r="D527">
        <v>3</v>
      </c>
      <c r="E527">
        <v>42</v>
      </c>
      <c r="F527">
        <v>7253</v>
      </c>
      <c r="G527">
        <v>6141</v>
      </c>
      <c r="H527">
        <v>0</v>
      </c>
      <c r="J527" t="str">
        <f>VLOOKUP(Table3[[#This Row],[Faction ID]],Table4[],2)</f>
        <v>Mahud</v>
      </c>
    </row>
    <row r="528" spans="1:10" x14ac:dyDescent="0.25">
      <c r="A528">
        <v>14</v>
      </c>
      <c r="B528" t="s">
        <v>11</v>
      </c>
      <c r="C528">
        <v>32</v>
      </c>
      <c r="D528">
        <v>5</v>
      </c>
      <c r="E528">
        <v>60</v>
      </c>
      <c r="F528">
        <v>8761</v>
      </c>
      <c r="G528">
        <v>8589</v>
      </c>
      <c r="H528">
        <v>0</v>
      </c>
      <c r="J528" t="str">
        <f>VLOOKUP(Table3[[#This Row],[Faction ID]],Table4[],2)</f>
        <v>Haradrim</v>
      </c>
    </row>
    <row r="529" spans="1:10" x14ac:dyDescent="0.25">
      <c r="A529">
        <v>14</v>
      </c>
      <c r="B529" t="s">
        <v>15</v>
      </c>
      <c r="C529">
        <v>32</v>
      </c>
      <c r="D529">
        <v>5</v>
      </c>
      <c r="E529">
        <v>61</v>
      </c>
      <c r="F529">
        <v>10423</v>
      </c>
      <c r="G529">
        <v>10600</v>
      </c>
      <c r="H529">
        <v>210</v>
      </c>
      <c r="J529" t="str">
        <f>VLOOKUP(Table3[[#This Row],[Faction ID]],Table4[],2)</f>
        <v>Dunlendings</v>
      </c>
    </row>
    <row r="530" spans="1:10" x14ac:dyDescent="0.25">
      <c r="A530">
        <v>14</v>
      </c>
      <c r="B530" t="s">
        <v>16</v>
      </c>
      <c r="C530">
        <v>0</v>
      </c>
      <c r="D530">
        <v>0</v>
      </c>
      <c r="E530">
        <v>0</v>
      </c>
      <c r="F530">
        <v>5352</v>
      </c>
      <c r="G530">
        <v>1750</v>
      </c>
      <c r="H530">
        <v>0</v>
      </c>
      <c r="J530" t="str">
        <f>VLOOKUP(Table3[[#This Row],[Faction ID]],Table4[],2)</f>
        <v>Haerrim</v>
      </c>
    </row>
    <row r="531" spans="1:10" x14ac:dyDescent="0.25">
      <c r="A531">
        <v>14</v>
      </c>
      <c r="B531" t="s">
        <v>13</v>
      </c>
      <c r="C531">
        <v>44</v>
      </c>
      <c r="D531">
        <v>10</v>
      </c>
      <c r="E531">
        <v>101.9</v>
      </c>
      <c r="F531">
        <v>14851</v>
      </c>
      <c r="G531">
        <v>12134</v>
      </c>
      <c r="H531">
        <v>0</v>
      </c>
      <c r="J531" t="str">
        <f>VLOOKUP(Table3[[#This Row],[Faction ID]],Table4[],2)</f>
        <v>Goblins</v>
      </c>
    </row>
    <row r="532" spans="1:10" x14ac:dyDescent="0.25">
      <c r="A532">
        <v>14</v>
      </c>
      <c r="B532" t="s">
        <v>17</v>
      </c>
      <c r="C532">
        <v>0</v>
      </c>
      <c r="D532">
        <v>0</v>
      </c>
      <c r="E532">
        <v>0</v>
      </c>
      <c r="F532">
        <v>4872</v>
      </c>
      <c r="G532">
        <v>1750</v>
      </c>
      <c r="H532">
        <v>0</v>
      </c>
      <c r="J532" t="str">
        <f>VLOOKUP(Table3[[#This Row],[Faction ID]],Table4[],2)</f>
        <v>Balchoth</v>
      </c>
    </row>
    <row r="533" spans="1:10" x14ac:dyDescent="0.25">
      <c r="A533">
        <v>14</v>
      </c>
      <c r="B533" t="s">
        <v>18</v>
      </c>
      <c r="C533">
        <v>52</v>
      </c>
      <c r="D533">
        <v>18</v>
      </c>
      <c r="E533">
        <v>168.5</v>
      </c>
      <c r="F533">
        <v>18275</v>
      </c>
      <c r="G533">
        <v>19580</v>
      </c>
      <c r="H533">
        <v>188</v>
      </c>
      <c r="J533" t="str">
        <f>VLOOKUP(Table3[[#This Row],[Faction ID]],Table4[],2)</f>
        <v>Rhurim/Rhun</v>
      </c>
    </row>
    <row r="534" spans="1:10" x14ac:dyDescent="0.25">
      <c r="A534">
        <v>14</v>
      </c>
      <c r="B534" t="s">
        <v>19</v>
      </c>
      <c r="C534">
        <v>8</v>
      </c>
      <c r="D534">
        <v>6</v>
      </c>
      <c r="E534">
        <v>52</v>
      </c>
      <c r="F534">
        <v>7399</v>
      </c>
      <c r="G534">
        <v>6043</v>
      </c>
      <c r="H534">
        <v>0</v>
      </c>
      <c r="J534" t="str">
        <f>VLOOKUP(Table3[[#This Row],[Faction ID]],Table4[],2)</f>
        <v>Feredrim</v>
      </c>
    </row>
    <row r="535" spans="1:10" x14ac:dyDescent="0.25">
      <c r="A535">
        <v>14</v>
      </c>
      <c r="B535" t="s">
        <v>26</v>
      </c>
      <c r="C535">
        <v>0</v>
      </c>
      <c r="D535">
        <v>0</v>
      </c>
      <c r="E535">
        <v>0</v>
      </c>
      <c r="F535">
        <v>6395</v>
      </c>
      <c r="G535">
        <v>3781</v>
      </c>
      <c r="H535">
        <v>0</v>
      </c>
      <c r="J535" t="str">
        <f>VLOOKUP(Table3[[#This Row],[Faction ID]],Table4[],2)</f>
        <v>Rachrohir (Wainriders)</v>
      </c>
    </row>
    <row r="536" spans="1:10" x14ac:dyDescent="0.25">
      <c r="A536">
        <v>14</v>
      </c>
      <c r="B536" t="s">
        <v>27</v>
      </c>
      <c r="C536">
        <v>5</v>
      </c>
      <c r="D536">
        <v>3</v>
      </c>
      <c r="E536">
        <v>34</v>
      </c>
      <c r="F536">
        <v>14359</v>
      </c>
      <c r="G536">
        <v>6181</v>
      </c>
      <c r="H536">
        <v>0</v>
      </c>
      <c r="J536" t="str">
        <f>VLOOKUP(Table3[[#This Row],[Faction ID]],Table4[],2)</f>
        <v>Blacklock-Stonefoot League</v>
      </c>
    </row>
    <row r="537" spans="1:10" x14ac:dyDescent="0.25">
      <c r="A537">
        <v>14</v>
      </c>
      <c r="B537" t="s">
        <v>28</v>
      </c>
      <c r="C537">
        <v>4</v>
      </c>
      <c r="D537">
        <v>2</v>
      </c>
      <c r="E537">
        <v>26</v>
      </c>
      <c r="F537">
        <v>12016</v>
      </c>
      <c r="G537">
        <v>4758</v>
      </c>
      <c r="H537">
        <v>0</v>
      </c>
      <c r="J537" t="str">
        <f>VLOOKUP(Table3[[#This Row],[Faction ID]],Table4[],2)</f>
        <v>Ironfist-Stiffbeard Union</v>
      </c>
    </row>
    <row r="538" spans="1:10" x14ac:dyDescent="0.25">
      <c r="A538">
        <v>14</v>
      </c>
      <c r="B538" t="s">
        <v>20</v>
      </c>
      <c r="C538">
        <v>23</v>
      </c>
      <c r="D538">
        <v>5</v>
      </c>
      <c r="E538">
        <v>90</v>
      </c>
      <c r="F538">
        <v>11871</v>
      </c>
      <c r="G538">
        <v>10423</v>
      </c>
      <c r="H538">
        <v>0</v>
      </c>
      <c r="J538" t="str">
        <f>VLOOKUP(Table3[[#This Row],[Faction ID]],Table4[],2)</f>
        <v>Gundabad</v>
      </c>
    </row>
    <row r="539" spans="1:10" x14ac:dyDescent="0.25">
      <c r="A539">
        <v>14</v>
      </c>
      <c r="B539" t="s">
        <v>34</v>
      </c>
      <c r="C539">
        <v>0</v>
      </c>
      <c r="D539">
        <v>0</v>
      </c>
      <c r="E539">
        <v>3</v>
      </c>
      <c r="F539">
        <v>18573</v>
      </c>
      <c r="G539">
        <v>2379</v>
      </c>
      <c r="H539">
        <v>0</v>
      </c>
      <c r="J539" t="str">
        <f>VLOOKUP(Table3[[#This Row],[Faction ID]],Table4[],2)</f>
        <v>Scouts of Rohan</v>
      </c>
    </row>
    <row r="540" spans="1:10" x14ac:dyDescent="0.25">
      <c r="A540">
        <v>14</v>
      </c>
      <c r="B540" t="s">
        <v>33</v>
      </c>
      <c r="C540">
        <v>5</v>
      </c>
      <c r="D540">
        <v>3</v>
      </c>
      <c r="E540">
        <v>25</v>
      </c>
      <c r="F540">
        <v>5344</v>
      </c>
      <c r="G540">
        <v>4090</v>
      </c>
      <c r="H540">
        <v>0</v>
      </c>
      <c r="J540" t="str">
        <f>VLOOKUP(Table3[[#This Row],[Faction ID]],Table4[],2)</f>
        <v>Northern Enedwaith</v>
      </c>
    </row>
    <row r="541" spans="1:10" x14ac:dyDescent="0.25">
      <c r="A541">
        <v>14</v>
      </c>
      <c r="B541" t="s">
        <v>29</v>
      </c>
      <c r="C541">
        <v>3</v>
      </c>
      <c r="D541">
        <v>2</v>
      </c>
      <c r="E541">
        <v>16</v>
      </c>
      <c r="F541">
        <v>10365</v>
      </c>
      <c r="G541">
        <v>3666</v>
      </c>
      <c r="H541">
        <v>0</v>
      </c>
      <c r="J541" t="str">
        <f>VLOOKUP(Table3[[#This Row],[Faction ID]],Table4[],2)</f>
        <v>Southern Enedwaith</v>
      </c>
    </row>
    <row r="542" spans="1:10" x14ac:dyDescent="0.25">
      <c r="A542">
        <v>14</v>
      </c>
      <c r="B542" t="s">
        <v>30</v>
      </c>
      <c r="C542">
        <v>5</v>
      </c>
      <c r="D542">
        <v>3</v>
      </c>
      <c r="E542">
        <v>29</v>
      </c>
      <c r="F542">
        <v>13266</v>
      </c>
      <c r="G542">
        <v>4436</v>
      </c>
      <c r="H542">
        <v>0</v>
      </c>
      <c r="J542" t="str">
        <f>VLOOKUP(Table3[[#This Row],[Faction ID]],Table4[],2)</f>
        <v>Druedain</v>
      </c>
    </row>
    <row r="543" spans="1:10" x14ac:dyDescent="0.25">
      <c r="A543">
        <v>14</v>
      </c>
      <c r="B543" t="s">
        <v>31</v>
      </c>
      <c r="C543">
        <v>4</v>
      </c>
      <c r="D543">
        <v>2</v>
      </c>
      <c r="E543">
        <v>22</v>
      </c>
      <c r="F543">
        <v>7113</v>
      </c>
      <c r="G543">
        <v>4939</v>
      </c>
      <c r="H543">
        <v>142</v>
      </c>
      <c r="J543" t="str">
        <f>VLOOKUP(Table3[[#This Row],[Faction ID]],Table4[],2)</f>
        <v>Harondor</v>
      </c>
    </row>
    <row r="544" spans="1:10" x14ac:dyDescent="0.25">
      <c r="A544">
        <v>14</v>
      </c>
      <c r="B544" t="s">
        <v>35</v>
      </c>
      <c r="C544">
        <v>0</v>
      </c>
      <c r="D544">
        <v>0</v>
      </c>
      <c r="E544">
        <v>0</v>
      </c>
      <c r="F544">
        <v>4000</v>
      </c>
      <c r="G544">
        <v>1750</v>
      </c>
      <c r="H544">
        <v>0</v>
      </c>
      <c r="J544" t="str">
        <f>VLOOKUP(Table3[[#This Row],[Faction ID]],Table4[],2)</f>
        <v>Southron Nomads</v>
      </c>
    </row>
    <row r="545" spans="1:10" x14ac:dyDescent="0.25">
      <c r="A545">
        <v>14</v>
      </c>
      <c r="B545" t="s">
        <v>36</v>
      </c>
      <c r="C545">
        <v>0</v>
      </c>
      <c r="D545">
        <v>0</v>
      </c>
      <c r="E545">
        <v>0</v>
      </c>
      <c r="F545">
        <v>4000</v>
      </c>
      <c r="G545">
        <v>1750</v>
      </c>
      <c r="H545">
        <v>0</v>
      </c>
      <c r="J545" t="str">
        <f>VLOOKUP(Table3[[#This Row],[Faction ID]],Table4[],2)</f>
        <v>_</v>
      </c>
    </row>
    <row r="546" spans="1:10" x14ac:dyDescent="0.25">
      <c r="A546">
        <v>14</v>
      </c>
      <c r="B546" t="s">
        <v>37</v>
      </c>
      <c r="C546">
        <v>0</v>
      </c>
      <c r="D546">
        <v>0</v>
      </c>
      <c r="E546">
        <v>0</v>
      </c>
      <c r="F546">
        <v>4000</v>
      </c>
      <c r="G546">
        <v>1750</v>
      </c>
      <c r="H546">
        <v>0</v>
      </c>
      <c r="J546" t="str">
        <f>VLOOKUP(Table3[[#This Row],[Faction ID]],Table4[],2)</f>
        <v>_</v>
      </c>
    </row>
    <row r="547" spans="1:10" x14ac:dyDescent="0.25">
      <c r="A547">
        <v>14</v>
      </c>
      <c r="B547" t="s">
        <v>38</v>
      </c>
      <c r="C547">
        <v>0</v>
      </c>
      <c r="D547">
        <v>0</v>
      </c>
      <c r="E547">
        <v>0</v>
      </c>
      <c r="F547">
        <v>4000</v>
      </c>
      <c r="G547">
        <v>1750</v>
      </c>
      <c r="H547">
        <v>0</v>
      </c>
      <c r="J547" t="str">
        <f>VLOOKUP(Table3[[#This Row],[Faction ID]],Table4[],2)</f>
        <v>_</v>
      </c>
    </row>
    <row r="548" spans="1:10" x14ac:dyDescent="0.25">
      <c r="A548">
        <v>14</v>
      </c>
      <c r="B548" t="s">
        <v>39</v>
      </c>
      <c r="C548">
        <v>0</v>
      </c>
      <c r="D548">
        <v>0</v>
      </c>
      <c r="E548">
        <v>0</v>
      </c>
      <c r="F548">
        <v>4000</v>
      </c>
      <c r="G548">
        <v>1750</v>
      </c>
      <c r="H548">
        <v>0</v>
      </c>
      <c r="J548" t="str">
        <f>VLOOKUP(Table3[[#This Row],[Faction ID]],Table4[],2)</f>
        <v>_</v>
      </c>
    </row>
    <row r="549" spans="1:10" x14ac:dyDescent="0.25">
      <c r="A549">
        <v>14</v>
      </c>
      <c r="B549" t="s">
        <v>40</v>
      </c>
      <c r="C549">
        <v>0</v>
      </c>
      <c r="D549">
        <v>0</v>
      </c>
      <c r="E549">
        <v>0</v>
      </c>
      <c r="F549">
        <v>4000</v>
      </c>
      <c r="G549">
        <v>1750</v>
      </c>
      <c r="H549">
        <v>0</v>
      </c>
      <c r="J549" t="str">
        <f>VLOOKUP(Table3[[#This Row],[Faction ID]],Table4[],2)</f>
        <v>_</v>
      </c>
    </row>
    <row r="550" spans="1:10" x14ac:dyDescent="0.25">
      <c r="A550">
        <v>14</v>
      </c>
      <c r="B550" t="s">
        <v>41</v>
      </c>
      <c r="C550">
        <v>0</v>
      </c>
      <c r="D550">
        <v>0</v>
      </c>
      <c r="E550">
        <v>0</v>
      </c>
      <c r="F550">
        <v>4000</v>
      </c>
      <c r="G550">
        <v>1750</v>
      </c>
      <c r="H550">
        <v>0</v>
      </c>
      <c r="J550" t="str">
        <f>VLOOKUP(Table3[[#This Row],[Faction ID]],Table4[],2)</f>
        <v>_</v>
      </c>
    </row>
    <row r="551" spans="1:10" x14ac:dyDescent="0.25">
      <c r="A551">
        <v>14</v>
      </c>
      <c r="B551" t="s">
        <v>42</v>
      </c>
      <c r="C551">
        <v>0</v>
      </c>
      <c r="D551">
        <v>0</v>
      </c>
      <c r="E551">
        <v>0</v>
      </c>
      <c r="F551">
        <v>4000</v>
      </c>
      <c r="G551">
        <v>1750</v>
      </c>
      <c r="H551">
        <v>0</v>
      </c>
      <c r="J551" t="str">
        <f>VLOOKUP(Table3[[#This Row],[Faction ID]],Table4[],2)</f>
        <v>_</v>
      </c>
    </row>
    <row r="552" spans="1:10" x14ac:dyDescent="0.25">
      <c r="A552">
        <v>14</v>
      </c>
      <c r="B552" t="s">
        <v>43</v>
      </c>
      <c r="C552">
        <v>0</v>
      </c>
      <c r="D552">
        <v>0</v>
      </c>
      <c r="E552">
        <v>0</v>
      </c>
      <c r="F552">
        <v>4000</v>
      </c>
      <c r="G552">
        <v>1750</v>
      </c>
      <c r="H552">
        <v>0</v>
      </c>
      <c r="J552" t="str">
        <f>VLOOKUP(Table3[[#This Row],[Faction ID]],Table4[],2)</f>
        <v>_</v>
      </c>
    </row>
    <row r="553" spans="1:10" x14ac:dyDescent="0.25">
      <c r="A553">
        <v>14</v>
      </c>
      <c r="B553" t="s">
        <v>44</v>
      </c>
      <c r="C553">
        <v>0</v>
      </c>
      <c r="D553">
        <v>0</v>
      </c>
      <c r="E553">
        <v>0</v>
      </c>
      <c r="F553">
        <v>4000</v>
      </c>
      <c r="G553">
        <v>1750</v>
      </c>
      <c r="H553">
        <v>0</v>
      </c>
      <c r="J553" t="str">
        <f>VLOOKUP(Table3[[#This Row],[Faction ID]],Table4[],2)</f>
        <v>_</v>
      </c>
    </row>
    <row r="554" spans="1:10" x14ac:dyDescent="0.25">
      <c r="A554">
        <v>15</v>
      </c>
      <c r="B554" t="s">
        <v>9</v>
      </c>
      <c r="C554">
        <v>53</v>
      </c>
      <c r="D554">
        <v>15</v>
      </c>
      <c r="E554">
        <v>129.6</v>
      </c>
      <c r="F554">
        <v>3864</v>
      </c>
      <c r="G554">
        <v>14033</v>
      </c>
      <c r="H554">
        <v>598</v>
      </c>
      <c r="J554" t="str">
        <f>VLOOKUP(Table3[[#This Row],[Faction ID]],Table4[],2)</f>
        <v>Mordor</v>
      </c>
    </row>
    <row r="555" spans="1:10" x14ac:dyDescent="0.25">
      <c r="A555">
        <v>15</v>
      </c>
      <c r="B555" t="s">
        <v>4</v>
      </c>
      <c r="C555">
        <v>60</v>
      </c>
      <c r="D555">
        <v>15</v>
      </c>
      <c r="E555">
        <v>166</v>
      </c>
      <c r="F555">
        <v>24230</v>
      </c>
      <c r="G555">
        <v>19448</v>
      </c>
      <c r="H555">
        <v>636</v>
      </c>
      <c r="J555" t="str">
        <f>VLOOKUP(Table3[[#This Row],[Faction ID]],Table4[],2)</f>
        <v>Gondor</v>
      </c>
    </row>
    <row r="556" spans="1:10" x14ac:dyDescent="0.25">
      <c r="A556">
        <v>15</v>
      </c>
      <c r="B556" t="s">
        <v>6</v>
      </c>
      <c r="C556">
        <v>37</v>
      </c>
      <c r="D556">
        <v>8</v>
      </c>
      <c r="E556">
        <v>113</v>
      </c>
      <c r="F556">
        <v>11280</v>
      </c>
      <c r="G556">
        <v>12773</v>
      </c>
      <c r="H556">
        <v>222</v>
      </c>
      <c r="J556" t="str">
        <f>VLOOKUP(Table3[[#This Row],[Faction ID]],Table4[],2)</f>
        <v>Dale</v>
      </c>
    </row>
    <row r="557" spans="1:10" x14ac:dyDescent="0.25">
      <c r="A557">
        <v>15</v>
      </c>
      <c r="B557" t="s">
        <v>21</v>
      </c>
      <c r="C557">
        <v>45</v>
      </c>
      <c r="D557">
        <v>4</v>
      </c>
      <c r="E557">
        <v>55</v>
      </c>
      <c r="F557">
        <v>13091</v>
      </c>
      <c r="G557">
        <v>13065</v>
      </c>
      <c r="H557">
        <v>677</v>
      </c>
      <c r="J557" t="str">
        <f>VLOOKUP(Table3[[#This Row],[Faction ID]],Table4[],2)</f>
        <v>Erebor</v>
      </c>
    </row>
    <row r="558" spans="1:10" x14ac:dyDescent="0.25">
      <c r="A558">
        <v>15</v>
      </c>
      <c r="B558" t="s">
        <v>5</v>
      </c>
      <c r="C558">
        <v>37</v>
      </c>
      <c r="D558">
        <v>13</v>
      </c>
      <c r="E558">
        <v>118</v>
      </c>
      <c r="F558">
        <v>6987</v>
      </c>
      <c r="G558">
        <v>12323</v>
      </c>
      <c r="H558">
        <v>176</v>
      </c>
      <c r="J558" t="str">
        <f>VLOOKUP(Table3[[#This Row],[Faction ID]],Table4[],2)</f>
        <v>Rohan</v>
      </c>
    </row>
    <row r="559" spans="1:10" x14ac:dyDescent="0.25">
      <c r="A559">
        <v>15</v>
      </c>
      <c r="B559" t="s">
        <v>12</v>
      </c>
      <c r="C559">
        <v>38</v>
      </c>
      <c r="D559">
        <v>7</v>
      </c>
      <c r="E559">
        <v>103</v>
      </c>
      <c r="F559">
        <v>7935</v>
      </c>
      <c r="G559">
        <v>14004</v>
      </c>
      <c r="H559">
        <v>0</v>
      </c>
      <c r="J559" t="str">
        <f>VLOOKUP(Table3[[#This Row],[Faction ID]],Table4[],2)</f>
        <v>Dol Guldur</v>
      </c>
    </row>
    <row r="560" spans="1:10" x14ac:dyDescent="0.25">
      <c r="A560">
        <v>15</v>
      </c>
      <c r="B560" t="s">
        <v>10</v>
      </c>
      <c r="C560">
        <v>38</v>
      </c>
      <c r="D560">
        <v>9</v>
      </c>
      <c r="E560">
        <v>80</v>
      </c>
      <c r="F560">
        <v>5997</v>
      </c>
      <c r="G560">
        <v>9553</v>
      </c>
      <c r="H560">
        <v>0</v>
      </c>
      <c r="J560" t="str">
        <f>VLOOKUP(Table3[[#This Row],[Faction ID]],Table4[],2)</f>
        <v>Anduin Vale</v>
      </c>
    </row>
    <row r="561" spans="1:10" x14ac:dyDescent="0.25">
      <c r="A561">
        <v>15</v>
      </c>
      <c r="B561" t="s">
        <v>32</v>
      </c>
      <c r="C561">
        <v>23</v>
      </c>
      <c r="D561">
        <v>1</v>
      </c>
      <c r="E561">
        <v>55</v>
      </c>
      <c r="F561">
        <v>6877</v>
      </c>
      <c r="G561">
        <v>9018</v>
      </c>
      <c r="H561">
        <v>184</v>
      </c>
      <c r="J561" t="str">
        <f>VLOOKUP(Table3[[#This Row],[Faction ID]],Table4[],2)</f>
        <v>Isengard</v>
      </c>
    </row>
    <row r="562" spans="1:10" x14ac:dyDescent="0.25">
      <c r="A562">
        <v>15</v>
      </c>
      <c r="B562" t="s">
        <v>22</v>
      </c>
      <c r="C562">
        <v>24</v>
      </c>
      <c r="D562">
        <v>2</v>
      </c>
      <c r="E562">
        <v>36</v>
      </c>
      <c r="F562">
        <v>6442</v>
      </c>
      <c r="G562">
        <v>8072</v>
      </c>
      <c r="H562">
        <v>0</v>
      </c>
      <c r="J562" t="str">
        <f>VLOOKUP(Table3[[#This Row],[Faction ID]],Table4[],2)</f>
        <v>Woodland Realm</v>
      </c>
    </row>
    <row r="563" spans="1:10" x14ac:dyDescent="0.25">
      <c r="A563">
        <v>15</v>
      </c>
      <c r="B563" t="s">
        <v>23</v>
      </c>
      <c r="C563">
        <v>21</v>
      </c>
      <c r="D563">
        <v>1</v>
      </c>
      <c r="E563">
        <v>2</v>
      </c>
      <c r="F563">
        <v>5122</v>
      </c>
      <c r="G563">
        <v>3110</v>
      </c>
      <c r="H563">
        <v>0</v>
      </c>
      <c r="J563" t="str">
        <f>VLOOKUP(Table3[[#This Row],[Faction ID]],Table4[],2)</f>
        <v>Lothlorien</v>
      </c>
    </row>
    <row r="564" spans="1:10" x14ac:dyDescent="0.25">
      <c r="A564">
        <v>15</v>
      </c>
      <c r="B564" t="s">
        <v>24</v>
      </c>
      <c r="C564">
        <v>6</v>
      </c>
      <c r="D564">
        <v>4</v>
      </c>
      <c r="E564">
        <v>42</v>
      </c>
      <c r="F564">
        <v>5219</v>
      </c>
      <c r="G564">
        <v>7389</v>
      </c>
      <c r="H564">
        <v>246</v>
      </c>
      <c r="J564" t="str">
        <f>VLOOKUP(Table3[[#This Row],[Faction ID]],Table4[],2)</f>
        <v>Variags (Khand)</v>
      </c>
    </row>
    <row r="565" spans="1:10" x14ac:dyDescent="0.25">
      <c r="A565">
        <v>15</v>
      </c>
      <c r="B565" t="s">
        <v>14</v>
      </c>
      <c r="C565">
        <v>7</v>
      </c>
      <c r="D565">
        <v>5</v>
      </c>
      <c r="E565">
        <v>53</v>
      </c>
      <c r="F565">
        <v>6486</v>
      </c>
      <c r="G565">
        <v>8088</v>
      </c>
      <c r="H565">
        <v>0</v>
      </c>
      <c r="J565" t="str">
        <f>VLOOKUP(Table3[[#This Row],[Faction ID]],Table4[],2)</f>
        <v>Corsairs of Umbar</v>
      </c>
    </row>
    <row r="566" spans="1:10" x14ac:dyDescent="0.25">
      <c r="A566">
        <v>15</v>
      </c>
      <c r="B566" t="s">
        <v>25</v>
      </c>
      <c r="C566">
        <v>5</v>
      </c>
      <c r="D566">
        <v>3</v>
      </c>
      <c r="E566">
        <v>42</v>
      </c>
      <c r="F566">
        <v>8529</v>
      </c>
      <c r="G566">
        <v>6372</v>
      </c>
      <c r="H566">
        <v>0</v>
      </c>
      <c r="J566" t="str">
        <f>VLOOKUP(Table3[[#This Row],[Faction ID]],Table4[],2)</f>
        <v>Mahud</v>
      </c>
    </row>
    <row r="567" spans="1:10" x14ac:dyDescent="0.25">
      <c r="A567">
        <v>15</v>
      </c>
      <c r="B567" t="s">
        <v>11</v>
      </c>
      <c r="C567">
        <v>32</v>
      </c>
      <c r="D567">
        <v>5</v>
      </c>
      <c r="E567">
        <v>62</v>
      </c>
      <c r="F567">
        <v>10992</v>
      </c>
      <c r="G567">
        <v>9035</v>
      </c>
      <c r="H567">
        <v>0</v>
      </c>
      <c r="J567" t="str">
        <f>VLOOKUP(Table3[[#This Row],[Faction ID]],Table4[],2)</f>
        <v>Haradrim</v>
      </c>
    </row>
    <row r="568" spans="1:10" x14ac:dyDescent="0.25">
      <c r="A568">
        <v>15</v>
      </c>
      <c r="B568" t="s">
        <v>15</v>
      </c>
      <c r="C568">
        <v>32</v>
      </c>
      <c r="D568">
        <v>5</v>
      </c>
      <c r="E568">
        <v>62</v>
      </c>
      <c r="F568">
        <v>10725</v>
      </c>
      <c r="G568">
        <v>10610</v>
      </c>
      <c r="H568">
        <v>210</v>
      </c>
      <c r="J568" t="str">
        <f>VLOOKUP(Table3[[#This Row],[Faction ID]],Table4[],2)</f>
        <v>Dunlendings</v>
      </c>
    </row>
    <row r="569" spans="1:10" x14ac:dyDescent="0.25">
      <c r="A569">
        <v>15</v>
      </c>
      <c r="B569" t="s">
        <v>16</v>
      </c>
      <c r="C569">
        <v>0</v>
      </c>
      <c r="D569">
        <v>0</v>
      </c>
      <c r="E569">
        <v>0</v>
      </c>
      <c r="F569">
        <v>5352</v>
      </c>
      <c r="G569">
        <v>1750</v>
      </c>
      <c r="H569">
        <v>0</v>
      </c>
      <c r="J569" t="str">
        <f>VLOOKUP(Table3[[#This Row],[Faction ID]],Table4[],2)</f>
        <v>Haerrim</v>
      </c>
    </row>
    <row r="570" spans="1:10" x14ac:dyDescent="0.25">
      <c r="A570">
        <v>15</v>
      </c>
      <c r="B570" t="s">
        <v>13</v>
      </c>
      <c r="C570">
        <v>49</v>
      </c>
      <c r="D570">
        <v>10</v>
      </c>
      <c r="E570">
        <v>107.9</v>
      </c>
      <c r="F570">
        <v>10667</v>
      </c>
      <c r="G570">
        <v>13124</v>
      </c>
      <c r="H570">
        <v>0</v>
      </c>
      <c r="J570" t="str">
        <f>VLOOKUP(Table3[[#This Row],[Faction ID]],Table4[],2)</f>
        <v>Goblins</v>
      </c>
    </row>
    <row r="571" spans="1:10" x14ac:dyDescent="0.25">
      <c r="A571">
        <v>15</v>
      </c>
      <c r="B571" t="s">
        <v>17</v>
      </c>
      <c r="C571">
        <v>0</v>
      </c>
      <c r="D571">
        <v>0</v>
      </c>
      <c r="E571">
        <v>0</v>
      </c>
      <c r="F571">
        <v>4872</v>
      </c>
      <c r="G571">
        <v>1750</v>
      </c>
      <c r="H571">
        <v>0</v>
      </c>
      <c r="J571" t="str">
        <f>VLOOKUP(Table3[[#This Row],[Faction ID]],Table4[],2)</f>
        <v>Balchoth</v>
      </c>
    </row>
    <row r="572" spans="1:10" x14ac:dyDescent="0.25">
      <c r="A572">
        <v>15</v>
      </c>
      <c r="B572" t="s">
        <v>18</v>
      </c>
      <c r="C572">
        <v>53</v>
      </c>
      <c r="D572">
        <v>19</v>
      </c>
      <c r="E572">
        <v>170.5</v>
      </c>
      <c r="F572">
        <v>16803</v>
      </c>
      <c r="G572">
        <v>19674</v>
      </c>
      <c r="H572">
        <v>269</v>
      </c>
      <c r="J572" t="str">
        <f>VLOOKUP(Table3[[#This Row],[Faction ID]],Table4[],2)</f>
        <v>Rhurim/Rhun</v>
      </c>
    </row>
    <row r="573" spans="1:10" x14ac:dyDescent="0.25">
      <c r="A573">
        <v>15</v>
      </c>
      <c r="B573" t="s">
        <v>19</v>
      </c>
      <c r="C573">
        <v>8</v>
      </c>
      <c r="D573">
        <v>6</v>
      </c>
      <c r="E573">
        <v>53</v>
      </c>
      <c r="F573">
        <v>5121</v>
      </c>
      <c r="G573">
        <v>6003</v>
      </c>
      <c r="H573">
        <v>0</v>
      </c>
      <c r="J573" t="str">
        <f>VLOOKUP(Table3[[#This Row],[Faction ID]],Table4[],2)</f>
        <v>Feredrim</v>
      </c>
    </row>
    <row r="574" spans="1:10" x14ac:dyDescent="0.25">
      <c r="A574">
        <v>15</v>
      </c>
      <c r="B574" t="s">
        <v>26</v>
      </c>
      <c r="C574">
        <v>0</v>
      </c>
      <c r="D574">
        <v>0</v>
      </c>
      <c r="E574">
        <v>0</v>
      </c>
      <c r="F574">
        <v>6395</v>
      </c>
      <c r="G574">
        <v>3781</v>
      </c>
      <c r="H574">
        <v>0</v>
      </c>
      <c r="J574" t="str">
        <f>VLOOKUP(Table3[[#This Row],[Faction ID]],Table4[],2)</f>
        <v>Rachrohir (Wainriders)</v>
      </c>
    </row>
    <row r="575" spans="1:10" x14ac:dyDescent="0.25">
      <c r="A575">
        <v>15</v>
      </c>
      <c r="B575" t="s">
        <v>27</v>
      </c>
      <c r="C575">
        <v>5</v>
      </c>
      <c r="D575">
        <v>3</v>
      </c>
      <c r="E575">
        <v>34</v>
      </c>
      <c r="F575">
        <v>16132</v>
      </c>
      <c r="G575">
        <v>6181</v>
      </c>
      <c r="H575">
        <v>0</v>
      </c>
      <c r="J575" t="str">
        <f>VLOOKUP(Table3[[#This Row],[Faction ID]],Table4[],2)</f>
        <v>Blacklock-Stonefoot League</v>
      </c>
    </row>
    <row r="576" spans="1:10" x14ac:dyDescent="0.25">
      <c r="A576">
        <v>15</v>
      </c>
      <c r="B576" t="s">
        <v>28</v>
      </c>
      <c r="C576">
        <v>4</v>
      </c>
      <c r="D576">
        <v>2</v>
      </c>
      <c r="E576">
        <v>26</v>
      </c>
      <c r="F576">
        <v>13704</v>
      </c>
      <c r="G576">
        <v>4758</v>
      </c>
      <c r="H576">
        <v>0</v>
      </c>
      <c r="J576" t="str">
        <f>VLOOKUP(Table3[[#This Row],[Faction ID]],Table4[],2)</f>
        <v>Ironfist-Stiffbeard Union</v>
      </c>
    </row>
    <row r="577" spans="1:10" x14ac:dyDescent="0.25">
      <c r="A577">
        <v>15</v>
      </c>
      <c r="B577" t="s">
        <v>20</v>
      </c>
      <c r="C577">
        <v>29</v>
      </c>
      <c r="D577">
        <v>6</v>
      </c>
      <c r="E577">
        <v>91</v>
      </c>
      <c r="F577">
        <v>9571</v>
      </c>
      <c r="G577">
        <v>11572</v>
      </c>
      <c r="H577">
        <v>0</v>
      </c>
      <c r="J577" t="str">
        <f>VLOOKUP(Table3[[#This Row],[Faction ID]],Table4[],2)</f>
        <v>Gundabad</v>
      </c>
    </row>
    <row r="578" spans="1:10" x14ac:dyDescent="0.25">
      <c r="A578">
        <v>15</v>
      </c>
      <c r="B578" t="s">
        <v>34</v>
      </c>
      <c r="C578">
        <v>0</v>
      </c>
      <c r="D578">
        <v>0</v>
      </c>
      <c r="E578">
        <v>3</v>
      </c>
      <c r="F578">
        <v>19694</v>
      </c>
      <c r="G578">
        <v>2379</v>
      </c>
      <c r="H578">
        <v>0</v>
      </c>
      <c r="J578" t="str">
        <f>VLOOKUP(Table3[[#This Row],[Faction ID]],Table4[],2)</f>
        <v>Scouts of Rohan</v>
      </c>
    </row>
    <row r="579" spans="1:10" x14ac:dyDescent="0.25">
      <c r="A579">
        <v>15</v>
      </c>
      <c r="B579" t="s">
        <v>33</v>
      </c>
      <c r="C579">
        <v>5</v>
      </c>
      <c r="D579">
        <v>3</v>
      </c>
      <c r="E579">
        <v>28</v>
      </c>
      <c r="F579">
        <v>6975</v>
      </c>
      <c r="G579">
        <v>4576</v>
      </c>
      <c r="H579">
        <v>0</v>
      </c>
      <c r="J579" t="str">
        <f>VLOOKUP(Table3[[#This Row],[Faction ID]],Table4[],2)</f>
        <v>Northern Enedwaith</v>
      </c>
    </row>
    <row r="580" spans="1:10" x14ac:dyDescent="0.25">
      <c r="A580">
        <v>15</v>
      </c>
      <c r="B580" t="s">
        <v>29</v>
      </c>
      <c r="C580">
        <v>3</v>
      </c>
      <c r="D580">
        <v>2</v>
      </c>
      <c r="E580">
        <v>16</v>
      </c>
      <c r="F580">
        <v>9530</v>
      </c>
      <c r="G580">
        <v>3764</v>
      </c>
      <c r="H580">
        <v>0</v>
      </c>
      <c r="J580" t="str">
        <f>VLOOKUP(Table3[[#This Row],[Faction ID]],Table4[],2)</f>
        <v>Southern Enedwaith</v>
      </c>
    </row>
    <row r="581" spans="1:10" x14ac:dyDescent="0.25">
      <c r="A581">
        <v>15</v>
      </c>
      <c r="B581" t="s">
        <v>30</v>
      </c>
      <c r="C581">
        <v>5</v>
      </c>
      <c r="D581">
        <v>3</v>
      </c>
      <c r="E581">
        <v>29</v>
      </c>
      <c r="F581">
        <v>14995</v>
      </c>
      <c r="G581">
        <v>4513</v>
      </c>
      <c r="H581">
        <v>0</v>
      </c>
      <c r="J581" t="str">
        <f>VLOOKUP(Table3[[#This Row],[Faction ID]],Table4[],2)</f>
        <v>Druedain</v>
      </c>
    </row>
    <row r="582" spans="1:10" x14ac:dyDescent="0.25">
      <c r="A582">
        <v>15</v>
      </c>
      <c r="B582" t="s">
        <v>31</v>
      </c>
      <c r="C582">
        <v>4</v>
      </c>
      <c r="D582">
        <v>2</v>
      </c>
      <c r="E582">
        <v>16</v>
      </c>
      <c r="F582">
        <v>5815</v>
      </c>
      <c r="G582">
        <v>4201</v>
      </c>
      <c r="H582">
        <v>142</v>
      </c>
      <c r="J582" t="str">
        <f>VLOOKUP(Table3[[#This Row],[Faction ID]],Table4[],2)</f>
        <v>Harondor</v>
      </c>
    </row>
    <row r="583" spans="1:10" x14ac:dyDescent="0.25">
      <c r="A583">
        <v>15</v>
      </c>
      <c r="B583" t="s">
        <v>35</v>
      </c>
      <c r="C583">
        <v>0</v>
      </c>
      <c r="D583">
        <v>0</v>
      </c>
      <c r="E583">
        <v>0</v>
      </c>
      <c r="F583">
        <v>4000</v>
      </c>
      <c r="G583">
        <v>1750</v>
      </c>
      <c r="H583">
        <v>0</v>
      </c>
      <c r="J583" t="str">
        <f>VLOOKUP(Table3[[#This Row],[Faction ID]],Table4[],2)</f>
        <v>Southron Nomads</v>
      </c>
    </row>
    <row r="584" spans="1:10" x14ac:dyDescent="0.25">
      <c r="A584">
        <v>15</v>
      </c>
      <c r="B584" t="s">
        <v>36</v>
      </c>
      <c r="C584">
        <v>0</v>
      </c>
      <c r="D584">
        <v>0</v>
      </c>
      <c r="E584">
        <v>0</v>
      </c>
      <c r="F584">
        <v>4000</v>
      </c>
      <c r="G584">
        <v>1750</v>
      </c>
      <c r="H584">
        <v>0</v>
      </c>
      <c r="J584" t="str">
        <f>VLOOKUP(Table3[[#This Row],[Faction ID]],Table4[],2)</f>
        <v>_</v>
      </c>
    </row>
    <row r="585" spans="1:10" x14ac:dyDescent="0.25">
      <c r="A585">
        <v>15</v>
      </c>
      <c r="B585" t="s">
        <v>37</v>
      </c>
      <c r="C585">
        <v>0</v>
      </c>
      <c r="D585">
        <v>0</v>
      </c>
      <c r="E585">
        <v>0</v>
      </c>
      <c r="F585">
        <v>4000</v>
      </c>
      <c r="G585">
        <v>1750</v>
      </c>
      <c r="H585">
        <v>0</v>
      </c>
      <c r="J585" t="str">
        <f>VLOOKUP(Table3[[#This Row],[Faction ID]],Table4[],2)</f>
        <v>_</v>
      </c>
    </row>
    <row r="586" spans="1:10" x14ac:dyDescent="0.25">
      <c r="A586">
        <v>15</v>
      </c>
      <c r="B586" t="s">
        <v>38</v>
      </c>
      <c r="C586">
        <v>0</v>
      </c>
      <c r="D586">
        <v>0</v>
      </c>
      <c r="E586">
        <v>0</v>
      </c>
      <c r="F586">
        <v>4000</v>
      </c>
      <c r="G586">
        <v>1750</v>
      </c>
      <c r="H586">
        <v>0</v>
      </c>
      <c r="J586" t="str">
        <f>VLOOKUP(Table3[[#This Row],[Faction ID]],Table4[],2)</f>
        <v>_</v>
      </c>
    </row>
    <row r="587" spans="1:10" x14ac:dyDescent="0.25">
      <c r="A587">
        <v>15</v>
      </c>
      <c r="B587" t="s">
        <v>39</v>
      </c>
      <c r="C587">
        <v>0</v>
      </c>
      <c r="D587">
        <v>0</v>
      </c>
      <c r="E587">
        <v>0</v>
      </c>
      <c r="F587">
        <v>4000</v>
      </c>
      <c r="G587">
        <v>1750</v>
      </c>
      <c r="H587">
        <v>0</v>
      </c>
      <c r="J587" t="str">
        <f>VLOOKUP(Table3[[#This Row],[Faction ID]],Table4[],2)</f>
        <v>_</v>
      </c>
    </row>
    <row r="588" spans="1:10" x14ac:dyDescent="0.25">
      <c r="A588">
        <v>15</v>
      </c>
      <c r="B588" t="s">
        <v>40</v>
      </c>
      <c r="C588">
        <v>0</v>
      </c>
      <c r="D588">
        <v>0</v>
      </c>
      <c r="E588">
        <v>0</v>
      </c>
      <c r="F588">
        <v>4000</v>
      </c>
      <c r="G588">
        <v>1750</v>
      </c>
      <c r="H588">
        <v>0</v>
      </c>
      <c r="J588" t="str">
        <f>VLOOKUP(Table3[[#This Row],[Faction ID]],Table4[],2)</f>
        <v>_</v>
      </c>
    </row>
    <row r="589" spans="1:10" x14ac:dyDescent="0.25">
      <c r="A589">
        <v>15</v>
      </c>
      <c r="B589" t="s">
        <v>41</v>
      </c>
      <c r="C589">
        <v>0</v>
      </c>
      <c r="D589">
        <v>0</v>
      </c>
      <c r="E589">
        <v>0</v>
      </c>
      <c r="F589">
        <v>4000</v>
      </c>
      <c r="G589">
        <v>1750</v>
      </c>
      <c r="H589">
        <v>0</v>
      </c>
      <c r="J589" t="str">
        <f>VLOOKUP(Table3[[#This Row],[Faction ID]],Table4[],2)</f>
        <v>_</v>
      </c>
    </row>
    <row r="590" spans="1:10" x14ac:dyDescent="0.25">
      <c r="A590">
        <v>15</v>
      </c>
      <c r="B590" t="s">
        <v>42</v>
      </c>
      <c r="C590">
        <v>0</v>
      </c>
      <c r="D590">
        <v>0</v>
      </c>
      <c r="E590">
        <v>0</v>
      </c>
      <c r="F590">
        <v>4000</v>
      </c>
      <c r="G590">
        <v>1750</v>
      </c>
      <c r="H590">
        <v>0</v>
      </c>
      <c r="J590" t="str">
        <f>VLOOKUP(Table3[[#This Row],[Faction ID]],Table4[],2)</f>
        <v>_</v>
      </c>
    </row>
    <row r="591" spans="1:10" x14ac:dyDescent="0.25">
      <c r="A591">
        <v>15</v>
      </c>
      <c r="B591" t="s">
        <v>43</v>
      </c>
      <c r="C591">
        <v>0</v>
      </c>
      <c r="D591">
        <v>0</v>
      </c>
      <c r="E591">
        <v>0</v>
      </c>
      <c r="F591">
        <v>4000</v>
      </c>
      <c r="G591">
        <v>1750</v>
      </c>
      <c r="H591">
        <v>0</v>
      </c>
      <c r="J591" t="str">
        <f>VLOOKUP(Table3[[#This Row],[Faction ID]],Table4[],2)</f>
        <v>_</v>
      </c>
    </row>
    <row r="592" spans="1:10" x14ac:dyDescent="0.25">
      <c r="A592">
        <v>15</v>
      </c>
      <c r="B592" t="s">
        <v>44</v>
      </c>
      <c r="C592">
        <v>0</v>
      </c>
      <c r="D592">
        <v>0</v>
      </c>
      <c r="E592">
        <v>0</v>
      </c>
      <c r="F592">
        <v>4000</v>
      </c>
      <c r="G592">
        <v>1750</v>
      </c>
      <c r="H592">
        <v>0</v>
      </c>
      <c r="J592" t="str">
        <f>VLOOKUP(Table3[[#This Row],[Faction ID]],Table4[],2)</f>
        <v>_</v>
      </c>
    </row>
    <row r="593" spans="1:10" x14ac:dyDescent="0.25">
      <c r="A593">
        <v>16</v>
      </c>
      <c r="B593" t="s">
        <v>9</v>
      </c>
      <c r="C593">
        <v>58</v>
      </c>
      <c r="D593">
        <v>15</v>
      </c>
      <c r="E593">
        <v>129.6</v>
      </c>
      <c r="F593">
        <v>441</v>
      </c>
      <c r="G593">
        <v>14327</v>
      </c>
      <c r="H593">
        <v>600</v>
      </c>
      <c r="J593" t="str">
        <f>VLOOKUP(Table3[[#This Row],[Faction ID]],Table4[],2)</f>
        <v>Mordor</v>
      </c>
    </row>
    <row r="594" spans="1:10" x14ac:dyDescent="0.25">
      <c r="A594">
        <v>16</v>
      </c>
      <c r="B594" t="s">
        <v>4</v>
      </c>
      <c r="C594">
        <v>64</v>
      </c>
      <c r="D594">
        <v>15</v>
      </c>
      <c r="E594">
        <v>169</v>
      </c>
      <c r="F594">
        <v>26342</v>
      </c>
      <c r="G594">
        <v>19172</v>
      </c>
      <c r="H594">
        <v>636</v>
      </c>
      <c r="J594" t="str">
        <f>VLOOKUP(Table3[[#This Row],[Faction ID]],Table4[],2)</f>
        <v>Gondor</v>
      </c>
    </row>
    <row r="595" spans="1:10" x14ac:dyDescent="0.25">
      <c r="A595">
        <v>16</v>
      </c>
      <c r="B595" t="s">
        <v>6</v>
      </c>
      <c r="C595">
        <v>38</v>
      </c>
      <c r="D595">
        <v>9</v>
      </c>
      <c r="E595">
        <v>120</v>
      </c>
      <c r="F595">
        <v>14300</v>
      </c>
      <c r="G595">
        <v>13020</v>
      </c>
      <c r="H595">
        <v>223</v>
      </c>
      <c r="J595" t="str">
        <f>VLOOKUP(Table3[[#This Row],[Faction ID]],Table4[],2)</f>
        <v>Dale</v>
      </c>
    </row>
    <row r="596" spans="1:10" x14ac:dyDescent="0.25">
      <c r="A596">
        <v>16</v>
      </c>
      <c r="B596" t="s">
        <v>21</v>
      </c>
      <c r="C596">
        <v>45</v>
      </c>
      <c r="D596">
        <v>4</v>
      </c>
      <c r="E596">
        <v>64</v>
      </c>
      <c r="F596">
        <v>13487</v>
      </c>
      <c r="G596">
        <v>13200</v>
      </c>
      <c r="H596">
        <v>678</v>
      </c>
      <c r="J596" t="str">
        <f>VLOOKUP(Table3[[#This Row],[Faction ID]],Table4[],2)</f>
        <v>Erebor</v>
      </c>
    </row>
    <row r="597" spans="1:10" x14ac:dyDescent="0.25">
      <c r="A597">
        <v>16</v>
      </c>
      <c r="B597" t="s">
        <v>5</v>
      </c>
      <c r="C597">
        <v>42</v>
      </c>
      <c r="D597">
        <v>13</v>
      </c>
      <c r="E597">
        <v>103</v>
      </c>
      <c r="F597">
        <v>10089</v>
      </c>
      <c r="G597">
        <v>10926</v>
      </c>
      <c r="H597">
        <v>175</v>
      </c>
      <c r="J597" t="str">
        <f>VLOOKUP(Table3[[#This Row],[Faction ID]],Table4[],2)</f>
        <v>Rohan</v>
      </c>
    </row>
    <row r="598" spans="1:10" x14ac:dyDescent="0.25">
      <c r="A598">
        <v>16</v>
      </c>
      <c r="B598" t="s">
        <v>12</v>
      </c>
      <c r="C598">
        <v>38</v>
      </c>
      <c r="D598">
        <v>7</v>
      </c>
      <c r="E598">
        <v>111</v>
      </c>
      <c r="F598">
        <v>8313</v>
      </c>
      <c r="G598">
        <v>14656</v>
      </c>
      <c r="H598">
        <v>0</v>
      </c>
      <c r="J598" t="str">
        <f>VLOOKUP(Table3[[#This Row],[Faction ID]],Table4[],2)</f>
        <v>Dol Guldur</v>
      </c>
    </row>
    <row r="599" spans="1:10" x14ac:dyDescent="0.25">
      <c r="A599">
        <v>16</v>
      </c>
      <c r="B599" t="s">
        <v>10</v>
      </c>
      <c r="C599">
        <v>38</v>
      </c>
      <c r="D599">
        <v>9</v>
      </c>
      <c r="E599">
        <v>80</v>
      </c>
      <c r="F599">
        <v>5150</v>
      </c>
      <c r="G599">
        <v>9693</v>
      </c>
      <c r="H599">
        <v>0</v>
      </c>
      <c r="J599" t="str">
        <f>VLOOKUP(Table3[[#This Row],[Faction ID]],Table4[],2)</f>
        <v>Anduin Vale</v>
      </c>
    </row>
    <row r="600" spans="1:10" x14ac:dyDescent="0.25">
      <c r="A600">
        <v>16</v>
      </c>
      <c r="B600" t="s">
        <v>32</v>
      </c>
      <c r="C600">
        <v>23</v>
      </c>
      <c r="D600">
        <v>1</v>
      </c>
      <c r="E600">
        <v>38</v>
      </c>
      <c r="F600">
        <v>9397</v>
      </c>
      <c r="G600">
        <v>7549</v>
      </c>
      <c r="H600">
        <v>183</v>
      </c>
      <c r="J600" t="str">
        <f>VLOOKUP(Table3[[#This Row],[Faction ID]],Table4[],2)</f>
        <v>Isengard</v>
      </c>
    </row>
    <row r="601" spans="1:10" x14ac:dyDescent="0.25">
      <c r="A601">
        <v>16</v>
      </c>
      <c r="B601" t="s">
        <v>22</v>
      </c>
      <c r="C601">
        <v>24</v>
      </c>
      <c r="D601">
        <v>2</v>
      </c>
      <c r="E601">
        <v>36</v>
      </c>
      <c r="F601">
        <v>7559</v>
      </c>
      <c r="G601">
        <v>7930</v>
      </c>
      <c r="H601">
        <v>0</v>
      </c>
      <c r="J601" t="str">
        <f>VLOOKUP(Table3[[#This Row],[Faction ID]],Table4[],2)</f>
        <v>Woodland Realm</v>
      </c>
    </row>
    <row r="602" spans="1:10" x14ac:dyDescent="0.25">
      <c r="A602">
        <v>16</v>
      </c>
      <c r="B602" t="s">
        <v>23</v>
      </c>
      <c r="C602">
        <v>21</v>
      </c>
      <c r="D602">
        <v>1</v>
      </c>
      <c r="E602">
        <v>3</v>
      </c>
      <c r="F602">
        <v>7267</v>
      </c>
      <c r="G602">
        <v>3114</v>
      </c>
      <c r="H602">
        <v>0</v>
      </c>
      <c r="J602" t="str">
        <f>VLOOKUP(Table3[[#This Row],[Faction ID]],Table4[],2)</f>
        <v>Lothlorien</v>
      </c>
    </row>
    <row r="603" spans="1:10" x14ac:dyDescent="0.25">
      <c r="A603">
        <v>16</v>
      </c>
      <c r="B603" t="s">
        <v>24</v>
      </c>
      <c r="C603">
        <v>6</v>
      </c>
      <c r="D603">
        <v>4</v>
      </c>
      <c r="E603">
        <v>45</v>
      </c>
      <c r="F603">
        <v>3982</v>
      </c>
      <c r="G603">
        <v>7707</v>
      </c>
      <c r="H603">
        <v>248</v>
      </c>
      <c r="J603" t="str">
        <f>VLOOKUP(Table3[[#This Row],[Faction ID]],Table4[],2)</f>
        <v>Variags (Khand)</v>
      </c>
    </row>
    <row r="604" spans="1:10" x14ac:dyDescent="0.25">
      <c r="A604">
        <v>16</v>
      </c>
      <c r="B604" t="s">
        <v>14</v>
      </c>
      <c r="C604">
        <v>7</v>
      </c>
      <c r="D604">
        <v>5</v>
      </c>
      <c r="E604">
        <v>52</v>
      </c>
      <c r="F604">
        <v>8565</v>
      </c>
      <c r="G604">
        <v>8339</v>
      </c>
      <c r="H604">
        <v>0</v>
      </c>
      <c r="J604" t="str">
        <f>VLOOKUP(Table3[[#This Row],[Faction ID]],Table4[],2)</f>
        <v>Corsairs of Umbar</v>
      </c>
    </row>
    <row r="605" spans="1:10" x14ac:dyDescent="0.25">
      <c r="A605">
        <v>16</v>
      </c>
      <c r="B605" t="s">
        <v>25</v>
      </c>
      <c r="C605">
        <v>5</v>
      </c>
      <c r="D605">
        <v>3</v>
      </c>
      <c r="E605">
        <v>41</v>
      </c>
      <c r="F605">
        <v>10104</v>
      </c>
      <c r="G605">
        <v>6178</v>
      </c>
      <c r="H605">
        <v>0</v>
      </c>
      <c r="J605" t="str">
        <f>VLOOKUP(Table3[[#This Row],[Faction ID]],Table4[],2)</f>
        <v>Mahud</v>
      </c>
    </row>
    <row r="606" spans="1:10" x14ac:dyDescent="0.25">
      <c r="A606">
        <v>16</v>
      </c>
      <c r="B606" t="s">
        <v>11</v>
      </c>
      <c r="C606">
        <v>36</v>
      </c>
      <c r="D606">
        <v>5</v>
      </c>
      <c r="E606">
        <v>64</v>
      </c>
      <c r="F606">
        <v>12536</v>
      </c>
      <c r="G606">
        <v>9090</v>
      </c>
      <c r="H606">
        <v>0</v>
      </c>
      <c r="J606" t="str">
        <f>VLOOKUP(Table3[[#This Row],[Faction ID]],Table4[],2)</f>
        <v>Haradrim</v>
      </c>
    </row>
    <row r="607" spans="1:10" x14ac:dyDescent="0.25">
      <c r="A607">
        <v>16</v>
      </c>
      <c r="B607" t="s">
        <v>15</v>
      </c>
      <c r="C607">
        <v>32</v>
      </c>
      <c r="D607">
        <v>5</v>
      </c>
      <c r="E607">
        <v>62</v>
      </c>
      <c r="F607">
        <v>10957</v>
      </c>
      <c r="G607">
        <v>10860</v>
      </c>
      <c r="H607">
        <v>608</v>
      </c>
      <c r="J607" t="str">
        <f>VLOOKUP(Table3[[#This Row],[Faction ID]],Table4[],2)</f>
        <v>Dunlendings</v>
      </c>
    </row>
    <row r="608" spans="1:10" x14ac:dyDescent="0.25">
      <c r="A608">
        <v>16</v>
      </c>
      <c r="B608" t="s">
        <v>16</v>
      </c>
      <c r="C608">
        <v>0</v>
      </c>
      <c r="D608">
        <v>0</v>
      </c>
      <c r="E608">
        <v>0</v>
      </c>
      <c r="F608">
        <v>5352</v>
      </c>
      <c r="G608">
        <v>1750</v>
      </c>
      <c r="H608">
        <v>0</v>
      </c>
      <c r="J608" t="str">
        <f>VLOOKUP(Table3[[#This Row],[Faction ID]],Table4[],2)</f>
        <v>Haerrim</v>
      </c>
    </row>
    <row r="609" spans="1:10" x14ac:dyDescent="0.25">
      <c r="A609">
        <v>16</v>
      </c>
      <c r="B609" t="s">
        <v>13</v>
      </c>
      <c r="C609">
        <v>49</v>
      </c>
      <c r="D609">
        <v>10</v>
      </c>
      <c r="E609">
        <v>116.9</v>
      </c>
      <c r="F609">
        <v>8384</v>
      </c>
      <c r="G609">
        <v>14940</v>
      </c>
      <c r="H609">
        <v>934</v>
      </c>
      <c r="J609" t="str">
        <f>VLOOKUP(Table3[[#This Row],[Faction ID]],Table4[],2)</f>
        <v>Goblins</v>
      </c>
    </row>
    <row r="610" spans="1:10" x14ac:dyDescent="0.25">
      <c r="A610">
        <v>16</v>
      </c>
      <c r="B610" t="s">
        <v>17</v>
      </c>
      <c r="C610">
        <v>0</v>
      </c>
      <c r="D610">
        <v>0</v>
      </c>
      <c r="E610">
        <v>0</v>
      </c>
      <c r="F610">
        <v>4872</v>
      </c>
      <c r="G610">
        <v>1750</v>
      </c>
      <c r="H610">
        <v>0</v>
      </c>
      <c r="J610" t="str">
        <f>VLOOKUP(Table3[[#This Row],[Faction ID]],Table4[],2)</f>
        <v>Balchoth</v>
      </c>
    </row>
    <row r="611" spans="1:10" x14ac:dyDescent="0.25">
      <c r="A611">
        <v>16</v>
      </c>
      <c r="B611" t="s">
        <v>18</v>
      </c>
      <c r="C611">
        <v>52</v>
      </c>
      <c r="D611">
        <v>18</v>
      </c>
      <c r="E611">
        <v>183.2</v>
      </c>
      <c r="F611">
        <v>17174</v>
      </c>
      <c r="G611">
        <v>19735</v>
      </c>
      <c r="H611">
        <v>268</v>
      </c>
      <c r="J611" t="str">
        <f>VLOOKUP(Table3[[#This Row],[Faction ID]],Table4[],2)</f>
        <v>Rhurim/Rhun</v>
      </c>
    </row>
    <row r="612" spans="1:10" x14ac:dyDescent="0.25">
      <c r="A612">
        <v>16</v>
      </c>
      <c r="B612" t="s">
        <v>19</v>
      </c>
      <c r="C612">
        <v>8</v>
      </c>
      <c r="D612">
        <v>6</v>
      </c>
      <c r="E612">
        <v>63</v>
      </c>
      <c r="F612">
        <v>5193</v>
      </c>
      <c r="G612">
        <v>6841</v>
      </c>
      <c r="H612">
        <v>0</v>
      </c>
      <c r="J612" t="str">
        <f>VLOOKUP(Table3[[#This Row],[Faction ID]],Table4[],2)</f>
        <v>Feredrim</v>
      </c>
    </row>
    <row r="613" spans="1:10" x14ac:dyDescent="0.25">
      <c r="A613">
        <v>16</v>
      </c>
      <c r="B613" t="s">
        <v>26</v>
      </c>
      <c r="C613">
        <v>0</v>
      </c>
      <c r="D613">
        <v>0</v>
      </c>
      <c r="E613">
        <v>0</v>
      </c>
      <c r="F613">
        <v>6395</v>
      </c>
      <c r="G613">
        <v>3781</v>
      </c>
      <c r="H613">
        <v>0</v>
      </c>
      <c r="J613" t="str">
        <f>VLOOKUP(Table3[[#This Row],[Faction ID]],Table4[],2)</f>
        <v>Rachrohir (Wainriders)</v>
      </c>
    </row>
    <row r="614" spans="1:10" x14ac:dyDescent="0.25">
      <c r="A614">
        <v>16</v>
      </c>
      <c r="B614" t="s">
        <v>27</v>
      </c>
      <c r="C614">
        <v>5</v>
      </c>
      <c r="D614">
        <v>3</v>
      </c>
      <c r="E614">
        <v>35</v>
      </c>
      <c r="F614">
        <v>15327</v>
      </c>
      <c r="G614">
        <v>6290</v>
      </c>
      <c r="H614">
        <v>0</v>
      </c>
      <c r="J614" t="str">
        <f>VLOOKUP(Table3[[#This Row],[Faction ID]],Table4[],2)</f>
        <v>Blacklock-Stonefoot League</v>
      </c>
    </row>
    <row r="615" spans="1:10" x14ac:dyDescent="0.25">
      <c r="A615">
        <v>16</v>
      </c>
      <c r="B615" t="s">
        <v>28</v>
      </c>
      <c r="C615">
        <v>4</v>
      </c>
      <c r="D615">
        <v>2</v>
      </c>
      <c r="E615">
        <v>26</v>
      </c>
      <c r="F615">
        <v>15392</v>
      </c>
      <c r="G615">
        <v>4758</v>
      </c>
      <c r="H615">
        <v>0</v>
      </c>
      <c r="J615" t="str">
        <f>VLOOKUP(Table3[[#This Row],[Faction ID]],Table4[],2)</f>
        <v>Ironfist-Stiffbeard Union</v>
      </c>
    </row>
    <row r="616" spans="1:10" x14ac:dyDescent="0.25">
      <c r="A616">
        <v>16</v>
      </c>
      <c r="B616" t="s">
        <v>20</v>
      </c>
      <c r="C616">
        <v>44</v>
      </c>
      <c r="D616">
        <v>6</v>
      </c>
      <c r="E616">
        <v>96</v>
      </c>
      <c r="F616">
        <v>13796</v>
      </c>
      <c r="G616">
        <v>12248</v>
      </c>
      <c r="H616">
        <v>0</v>
      </c>
      <c r="J616" t="str">
        <f>VLOOKUP(Table3[[#This Row],[Faction ID]],Table4[],2)</f>
        <v>Gundabad</v>
      </c>
    </row>
    <row r="617" spans="1:10" x14ac:dyDescent="0.25">
      <c r="A617">
        <v>16</v>
      </c>
      <c r="B617" t="s">
        <v>34</v>
      </c>
      <c r="C617">
        <v>0</v>
      </c>
      <c r="D617">
        <v>0</v>
      </c>
      <c r="E617">
        <v>3</v>
      </c>
      <c r="F617">
        <v>20815</v>
      </c>
      <c r="G617">
        <v>2379</v>
      </c>
      <c r="H617">
        <v>0</v>
      </c>
      <c r="J617" t="str">
        <f>VLOOKUP(Table3[[#This Row],[Faction ID]],Table4[],2)</f>
        <v>Scouts of Rohan</v>
      </c>
    </row>
    <row r="618" spans="1:10" x14ac:dyDescent="0.25">
      <c r="A618">
        <v>16</v>
      </c>
      <c r="B618" t="s">
        <v>33</v>
      </c>
      <c r="C618">
        <v>5</v>
      </c>
      <c r="D618">
        <v>3</v>
      </c>
      <c r="E618">
        <v>28</v>
      </c>
      <c r="F618">
        <v>8685</v>
      </c>
      <c r="G618">
        <v>4576</v>
      </c>
      <c r="H618">
        <v>0</v>
      </c>
      <c r="J618" t="str">
        <f>VLOOKUP(Table3[[#This Row],[Faction ID]],Table4[],2)</f>
        <v>Northern Enedwaith</v>
      </c>
    </row>
    <row r="619" spans="1:10" x14ac:dyDescent="0.25">
      <c r="A619">
        <v>16</v>
      </c>
      <c r="B619" t="s">
        <v>29</v>
      </c>
      <c r="C619">
        <v>3</v>
      </c>
      <c r="D619">
        <v>2</v>
      </c>
      <c r="E619">
        <v>16</v>
      </c>
      <c r="F619">
        <v>10900</v>
      </c>
      <c r="G619">
        <v>3764</v>
      </c>
      <c r="H619">
        <v>0</v>
      </c>
      <c r="J619" t="str">
        <f>VLOOKUP(Table3[[#This Row],[Faction ID]],Table4[],2)</f>
        <v>Southern Enedwaith</v>
      </c>
    </row>
    <row r="620" spans="1:10" x14ac:dyDescent="0.25">
      <c r="A620">
        <v>16</v>
      </c>
      <c r="B620" t="s">
        <v>30</v>
      </c>
      <c r="C620">
        <v>5</v>
      </c>
      <c r="D620">
        <v>3</v>
      </c>
      <c r="E620">
        <v>29</v>
      </c>
      <c r="F620">
        <v>16201</v>
      </c>
      <c r="G620">
        <v>4513</v>
      </c>
      <c r="H620">
        <v>0</v>
      </c>
      <c r="J620" t="str">
        <f>VLOOKUP(Table3[[#This Row],[Faction ID]],Table4[],2)</f>
        <v>Druedain</v>
      </c>
    </row>
    <row r="621" spans="1:10" x14ac:dyDescent="0.25">
      <c r="A621">
        <v>16</v>
      </c>
      <c r="B621" t="s">
        <v>31</v>
      </c>
      <c r="C621">
        <v>4</v>
      </c>
      <c r="D621">
        <v>2</v>
      </c>
      <c r="E621">
        <v>17</v>
      </c>
      <c r="F621">
        <v>4590</v>
      </c>
      <c r="G621">
        <v>4357</v>
      </c>
      <c r="H621">
        <v>143</v>
      </c>
      <c r="J621" t="str">
        <f>VLOOKUP(Table3[[#This Row],[Faction ID]],Table4[],2)</f>
        <v>Harondor</v>
      </c>
    </row>
    <row r="622" spans="1:10" x14ac:dyDescent="0.25">
      <c r="A622">
        <v>16</v>
      </c>
      <c r="B622" t="s">
        <v>35</v>
      </c>
      <c r="C622">
        <v>0</v>
      </c>
      <c r="D622">
        <v>0</v>
      </c>
      <c r="E622">
        <v>0</v>
      </c>
      <c r="F622">
        <v>4000</v>
      </c>
      <c r="G622">
        <v>1750</v>
      </c>
      <c r="H622">
        <v>0</v>
      </c>
      <c r="J622" t="str">
        <f>VLOOKUP(Table3[[#This Row],[Faction ID]],Table4[],2)</f>
        <v>Southron Nomads</v>
      </c>
    </row>
    <row r="623" spans="1:10" x14ac:dyDescent="0.25">
      <c r="A623">
        <v>16</v>
      </c>
      <c r="B623" t="s">
        <v>36</v>
      </c>
      <c r="C623">
        <v>0</v>
      </c>
      <c r="D623">
        <v>0</v>
      </c>
      <c r="E623">
        <v>0</v>
      </c>
      <c r="F623">
        <v>4000</v>
      </c>
      <c r="G623">
        <v>1750</v>
      </c>
      <c r="H623">
        <v>0</v>
      </c>
      <c r="J623" t="str">
        <f>VLOOKUP(Table3[[#This Row],[Faction ID]],Table4[],2)</f>
        <v>_</v>
      </c>
    </row>
    <row r="624" spans="1:10" x14ac:dyDescent="0.25">
      <c r="A624">
        <v>16</v>
      </c>
      <c r="B624" t="s">
        <v>37</v>
      </c>
      <c r="C624">
        <v>0</v>
      </c>
      <c r="D624">
        <v>0</v>
      </c>
      <c r="E624">
        <v>0</v>
      </c>
      <c r="F624">
        <v>4000</v>
      </c>
      <c r="G624">
        <v>1750</v>
      </c>
      <c r="H624">
        <v>0</v>
      </c>
      <c r="J624" t="str">
        <f>VLOOKUP(Table3[[#This Row],[Faction ID]],Table4[],2)</f>
        <v>_</v>
      </c>
    </row>
    <row r="625" spans="1:10" x14ac:dyDescent="0.25">
      <c r="A625">
        <v>16</v>
      </c>
      <c r="B625" t="s">
        <v>38</v>
      </c>
      <c r="C625">
        <v>0</v>
      </c>
      <c r="D625">
        <v>0</v>
      </c>
      <c r="E625">
        <v>0</v>
      </c>
      <c r="F625">
        <v>4000</v>
      </c>
      <c r="G625">
        <v>1750</v>
      </c>
      <c r="H625">
        <v>0</v>
      </c>
      <c r="J625" t="str">
        <f>VLOOKUP(Table3[[#This Row],[Faction ID]],Table4[],2)</f>
        <v>_</v>
      </c>
    </row>
    <row r="626" spans="1:10" x14ac:dyDescent="0.25">
      <c r="A626">
        <v>16</v>
      </c>
      <c r="B626" t="s">
        <v>39</v>
      </c>
      <c r="C626">
        <v>0</v>
      </c>
      <c r="D626">
        <v>0</v>
      </c>
      <c r="E626">
        <v>0</v>
      </c>
      <c r="F626">
        <v>4000</v>
      </c>
      <c r="G626">
        <v>1750</v>
      </c>
      <c r="H626">
        <v>0</v>
      </c>
      <c r="J626" t="str">
        <f>VLOOKUP(Table3[[#This Row],[Faction ID]],Table4[],2)</f>
        <v>_</v>
      </c>
    </row>
    <row r="627" spans="1:10" x14ac:dyDescent="0.25">
      <c r="A627">
        <v>16</v>
      </c>
      <c r="B627" t="s">
        <v>40</v>
      </c>
      <c r="C627">
        <v>0</v>
      </c>
      <c r="D627">
        <v>0</v>
      </c>
      <c r="E627">
        <v>0</v>
      </c>
      <c r="F627">
        <v>4000</v>
      </c>
      <c r="G627">
        <v>1750</v>
      </c>
      <c r="H627">
        <v>0</v>
      </c>
      <c r="J627" t="str">
        <f>VLOOKUP(Table3[[#This Row],[Faction ID]],Table4[],2)</f>
        <v>_</v>
      </c>
    </row>
    <row r="628" spans="1:10" x14ac:dyDescent="0.25">
      <c r="A628">
        <v>16</v>
      </c>
      <c r="B628" t="s">
        <v>41</v>
      </c>
      <c r="C628">
        <v>0</v>
      </c>
      <c r="D628">
        <v>0</v>
      </c>
      <c r="E628">
        <v>0</v>
      </c>
      <c r="F628">
        <v>4000</v>
      </c>
      <c r="G628">
        <v>1750</v>
      </c>
      <c r="H628">
        <v>0</v>
      </c>
      <c r="J628" t="str">
        <f>VLOOKUP(Table3[[#This Row],[Faction ID]],Table4[],2)</f>
        <v>_</v>
      </c>
    </row>
    <row r="629" spans="1:10" x14ac:dyDescent="0.25">
      <c r="A629">
        <v>16</v>
      </c>
      <c r="B629" t="s">
        <v>42</v>
      </c>
      <c r="C629">
        <v>0</v>
      </c>
      <c r="D629">
        <v>0</v>
      </c>
      <c r="E629">
        <v>0</v>
      </c>
      <c r="F629">
        <v>4000</v>
      </c>
      <c r="G629">
        <v>1750</v>
      </c>
      <c r="H629">
        <v>0</v>
      </c>
      <c r="J629" t="str">
        <f>VLOOKUP(Table3[[#This Row],[Faction ID]],Table4[],2)</f>
        <v>_</v>
      </c>
    </row>
    <row r="630" spans="1:10" x14ac:dyDescent="0.25">
      <c r="A630">
        <v>16</v>
      </c>
      <c r="B630" t="s">
        <v>43</v>
      </c>
      <c r="C630">
        <v>0</v>
      </c>
      <c r="D630">
        <v>0</v>
      </c>
      <c r="E630">
        <v>0</v>
      </c>
      <c r="F630">
        <v>4000</v>
      </c>
      <c r="G630">
        <v>1750</v>
      </c>
      <c r="H630">
        <v>0</v>
      </c>
      <c r="J630" t="str">
        <f>VLOOKUP(Table3[[#This Row],[Faction ID]],Table4[],2)</f>
        <v>_</v>
      </c>
    </row>
    <row r="631" spans="1:10" x14ac:dyDescent="0.25">
      <c r="A631">
        <v>16</v>
      </c>
      <c r="B631" t="s">
        <v>44</v>
      </c>
      <c r="C631">
        <v>0</v>
      </c>
      <c r="D631">
        <v>0</v>
      </c>
      <c r="E631">
        <v>0</v>
      </c>
      <c r="F631">
        <v>4000</v>
      </c>
      <c r="G631">
        <v>1750</v>
      </c>
      <c r="H631">
        <v>0</v>
      </c>
      <c r="J631" t="str">
        <f>VLOOKUP(Table3[[#This Row],[Faction ID]],Table4[],2)</f>
        <v>_</v>
      </c>
    </row>
    <row r="632" spans="1:10" x14ac:dyDescent="0.25">
      <c r="A632">
        <v>17</v>
      </c>
      <c r="B632" t="s">
        <v>9</v>
      </c>
      <c r="C632">
        <v>68</v>
      </c>
      <c r="D632">
        <v>15</v>
      </c>
      <c r="E632">
        <v>137.6</v>
      </c>
      <c r="F632">
        <v>721</v>
      </c>
      <c r="G632">
        <v>14445</v>
      </c>
      <c r="H632">
        <v>601</v>
      </c>
      <c r="J632" t="str">
        <f>VLOOKUP(Table3[[#This Row],[Faction ID]],Table4[],2)</f>
        <v>Mordor</v>
      </c>
    </row>
    <row r="633" spans="1:10" x14ac:dyDescent="0.25">
      <c r="A633">
        <v>17</v>
      </c>
      <c r="B633" t="s">
        <v>4</v>
      </c>
      <c r="C633">
        <v>73</v>
      </c>
      <c r="D633">
        <v>15</v>
      </c>
      <c r="E633">
        <v>170</v>
      </c>
      <c r="F633">
        <v>26603</v>
      </c>
      <c r="G633">
        <v>19750</v>
      </c>
      <c r="H633">
        <v>641</v>
      </c>
      <c r="J633" t="str">
        <f>VLOOKUP(Table3[[#This Row],[Faction ID]],Table4[],2)</f>
        <v>Gondor</v>
      </c>
    </row>
    <row r="634" spans="1:10" x14ac:dyDescent="0.25">
      <c r="A634">
        <v>17</v>
      </c>
      <c r="B634" t="s">
        <v>6</v>
      </c>
      <c r="C634">
        <v>38</v>
      </c>
      <c r="D634">
        <v>9</v>
      </c>
      <c r="E634">
        <v>117</v>
      </c>
      <c r="F634">
        <v>9959</v>
      </c>
      <c r="G634">
        <v>13640</v>
      </c>
      <c r="H634">
        <v>225</v>
      </c>
      <c r="J634" t="str">
        <f>VLOOKUP(Table3[[#This Row],[Faction ID]],Table4[],2)</f>
        <v>Dale</v>
      </c>
    </row>
    <row r="635" spans="1:10" x14ac:dyDescent="0.25">
      <c r="A635">
        <v>17</v>
      </c>
      <c r="B635" t="s">
        <v>21</v>
      </c>
      <c r="C635">
        <v>45</v>
      </c>
      <c r="D635">
        <v>4</v>
      </c>
      <c r="E635">
        <v>65</v>
      </c>
      <c r="F635">
        <v>14907</v>
      </c>
      <c r="G635">
        <v>13327</v>
      </c>
      <c r="H635">
        <v>681</v>
      </c>
      <c r="J635" t="str">
        <f>VLOOKUP(Table3[[#This Row],[Faction ID]],Table4[],2)</f>
        <v>Erebor</v>
      </c>
    </row>
    <row r="636" spans="1:10" x14ac:dyDescent="0.25">
      <c r="A636">
        <v>17</v>
      </c>
      <c r="B636" t="s">
        <v>5</v>
      </c>
      <c r="C636">
        <v>43</v>
      </c>
      <c r="D636">
        <v>13</v>
      </c>
      <c r="E636">
        <v>96</v>
      </c>
      <c r="F636">
        <v>12167</v>
      </c>
      <c r="G636">
        <v>11400</v>
      </c>
      <c r="H636">
        <v>631</v>
      </c>
      <c r="J636" t="str">
        <f>VLOOKUP(Table3[[#This Row],[Faction ID]],Table4[],2)</f>
        <v>Rohan</v>
      </c>
    </row>
    <row r="637" spans="1:10" x14ac:dyDescent="0.25">
      <c r="A637">
        <v>17</v>
      </c>
      <c r="B637" t="s">
        <v>12</v>
      </c>
      <c r="C637">
        <v>58</v>
      </c>
      <c r="D637">
        <v>7</v>
      </c>
      <c r="E637">
        <v>118</v>
      </c>
      <c r="F637">
        <v>9652</v>
      </c>
      <c r="G637">
        <v>15486</v>
      </c>
      <c r="H637">
        <v>0</v>
      </c>
      <c r="J637" t="str">
        <f>VLOOKUP(Table3[[#This Row],[Faction ID]],Table4[],2)</f>
        <v>Dol Guldur</v>
      </c>
    </row>
    <row r="638" spans="1:10" x14ac:dyDescent="0.25">
      <c r="A638">
        <v>17</v>
      </c>
      <c r="B638" t="s">
        <v>10</v>
      </c>
      <c r="C638">
        <v>43</v>
      </c>
      <c r="D638">
        <v>9</v>
      </c>
      <c r="E638">
        <v>87</v>
      </c>
      <c r="F638">
        <v>5745</v>
      </c>
      <c r="G638">
        <v>9866</v>
      </c>
      <c r="H638">
        <v>0</v>
      </c>
      <c r="J638" t="str">
        <f>VLOOKUP(Table3[[#This Row],[Faction ID]],Table4[],2)</f>
        <v>Anduin Vale</v>
      </c>
    </row>
    <row r="639" spans="1:10" x14ac:dyDescent="0.25">
      <c r="A639">
        <v>17</v>
      </c>
      <c r="B639" t="s">
        <v>32</v>
      </c>
      <c r="C639">
        <v>39</v>
      </c>
      <c r="D639">
        <v>2</v>
      </c>
      <c r="E639">
        <v>40</v>
      </c>
      <c r="F639">
        <v>11909</v>
      </c>
      <c r="G639">
        <v>8040</v>
      </c>
      <c r="H639">
        <v>183</v>
      </c>
      <c r="J639" t="str">
        <f>VLOOKUP(Table3[[#This Row],[Faction ID]],Table4[],2)</f>
        <v>Isengard</v>
      </c>
    </row>
    <row r="640" spans="1:10" x14ac:dyDescent="0.25">
      <c r="A640">
        <v>17</v>
      </c>
      <c r="B640" t="s">
        <v>22</v>
      </c>
      <c r="C640">
        <v>29</v>
      </c>
      <c r="D640">
        <v>2</v>
      </c>
      <c r="E640">
        <v>36</v>
      </c>
      <c r="F640">
        <v>5092</v>
      </c>
      <c r="G640">
        <v>7691</v>
      </c>
      <c r="H640">
        <v>0</v>
      </c>
      <c r="J640" t="str">
        <f>VLOOKUP(Table3[[#This Row],[Faction ID]],Table4[],2)</f>
        <v>Woodland Realm</v>
      </c>
    </row>
    <row r="641" spans="1:10" x14ac:dyDescent="0.25">
      <c r="A641">
        <v>17</v>
      </c>
      <c r="B641" t="s">
        <v>23</v>
      </c>
      <c r="C641">
        <v>22</v>
      </c>
      <c r="D641">
        <v>2</v>
      </c>
      <c r="E641">
        <v>8</v>
      </c>
      <c r="F641">
        <v>9008</v>
      </c>
      <c r="G641">
        <v>4814</v>
      </c>
      <c r="H641">
        <v>0</v>
      </c>
      <c r="J641" t="str">
        <f>VLOOKUP(Table3[[#This Row],[Faction ID]],Table4[],2)</f>
        <v>Lothlorien</v>
      </c>
    </row>
    <row r="642" spans="1:10" x14ac:dyDescent="0.25">
      <c r="A642">
        <v>17</v>
      </c>
      <c r="B642" t="s">
        <v>24</v>
      </c>
      <c r="C642">
        <v>6</v>
      </c>
      <c r="D642">
        <v>4</v>
      </c>
      <c r="E642">
        <v>50</v>
      </c>
      <c r="F642">
        <v>4689</v>
      </c>
      <c r="G642">
        <v>7567</v>
      </c>
      <c r="H642">
        <v>248</v>
      </c>
      <c r="J642" t="str">
        <f>VLOOKUP(Table3[[#This Row],[Faction ID]],Table4[],2)</f>
        <v>Variags (Khand)</v>
      </c>
    </row>
    <row r="643" spans="1:10" x14ac:dyDescent="0.25">
      <c r="A643">
        <v>17</v>
      </c>
      <c r="B643" t="s">
        <v>14</v>
      </c>
      <c r="C643">
        <v>7</v>
      </c>
      <c r="D643">
        <v>5</v>
      </c>
      <c r="E643">
        <v>53</v>
      </c>
      <c r="F643">
        <v>7735</v>
      </c>
      <c r="G643">
        <v>8438</v>
      </c>
      <c r="H643">
        <v>0</v>
      </c>
      <c r="J643" t="str">
        <f>VLOOKUP(Table3[[#This Row],[Faction ID]],Table4[],2)</f>
        <v>Corsairs of Umbar</v>
      </c>
    </row>
    <row r="644" spans="1:10" x14ac:dyDescent="0.25">
      <c r="A644">
        <v>17</v>
      </c>
      <c r="B644" t="s">
        <v>25</v>
      </c>
      <c r="C644">
        <v>5</v>
      </c>
      <c r="D644">
        <v>3</v>
      </c>
      <c r="E644">
        <v>41</v>
      </c>
      <c r="F644">
        <v>11542</v>
      </c>
      <c r="G644">
        <v>5936</v>
      </c>
      <c r="H644">
        <v>0</v>
      </c>
      <c r="J644" t="str">
        <f>VLOOKUP(Table3[[#This Row],[Faction ID]],Table4[],2)</f>
        <v>Mahud</v>
      </c>
    </row>
    <row r="645" spans="1:10" x14ac:dyDescent="0.25">
      <c r="A645">
        <v>17</v>
      </c>
      <c r="B645" t="s">
        <v>11</v>
      </c>
      <c r="C645">
        <v>36</v>
      </c>
      <c r="D645">
        <v>5</v>
      </c>
      <c r="E645">
        <v>65</v>
      </c>
      <c r="F645">
        <v>14415</v>
      </c>
      <c r="G645">
        <v>9168</v>
      </c>
      <c r="H645">
        <v>0</v>
      </c>
      <c r="J645" t="str">
        <f>VLOOKUP(Table3[[#This Row],[Faction ID]],Table4[],2)</f>
        <v>Haradrim</v>
      </c>
    </row>
    <row r="646" spans="1:10" x14ac:dyDescent="0.25">
      <c r="A646">
        <v>17</v>
      </c>
      <c r="B646" t="s">
        <v>15</v>
      </c>
      <c r="C646">
        <v>39</v>
      </c>
      <c r="D646">
        <v>4</v>
      </c>
      <c r="E646">
        <v>58</v>
      </c>
      <c r="F646">
        <v>10208</v>
      </c>
      <c r="G646">
        <v>10153</v>
      </c>
      <c r="H646">
        <v>516</v>
      </c>
      <c r="J646" t="str">
        <f>VLOOKUP(Table3[[#This Row],[Faction ID]],Table4[],2)</f>
        <v>Dunlendings</v>
      </c>
    </row>
    <row r="647" spans="1:10" x14ac:dyDescent="0.25">
      <c r="A647">
        <v>17</v>
      </c>
      <c r="B647" t="s">
        <v>16</v>
      </c>
      <c r="C647">
        <v>0</v>
      </c>
      <c r="D647">
        <v>0</v>
      </c>
      <c r="E647">
        <v>0</v>
      </c>
      <c r="F647">
        <v>5352</v>
      </c>
      <c r="G647">
        <v>1750</v>
      </c>
      <c r="H647">
        <v>0</v>
      </c>
      <c r="J647" t="str">
        <f>VLOOKUP(Table3[[#This Row],[Faction ID]],Table4[],2)</f>
        <v>Haerrim</v>
      </c>
    </row>
    <row r="648" spans="1:10" x14ac:dyDescent="0.25">
      <c r="A648">
        <v>17</v>
      </c>
      <c r="B648" t="s">
        <v>13</v>
      </c>
      <c r="C648">
        <v>52</v>
      </c>
      <c r="D648">
        <v>9</v>
      </c>
      <c r="E648">
        <v>123.9</v>
      </c>
      <c r="F648">
        <v>9514</v>
      </c>
      <c r="G648">
        <v>15349</v>
      </c>
      <c r="H648">
        <v>930</v>
      </c>
      <c r="J648" t="str">
        <f>VLOOKUP(Table3[[#This Row],[Faction ID]],Table4[],2)</f>
        <v>Goblins</v>
      </c>
    </row>
    <row r="649" spans="1:10" x14ac:dyDescent="0.25">
      <c r="A649">
        <v>17</v>
      </c>
      <c r="B649" t="s">
        <v>17</v>
      </c>
      <c r="C649">
        <v>0</v>
      </c>
      <c r="D649">
        <v>0</v>
      </c>
      <c r="E649">
        <v>0</v>
      </c>
      <c r="F649">
        <v>4872</v>
      </c>
      <c r="G649">
        <v>1750</v>
      </c>
      <c r="H649">
        <v>0</v>
      </c>
      <c r="J649" t="str">
        <f>VLOOKUP(Table3[[#This Row],[Faction ID]],Table4[],2)</f>
        <v>Balchoth</v>
      </c>
    </row>
    <row r="650" spans="1:10" x14ac:dyDescent="0.25">
      <c r="A650">
        <v>17</v>
      </c>
      <c r="B650" t="s">
        <v>18</v>
      </c>
      <c r="C650">
        <v>52</v>
      </c>
      <c r="D650">
        <v>18</v>
      </c>
      <c r="E650">
        <v>195.2</v>
      </c>
      <c r="F650">
        <v>16990</v>
      </c>
      <c r="G650">
        <v>20108</v>
      </c>
      <c r="H650">
        <v>269</v>
      </c>
      <c r="J650" t="str">
        <f>VLOOKUP(Table3[[#This Row],[Faction ID]],Table4[],2)</f>
        <v>Rhurim/Rhun</v>
      </c>
    </row>
    <row r="651" spans="1:10" x14ac:dyDescent="0.25">
      <c r="A651">
        <v>17</v>
      </c>
      <c r="B651" t="s">
        <v>19</v>
      </c>
      <c r="C651">
        <v>8</v>
      </c>
      <c r="D651">
        <v>6</v>
      </c>
      <c r="E651">
        <v>63</v>
      </c>
      <c r="F651">
        <v>5380</v>
      </c>
      <c r="G651">
        <v>6692</v>
      </c>
      <c r="H651">
        <v>0</v>
      </c>
      <c r="J651" t="str">
        <f>VLOOKUP(Table3[[#This Row],[Faction ID]],Table4[],2)</f>
        <v>Feredrim</v>
      </c>
    </row>
    <row r="652" spans="1:10" x14ac:dyDescent="0.25">
      <c r="A652">
        <v>17</v>
      </c>
      <c r="B652" t="s">
        <v>26</v>
      </c>
      <c r="C652">
        <v>0</v>
      </c>
      <c r="D652">
        <v>0</v>
      </c>
      <c r="E652">
        <v>0</v>
      </c>
      <c r="F652">
        <v>6395</v>
      </c>
      <c r="G652">
        <v>3781</v>
      </c>
      <c r="H652">
        <v>0</v>
      </c>
      <c r="J652" t="str">
        <f>VLOOKUP(Table3[[#This Row],[Faction ID]],Table4[],2)</f>
        <v>Rachrohir (Wainriders)</v>
      </c>
    </row>
    <row r="653" spans="1:10" x14ac:dyDescent="0.25">
      <c r="A653">
        <v>17</v>
      </c>
      <c r="B653" t="s">
        <v>27</v>
      </c>
      <c r="C653">
        <v>5</v>
      </c>
      <c r="D653">
        <v>3</v>
      </c>
      <c r="E653">
        <v>35</v>
      </c>
      <c r="F653">
        <v>15422</v>
      </c>
      <c r="G653">
        <v>6486</v>
      </c>
      <c r="H653">
        <v>0</v>
      </c>
      <c r="J653" t="str">
        <f>VLOOKUP(Table3[[#This Row],[Faction ID]],Table4[],2)</f>
        <v>Blacklock-Stonefoot League</v>
      </c>
    </row>
    <row r="654" spans="1:10" x14ac:dyDescent="0.25">
      <c r="A654">
        <v>17</v>
      </c>
      <c r="B654" t="s">
        <v>28</v>
      </c>
      <c r="C654">
        <v>4</v>
      </c>
      <c r="D654">
        <v>2</v>
      </c>
      <c r="E654">
        <v>26</v>
      </c>
      <c r="F654">
        <v>17080</v>
      </c>
      <c r="G654">
        <v>4758</v>
      </c>
      <c r="H654">
        <v>0</v>
      </c>
      <c r="J654" t="str">
        <f>VLOOKUP(Table3[[#This Row],[Faction ID]],Table4[],2)</f>
        <v>Ironfist-Stiffbeard Union</v>
      </c>
    </row>
    <row r="655" spans="1:10" x14ac:dyDescent="0.25">
      <c r="A655">
        <v>17</v>
      </c>
      <c r="B655" t="s">
        <v>20</v>
      </c>
      <c r="C655">
        <v>44</v>
      </c>
      <c r="D655">
        <v>6</v>
      </c>
      <c r="E655">
        <v>100</v>
      </c>
      <c r="F655">
        <v>8527</v>
      </c>
      <c r="G655">
        <v>12565</v>
      </c>
      <c r="H655">
        <v>0</v>
      </c>
      <c r="J655" t="str">
        <f>VLOOKUP(Table3[[#This Row],[Faction ID]],Table4[],2)</f>
        <v>Gundabad</v>
      </c>
    </row>
    <row r="656" spans="1:10" x14ac:dyDescent="0.25">
      <c r="A656">
        <v>17</v>
      </c>
      <c r="B656" t="s">
        <v>34</v>
      </c>
      <c r="C656">
        <v>0</v>
      </c>
      <c r="D656">
        <v>0</v>
      </c>
      <c r="E656">
        <v>3</v>
      </c>
      <c r="F656">
        <v>21936</v>
      </c>
      <c r="G656">
        <v>2379</v>
      </c>
      <c r="H656">
        <v>0</v>
      </c>
      <c r="J656" t="str">
        <f>VLOOKUP(Table3[[#This Row],[Faction ID]],Table4[],2)</f>
        <v>Scouts of Rohan</v>
      </c>
    </row>
    <row r="657" spans="1:10" x14ac:dyDescent="0.25">
      <c r="A657">
        <v>17</v>
      </c>
      <c r="B657" t="s">
        <v>33</v>
      </c>
      <c r="C657">
        <v>5</v>
      </c>
      <c r="D657">
        <v>3</v>
      </c>
      <c r="E657">
        <v>28</v>
      </c>
      <c r="F657">
        <v>7272</v>
      </c>
      <c r="G657">
        <v>4398</v>
      </c>
      <c r="H657">
        <v>0</v>
      </c>
      <c r="J657" t="str">
        <f>VLOOKUP(Table3[[#This Row],[Faction ID]],Table4[],2)</f>
        <v>Northern Enedwaith</v>
      </c>
    </row>
    <row r="658" spans="1:10" x14ac:dyDescent="0.25">
      <c r="A658">
        <v>17</v>
      </c>
      <c r="B658" t="s">
        <v>29</v>
      </c>
      <c r="C658">
        <v>3</v>
      </c>
      <c r="D658">
        <v>2</v>
      </c>
      <c r="E658">
        <v>17</v>
      </c>
      <c r="F658">
        <v>12189</v>
      </c>
      <c r="G658">
        <v>3820</v>
      </c>
      <c r="H658">
        <v>0</v>
      </c>
      <c r="J658" t="str">
        <f>VLOOKUP(Table3[[#This Row],[Faction ID]],Table4[],2)</f>
        <v>Southern Enedwaith</v>
      </c>
    </row>
    <row r="659" spans="1:10" x14ac:dyDescent="0.25">
      <c r="A659">
        <v>17</v>
      </c>
      <c r="B659" t="s">
        <v>30</v>
      </c>
      <c r="C659">
        <v>5</v>
      </c>
      <c r="D659">
        <v>3</v>
      </c>
      <c r="E659">
        <v>29</v>
      </c>
      <c r="F659">
        <v>17854</v>
      </c>
      <c r="G659">
        <v>4616</v>
      </c>
      <c r="H659">
        <v>0</v>
      </c>
      <c r="J659" t="str">
        <f>VLOOKUP(Table3[[#This Row],[Faction ID]],Table4[],2)</f>
        <v>Druedain</v>
      </c>
    </row>
    <row r="660" spans="1:10" x14ac:dyDescent="0.25">
      <c r="A660">
        <v>17</v>
      </c>
      <c r="B660" t="s">
        <v>31</v>
      </c>
      <c r="C660">
        <v>4</v>
      </c>
      <c r="D660">
        <v>2</v>
      </c>
      <c r="E660">
        <v>18</v>
      </c>
      <c r="F660">
        <v>6242</v>
      </c>
      <c r="G660">
        <v>4285</v>
      </c>
      <c r="H660">
        <v>143</v>
      </c>
      <c r="J660" t="str">
        <f>VLOOKUP(Table3[[#This Row],[Faction ID]],Table4[],2)</f>
        <v>Harondor</v>
      </c>
    </row>
    <row r="661" spans="1:10" x14ac:dyDescent="0.25">
      <c r="A661">
        <v>17</v>
      </c>
      <c r="B661" t="s">
        <v>35</v>
      </c>
      <c r="C661">
        <v>0</v>
      </c>
      <c r="D661">
        <v>0</v>
      </c>
      <c r="E661">
        <v>0</v>
      </c>
      <c r="F661">
        <v>4000</v>
      </c>
      <c r="G661">
        <v>1750</v>
      </c>
      <c r="H661">
        <v>0</v>
      </c>
      <c r="J661" t="str">
        <f>VLOOKUP(Table3[[#This Row],[Faction ID]],Table4[],2)</f>
        <v>Southron Nomads</v>
      </c>
    </row>
    <row r="662" spans="1:10" x14ac:dyDescent="0.25">
      <c r="A662">
        <v>17</v>
      </c>
      <c r="B662" t="s">
        <v>36</v>
      </c>
      <c r="C662">
        <v>0</v>
      </c>
      <c r="D662">
        <v>0</v>
      </c>
      <c r="E662">
        <v>0</v>
      </c>
      <c r="F662">
        <v>4000</v>
      </c>
      <c r="G662">
        <v>1750</v>
      </c>
      <c r="H662">
        <v>0</v>
      </c>
      <c r="J662" t="str">
        <f>VLOOKUP(Table3[[#This Row],[Faction ID]],Table4[],2)</f>
        <v>_</v>
      </c>
    </row>
    <row r="663" spans="1:10" x14ac:dyDescent="0.25">
      <c r="A663">
        <v>17</v>
      </c>
      <c r="B663" t="s">
        <v>37</v>
      </c>
      <c r="C663">
        <v>0</v>
      </c>
      <c r="D663">
        <v>0</v>
      </c>
      <c r="E663">
        <v>0</v>
      </c>
      <c r="F663">
        <v>4000</v>
      </c>
      <c r="G663">
        <v>1750</v>
      </c>
      <c r="H663">
        <v>0</v>
      </c>
      <c r="J663" t="str">
        <f>VLOOKUP(Table3[[#This Row],[Faction ID]],Table4[],2)</f>
        <v>_</v>
      </c>
    </row>
    <row r="664" spans="1:10" x14ac:dyDescent="0.25">
      <c r="A664">
        <v>17</v>
      </c>
      <c r="B664" t="s">
        <v>38</v>
      </c>
      <c r="C664">
        <v>0</v>
      </c>
      <c r="D664">
        <v>0</v>
      </c>
      <c r="E664">
        <v>0</v>
      </c>
      <c r="F664">
        <v>4000</v>
      </c>
      <c r="G664">
        <v>1750</v>
      </c>
      <c r="H664">
        <v>0</v>
      </c>
      <c r="J664" t="str">
        <f>VLOOKUP(Table3[[#This Row],[Faction ID]],Table4[],2)</f>
        <v>_</v>
      </c>
    </row>
    <row r="665" spans="1:10" x14ac:dyDescent="0.25">
      <c r="A665">
        <v>17</v>
      </c>
      <c r="B665" t="s">
        <v>39</v>
      </c>
      <c r="C665">
        <v>0</v>
      </c>
      <c r="D665">
        <v>0</v>
      </c>
      <c r="E665">
        <v>0</v>
      </c>
      <c r="F665">
        <v>4000</v>
      </c>
      <c r="G665">
        <v>1750</v>
      </c>
      <c r="H665">
        <v>0</v>
      </c>
      <c r="J665" t="str">
        <f>VLOOKUP(Table3[[#This Row],[Faction ID]],Table4[],2)</f>
        <v>_</v>
      </c>
    </row>
    <row r="666" spans="1:10" x14ac:dyDescent="0.25">
      <c r="A666">
        <v>17</v>
      </c>
      <c r="B666" t="s">
        <v>40</v>
      </c>
      <c r="C666">
        <v>0</v>
      </c>
      <c r="D666">
        <v>0</v>
      </c>
      <c r="E666">
        <v>0</v>
      </c>
      <c r="F666">
        <v>4000</v>
      </c>
      <c r="G666">
        <v>1750</v>
      </c>
      <c r="H666">
        <v>0</v>
      </c>
      <c r="J666" t="str">
        <f>VLOOKUP(Table3[[#This Row],[Faction ID]],Table4[],2)</f>
        <v>_</v>
      </c>
    </row>
    <row r="667" spans="1:10" x14ac:dyDescent="0.25">
      <c r="A667">
        <v>17</v>
      </c>
      <c r="B667" t="s">
        <v>41</v>
      </c>
      <c r="C667">
        <v>0</v>
      </c>
      <c r="D667">
        <v>0</v>
      </c>
      <c r="E667">
        <v>0</v>
      </c>
      <c r="F667">
        <v>4000</v>
      </c>
      <c r="G667">
        <v>1750</v>
      </c>
      <c r="H667">
        <v>0</v>
      </c>
      <c r="J667" t="str">
        <f>VLOOKUP(Table3[[#This Row],[Faction ID]],Table4[],2)</f>
        <v>_</v>
      </c>
    </row>
    <row r="668" spans="1:10" x14ac:dyDescent="0.25">
      <c r="A668">
        <v>17</v>
      </c>
      <c r="B668" t="s">
        <v>42</v>
      </c>
      <c r="C668">
        <v>0</v>
      </c>
      <c r="D668">
        <v>0</v>
      </c>
      <c r="E668">
        <v>0</v>
      </c>
      <c r="F668">
        <v>4000</v>
      </c>
      <c r="G668">
        <v>1750</v>
      </c>
      <c r="H668">
        <v>0</v>
      </c>
      <c r="J668" t="str">
        <f>VLOOKUP(Table3[[#This Row],[Faction ID]],Table4[],2)</f>
        <v>_</v>
      </c>
    </row>
    <row r="669" spans="1:10" x14ac:dyDescent="0.25">
      <c r="A669">
        <v>17</v>
      </c>
      <c r="B669" t="s">
        <v>43</v>
      </c>
      <c r="C669">
        <v>0</v>
      </c>
      <c r="D669">
        <v>0</v>
      </c>
      <c r="E669">
        <v>0</v>
      </c>
      <c r="F669">
        <v>4000</v>
      </c>
      <c r="G669">
        <v>1750</v>
      </c>
      <c r="H669">
        <v>0</v>
      </c>
      <c r="J669" t="str">
        <f>VLOOKUP(Table3[[#This Row],[Faction ID]],Table4[],2)</f>
        <v>_</v>
      </c>
    </row>
    <row r="670" spans="1:10" x14ac:dyDescent="0.25">
      <c r="A670">
        <v>17</v>
      </c>
      <c r="B670" t="s">
        <v>44</v>
      </c>
      <c r="C670">
        <v>0</v>
      </c>
      <c r="D670">
        <v>0</v>
      </c>
      <c r="E670">
        <v>0</v>
      </c>
      <c r="F670">
        <v>4000</v>
      </c>
      <c r="G670">
        <v>1750</v>
      </c>
      <c r="H670">
        <v>0</v>
      </c>
      <c r="J670" t="str">
        <f>VLOOKUP(Table3[[#This Row],[Faction ID]],Table4[],2)</f>
        <v>_</v>
      </c>
    </row>
    <row r="671" spans="1:10" x14ac:dyDescent="0.25">
      <c r="A671">
        <v>18</v>
      </c>
      <c r="B671" t="s">
        <v>9</v>
      </c>
      <c r="C671">
        <v>68</v>
      </c>
      <c r="D671">
        <v>15</v>
      </c>
      <c r="E671">
        <v>137.6</v>
      </c>
      <c r="F671">
        <v>945</v>
      </c>
      <c r="G671">
        <v>14446</v>
      </c>
      <c r="H671">
        <v>602</v>
      </c>
      <c r="J671" t="str">
        <f>VLOOKUP(Table3[[#This Row],[Faction ID]],Table4[],2)</f>
        <v>Mordor</v>
      </c>
    </row>
    <row r="672" spans="1:10" x14ac:dyDescent="0.25">
      <c r="A672">
        <v>18</v>
      </c>
      <c r="B672" t="s">
        <v>4</v>
      </c>
      <c r="C672">
        <v>73</v>
      </c>
      <c r="D672">
        <v>15</v>
      </c>
      <c r="E672">
        <v>164</v>
      </c>
      <c r="F672">
        <v>27861</v>
      </c>
      <c r="G672">
        <v>19021</v>
      </c>
      <c r="H672">
        <v>639</v>
      </c>
      <c r="J672" t="str">
        <f>VLOOKUP(Table3[[#This Row],[Faction ID]],Table4[],2)</f>
        <v>Gondor</v>
      </c>
    </row>
    <row r="673" spans="1:10" x14ac:dyDescent="0.25">
      <c r="A673">
        <v>18</v>
      </c>
      <c r="B673" t="s">
        <v>6</v>
      </c>
      <c r="C673">
        <v>43</v>
      </c>
      <c r="D673">
        <v>9</v>
      </c>
      <c r="E673">
        <v>105</v>
      </c>
      <c r="F673">
        <v>11951</v>
      </c>
      <c r="G673">
        <v>13303</v>
      </c>
      <c r="H673">
        <v>224</v>
      </c>
      <c r="J673" t="str">
        <f>VLOOKUP(Table3[[#This Row],[Faction ID]],Table4[],2)</f>
        <v>Dale</v>
      </c>
    </row>
    <row r="674" spans="1:10" x14ac:dyDescent="0.25">
      <c r="A674">
        <v>18</v>
      </c>
      <c r="B674" t="s">
        <v>21</v>
      </c>
      <c r="C674">
        <v>50</v>
      </c>
      <c r="D674">
        <v>4</v>
      </c>
      <c r="E674">
        <v>65</v>
      </c>
      <c r="F674">
        <v>15439</v>
      </c>
      <c r="G674">
        <v>13505</v>
      </c>
      <c r="H674">
        <v>681</v>
      </c>
      <c r="J674" t="str">
        <f>VLOOKUP(Table3[[#This Row],[Faction ID]],Table4[],2)</f>
        <v>Erebor</v>
      </c>
    </row>
    <row r="675" spans="1:10" x14ac:dyDescent="0.25">
      <c r="A675">
        <v>18</v>
      </c>
      <c r="B675" t="s">
        <v>5</v>
      </c>
      <c r="C675">
        <v>46</v>
      </c>
      <c r="D675">
        <v>12</v>
      </c>
      <c r="E675">
        <v>87</v>
      </c>
      <c r="F675">
        <v>13902</v>
      </c>
      <c r="G675">
        <v>10935</v>
      </c>
      <c r="H675">
        <v>229</v>
      </c>
      <c r="J675" t="str">
        <f>VLOOKUP(Table3[[#This Row],[Faction ID]],Table4[],2)</f>
        <v>Rohan</v>
      </c>
    </row>
    <row r="676" spans="1:10" x14ac:dyDescent="0.25">
      <c r="A676">
        <v>18</v>
      </c>
      <c r="B676" t="s">
        <v>12</v>
      </c>
      <c r="C676">
        <v>58</v>
      </c>
      <c r="D676">
        <v>7</v>
      </c>
      <c r="E676">
        <v>118</v>
      </c>
      <c r="F676">
        <v>14022</v>
      </c>
      <c r="G676">
        <v>15178</v>
      </c>
      <c r="H676">
        <v>0</v>
      </c>
      <c r="J676" t="str">
        <f>VLOOKUP(Table3[[#This Row],[Faction ID]],Table4[],2)</f>
        <v>Dol Guldur</v>
      </c>
    </row>
    <row r="677" spans="1:10" x14ac:dyDescent="0.25">
      <c r="A677">
        <v>18</v>
      </c>
      <c r="B677" t="s">
        <v>10</v>
      </c>
      <c r="C677">
        <v>42</v>
      </c>
      <c r="D677">
        <v>8</v>
      </c>
      <c r="E677">
        <v>87</v>
      </c>
      <c r="F677">
        <v>6646</v>
      </c>
      <c r="G677">
        <v>9139</v>
      </c>
      <c r="H677">
        <v>0</v>
      </c>
      <c r="J677" t="str">
        <f>VLOOKUP(Table3[[#This Row],[Faction ID]],Table4[],2)</f>
        <v>Anduin Vale</v>
      </c>
    </row>
    <row r="678" spans="1:10" x14ac:dyDescent="0.25">
      <c r="A678">
        <v>18</v>
      </c>
      <c r="B678" t="s">
        <v>32</v>
      </c>
      <c r="C678">
        <v>46</v>
      </c>
      <c r="D678">
        <v>3</v>
      </c>
      <c r="E678">
        <v>40.799999999999997</v>
      </c>
      <c r="F678">
        <v>14377</v>
      </c>
      <c r="G678">
        <v>8782</v>
      </c>
      <c r="H678">
        <v>388</v>
      </c>
      <c r="J678" t="str">
        <f>VLOOKUP(Table3[[#This Row],[Faction ID]],Table4[],2)</f>
        <v>Isengard</v>
      </c>
    </row>
    <row r="679" spans="1:10" x14ac:dyDescent="0.25">
      <c r="A679">
        <v>18</v>
      </c>
      <c r="B679" t="s">
        <v>22</v>
      </c>
      <c r="C679">
        <v>29</v>
      </c>
      <c r="D679">
        <v>2</v>
      </c>
      <c r="E679">
        <v>35</v>
      </c>
      <c r="F679">
        <v>5233</v>
      </c>
      <c r="G679">
        <v>7155</v>
      </c>
      <c r="H679">
        <v>0</v>
      </c>
      <c r="J679" t="str">
        <f>VLOOKUP(Table3[[#This Row],[Faction ID]],Table4[],2)</f>
        <v>Woodland Realm</v>
      </c>
    </row>
    <row r="680" spans="1:10" x14ac:dyDescent="0.25">
      <c r="A680">
        <v>18</v>
      </c>
      <c r="B680" t="s">
        <v>23</v>
      </c>
      <c r="C680">
        <v>30</v>
      </c>
      <c r="D680">
        <v>3</v>
      </c>
      <c r="E680">
        <v>15</v>
      </c>
      <c r="F680">
        <v>10158</v>
      </c>
      <c r="G680">
        <v>5345</v>
      </c>
      <c r="H680">
        <v>0</v>
      </c>
      <c r="J680" t="str">
        <f>VLOOKUP(Table3[[#This Row],[Faction ID]],Table4[],2)</f>
        <v>Lothlorien</v>
      </c>
    </row>
    <row r="681" spans="1:10" x14ac:dyDescent="0.25">
      <c r="A681">
        <v>18</v>
      </c>
      <c r="B681" t="s">
        <v>24</v>
      </c>
      <c r="C681">
        <v>6</v>
      </c>
      <c r="D681">
        <v>4</v>
      </c>
      <c r="E681">
        <v>50</v>
      </c>
      <c r="F681">
        <v>6175</v>
      </c>
      <c r="G681">
        <v>7460</v>
      </c>
      <c r="H681">
        <v>248</v>
      </c>
      <c r="J681" t="str">
        <f>VLOOKUP(Table3[[#This Row],[Faction ID]],Table4[],2)</f>
        <v>Variags (Khand)</v>
      </c>
    </row>
    <row r="682" spans="1:10" x14ac:dyDescent="0.25">
      <c r="A682">
        <v>18</v>
      </c>
      <c r="B682" t="s">
        <v>14</v>
      </c>
      <c r="C682">
        <v>7</v>
      </c>
      <c r="D682">
        <v>5</v>
      </c>
      <c r="E682">
        <v>52</v>
      </c>
      <c r="F682">
        <v>8729</v>
      </c>
      <c r="G682">
        <v>8629</v>
      </c>
      <c r="H682">
        <v>0</v>
      </c>
      <c r="J682" t="str">
        <f>VLOOKUP(Table3[[#This Row],[Faction ID]],Table4[],2)</f>
        <v>Corsairs of Umbar</v>
      </c>
    </row>
    <row r="683" spans="1:10" x14ac:dyDescent="0.25">
      <c r="A683">
        <v>18</v>
      </c>
      <c r="B683" t="s">
        <v>25</v>
      </c>
      <c r="C683">
        <v>5</v>
      </c>
      <c r="D683">
        <v>3</v>
      </c>
      <c r="E683">
        <v>41</v>
      </c>
      <c r="F683">
        <v>11056</v>
      </c>
      <c r="G683">
        <v>5936</v>
      </c>
      <c r="H683">
        <v>0</v>
      </c>
      <c r="J683" t="str">
        <f>VLOOKUP(Table3[[#This Row],[Faction ID]],Table4[],2)</f>
        <v>Mahud</v>
      </c>
    </row>
    <row r="684" spans="1:10" x14ac:dyDescent="0.25">
      <c r="A684">
        <v>18</v>
      </c>
      <c r="B684" t="s">
        <v>11</v>
      </c>
      <c r="C684">
        <v>41</v>
      </c>
      <c r="D684">
        <v>5</v>
      </c>
      <c r="E684">
        <v>68</v>
      </c>
      <c r="F684">
        <v>12925</v>
      </c>
      <c r="G684">
        <v>9322</v>
      </c>
      <c r="H684">
        <v>0</v>
      </c>
      <c r="J684" t="str">
        <f>VLOOKUP(Table3[[#This Row],[Faction ID]],Table4[],2)</f>
        <v>Haradrim</v>
      </c>
    </row>
    <row r="685" spans="1:10" x14ac:dyDescent="0.25">
      <c r="A685">
        <v>18</v>
      </c>
      <c r="B685" t="s">
        <v>15</v>
      </c>
      <c r="C685">
        <v>39</v>
      </c>
      <c r="D685">
        <v>4</v>
      </c>
      <c r="E685">
        <v>58</v>
      </c>
      <c r="F685">
        <v>10313</v>
      </c>
      <c r="G685">
        <v>10048</v>
      </c>
      <c r="H685">
        <v>518</v>
      </c>
      <c r="J685" t="str">
        <f>VLOOKUP(Table3[[#This Row],[Faction ID]],Table4[],2)</f>
        <v>Dunlendings</v>
      </c>
    </row>
    <row r="686" spans="1:10" x14ac:dyDescent="0.25">
      <c r="A686">
        <v>18</v>
      </c>
      <c r="B686" t="s">
        <v>16</v>
      </c>
      <c r="C686">
        <v>0</v>
      </c>
      <c r="D686">
        <v>0</v>
      </c>
      <c r="E686">
        <v>0</v>
      </c>
      <c r="F686">
        <v>5352</v>
      </c>
      <c r="G686">
        <v>1750</v>
      </c>
      <c r="H686">
        <v>0</v>
      </c>
      <c r="J686" t="str">
        <f>VLOOKUP(Table3[[#This Row],[Faction ID]],Table4[],2)</f>
        <v>Haerrim</v>
      </c>
    </row>
    <row r="687" spans="1:10" x14ac:dyDescent="0.25">
      <c r="A687">
        <v>18</v>
      </c>
      <c r="B687" t="s">
        <v>13</v>
      </c>
      <c r="C687">
        <v>70</v>
      </c>
      <c r="D687">
        <v>8</v>
      </c>
      <c r="E687">
        <v>124.9</v>
      </c>
      <c r="F687">
        <v>9903</v>
      </c>
      <c r="G687">
        <v>14805</v>
      </c>
      <c r="H687">
        <v>811</v>
      </c>
      <c r="J687" t="str">
        <f>VLOOKUP(Table3[[#This Row],[Faction ID]],Table4[],2)</f>
        <v>Goblins</v>
      </c>
    </row>
    <row r="688" spans="1:10" x14ac:dyDescent="0.25">
      <c r="A688">
        <v>18</v>
      </c>
      <c r="B688" t="s">
        <v>17</v>
      </c>
      <c r="C688">
        <v>0</v>
      </c>
      <c r="D688">
        <v>0</v>
      </c>
      <c r="E688">
        <v>0</v>
      </c>
      <c r="F688">
        <v>4872</v>
      </c>
      <c r="G688">
        <v>1750</v>
      </c>
      <c r="H688">
        <v>0</v>
      </c>
      <c r="J688" t="str">
        <f>VLOOKUP(Table3[[#This Row],[Faction ID]],Table4[],2)</f>
        <v>Balchoth</v>
      </c>
    </row>
    <row r="689" spans="1:10" x14ac:dyDescent="0.25">
      <c r="A689">
        <v>18</v>
      </c>
      <c r="B689" t="s">
        <v>18</v>
      </c>
      <c r="C689">
        <v>61</v>
      </c>
      <c r="D689">
        <v>18</v>
      </c>
      <c r="E689">
        <v>188.5</v>
      </c>
      <c r="F689">
        <v>19182</v>
      </c>
      <c r="G689">
        <v>19088</v>
      </c>
      <c r="H689">
        <v>269</v>
      </c>
      <c r="J689" t="str">
        <f>VLOOKUP(Table3[[#This Row],[Faction ID]],Table4[],2)</f>
        <v>Rhurim/Rhun</v>
      </c>
    </row>
    <row r="690" spans="1:10" x14ac:dyDescent="0.25">
      <c r="A690">
        <v>18</v>
      </c>
      <c r="B690" t="s">
        <v>19</v>
      </c>
      <c r="C690">
        <v>8</v>
      </c>
      <c r="D690">
        <v>6</v>
      </c>
      <c r="E690">
        <v>58</v>
      </c>
      <c r="F690">
        <v>7360</v>
      </c>
      <c r="G690">
        <v>6575</v>
      </c>
      <c r="H690">
        <v>0</v>
      </c>
      <c r="J690" t="str">
        <f>VLOOKUP(Table3[[#This Row],[Faction ID]],Table4[],2)</f>
        <v>Feredrim</v>
      </c>
    </row>
    <row r="691" spans="1:10" x14ac:dyDescent="0.25">
      <c r="A691">
        <v>18</v>
      </c>
      <c r="B691" t="s">
        <v>26</v>
      </c>
      <c r="C691">
        <v>0</v>
      </c>
      <c r="D691">
        <v>0</v>
      </c>
      <c r="E691">
        <v>0</v>
      </c>
      <c r="F691">
        <v>6395</v>
      </c>
      <c r="G691">
        <v>1750</v>
      </c>
      <c r="H691">
        <v>0</v>
      </c>
      <c r="J691" t="str">
        <f>VLOOKUP(Table3[[#This Row],[Faction ID]],Table4[],2)</f>
        <v>Rachrohir (Wainriders)</v>
      </c>
    </row>
    <row r="692" spans="1:10" x14ac:dyDescent="0.25">
      <c r="A692">
        <v>18</v>
      </c>
      <c r="B692" t="s">
        <v>27</v>
      </c>
      <c r="C692">
        <v>5</v>
      </c>
      <c r="D692">
        <v>3</v>
      </c>
      <c r="E692">
        <v>35</v>
      </c>
      <c r="F692">
        <v>17738</v>
      </c>
      <c r="G692">
        <v>6486</v>
      </c>
      <c r="H692">
        <v>0</v>
      </c>
      <c r="J692" t="str">
        <f>VLOOKUP(Table3[[#This Row],[Faction ID]],Table4[],2)</f>
        <v>Blacklock-Stonefoot League</v>
      </c>
    </row>
    <row r="693" spans="1:10" x14ac:dyDescent="0.25">
      <c r="A693">
        <v>18</v>
      </c>
      <c r="B693" t="s">
        <v>28</v>
      </c>
      <c r="C693">
        <v>4</v>
      </c>
      <c r="D693">
        <v>2</v>
      </c>
      <c r="E693">
        <v>26</v>
      </c>
      <c r="F693">
        <v>18768</v>
      </c>
      <c r="G693">
        <v>4758</v>
      </c>
      <c r="H693">
        <v>0</v>
      </c>
      <c r="J693" t="str">
        <f>VLOOKUP(Table3[[#This Row],[Faction ID]],Table4[],2)</f>
        <v>Ironfist-Stiffbeard Union</v>
      </c>
    </row>
    <row r="694" spans="1:10" x14ac:dyDescent="0.25">
      <c r="A694">
        <v>18</v>
      </c>
      <c r="B694" t="s">
        <v>20</v>
      </c>
      <c r="C694">
        <v>50</v>
      </c>
      <c r="D694">
        <v>7</v>
      </c>
      <c r="E694">
        <v>103</v>
      </c>
      <c r="F694">
        <v>5979</v>
      </c>
      <c r="G694">
        <v>13010</v>
      </c>
      <c r="H694">
        <v>0</v>
      </c>
      <c r="J694" t="str">
        <f>VLOOKUP(Table3[[#This Row],[Faction ID]],Table4[],2)</f>
        <v>Gundabad</v>
      </c>
    </row>
    <row r="695" spans="1:10" x14ac:dyDescent="0.25">
      <c r="A695">
        <v>18</v>
      </c>
      <c r="B695" t="s">
        <v>34</v>
      </c>
      <c r="C695">
        <v>0</v>
      </c>
      <c r="D695">
        <v>0</v>
      </c>
      <c r="E695">
        <v>3</v>
      </c>
      <c r="F695">
        <v>23057</v>
      </c>
      <c r="G695">
        <v>2379</v>
      </c>
      <c r="H695">
        <v>0</v>
      </c>
      <c r="J695" t="str">
        <f>VLOOKUP(Table3[[#This Row],[Faction ID]],Table4[],2)</f>
        <v>Scouts of Rohan</v>
      </c>
    </row>
    <row r="696" spans="1:10" x14ac:dyDescent="0.25">
      <c r="A696">
        <v>18</v>
      </c>
      <c r="B696" t="s">
        <v>33</v>
      </c>
      <c r="C696">
        <v>5</v>
      </c>
      <c r="D696">
        <v>3</v>
      </c>
      <c r="E696">
        <v>28</v>
      </c>
      <c r="F696">
        <v>8235</v>
      </c>
      <c r="G696">
        <v>4398</v>
      </c>
      <c r="H696">
        <v>0</v>
      </c>
      <c r="J696" t="str">
        <f>VLOOKUP(Table3[[#This Row],[Faction ID]],Table4[],2)</f>
        <v>Northern Enedwaith</v>
      </c>
    </row>
    <row r="697" spans="1:10" x14ac:dyDescent="0.25">
      <c r="A697">
        <v>18</v>
      </c>
      <c r="B697" t="s">
        <v>29</v>
      </c>
      <c r="C697">
        <v>3</v>
      </c>
      <c r="D697">
        <v>2</v>
      </c>
      <c r="E697">
        <v>17</v>
      </c>
      <c r="F697">
        <v>13569</v>
      </c>
      <c r="G697">
        <v>3909</v>
      </c>
      <c r="H697">
        <v>0</v>
      </c>
      <c r="J697" t="str">
        <f>VLOOKUP(Table3[[#This Row],[Faction ID]],Table4[],2)</f>
        <v>Southern Enedwaith</v>
      </c>
    </row>
    <row r="698" spans="1:10" x14ac:dyDescent="0.25">
      <c r="A698">
        <v>18</v>
      </c>
      <c r="B698" t="s">
        <v>30</v>
      </c>
      <c r="C698">
        <v>5</v>
      </c>
      <c r="D698">
        <v>3</v>
      </c>
      <c r="E698">
        <v>29</v>
      </c>
      <c r="F698">
        <v>19335</v>
      </c>
      <c r="G698">
        <v>4465</v>
      </c>
      <c r="H698">
        <v>0</v>
      </c>
      <c r="J698" t="str">
        <f>VLOOKUP(Table3[[#This Row],[Faction ID]],Table4[],2)</f>
        <v>Druedain</v>
      </c>
    </row>
    <row r="699" spans="1:10" x14ac:dyDescent="0.25">
      <c r="A699">
        <v>18</v>
      </c>
      <c r="B699" t="s">
        <v>31</v>
      </c>
      <c r="C699">
        <v>4</v>
      </c>
      <c r="D699">
        <v>2</v>
      </c>
      <c r="E699">
        <v>20</v>
      </c>
      <c r="F699">
        <v>7385</v>
      </c>
      <c r="G699">
        <v>4606</v>
      </c>
      <c r="H699">
        <v>144</v>
      </c>
      <c r="J699" t="str">
        <f>VLOOKUP(Table3[[#This Row],[Faction ID]],Table4[],2)</f>
        <v>Harondor</v>
      </c>
    </row>
    <row r="700" spans="1:10" x14ac:dyDescent="0.25">
      <c r="A700">
        <v>18</v>
      </c>
      <c r="B700" t="s">
        <v>35</v>
      </c>
      <c r="C700">
        <v>0</v>
      </c>
      <c r="D700">
        <v>0</v>
      </c>
      <c r="E700">
        <v>0</v>
      </c>
      <c r="F700">
        <v>4000</v>
      </c>
      <c r="G700">
        <v>1750</v>
      </c>
      <c r="H700">
        <v>0</v>
      </c>
      <c r="J700" t="str">
        <f>VLOOKUP(Table3[[#This Row],[Faction ID]],Table4[],2)</f>
        <v>Southron Nomads</v>
      </c>
    </row>
    <row r="701" spans="1:10" x14ac:dyDescent="0.25">
      <c r="A701">
        <v>18</v>
      </c>
      <c r="B701" t="s">
        <v>36</v>
      </c>
      <c r="C701">
        <v>0</v>
      </c>
      <c r="D701">
        <v>0</v>
      </c>
      <c r="E701">
        <v>0</v>
      </c>
      <c r="F701">
        <v>4000</v>
      </c>
      <c r="G701">
        <v>1750</v>
      </c>
      <c r="H701">
        <v>0</v>
      </c>
      <c r="J701" t="str">
        <f>VLOOKUP(Table3[[#This Row],[Faction ID]],Table4[],2)</f>
        <v>_</v>
      </c>
    </row>
    <row r="702" spans="1:10" x14ac:dyDescent="0.25">
      <c r="A702">
        <v>18</v>
      </c>
      <c r="B702" t="s">
        <v>37</v>
      </c>
      <c r="C702">
        <v>0</v>
      </c>
      <c r="D702">
        <v>0</v>
      </c>
      <c r="E702">
        <v>0</v>
      </c>
      <c r="F702">
        <v>4000</v>
      </c>
      <c r="G702">
        <v>1750</v>
      </c>
      <c r="H702">
        <v>0</v>
      </c>
      <c r="J702" t="str">
        <f>VLOOKUP(Table3[[#This Row],[Faction ID]],Table4[],2)</f>
        <v>_</v>
      </c>
    </row>
    <row r="703" spans="1:10" x14ac:dyDescent="0.25">
      <c r="A703">
        <v>18</v>
      </c>
      <c r="B703" t="s">
        <v>38</v>
      </c>
      <c r="C703">
        <v>0</v>
      </c>
      <c r="D703">
        <v>0</v>
      </c>
      <c r="E703">
        <v>0</v>
      </c>
      <c r="F703">
        <v>4000</v>
      </c>
      <c r="G703">
        <v>1750</v>
      </c>
      <c r="H703">
        <v>0</v>
      </c>
      <c r="J703" t="str">
        <f>VLOOKUP(Table3[[#This Row],[Faction ID]],Table4[],2)</f>
        <v>_</v>
      </c>
    </row>
    <row r="704" spans="1:10" x14ac:dyDescent="0.25">
      <c r="A704">
        <v>18</v>
      </c>
      <c r="B704" t="s">
        <v>39</v>
      </c>
      <c r="C704">
        <v>0</v>
      </c>
      <c r="D704">
        <v>0</v>
      </c>
      <c r="E704">
        <v>0</v>
      </c>
      <c r="F704">
        <v>4000</v>
      </c>
      <c r="G704">
        <v>1750</v>
      </c>
      <c r="H704">
        <v>0</v>
      </c>
      <c r="J704" t="str">
        <f>VLOOKUP(Table3[[#This Row],[Faction ID]],Table4[],2)</f>
        <v>_</v>
      </c>
    </row>
    <row r="705" spans="1:10" x14ac:dyDescent="0.25">
      <c r="A705">
        <v>18</v>
      </c>
      <c r="B705" t="s">
        <v>40</v>
      </c>
      <c r="C705">
        <v>0</v>
      </c>
      <c r="D705">
        <v>0</v>
      </c>
      <c r="E705">
        <v>0</v>
      </c>
      <c r="F705">
        <v>4000</v>
      </c>
      <c r="G705">
        <v>1750</v>
      </c>
      <c r="H705">
        <v>0</v>
      </c>
      <c r="J705" t="str">
        <f>VLOOKUP(Table3[[#This Row],[Faction ID]],Table4[],2)</f>
        <v>_</v>
      </c>
    </row>
    <row r="706" spans="1:10" x14ac:dyDescent="0.25">
      <c r="A706">
        <v>18</v>
      </c>
      <c r="B706" t="s">
        <v>41</v>
      </c>
      <c r="C706">
        <v>0</v>
      </c>
      <c r="D706">
        <v>0</v>
      </c>
      <c r="E706">
        <v>0</v>
      </c>
      <c r="F706">
        <v>4000</v>
      </c>
      <c r="G706">
        <v>1750</v>
      </c>
      <c r="H706">
        <v>0</v>
      </c>
      <c r="J706" t="str">
        <f>VLOOKUP(Table3[[#This Row],[Faction ID]],Table4[],2)</f>
        <v>_</v>
      </c>
    </row>
    <row r="707" spans="1:10" x14ac:dyDescent="0.25">
      <c r="A707">
        <v>18</v>
      </c>
      <c r="B707" t="s">
        <v>42</v>
      </c>
      <c r="C707">
        <v>0</v>
      </c>
      <c r="D707">
        <v>0</v>
      </c>
      <c r="E707">
        <v>0</v>
      </c>
      <c r="F707">
        <v>4000</v>
      </c>
      <c r="G707">
        <v>1750</v>
      </c>
      <c r="H707">
        <v>0</v>
      </c>
      <c r="J707" t="str">
        <f>VLOOKUP(Table3[[#This Row],[Faction ID]],Table4[],2)</f>
        <v>_</v>
      </c>
    </row>
    <row r="708" spans="1:10" x14ac:dyDescent="0.25">
      <c r="A708">
        <v>18</v>
      </c>
      <c r="B708" t="s">
        <v>43</v>
      </c>
      <c r="C708">
        <v>0</v>
      </c>
      <c r="D708">
        <v>0</v>
      </c>
      <c r="E708">
        <v>0</v>
      </c>
      <c r="F708">
        <v>4000</v>
      </c>
      <c r="G708">
        <v>1750</v>
      </c>
      <c r="H708">
        <v>0</v>
      </c>
      <c r="J708" t="str">
        <f>VLOOKUP(Table3[[#This Row],[Faction ID]],Table4[],2)</f>
        <v>_</v>
      </c>
    </row>
    <row r="709" spans="1:10" x14ac:dyDescent="0.25">
      <c r="A709">
        <v>18</v>
      </c>
      <c r="B709" t="s">
        <v>44</v>
      </c>
      <c r="C709">
        <v>0</v>
      </c>
      <c r="D709">
        <v>0</v>
      </c>
      <c r="E709">
        <v>0</v>
      </c>
      <c r="F709">
        <v>4000</v>
      </c>
      <c r="G709">
        <v>1750</v>
      </c>
      <c r="H709">
        <v>0</v>
      </c>
      <c r="J709" t="str">
        <f>VLOOKUP(Table3[[#This Row],[Faction ID]],Table4[],2)</f>
        <v>_</v>
      </c>
    </row>
    <row r="710" spans="1:10" x14ac:dyDescent="0.25">
      <c r="A710">
        <v>19</v>
      </c>
      <c r="B710" t="s">
        <v>9</v>
      </c>
      <c r="C710">
        <v>73</v>
      </c>
      <c r="D710">
        <v>15</v>
      </c>
      <c r="E710">
        <v>142</v>
      </c>
      <c r="F710">
        <v>4452</v>
      </c>
      <c r="G710">
        <v>15295</v>
      </c>
      <c r="H710">
        <v>607</v>
      </c>
      <c r="J710" t="str">
        <f>VLOOKUP(Table3[[#This Row],[Faction ID]],Table4[],2)</f>
        <v>Mordor</v>
      </c>
    </row>
    <row r="711" spans="1:10" x14ac:dyDescent="0.25">
      <c r="A711">
        <v>19</v>
      </c>
      <c r="B711" t="s">
        <v>4</v>
      </c>
      <c r="C711">
        <v>73</v>
      </c>
      <c r="D711">
        <v>15</v>
      </c>
      <c r="E711">
        <v>175</v>
      </c>
      <c r="F711">
        <v>24747</v>
      </c>
      <c r="G711">
        <v>19588</v>
      </c>
      <c r="H711">
        <v>641</v>
      </c>
      <c r="J711" t="str">
        <f>VLOOKUP(Table3[[#This Row],[Faction ID]],Table4[],2)</f>
        <v>Gondor</v>
      </c>
    </row>
    <row r="712" spans="1:10" x14ac:dyDescent="0.25">
      <c r="A712">
        <v>19</v>
      </c>
      <c r="B712" t="s">
        <v>6</v>
      </c>
      <c r="C712">
        <v>43</v>
      </c>
      <c r="D712">
        <v>9</v>
      </c>
      <c r="E712">
        <v>110</v>
      </c>
      <c r="F712">
        <v>11550</v>
      </c>
      <c r="G712">
        <v>13497</v>
      </c>
      <c r="H712">
        <v>227</v>
      </c>
      <c r="J712" t="str">
        <f>VLOOKUP(Table3[[#This Row],[Faction ID]],Table4[],2)</f>
        <v>Dale</v>
      </c>
    </row>
    <row r="713" spans="1:10" x14ac:dyDescent="0.25">
      <c r="A713">
        <v>19</v>
      </c>
      <c r="B713" t="s">
        <v>21</v>
      </c>
      <c r="C713">
        <v>50</v>
      </c>
      <c r="D713">
        <v>4</v>
      </c>
      <c r="E713">
        <v>66</v>
      </c>
      <c r="F713">
        <v>18604</v>
      </c>
      <c r="G713">
        <v>13946</v>
      </c>
      <c r="H713">
        <v>685</v>
      </c>
      <c r="J713" t="str">
        <f>VLOOKUP(Table3[[#This Row],[Faction ID]],Table4[],2)</f>
        <v>Erebor</v>
      </c>
    </row>
    <row r="714" spans="1:10" x14ac:dyDescent="0.25">
      <c r="A714">
        <v>19</v>
      </c>
      <c r="B714" t="s">
        <v>5</v>
      </c>
      <c r="C714">
        <v>46</v>
      </c>
      <c r="D714">
        <v>12</v>
      </c>
      <c r="E714">
        <v>88</v>
      </c>
      <c r="F714">
        <v>12636</v>
      </c>
      <c r="G714">
        <v>11236</v>
      </c>
      <c r="H714">
        <v>281</v>
      </c>
      <c r="J714" t="str">
        <f>VLOOKUP(Table3[[#This Row],[Faction ID]],Table4[],2)</f>
        <v>Rohan</v>
      </c>
    </row>
    <row r="715" spans="1:10" x14ac:dyDescent="0.25">
      <c r="A715">
        <v>19</v>
      </c>
      <c r="B715" t="s">
        <v>12</v>
      </c>
      <c r="C715">
        <v>60</v>
      </c>
      <c r="D715">
        <v>9</v>
      </c>
      <c r="E715">
        <v>119</v>
      </c>
      <c r="F715">
        <v>14810</v>
      </c>
      <c r="G715">
        <v>15122</v>
      </c>
      <c r="H715">
        <v>0</v>
      </c>
      <c r="J715" t="str">
        <f>VLOOKUP(Table3[[#This Row],[Faction ID]],Table4[],2)</f>
        <v>Dol Guldur</v>
      </c>
    </row>
    <row r="716" spans="1:10" x14ac:dyDescent="0.25">
      <c r="A716">
        <v>19</v>
      </c>
      <c r="B716" t="s">
        <v>10</v>
      </c>
      <c r="C716">
        <v>42</v>
      </c>
      <c r="D716">
        <v>8</v>
      </c>
      <c r="E716">
        <v>85</v>
      </c>
      <c r="F716">
        <v>7654</v>
      </c>
      <c r="G716">
        <v>9132</v>
      </c>
      <c r="H716">
        <v>0</v>
      </c>
      <c r="J716" t="str">
        <f>VLOOKUP(Table3[[#This Row],[Faction ID]],Table4[],2)</f>
        <v>Anduin Vale</v>
      </c>
    </row>
    <row r="717" spans="1:10" x14ac:dyDescent="0.25">
      <c r="A717">
        <v>19</v>
      </c>
      <c r="B717" t="s">
        <v>32</v>
      </c>
      <c r="C717">
        <v>46</v>
      </c>
      <c r="D717">
        <v>3</v>
      </c>
      <c r="E717">
        <v>41.8</v>
      </c>
      <c r="F717">
        <v>13999</v>
      </c>
      <c r="G717">
        <v>8926</v>
      </c>
      <c r="H717">
        <v>387</v>
      </c>
      <c r="J717" t="str">
        <f>VLOOKUP(Table3[[#This Row],[Faction ID]],Table4[],2)</f>
        <v>Isengard</v>
      </c>
    </row>
    <row r="718" spans="1:10" x14ac:dyDescent="0.25">
      <c r="A718">
        <v>19</v>
      </c>
      <c r="B718" t="s">
        <v>22</v>
      </c>
      <c r="C718">
        <v>28</v>
      </c>
      <c r="D718">
        <v>1</v>
      </c>
      <c r="E718">
        <v>12</v>
      </c>
      <c r="F718">
        <v>8163</v>
      </c>
      <c r="G718">
        <v>3810</v>
      </c>
      <c r="H718">
        <v>0</v>
      </c>
      <c r="J718" t="str">
        <f>VLOOKUP(Table3[[#This Row],[Faction ID]],Table4[],2)</f>
        <v>Woodland Realm</v>
      </c>
    </row>
    <row r="719" spans="1:10" x14ac:dyDescent="0.25">
      <c r="A719">
        <v>19</v>
      </c>
      <c r="B719" t="s">
        <v>23</v>
      </c>
      <c r="C719">
        <v>30</v>
      </c>
      <c r="D719">
        <v>3</v>
      </c>
      <c r="E719">
        <v>16</v>
      </c>
      <c r="F719">
        <v>11156</v>
      </c>
      <c r="G719">
        <v>5953</v>
      </c>
      <c r="H719">
        <v>0</v>
      </c>
      <c r="J719" t="str">
        <f>VLOOKUP(Table3[[#This Row],[Faction ID]],Table4[],2)</f>
        <v>Lothlorien</v>
      </c>
    </row>
    <row r="720" spans="1:10" x14ac:dyDescent="0.25">
      <c r="A720">
        <v>19</v>
      </c>
      <c r="B720" t="s">
        <v>24</v>
      </c>
      <c r="C720">
        <v>6</v>
      </c>
      <c r="D720">
        <v>4</v>
      </c>
      <c r="E720">
        <v>50</v>
      </c>
      <c r="F720">
        <v>7608</v>
      </c>
      <c r="G720">
        <v>7653</v>
      </c>
      <c r="H720">
        <v>248</v>
      </c>
      <c r="J720" t="str">
        <f>VLOOKUP(Table3[[#This Row],[Faction ID]],Table4[],2)</f>
        <v>Variags (Khand)</v>
      </c>
    </row>
    <row r="721" spans="1:10" x14ac:dyDescent="0.25">
      <c r="A721">
        <v>19</v>
      </c>
      <c r="B721" t="s">
        <v>14</v>
      </c>
      <c r="C721">
        <v>8</v>
      </c>
      <c r="D721">
        <v>6</v>
      </c>
      <c r="E721">
        <v>58.1</v>
      </c>
      <c r="F721">
        <v>8306</v>
      </c>
      <c r="G721">
        <v>9636</v>
      </c>
      <c r="H721">
        <v>0</v>
      </c>
      <c r="J721" t="str">
        <f>VLOOKUP(Table3[[#This Row],[Faction ID]],Table4[],2)</f>
        <v>Corsairs of Umbar</v>
      </c>
    </row>
    <row r="722" spans="1:10" x14ac:dyDescent="0.25">
      <c r="A722">
        <v>19</v>
      </c>
      <c r="B722" t="s">
        <v>25</v>
      </c>
      <c r="C722">
        <v>5</v>
      </c>
      <c r="D722">
        <v>3</v>
      </c>
      <c r="E722">
        <v>41</v>
      </c>
      <c r="F722">
        <v>12877</v>
      </c>
      <c r="G722">
        <v>5939</v>
      </c>
      <c r="H722">
        <v>0</v>
      </c>
      <c r="J722" t="str">
        <f>VLOOKUP(Table3[[#This Row],[Faction ID]],Table4[],2)</f>
        <v>Mahud</v>
      </c>
    </row>
    <row r="723" spans="1:10" x14ac:dyDescent="0.25">
      <c r="A723">
        <v>19</v>
      </c>
      <c r="B723" t="s">
        <v>11</v>
      </c>
      <c r="C723">
        <v>41</v>
      </c>
      <c r="D723">
        <v>5</v>
      </c>
      <c r="E723">
        <v>69</v>
      </c>
      <c r="F723">
        <v>14085</v>
      </c>
      <c r="G723">
        <v>8980</v>
      </c>
      <c r="H723">
        <v>0</v>
      </c>
      <c r="J723" t="str">
        <f>VLOOKUP(Table3[[#This Row],[Faction ID]],Table4[],2)</f>
        <v>Haradrim</v>
      </c>
    </row>
    <row r="724" spans="1:10" x14ac:dyDescent="0.25">
      <c r="A724">
        <v>19</v>
      </c>
      <c r="B724" t="s">
        <v>15</v>
      </c>
      <c r="C724">
        <v>39</v>
      </c>
      <c r="D724">
        <v>4</v>
      </c>
      <c r="E724">
        <v>61</v>
      </c>
      <c r="F724">
        <v>12490</v>
      </c>
      <c r="G724">
        <v>10319</v>
      </c>
      <c r="H724">
        <v>519</v>
      </c>
      <c r="J724" t="str">
        <f>VLOOKUP(Table3[[#This Row],[Faction ID]],Table4[],2)</f>
        <v>Dunlendings</v>
      </c>
    </row>
    <row r="725" spans="1:10" x14ac:dyDescent="0.25">
      <c r="A725">
        <v>19</v>
      </c>
      <c r="B725" t="s">
        <v>16</v>
      </c>
      <c r="C725">
        <v>0</v>
      </c>
      <c r="D725">
        <v>0</v>
      </c>
      <c r="E725">
        <v>0</v>
      </c>
      <c r="F725">
        <v>5352</v>
      </c>
      <c r="G725">
        <v>1750</v>
      </c>
      <c r="H725">
        <v>0</v>
      </c>
      <c r="J725" t="str">
        <f>VLOOKUP(Table3[[#This Row],[Faction ID]],Table4[],2)</f>
        <v>Haerrim</v>
      </c>
    </row>
    <row r="726" spans="1:10" x14ac:dyDescent="0.25">
      <c r="A726">
        <v>19</v>
      </c>
      <c r="B726" t="s">
        <v>13</v>
      </c>
      <c r="C726">
        <v>70</v>
      </c>
      <c r="D726">
        <v>8</v>
      </c>
      <c r="E726">
        <v>124.9</v>
      </c>
      <c r="F726">
        <v>10947</v>
      </c>
      <c r="G726">
        <v>15130</v>
      </c>
      <c r="H726">
        <v>813</v>
      </c>
      <c r="J726" t="str">
        <f>VLOOKUP(Table3[[#This Row],[Faction ID]],Table4[],2)</f>
        <v>Goblins</v>
      </c>
    </row>
    <row r="727" spans="1:10" x14ac:dyDescent="0.25">
      <c r="A727">
        <v>19</v>
      </c>
      <c r="B727" t="s">
        <v>17</v>
      </c>
      <c r="C727">
        <v>0</v>
      </c>
      <c r="D727">
        <v>0</v>
      </c>
      <c r="E727">
        <v>0</v>
      </c>
      <c r="F727">
        <v>4872</v>
      </c>
      <c r="G727">
        <v>1750</v>
      </c>
      <c r="H727">
        <v>0</v>
      </c>
      <c r="J727" t="str">
        <f>VLOOKUP(Table3[[#This Row],[Faction ID]],Table4[],2)</f>
        <v>Balchoth</v>
      </c>
    </row>
    <row r="728" spans="1:10" x14ac:dyDescent="0.25">
      <c r="A728">
        <v>19</v>
      </c>
      <c r="B728" t="s">
        <v>18</v>
      </c>
      <c r="C728">
        <v>72</v>
      </c>
      <c r="D728">
        <v>24</v>
      </c>
      <c r="E728">
        <v>216.5</v>
      </c>
      <c r="F728">
        <v>21855</v>
      </c>
      <c r="G728">
        <v>20526</v>
      </c>
      <c r="H728">
        <v>357</v>
      </c>
      <c r="J728" t="str">
        <f>VLOOKUP(Table3[[#This Row],[Faction ID]],Table4[],2)</f>
        <v>Rhurim/Rhun</v>
      </c>
    </row>
    <row r="729" spans="1:10" x14ac:dyDescent="0.25">
      <c r="A729">
        <v>19</v>
      </c>
      <c r="B729" t="s">
        <v>19</v>
      </c>
      <c r="C729">
        <v>0</v>
      </c>
      <c r="D729">
        <v>0</v>
      </c>
      <c r="E729">
        <v>0</v>
      </c>
      <c r="F729">
        <v>7360</v>
      </c>
      <c r="G729">
        <v>4081</v>
      </c>
      <c r="H729">
        <v>0</v>
      </c>
      <c r="J729" t="str">
        <f>VLOOKUP(Table3[[#This Row],[Faction ID]],Table4[],2)</f>
        <v>Feredrim</v>
      </c>
    </row>
    <row r="730" spans="1:10" x14ac:dyDescent="0.25">
      <c r="A730">
        <v>19</v>
      </c>
      <c r="B730" t="s">
        <v>26</v>
      </c>
      <c r="C730">
        <v>0</v>
      </c>
      <c r="D730">
        <v>0</v>
      </c>
      <c r="E730">
        <v>0</v>
      </c>
      <c r="F730">
        <v>6395</v>
      </c>
      <c r="G730">
        <v>1750</v>
      </c>
      <c r="H730">
        <v>0</v>
      </c>
      <c r="J730" t="str">
        <f>VLOOKUP(Table3[[#This Row],[Faction ID]],Table4[],2)</f>
        <v>Rachrohir (Wainriders)</v>
      </c>
    </row>
    <row r="731" spans="1:10" x14ac:dyDescent="0.25">
      <c r="A731">
        <v>19</v>
      </c>
      <c r="B731" t="s">
        <v>27</v>
      </c>
      <c r="C731">
        <v>5</v>
      </c>
      <c r="D731">
        <v>3</v>
      </c>
      <c r="E731">
        <v>35</v>
      </c>
      <c r="F731">
        <v>20054</v>
      </c>
      <c r="G731">
        <v>6486</v>
      </c>
      <c r="H731">
        <v>0</v>
      </c>
      <c r="J731" t="str">
        <f>VLOOKUP(Table3[[#This Row],[Faction ID]],Table4[],2)</f>
        <v>Blacklock-Stonefoot League</v>
      </c>
    </row>
    <row r="732" spans="1:10" x14ac:dyDescent="0.25">
      <c r="A732">
        <v>19</v>
      </c>
      <c r="B732" t="s">
        <v>28</v>
      </c>
      <c r="C732">
        <v>4</v>
      </c>
      <c r="D732">
        <v>2</v>
      </c>
      <c r="E732">
        <v>26</v>
      </c>
      <c r="F732">
        <v>20456</v>
      </c>
      <c r="G732">
        <v>4758</v>
      </c>
      <c r="H732">
        <v>0</v>
      </c>
      <c r="J732" t="str">
        <f>VLOOKUP(Table3[[#This Row],[Faction ID]],Table4[],2)</f>
        <v>Ironfist-Stiffbeard Union</v>
      </c>
    </row>
    <row r="733" spans="1:10" x14ac:dyDescent="0.25">
      <c r="A733">
        <v>19</v>
      </c>
      <c r="B733" t="s">
        <v>20</v>
      </c>
      <c r="C733">
        <v>50</v>
      </c>
      <c r="D733">
        <v>7</v>
      </c>
      <c r="E733">
        <v>109</v>
      </c>
      <c r="F733">
        <v>6440</v>
      </c>
      <c r="G733">
        <v>13251</v>
      </c>
      <c r="H733">
        <v>0</v>
      </c>
      <c r="J733" t="str">
        <f>VLOOKUP(Table3[[#This Row],[Faction ID]],Table4[],2)</f>
        <v>Gundabad</v>
      </c>
    </row>
    <row r="734" spans="1:10" x14ac:dyDescent="0.25">
      <c r="A734">
        <v>19</v>
      </c>
      <c r="B734" t="s">
        <v>34</v>
      </c>
      <c r="C734">
        <v>0</v>
      </c>
      <c r="D734">
        <v>0</v>
      </c>
      <c r="E734">
        <v>3</v>
      </c>
      <c r="F734">
        <v>24178</v>
      </c>
      <c r="G734">
        <v>2379</v>
      </c>
      <c r="H734">
        <v>0</v>
      </c>
      <c r="J734" t="str">
        <f>VLOOKUP(Table3[[#This Row],[Faction ID]],Table4[],2)</f>
        <v>Scouts of Rohan</v>
      </c>
    </row>
    <row r="735" spans="1:10" x14ac:dyDescent="0.25">
      <c r="A735">
        <v>19</v>
      </c>
      <c r="B735" t="s">
        <v>33</v>
      </c>
      <c r="C735">
        <v>5</v>
      </c>
      <c r="D735">
        <v>3</v>
      </c>
      <c r="E735">
        <v>29</v>
      </c>
      <c r="F735">
        <v>7695</v>
      </c>
      <c r="G735">
        <v>4759</v>
      </c>
      <c r="H735">
        <v>0</v>
      </c>
      <c r="J735" t="str">
        <f>VLOOKUP(Table3[[#This Row],[Faction ID]],Table4[],2)</f>
        <v>Northern Enedwaith</v>
      </c>
    </row>
    <row r="736" spans="1:10" x14ac:dyDescent="0.25">
      <c r="A736">
        <v>19</v>
      </c>
      <c r="B736" t="s">
        <v>29</v>
      </c>
      <c r="C736">
        <v>3</v>
      </c>
      <c r="D736">
        <v>2</v>
      </c>
      <c r="E736">
        <v>16</v>
      </c>
      <c r="F736">
        <v>15054</v>
      </c>
      <c r="G736">
        <v>3914</v>
      </c>
      <c r="H736">
        <v>0</v>
      </c>
      <c r="J736" t="str">
        <f>VLOOKUP(Table3[[#This Row],[Faction ID]],Table4[],2)</f>
        <v>Southern Enedwaith</v>
      </c>
    </row>
    <row r="737" spans="1:10" x14ac:dyDescent="0.25">
      <c r="A737">
        <v>19</v>
      </c>
      <c r="B737" t="s">
        <v>30</v>
      </c>
      <c r="C737">
        <v>5</v>
      </c>
      <c r="D737">
        <v>3</v>
      </c>
      <c r="E737">
        <v>29</v>
      </c>
      <c r="F737">
        <v>20864</v>
      </c>
      <c r="G737">
        <v>4465</v>
      </c>
      <c r="H737">
        <v>0</v>
      </c>
      <c r="J737" t="str">
        <f>VLOOKUP(Table3[[#This Row],[Faction ID]],Table4[],2)</f>
        <v>Druedain</v>
      </c>
    </row>
    <row r="738" spans="1:10" x14ac:dyDescent="0.25">
      <c r="A738">
        <v>19</v>
      </c>
      <c r="B738" t="s">
        <v>31</v>
      </c>
      <c r="C738">
        <v>3</v>
      </c>
      <c r="D738">
        <v>1</v>
      </c>
      <c r="E738">
        <v>16</v>
      </c>
      <c r="F738">
        <v>5320</v>
      </c>
      <c r="G738">
        <v>3724</v>
      </c>
      <c r="H738">
        <v>141</v>
      </c>
      <c r="J738" t="str">
        <f>VLOOKUP(Table3[[#This Row],[Faction ID]],Table4[],2)</f>
        <v>Harondor</v>
      </c>
    </row>
    <row r="739" spans="1:10" x14ac:dyDescent="0.25">
      <c r="A739">
        <v>19</v>
      </c>
      <c r="B739" t="s">
        <v>35</v>
      </c>
      <c r="C739">
        <v>0</v>
      </c>
      <c r="D739">
        <v>0</v>
      </c>
      <c r="E739">
        <v>0</v>
      </c>
      <c r="F739">
        <v>4000</v>
      </c>
      <c r="G739">
        <v>1750</v>
      </c>
      <c r="H739">
        <v>0</v>
      </c>
      <c r="J739" t="str">
        <f>VLOOKUP(Table3[[#This Row],[Faction ID]],Table4[],2)</f>
        <v>Southron Nomads</v>
      </c>
    </row>
    <row r="740" spans="1:10" x14ac:dyDescent="0.25">
      <c r="A740">
        <v>19</v>
      </c>
      <c r="B740" t="s">
        <v>36</v>
      </c>
      <c r="C740">
        <v>0</v>
      </c>
      <c r="D740">
        <v>0</v>
      </c>
      <c r="E740">
        <v>0</v>
      </c>
      <c r="F740">
        <v>4000</v>
      </c>
      <c r="G740">
        <v>1750</v>
      </c>
      <c r="H740">
        <v>0</v>
      </c>
      <c r="J740" t="str">
        <f>VLOOKUP(Table3[[#This Row],[Faction ID]],Table4[],2)</f>
        <v>_</v>
      </c>
    </row>
    <row r="741" spans="1:10" x14ac:dyDescent="0.25">
      <c r="A741">
        <v>19</v>
      </c>
      <c r="B741" t="s">
        <v>37</v>
      </c>
      <c r="C741">
        <v>0</v>
      </c>
      <c r="D741">
        <v>0</v>
      </c>
      <c r="E741">
        <v>0</v>
      </c>
      <c r="F741">
        <v>4000</v>
      </c>
      <c r="G741">
        <v>1750</v>
      </c>
      <c r="H741">
        <v>0</v>
      </c>
      <c r="J741" t="str">
        <f>VLOOKUP(Table3[[#This Row],[Faction ID]],Table4[],2)</f>
        <v>_</v>
      </c>
    </row>
    <row r="742" spans="1:10" x14ac:dyDescent="0.25">
      <c r="A742">
        <v>19</v>
      </c>
      <c r="B742" t="s">
        <v>38</v>
      </c>
      <c r="C742">
        <v>0</v>
      </c>
      <c r="D742">
        <v>0</v>
      </c>
      <c r="E742">
        <v>0</v>
      </c>
      <c r="F742">
        <v>4000</v>
      </c>
      <c r="G742">
        <v>1750</v>
      </c>
      <c r="H742">
        <v>0</v>
      </c>
      <c r="J742" t="str">
        <f>VLOOKUP(Table3[[#This Row],[Faction ID]],Table4[],2)</f>
        <v>_</v>
      </c>
    </row>
    <row r="743" spans="1:10" x14ac:dyDescent="0.25">
      <c r="A743">
        <v>19</v>
      </c>
      <c r="B743" t="s">
        <v>39</v>
      </c>
      <c r="C743">
        <v>0</v>
      </c>
      <c r="D743">
        <v>0</v>
      </c>
      <c r="E743">
        <v>0</v>
      </c>
      <c r="F743">
        <v>4000</v>
      </c>
      <c r="G743">
        <v>1750</v>
      </c>
      <c r="H743">
        <v>0</v>
      </c>
      <c r="J743" t="str">
        <f>VLOOKUP(Table3[[#This Row],[Faction ID]],Table4[],2)</f>
        <v>_</v>
      </c>
    </row>
    <row r="744" spans="1:10" x14ac:dyDescent="0.25">
      <c r="A744">
        <v>19</v>
      </c>
      <c r="B744" t="s">
        <v>40</v>
      </c>
      <c r="C744">
        <v>0</v>
      </c>
      <c r="D744">
        <v>0</v>
      </c>
      <c r="E744">
        <v>0</v>
      </c>
      <c r="F744">
        <v>4000</v>
      </c>
      <c r="G744">
        <v>1750</v>
      </c>
      <c r="H744">
        <v>0</v>
      </c>
      <c r="J744" t="str">
        <f>VLOOKUP(Table3[[#This Row],[Faction ID]],Table4[],2)</f>
        <v>_</v>
      </c>
    </row>
    <row r="745" spans="1:10" x14ac:dyDescent="0.25">
      <c r="A745">
        <v>19</v>
      </c>
      <c r="B745" t="s">
        <v>41</v>
      </c>
      <c r="C745">
        <v>0</v>
      </c>
      <c r="D745">
        <v>0</v>
      </c>
      <c r="E745">
        <v>0</v>
      </c>
      <c r="F745">
        <v>4000</v>
      </c>
      <c r="G745">
        <v>1750</v>
      </c>
      <c r="H745">
        <v>0</v>
      </c>
      <c r="J745" t="str">
        <f>VLOOKUP(Table3[[#This Row],[Faction ID]],Table4[],2)</f>
        <v>_</v>
      </c>
    </row>
    <row r="746" spans="1:10" x14ac:dyDescent="0.25">
      <c r="A746">
        <v>19</v>
      </c>
      <c r="B746" t="s">
        <v>42</v>
      </c>
      <c r="C746">
        <v>0</v>
      </c>
      <c r="D746">
        <v>0</v>
      </c>
      <c r="E746">
        <v>0</v>
      </c>
      <c r="F746">
        <v>4000</v>
      </c>
      <c r="G746">
        <v>1750</v>
      </c>
      <c r="H746">
        <v>0</v>
      </c>
      <c r="J746" t="str">
        <f>VLOOKUP(Table3[[#This Row],[Faction ID]],Table4[],2)</f>
        <v>_</v>
      </c>
    </row>
    <row r="747" spans="1:10" x14ac:dyDescent="0.25">
      <c r="A747">
        <v>19</v>
      </c>
      <c r="B747" t="s">
        <v>43</v>
      </c>
      <c r="C747">
        <v>0</v>
      </c>
      <c r="D747">
        <v>0</v>
      </c>
      <c r="E747">
        <v>0</v>
      </c>
      <c r="F747">
        <v>4000</v>
      </c>
      <c r="G747">
        <v>1750</v>
      </c>
      <c r="H747">
        <v>0</v>
      </c>
      <c r="J747" t="str">
        <f>VLOOKUP(Table3[[#This Row],[Faction ID]],Table4[],2)</f>
        <v>_</v>
      </c>
    </row>
    <row r="748" spans="1:10" x14ac:dyDescent="0.25">
      <c r="A748">
        <v>19</v>
      </c>
      <c r="B748" t="s">
        <v>44</v>
      </c>
      <c r="C748">
        <v>0</v>
      </c>
      <c r="D748">
        <v>0</v>
      </c>
      <c r="E748">
        <v>0</v>
      </c>
      <c r="F748">
        <v>4000</v>
      </c>
      <c r="G748">
        <v>1750</v>
      </c>
      <c r="H748">
        <v>0</v>
      </c>
      <c r="J748" t="str">
        <f>VLOOKUP(Table3[[#This Row],[Faction ID]],Table4[],2)</f>
        <v>_</v>
      </c>
    </row>
    <row r="749" spans="1:10" x14ac:dyDescent="0.25">
      <c r="A749">
        <v>20</v>
      </c>
      <c r="B749" t="s">
        <v>9</v>
      </c>
      <c r="C749">
        <v>77</v>
      </c>
      <c r="D749">
        <v>17</v>
      </c>
      <c r="E749">
        <v>142.69999999999999</v>
      </c>
      <c r="F749">
        <v>1985</v>
      </c>
      <c r="G749">
        <v>15356</v>
      </c>
      <c r="H749">
        <v>700</v>
      </c>
      <c r="J749" t="str">
        <f>VLOOKUP(Table3[[#This Row],[Faction ID]],Table4[],2)</f>
        <v>Mordor</v>
      </c>
    </row>
    <row r="750" spans="1:10" x14ac:dyDescent="0.25">
      <c r="A750">
        <v>20</v>
      </c>
      <c r="B750" t="s">
        <v>4</v>
      </c>
      <c r="C750">
        <v>76</v>
      </c>
      <c r="D750">
        <v>13</v>
      </c>
      <c r="E750">
        <v>157</v>
      </c>
      <c r="F750">
        <v>25586</v>
      </c>
      <c r="G750">
        <v>16558</v>
      </c>
      <c r="H750">
        <v>637</v>
      </c>
      <c r="J750" t="str">
        <f>VLOOKUP(Table3[[#This Row],[Faction ID]],Table4[],2)</f>
        <v>Gondor</v>
      </c>
    </row>
    <row r="751" spans="1:10" x14ac:dyDescent="0.25">
      <c r="A751">
        <v>20</v>
      </c>
      <c r="B751" t="s">
        <v>6</v>
      </c>
      <c r="C751">
        <v>43</v>
      </c>
      <c r="D751">
        <v>9</v>
      </c>
      <c r="E751">
        <v>104</v>
      </c>
      <c r="F751">
        <v>11990</v>
      </c>
      <c r="G751">
        <v>12784</v>
      </c>
      <c r="H751">
        <v>223</v>
      </c>
      <c r="J751" t="str">
        <f>VLOOKUP(Table3[[#This Row],[Faction ID]],Table4[],2)</f>
        <v>Dale</v>
      </c>
    </row>
    <row r="752" spans="1:10" x14ac:dyDescent="0.25">
      <c r="A752">
        <v>20</v>
      </c>
      <c r="B752" t="s">
        <v>21</v>
      </c>
      <c r="C752">
        <v>54</v>
      </c>
      <c r="D752">
        <v>4</v>
      </c>
      <c r="E752">
        <v>67</v>
      </c>
      <c r="F752">
        <v>19068</v>
      </c>
      <c r="G752">
        <v>13625</v>
      </c>
      <c r="H752">
        <v>681</v>
      </c>
      <c r="J752" t="str">
        <f>VLOOKUP(Table3[[#This Row],[Faction ID]],Table4[],2)</f>
        <v>Erebor</v>
      </c>
    </row>
    <row r="753" spans="1:10" x14ac:dyDescent="0.25">
      <c r="A753">
        <v>20</v>
      </c>
      <c r="B753" t="s">
        <v>5</v>
      </c>
      <c r="C753">
        <v>55</v>
      </c>
      <c r="D753">
        <v>12</v>
      </c>
      <c r="E753">
        <v>97</v>
      </c>
      <c r="F753">
        <v>14093</v>
      </c>
      <c r="G753">
        <v>12563</v>
      </c>
      <c r="H753">
        <v>275</v>
      </c>
      <c r="J753" t="str">
        <f>VLOOKUP(Table3[[#This Row],[Faction ID]],Table4[],2)</f>
        <v>Rohan</v>
      </c>
    </row>
    <row r="754" spans="1:10" x14ac:dyDescent="0.25">
      <c r="A754">
        <v>20</v>
      </c>
      <c r="B754" t="s">
        <v>12</v>
      </c>
      <c r="C754">
        <v>62</v>
      </c>
      <c r="D754">
        <v>10</v>
      </c>
      <c r="E754">
        <v>114.1</v>
      </c>
      <c r="F754">
        <v>17621</v>
      </c>
      <c r="G754">
        <v>15529</v>
      </c>
      <c r="H754">
        <v>571</v>
      </c>
      <c r="J754" t="str">
        <f>VLOOKUP(Table3[[#This Row],[Faction ID]],Table4[],2)</f>
        <v>Dol Guldur</v>
      </c>
    </row>
    <row r="755" spans="1:10" x14ac:dyDescent="0.25">
      <c r="A755">
        <v>20</v>
      </c>
      <c r="B755" t="s">
        <v>10</v>
      </c>
      <c r="C755">
        <v>42</v>
      </c>
      <c r="D755">
        <v>8</v>
      </c>
      <c r="E755">
        <v>85</v>
      </c>
      <c r="F755">
        <v>7255</v>
      </c>
      <c r="G755">
        <v>8782</v>
      </c>
      <c r="H755">
        <v>0</v>
      </c>
      <c r="J755" t="str">
        <f>VLOOKUP(Table3[[#This Row],[Faction ID]],Table4[],2)</f>
        <v>Anduin Vale</v>
      </c>
    </row>
    <row r="756" spans="1:10" x14ac:dyDescent="0.25">
      <c r="A756">
        <v>20</v>
      </c>
      <c r="B756" t="s">
        <v>32</v>
      </c>
      <c r="C756">
        <v>46</v>
      </c>
      <c r="D756">
        <v>3</v>
      </c>
      <c r="E756">
        <v>46.8</v>
      </c>
      <c r="F756">
        <v>13293</v>
      </c>
      <c r="G756">
        <v>9109</v>
      </c>
      <c r="H756">
        <v>386</v>
      </c>
      <c r="J756" t="str">
        <f>VLOOKUP(Table3[[#This Row],[Faction ID]],Table4[],2)</f>
        <v>Isengard</v>
      </c>
    </row>
    <row r="757" spans="1:10" x14ac:dyDescent="0.25">
      <c r="A757">
        <v>20</v>
      </c>
      <c r="B757" t="s">
        <v>22</v>
      </c>
      <c r="C757">
        <v>30</v>
      </c>
      <c r="D757">
        <v>0</v>
      </c>
      <c r="E757">
        <v>4</v>
      </c>
      <c r="F757">
        <v>8475</v>
      </c>
      <c r="G757">
        <v>3198</v>
      </c>
      <c r="H757">
        <v>0</v>
      </c>
      <c r="J757" t="str">
        <f>VLOOKUP(Table3[[#This Row],[Faction ID]],Table4[],2)</f>
        <v>Woodland Realm</v>
      </c>
    </row>
    <row r="758" spans="1:10" x14ac:dyDescent="0.25">
      <c r="A758">
        <v>20</v>
      </c>
      <c r="B758" t="s">
        <v>23</v>
      </c>
      <c r="C758">
        <v>34</v>
      </c>
      <c r="D758">
        <v>3</v>
      </c>
      <c r="E758">
        <v>20</v>
      </c>
      <c r="F758">
        <v>10927</v>
      </c>
      <c r="G758">
        <v>6285</v>
      </c>
      <c r="H758">
        <v>0</v>
      </c>
      <c r="J758" t="str">
        <f>VLOOKUP(Table3[[#This Row],[Faction ID]],Table4[],2)</f>
        <v>Lothlorien</v>
      </c>
    </row>
    <row r="759" spans="1:10" x14ac:dyDescent="0.25">
      <c r="A759">
        <v>20</v>
      </c>
      <c r="B759" t="s">
        <v>24</v>
      </c>
      <c r="C759">
        <v>6</v>
      </c>
      <c r="D759">
        <v>4</v>
      </c>
      <c r="E759">
        <v>50</v>
      </c>
      <c r="F759">
        <v>9250</v>
      </c>
      <c r="G759">
        <v>7524</v>
      </c>
      <c r="H759">
        <v>254</v>
      </c>
      <c r="J759" t="str">
        <f>VLOOKUP(Table3[[#This Row],[Faction ID]],Table4[],2)</f>
        <v>Variags (Khand)</v>
      </c>
    </row>
    <row r="760" spans="1:10" x14ac:dyDescent="0.25">
      <c r="A760">
        <v>20</v>
      </c>
      <c r="B760" t="s">
        <v>14</v>
      </c>
      <c r="C760">
        <v>8</v>
      </c>
      <c r="D760">
        <v>6</v>
      </c>
      <c r="E760">
        <v>57.2</v>
      </c>
      <c r="F760">
        <v>11618</v>
      </c>
      <c r="G760">
        <v>9899</v>
      </c>
      <c r="H760">
        <v>0</v>
      </c>
      <c r="J760" t="str">
        <f>VLOOKUP(Table3[[#This Row],[Faction ID]],Table4[],2)</f>
        <v>Corsairs of Umbar</v>
      </c>
    </row>
    <row r="761" spans="1:10" x14ac:dyDescent="0.25">
      <c r="A761">
        <v>20</v>
      </c>
      <c r="B761" t="s">
        <v>25</v>
      </c>
      <c r="C761">
        <v>5</v>
      </c>
      <c r="D761">
        <v>3</v>
      </c>
      <c r="E761">
        <v>42</v>
      </c>
      <c r="F761">
        <v>12916</v>
      </c>
      <c r="G761">
        <v>6046</v>
      </c>
      <c r="H761">
        <v>0</v>
      </c>
      <c r="J761" t="str">
        <f>VLOOKUP(Table3[[#This Row],[Faction ID]],Table4[],2)</f>
        <v>Mahud</v>
      </c>
    </row>
    <row r="762" spans="1:10" x14ac:dyDescent="0.25">
      <c r="A762">
        <v>20</v>
      </c>
      <c r="B762" t="s">
        <v>11</v>
      </c>
      <c r="C762">
        <v>41</v>
      </c>
      <c r="D762">
        <v>5</v>
      </c>
      <c r="E762">
        <v>70</v>
      </c>
      <c r="F762">
        <v>14530</v>
      </c>
      <c r="G762">
        <v>9742</v>
      </c>
      <c r="H762">
        <v>0</v>
      </c>
      <c r="J762" t="str">
        <f>VLOOKUP(Table3[[#This Row],[Faction ID]],Table4[],2)</f>
        <v>Haradrim</v>
      </c>
    </row>
    <row r="763" spans="1:10" x14ac:dyDescent="0.25">
      <c r="A763">
        <v>20</v>
      </c>
      <c r="B763" t="s">
        <v>15</v>
      </c>
      <c r="C763">
        <v>44</v>
      </c>
      <c r="D763">
        <v>4</v>
      </c>
      <c r="E763">
        <v>64</v>
      </c>
      <c r="F763">
        <v>12588</v>
      </c>
      <c r="G763">
        <v>10494</v>
      </c>
      <c r="H763">
        <v>513</v>
      </c>
      <c r="J763" t="str">
        <f>VLOOKUP(Table3[[#This Row],[Faction ID]],Table4[],2)</f>
        <v>Dunlendings</v>
      </c>
    </row>
    <row r="764" spans="1:10" x14ac:dyDescent="0.25">
      <c r="A764">
        <v>20</v>
      </c>
      <c r="B764" t="s">
        <v>16</v>
      </c>
      <c r="C764">
        <v>0</v>
      </c>
      <c r="D764">
        <v>0</v>
      </c>
      <c r="E764">
        <v>0</v>
      </c>
      <c r="F764">
        <v>5352</v>
      </c>
      <c r="G764">
        <v>1750</v>
      </c>
      <c r="H764">
        <v>0</v>
      </c>
      <c r="J764" t="str">
        <f>VLOOKUP(Table3[[#This Row],[Faction ID]],Table4[],2)</f>
        <v>Haerrim</v>
      </c>
    </row>
    <row r="765" spans="1:10" x14ac:dyDescent="0.25">
      <c r="A765">
        <v>20</v>
      </c>
      <c r="B765" t="s">
        <v>13</v>
      </c>
      <c r="C765">
        <v>70</v>
      </c>
      <c r="D765">
        <v>8</v>
      </c>
      <c r="E765">
        <v>124.9</v>
      </c>
      <c r="F765">
        <v>9265</v>
      </c>
      <c r="G765">
        <v>14291</v>
      </c>
      <c r="H765">
        <v>811</v>
      </c>
      <c r="J765" t="str">
        <f>VLOOKUP(Table3[[#This Row],[Faction ID]],Table4[],2)</f>
        <v>Goblins</v>
      </c>
    </row>
    <row r="766" spans="1:10" x14ac:dyDescent="0.25">
      <c r="A766">
        <v>20</v>
      </c>
      <c r="B766" t="s">
        <v>17</v>
      </c>
      <c r="C766">
        <v>0</v>
      </c>
      <c r="D766">
        <v>0</v>
      </c>
      <c r="E766">
        <v>0</v>
      </c>
      <c r="F766">
        <v>4872</v>
      </c>
      <c r="G766">
        <v>1750</v>
      </c>
      <c r="H766">
        <v>0</v>
      </c>
      <c r="J766" t="str">
        <f>VLOOKUP(Table3[[#This Row],[Faction ID]],Table4[],2)</f>
        <v>Balchoth</v>
      </c>
    </row>
    <row r="767" spans="1:10" x14ac:dyDescent="0.25">
      <c r="A767">
        <v>20</v>
      </c>
      <c r="B767" t="s">
        <v>18</v>
      </c>
      <c r="C767">
        <v>72</v>
      </c>
      <c r="D767">
        <v>24</v>
      </c>
      <c r="E767">
        <v>222.6</v>
      </c>
      <c r="F767">
        <v>19984</v>
      </c>
      <c r="G767">
        <v>20473</v>
      </c>
      <c r="H767">
        <v>671</v>
      </c>
      <c r="J767" t="str">
        <f>VLOOKUP(Table3[[#This Row],[Faction ID]],Table4[],2)</f>
        <v>Rhurim/Rhun</v>
      </c>
    </row>
    <row r="768" spans="1:10" x14ac:dyDescent="0.25">
      <c r="A768">
        <v>20</v>
      </c>
      <c r="B768" t="s">
        <v>19</v>
      </c>
      <c r="C768">
        <v>0</v>
      </c>
      <c r="D768">
        <v>0</v>
      </c>
      <c r="E768">
        <v>0</v>
      </c>
      <c r="F768">
        <v>7360</v>
      </c>
      <c r="G768">
        <v>1750</v>
      </c>
      <c r="H768">
        <v>0</v>
      </c>
      <c r="J768" t="str">
        <f>VLOOKUP(Table3[[#This Row],[Faction ID]],Table4[],2)</f>
        <v>Feredrim</v>
      </c>
    </row>
    <row r="769" spans="1:10" x14ac:dyDescent="0.25">
      <c r="A769">
        <v>20</v>
      </c>
      <c r="B769" t="s">
        <v>26</v>
      </c>
      <c r="C769">
        <v>0</v>
      </c>
      <c r="D769">
        <v>0</v>
      </c>
      <c r="E769">
        <v>0</v>
      </c>
      <c r="F769">
        <v>6395</v>
      </c>
      <c r="G769">
        <v>1750</v>
      </c>
      <c r="H769">
        <v>0</v>
      </c>
      <c r="J769" t="str">
        <f>VLOOKUP(Table3[[#This Row],[Faction ID]],Table4[],2)</f>
        <v>Rachrohir (Wainriders)</v>
      </c>
    </row>
    <row r="770" spans="1:10" x14ac:dyDescent="0.25">
      <c r="A770">
        <v>20</v>
      </c>
      <c r="B770" t="s">
        <v>27</v>
      </c>
      <c r="C770">
        <v>5</v>
      </c>
      <c r="D770">
        <v>3</v>
      </c>
      <c r="E770">
        <v>35</v>
      </c>
      <c r="F770">
        <v>22135</v>
      </c>
      <c r="G770">
        <v>6251</v>
      </c>
      <c r="H770">
        <v>0</v>
      </c>
      <c r="J770" t="str">
        <f>VLOOKUP(Table3[[#This Row],[Faction ID]],Table4[],2)</f>
        <v>Blacklock-Stonefoot League</v>
      </c>
    </row>
    <row r="771" spans="1:10" x14ac:dyDescent="0.25">
      <c r="A771">
        <v>20</v>
      </c>
      <c r="B771" t="s">
        <v>28</v>
      </c>
      <c r="C771">
        <v>4</v>
      </c>
      <c r="D771">
        <v>2</v>
      </c>
      <c r="E771">
        <v>26</v>
      </c>
      <c r="F771">
        <v>21097</v>
      </c>
      <c r="G771">
        <v>4782</v>
      </c>
      <c r="H771">
        <v>0</v>
      </c>
      <c r="J771" t="str">
        <f>VLOOKUP(Table3[[#This Row],[Faction ID]],Table4[],2)</f>
        <v>Ironfist-Stiffbeard Union</v>
      </c>
    </row>
    <row r="772" spans="1:10" x14ac:dyDescent="0.25">
      <c r="A772">
        <v>20</v>
      </c>
      <c r="B772" t="s">
        <v>20</v>
      </c>
      <c r="C772">
        <v>50</v>
      </c>
      <c r="D772">
        <v>7</v>
      </c>
      <c r="E772">
        <v>109</v>
      </c>
      <c r="F772">
        <v>5296</v>
      </c>
      <c r="G772">
        <v>13053</v>
      </c>
      <c r="H772">
        <v>0</v>
      </c>
      <c r="J772" t="str">
        <f>VLOOKUP(Table3[[#This Row],[Faction ID]],Table4[],2)</f>
        <v>Gundabad</v>
      </c>
    </row>
    <row r="773" spans="1:10" x14ac:dyDescent="0.25">
      <c r="A773">
        <v>20</v>
      </c>
      <c r="B773" t="s">
        <v>34</v>
      </c>
      <c r="C773">
        <v>0</v>
      </c>
      <c r="D773">
        <v>0</v>
      </c>
      <c r="E773">
        <v>3</v>
      </c>
      <c r="F773">
        <v>25299</v>
      </c>
      <c r="G773">
        <v>2379</v>
      </c>
      <c r="H773">
        <v>0</v>
      </c>
      <c r="J773" t="str">
        <f>VLOOKUP(Table3[[#This Row],[Faction ID]],Table4[],2)</f>
        <v>Scouts of Rohan</v>
      </c>
    </row>
    <row r="774" spans="1:10" x14ac:dyDescent="0.25">
      <c r="A774">
        <v>20</v>
      </c>
      <c r="B774" t="s">
        <v>33</v>
      </c>
      <c r="C774">
        <v>5</v>
      </c>
      <c r="D774">
        <v>3</v>
      </c>
      <c r="E774">
        <v>29</v>
      </c>
      <c r="F774">
        <v>9588</v>
      </c>
      <c r="G774">
        <v>4759</v>
      </c>
      <c r="H774">
        <v>0</v>
      </c>
      <c r="J774" t="str">
        <f>VLOOKUP(Table3[[#This Row],[Faction ID]],Table4[],2)</f>
        <v>Northern Enedwaith</v>
      </c>
    </row>
    <row r="775" spans="1:10" x14ac:dyDescent="0.25">
      <c r="A775">
        <v>20</v>
      </c>
      <c r="B775" t="s">
        <v>29</v>
      </c>
      <c r="C775">
        <v>3</v>
      </c>
      <c r="D775">
        <v>2</v>
      </c>
      <c r="E775">
        <v>16</v>
      </c>
      <c r="F775">
        <v>16479</v>
      </c>
      <c r="G775">
        <v>3819</v>
      </c>
      <c r="H775">
        <v>0</v>
      </c>
      <c r="J775" t="str">
        <f>VLOOKUP(Table3[[#This Row],[Faction ID]],Table4[],2)</f>
        <v>Southern Enedwaith</v>
      </c>
    </row>
    <row r="776" spans="1:10" x14ac:dyDescent="0.25">
      <c r="A776">
        <v>20</v>
      </c>
      <c r="B776" t="s">
        <v>30</v>
      </c>
      <c r="C776">
        <v>5</v>
      </c>
      <c r="D776">
        <v>3</v>
      </c>
      <c r="E776">
        <v>29</v>
      </c>
      <c r="F776">
        <v>22272</v>
      </c>
      <c r="G776">
        <v>4344</v>
      </c>
      <c r="H776">
        <v>0</v>
      </c>
      <c r="J776" t="str">
        <f>VLOOKUP(Table3[[#This Row],[Faction ID]],Table4[],2)</f>
        <v>Druedain</v>
      </c>
    </row>
    <row r="777" spans="1:10" x14ac:dyDescent="0.25">
      <c r="A777">
        <v>20</v>
      </c>
      <c r="B777" t="s">
        <v>31</v>
      </c>
      <c r="C777">
        <v>3</v>
      </c>
      <c r="D777">
        <v>1</v>
      </c>
      <c r="E777">
        <v>18</v>
      </c>
      <c r="F777">
        <v>5572</v>
      </c>
      <c r="G777">
        <v>3944</v>
      </c>
      <c r="H777">
        <v>147</v>
      </c>
      <c r="J777" t="str">
        <f>VLOOKUP(Table3[[#This Row],[Faction ID]],Table4[],2)</f>
        <v>Harondor</v>
      </c>
    </row>
    <row r="778" spans="1:10" x14ac:dyDescent="0.25">
      <c r="A778">
        <v>20</v>
      </c>
      <c r="B778" t="s">
        <v>35</v>
      </c>
      <c r="C778">
        <v>0</v>
      </c>
      <c r="D778">
        <v>0</v>
      </c>
      <c r="E778">
        <v>0</v>
      </c>
      <c r="F778">
        <v>4000</v>
      </c>
      <c r="G778">
        <v>1750</v>
      </c>
      <c r="H778">
        <v>0</v>
      </c>
      <c r="J778" t="str">
        <f>VLOOKUP(Table3[[#This Row],[Faction ID]],Table4[],2)</f>
        <v>Southron Nomads</v>
      </c>
    </row>
    <row r="779" spans="1:10" x14ac:dyDescent="0.25">
      <c r="A779">
        <v>20</v>
      </c>
      <c r="B779" t="s">
        <v>36</v>
      </c>
      <c r="C779">
        <v>0</v>
      </c>
      <c r="D779">
        <v>0</v>
      </c>
      <c r="E779">
        <v>0</v>
      </c>
      <c r="F779">
        <v>4000</v>
      </c>
      <c r="G779">
        <v>1750</v>
      </c>
      <c r="H779">
        <v>0</v>
      </c>
      <c r="J779" t="str">
        <f>VLOOKUP(Table3[[#This Row],[Faction ID]],Table4[],2)</f>
        <v>_</v>
      </c>
    </row>
    <row r="780" spans="1:10" x14ac:dyDescent="0.25">
      <c r="A780">
        <v>20</v>
      </c>
      <c r="B780" t="s">
        <v>37</v>
      </c>
      <c r="C780">
        <v>0</v>
      </c>
      <c r="D780">
        <v>0</v>
      </c>
      <c r="E780">
        <v>0</v>
      </c>
      <c r="F780">
        <v>4000</v>
      </c>
      <c r="G780">
        <v>1750</v>
      </c>
      <c r="H780">
        <v>0</v>
      </c>
      <c r="J780" t="str">
        <f>VLOOKUP(Table3[[#This Row],[Faction ID]],Table4[],2)</f>
        <v>_</v>
      </c>
    </row>
    <row r="781" spans="1:10" x14ac:dyDescent="0.25">
      <c r="A781">
        <v>20</v>
      </c>
      <c r="B781" t="s">
        <v>38</v>
      </c>
      <c r="C781">
        <v>0</v>
      </c>
      <c r="D781">
        <v>0</v>
      </c>
      <c r="E781">
        <v>0</v>
      </c>
      <c r="F781">
        <v>4000</v>
      </c>
      <c r="G781">
        <v>1750</v>
      </c>
      <c r="H781">
        <v>0</v>
      </c>
      <c r="J781" t="str">
        <f>VLOOKUP(Table3[[#This Row],[Faction ID]],Table4[],2)</f>
        <v>_</v>
      </c>
    </row>
    <row r="782" spans="1:10" x14ac:dyDescent="0.25">
      <c r="A782">
        <v>20</v>
      </c>
      <c r="B782" t="s">
        <v>39</v>
      </c>
      <c r="C782">
        <v>0</v>
      </c>
      <c r="D782">
        <v>0</v>
      </c>
      <c r="E782">
        <v>0</v>
      </c>
      <c r="F782">
        <v>4000</v>
      </c>
      <c r="G782">
        <v>1750</v>
      </c>
      <c r="H782">
        <v>0</v>
      </c>
      <c r="J782" t="str">
        <f>VLOOKUP(Table3[[#This Row],[Faction ID]],Table4[],2)</f>
        <v>_</v>
      </c>
    </row>
    <row r="783" spans="1:10" x14ac:dyDescent="0.25">
      <c r="A783">
        <v>20</v>
      </c>
      <c r="B783" t="s">
        <v>40</v>
      </c>
      <c r="C783">
        <v>0</v>
      </c>
      <c r="D783">
        <v>0</v>
      </c>
      <c r="E783">
        <v>0</v>
      </c>
      <c r="F783">
        <v>4000</v>
      </c>
      <c r="G783">
        <v>1750</v>
      </c>
      <c r="H783">
        <v>0</v>
      </c>
      <c r="J783" t="str">
        <f>VLOOKUP(Table3[[#This Row],[Faction ID]],Table4[],2)</f>
        <v>_</v>
      </c>
    </row>
    <row r="784" spans="1:10" x14ac:dyDescent="0.25">
      <c r="A784">
        <v>20</v>
      </c>
      <c r="B784" t="s">
        <v>41</v>
      </c>
      <c r="C784">
        <v>0</v>
      </c>
      <c r="D784">
        <v>0</v>
      </c>
      <c r="E784">
        <v>0</v>
      </c>
      <c r="F784">
        <v>4000</v>
      </c>
      <c r="G784">
        <v>1750</v>
      </c>
      <c r="H784">
        <v>0</v>
      </c>
      <c r="J784" t="str">
        <f>VLOOKUP(Table3[[#This Row],[Faction ID]],Table4[],2)</f>
        <v>_</v>
      </c>
    </row>
    <row r="785" spans="1:10" x14ac:dyDescent="0.25">
      <c r="A785">
        <v>20</v>
      </c>
      <c r="B785" t="s">
        <v>42</v>
      </c>
      <c r="C785">
        <v>0</v>
      </c>
      <c r="D785">
        <v>0</v>
      </c>
      <c r="E785">
        <v>0</v>
      </c>
      <c r="F785">
        <v>4000</v>
      </c>
      <c r="G785">
        <v>1750</v>
      </c>
      <c r="H785">
        <v>0</v>
      </c>
      <c r="J785" t="str">
        <f>VLOOKUP(Table3[[#This Row],[Faction ID]],Table4[],2)</f>
        <v>_</v>
      </c>
    </row>
    <row r="786" spans="1:10" x14ac:dyDescent="0.25">
      <c r="A786">
        <v>20</v>
      </c>
      <c r="B786" t="s">
        <v>43</v>
      </c>
      <c r="C786">
        <v>0</v>
      </c>
      <c r="D786">
        <v>0</v>
      </c>
      <c r="E786">
        <v>0</v>
      </c>
      <c r="F786">
        <v>4000</v>
      </c>
      <c r="G786">
        <v>1750</v>
      </c>
      <c r="H786">
        <v>0</v>
      </c>
      <c r="J786" t="str">
        <f>VLOOKUP(Table3[[#This Row],[Faction ID]],Table4[],2)</f>
        <v>_</v>
      </c>
    </row>
    <row r="787" spans="1:10" x14ac:dyDescent="0.25">
      <c r="A787">
        <v>20</v>
      </c>
      <c r="B787" t="s">
        <v>44</v>
      </c>
      <c r="C787">
        <v>0</v>
      </c>
      <c r="D787">
        <v>0</v>
      </c>
      <c r="E787">
        <v>0</v>
      </c>
      <c r="F787">
        <v>4000</v>
      </c>
      <c r="G787">
        <v>1750</v>
      </c>
      <c r="H787">
        <v>0</v>
      </c>
      <c r="J787" t="str">
        <f>VLOOKUP(Table3[[#This Row],[Faction ID]],Table4[],2)</f>
        <v>_</v>
      </c>
    </row>
    <row r="788" spans="1:10" x14ac:dyDescent="0.25">
      <c r="A788">
        <v>21</v>
      </c>
      <c r="B788" t="s">
        <v>9</v>
      </c>
      <c r="C788">
        <v>104</v>
      </c>
      <c r="D788">
        <v>17</v>
      </c>
      <c r="E788">
        <v>152.69999999999999</v>
      </c>
      <c r="F788">
        <v>730</v>
      </c>
      <c r="G788">
        <v>16015</v>
      </c>
      <c r="H788">
        <v>872</v>
      </c>
      <c r="J788" t="str">
        <f>VLOOKUP(Table3[[#This Row],[Faction ID]],Table4[],2)</f>
        <v>Mordor</v>
      </c>
    </row>
    <row r="789" spans="1:10" x14ac:dyDescent="0.25">
      <c r="A789">
        <v>21</v>
      </c>
      <c r="B789" t="s">
        <v>4</v>
      </c>
      <c r="C789">
        <v>80</v>
      </c>
      <c r="D789">
        <v>13</v>
      </c>
      <c r="E789">
        <v>159</v>
      </c>
      <c r="F789">
        <v>27147</v>
      </c>
      <c r="G789">
        <v>18195</v>
      </c>
      <c r="H789">
        <v>646</v>
      </c>
      <c r="J789" t="str">
        <f>VLOOKUP(Table3[[#This Row],[Faction ID]],Table4[],2)</f>
        <v>Gondor</v>
      </c>
    </row>
    <row r="790" spans="1:10" x14ac:dyDescent="0.25">
      <c r="A790">
        <v>21</v>
      </c>
      <c r="B790" t="s">
        <v>6</v>
      </c>
      <c r="C790">
        <v>63</v>
      </c>
      <c r="D790">
        <v>9</v>
      </c>
      <c r="E790">
        <v>106.4</v>
      </c>
      <c r="F790">
        <v>10243</v>
      </c>
      <c r="G790">
        <v>12871</v>
      </c>
      <c r="H790">
        <v>234</v>
      </c>
      <c r="J790" t="str">
        <f>VLOOKUP(Table3[[#This Row],[Faction ID]],Table4[],2)</f>
        <v>Dale</v>
      </c>
    </row>
    <row r="791" spans="1:10" x14ac:dyDescent="0.25">
      <c r="A791">
        <v>21</v>
      </c>
      <c r="B791" t="s">
        <v>21</v>
      </c>
      <c r="C791">
        <v>69</v>
      </c>
      <c r="D791">
        <v>4</v>
      </c>
      <c r="E791">
        <v>68</v>
      </c>
      <c r="F791">
        <v>22931</v>
      </c>
      <c r="G791">
        <v>13957</v>
      </c>
      <c r="H791">
        <v>685</v>
      </c>
      <c r="J791" t="str">
        <f>VLOOKUP(Table3[[#This Row],[Faction ID]],Table4[],2)</f>
        <v>Erebor</v>
      </c>
    </row>
    <row r="792" spans="1:10" x14ac:dyDescent="0.25">
      <c r="A792">
        <v>21</v>
      </c>
      <c r="B792" t="s">
        <v>5</v>
      </c>
      <c r="C792">
        <v>60</v>
      </c>
      <c r="D792">
        <v>13</v>
      </c>
      <c r="E792">
        <v>108</v>
      </c>
      <c r="F792">
        <v>12538</v>
      </c>
      <c r="G792">
        <v>13073</v>
      </c>
      <c r="H792">
        <v>323</v>
      </c>
      <c r="J792" t="str">
        <f>VLOOKUP(Table3[[#This Row],[Faction ID]],Table4[],2)</f>
        <v>Rohan</v>
      </c>
    </row>
    <row r="793" spans="1:10" x14ac:dyDescent="0.25">
      <c r="A793">
        <v>21</v>
      </c>
      <c r="B793" t="s">
        <v>12</v>
      </c>
      <c r="C793">
        <v>69</v>
      </c>
      <c r="D793">
        <v>11</v>
      </c>
      <c r="E793">
        <v>105</v>
      </c>
      <c r="F793">
        <v>17615</v>
      </c>
      <c r="G793">
        <v>14692</v>
      </c>
      <c r="H793">
        <v>574</v>
      </c>
      <c r="J793" t="str">
        <f>VLOOKUP(Table3[[#This Row],[Faction ID]],Table4[],2)</f>
        <v>Dol Guldur</v>
      </c>
    </row>
    <row r="794" spans="1:10" x14ac:dyDescent="0.25">
      <c r="A794">
        <v>21</v>
      </c>
      <c r="B794" t="s">
        <v>10</v>
      </c>
      <c r="C794">
        <v>47</v>
      </c>
      <c r="D794">
        <v>8</v>
      </c>
      <c r="E794">
        <v>66</v>
      </c>
      <c r="F794">
        <v>5861</v>
      </c>
      <c r="G794">
        <v>7753</v>
      </c>
      <c r="H794">
        <v>0</v>
      </c>
      <c r="J794" t="str">
        <f>VLOOKUP(Table3[[#This Row],[Faction ID]],Table4[],2)</f>
        <v>Anduin Vale</v>
      </c>
    </row>
    <row r="795" spans="1:10" x14ac:dyDescent="0.25">
      <c r="A795">
        <v>21</v>
      </c>
      <c r="B795" t="s">
        <v>32</v>
      </c>
      <c r="C795">
        <v>46</v>
      </c>
      <c r="D795">
        <v>3</v>
      </c>
      <c r="E795">
        <v>49.8</v>
      </c>
      <c r="F795">
        <v>12638</v>
      </c>
      <c r="G795">
        <v>9811</v>
      </c>
      <c r="H795">
        <v>381</v>
      </c>
      <c r="J795" t="str">
        <f>VLOOKUP(Table3[[#This Row],[Faction ID]],Table4[],2)</f>
        <v>Isengard</v>
      </c>
    </row>
    <row r="796" spans="1:10" x14ac:dyDescent="0.25">
      <c r="A796">
        <v>21</v>
      </c>
      <c r="B796" t="s">
        <v>22</v>
      </c>
      <c r="C796">
        <v>30</v>
      </c>
      <c r="D796">
        <v>0</v>
      </c>
      <c r="E796">
        <v>0</v>
      </c>
      <c r="F796">
        <v>8475</v>
      </c>
      <c r="G796">
        <v>2500</v>
      </c>
      <c r="H796">
        <v>0</v>
      </c>
      <c r="J796" t="str">
        <f>VLOOKUP(Table3[[#This Row],[Faction ID]],Table4[],2)</f>
        <v>Woodland Realm</v>
      </c>
    </row>
    <row r="797" spans="1:10" x14ac:dyDescent="0.25">
      <c r="A797">
        <v>21</v>
      </c>
      <c r="B797" t="s">
        <v>23</v>
      </c>
      <c r="C797">
        <v>39</v>
      </c>
      <c r="D797">
        <v>3</v>
      </c>
      <c r="E797">
        <v>24</v>
      </c>
      <c r="F797">
        <v>12783</v>
      </c>
      <c r="G797">
        <v>6787</v>
      </c>
      <c r="H797">
        <v>0</v>
      </c>
      <c r="J797" t="str">
        <f>VLOOKUP(Table3[[#This Row],[Faction ID]],Table4[],2)</f>
        <v>Lothlorien</v>
      </c>
    </row>
    <row r="798" spans="1:10" x14ac:dyDescent="0.25">
      <c r="A798">
        <v>21</v>
      </c>
      <c r="B798" t="s">
        <v>24</v>
      </c>
      <c r="C798">
        <v>6</v>
      </c>
      <c r="D798">
        <v>4</v>
      </c>
      <c r="E798">
        <v>50</v>
      </c>
      <c r="F798">
        <v>7420</v>
      </c>
      <c r="G798">
        <v>7626</v>
      </c>
      <c r="H798">
        <v>257</v>
      </c>
      <c r="J798" t="str">
        <f>VLOOKUP(Table3[[#This Row],[Faction ID]],Table4[],2)</f>
        <v>Variags (Khand)</v>
      </c>
    </row>
    <row r="799" spans="1:10" x14ac:dyDescent="0.25">
      <c r="A799">
        <v>21</v>
      </c>
      <c r="B799" t="s">
        <v>14</v>
      </c>
      <c r="C799">
        <v>8</v>
      </c>
      <c r="D799">
        <v>6</v>
      </c>
      <c r="E799">
        <v>57.3</v>
      </c>
      <c r="F799">
        <v>9004</v>
      </c>
      <c r="G799">
        <v>10593</v>
      </c>
      <c r="H799">
        <v>889</v>
      </c>
      <c r="J799" t="str">
        <f>VLOOKUP(Table3[[#This Row],[Faction ID]],Table4[],2)</f>
        <v>Corsairs of Umbar</v>
      </c>
    </row>
    <row r="800" spans="1:10" x14ac:dyDescent="0.25">
      <c r="A800">
        <v>21</v>
      </c>
      <c r="B800" t="s">
        <v>25</v>
      </c>
      <c r="C800">
        <v>5</v>
      </c>
      <c r="D800">
        <v>3</v>
      </c>
      <c r="E800">
        <v>41</v>
      </c>
      <c r="F800">
        <v>14155</v>
      </c>
      <c r="G800">
        <v>6326</v>
      </c>
      <c r="H800">
        <v>0</v>
      </c>
      <c r="J800" t="str">
        <f>VLOOKUP(Table3[[#This Row],[Faction ID]],Table4[],2)</f>
        <v>Mahud</v>
      </c>
    </row>
    <row r="801" spans="1:10" x14ac:dyDescent="0.25">
      <c r="A801">
        <v>21</v>
      </c>
      <c r="B801" t="s">
        <v>11</v>
      </c>
      <c r="C801">
        <v>41</v>
      </c>
      <c r="D801">
        <v>5</v>
      </c>
      <c r="E801">
        <v>70</v>
      </c>
      <c r="F801">
        <v>13744</v>
      </c>
      <c r="G801">
        <v>9742</v>
      </c>
      <c r="H801">
        <v>0</v>
      </c>
      <c r="J801" t="str">
        <f>VLOOKUP(Table3[[#This Row],[Faction ID]],Table4[],2)</f>
        <v>Haradrim</v>
      </c>
    </row>
    <row r="802" spans="1:10" x14ac:dyDescent="0.25">
      <c r="A802">
        <v>21</v>
      </c>
      <c r="B802" t="s">
        <v>15</v>
      </c>
      <c r="C802">
        <v>43</v>
      </c>
      <c r="D802">
        <v>3</v>
      </c>
      <c r="E802">
        <v>56</v>
      </c>
      <c r="F802">
        <v>13815</v>
      </c>
      <c r="G802">
        <v>9779</v>
      </c>
      <c r="H802">
        <v>428</v>
      </c>
      <c r="J802" t="str">
        <f>VLOOKUP(Table3[[#This Row],[Faction ID]],Table4[],2)</f>
        <v>Dunlendings</v>
      </c>
    </row>
    <row r="803" spans="1:10" x14ac:dyDescent="0.25">
      <c r="A803">
        <v>21</v>
      </c>
      <c r="B803" t="s">
        <v>16</v>
      </c>
      <c r="C803">
        <v>0</v>
      </c>
      <c r="D803">
        <v>0</v>
      </c>
      <c r="E803">
        <v>0</v>
      </c>
      <c r="F803">
        <v>5352</v>
      </c>
      <c r="G803">
        <v>1750</v>
      </c>
      <c r="H803">
        <v>0</v>
      </c>
      <c r="J803" t="str">
        <f>VLOOKUP(Table3[[#This Row],[Faction ID]],Table4[],2)</f>
        <v>Haerrim</v>
      </c>
    </row>
    <row r="804" spans="1:10" x14ac:dyDescent="0.25">
      <c r="A804">
        <v>21</v>
      </c>
      <c r="B804" t="s">
        <v>13</v>
      </c>
      <c r="C804">
        <v>75</v>
      </c>
      <c r="D804">
        <v>8</v>
      </c>
      <c r="E804">
        <v>124.9</v>
      </c>
      <c r="F804">
        <v>8833</v>
      </c>
      <c r="G804">
        <v>15383</v>
      </c>
      <c r="H804">
        <v>813</v>
      </c>
      <c r="J804" t="str">
        <f>VLOOKUP(Table3[[#This Row],[Faction ID]],Table4[],2)</f>
        <v>Goblins</v>
      </c>
    </row>
    <row r="805" spans="1:10" x14ac:dyDescent="0.25">
      <c r="A805">
        <v>21</v>
      </c>
      <c r="B805" t="s">
        <v>17</v>
      </c>
      <c r="C805">
        <v>0</v>
      </c>
      <c r="D805">
        <v>0</v>
      </c>
      <c r="E805">
        <v>0</v>
      </c>
      <c r="F805">
        <v>4872</v>
      </c>
      <c r="G805">
        <v>1750</v>
      </c>
      <c r="H805">
        <v>0</v>
      </c>
      <c r="J805" t="str">
        <f>VLOOKUP(Table3[[#This Row],[Faction ID]],Table4[],2)</f>
        <v>Balchoth</v>
      </c>
    </row>
    <row r="806" spans="1:10" x14ac:dyDescent="0.25">
      <c r="A806">
        <v>21</v>
      </c>
      <c r="B806" t="s">
        <v>18</v>
      </c>
      <c r="C806">
        <v>72</v>
      </c>
      <c r="D806">
        <v>24</v>
      </c>
      <c r="E806">
        <v>237.7</v>
      </c>
      <c r="F806">
        <v>20000</v>
      </c>
      <c r="G806">
        <v>21407</v>
      </c>
      <c r="H806">
        <v>798</v>
      </c>
      <c r="J806" t="str">
        <f>VLOOKUP(Table3[[#This Row],[Faction ID]],Table4[],2)</f>
        <v>Rhurim/Rhun</v>
      </c>
    </row>
    <row r="807" spans="1:10" x14ac:dyDescent="0.25">
      <c r="A807">
        <v>21</v>
      </c>
      <c r="B807" t="s">
        <v>19</v>
      </c>
      <c r="C807">
        <v>0</v>
      </c>
      <c r="D807">
        <v>0</v>
      </c>
      <c r="E807">
        <v>0</v>
      </c>
      <c r="F807">
        <v>7360</v>
      </c>
      <c r="G807">
        <v>1750</v>
      </c>
      <c r="H807">
        <v>0</v>
      </c>
      <c r="J807" t="str">
        <f>VLOOKUP(Table3[[#This Row],[Faction ID]],Table4[],2)</f>
        <v>Feredrim</v>
      </c>
    </row>
    <row r="808" spans="1:10" x14ac:dyDescent="0.25">
      <c r="A808">
        <v>21</v>
      </c>
      <c r="B808" t="s">
        <v>26</v>
      </c>
      <c r="C808">
        <v>0</v>
      </c>
      <c r="D808">
        <v>0</v>
      </c>
      <c r="E808">
        <v>0</v>
      </c>
      <c r="F808">
        <v>6395</v>
      </c>
      <c r="G808">
        <v>1750</v>
      </c>
      <c r="H808">
        <v>0</v>
      </c>
      <c r="J808" t="str">
        <f>VLOOKUP(Table3[[#This Row],[Faction ID]],Table4[],2)</f>
        <v>Rachrohir (Wainriders)</v>
      </c>
    </row>
    <row r="809" spans="1:10" x14ac:dyDescent="0.25">
      <c r="A809">
        <v>21</v>
      </c>
      <c r="B809" t="s">
        <v>27</v>
      </c>
      <c r="C809">
        <v>5</v>
      </c>
      <c r="D809">
        <v>3</v>
      </c>
      <c r="E809">
        <v>35</v>
      </c>
      <c r="F809">
        <v>24216</v>
      </c>
      <c r="G809">
        <v>6251</v>
      </c>
      <c r="H809">
        <v>0</v>
      </c>
      <c r="J809" t="str">
        <f>VLOOKUP(Table3[[#This Row],[Faction ID]],Table4[],2)</f>
        <v>Blacklock-Stonefoot League</v>
      </c>
    </row>
    <row r="810" spans="1:10" x14ac:dyDescent="0.25">
      <c r="A810">
        <v>21</v>
      </c>
      <c r="B810" t="s">
        <v>28</v>
      </c>
      <c r="C810">
        <v>4</v>
      </c>
      <c r="D810">
        <v>2</v>
      </c>
      <c r="E810">
        <v>26</v>
      </c>
      <c r="F810">
        <v>22809</v>
      </c>
      <c r="G810">
        <v>4782</v>
      </c>
      <c r="H810">
        <v>0</v>
      </c>
      <c r="J810" t="str">
        <f>VLOOKUP(Table3[[#This Row],[Faction ID]],Table4[],2)</f>
        <v>Ironfist-Stiffbeard Union</v>
      </c>
    </row>
    <row r="811" spans="1:10" x14ac:dyDescent="0.25">
      <c r="A811">
        <v>21</v>
      </c>
      <c r="B811" t="s">
        <v>20</v>
      </c>
      <c r="C811">
        <v>50</v>
      </c>
      <c r="D811">
        <v>7</v>
      </c>
      <c r="E811">
        <v>109</v>
      </c>
      <c r="F811">
        <v>11631</v>
      </c>
      <c r="G811">
        <v>11307</v>
      </c>
      <c r="H811">
        <v>0</v>
      </c>
      <c r="J811" t="str">
        <f>VLOOKUP(Table3[[#This Row],[Faction ID]],Table4[],2)</f>
        <v>Gundabad</v>
      </c>
    </row>
    <row r="812" spans="1:10" x14ac:dyDescent="0.25">
      <c r="A812">
        <v>21</v>
      </c>
      <c r="B812" t="s">
        <v>34</v>
      </c>
      <c r="C812">
        <v>0</v>
      </c>
      <c r="D812">
        <v>0</v>
      </c>
      <c r="E812">
        <v>3</v>
      </c>
      <c r="F812">
        <v>26420</v>
      </c>
      <c r="G812">
        <v>2379</v>
      </c>
      <c r="H812">
        <v>0</v>
      </c>
      <c r="J812" t="str">
        <f>VLOOKUP(Table3[[#This Row],[Faction ID]],Table4[],2)</f>
        <v>Scouts of Rohan</v>
      </c>
    </row>
    <row r="813" spans="1:10" x14ac:dyDescent="0.25">
      <c r="A813">
        <v>21</v>
      </c>
      <c r="B813" t="s">
        <v>33</v>
      </c>
      <c r="C813">
        <v>5</v>
      </c>
      <c r="D813">
        <v>3</v>
      </c>
      <c r="E813">
        <v>29</v>
      </c>
      <c r="F813">
        <v>11736</v>
      </c>
      <c r="G813">
        <v>4615</v>
      </c>
      <c r="H813">
        <v>0</v>
      </c>
      <c r="J813" t="str">
        <f>VLOOKUP(Table3[[#This Row],[Faction ID]],Table4[],2)</f>
        <v>Northern Enedwaith</v>
      </c>
    </row>
    <row r="814" spans="1:10" x14ac:dyDescent="0.25">
      <c r="A814">
        <v>21</v>
      </c>
      <c r="B814" t="s">
        <v>29</v>
      </c>
      <c r="C814">
        <v>3</v>
      </c>
      <c r="D814">
        <v>2</v>
      </c>
      <c r="E814">
        <v>17</v>
      </c>
      <c r="F814">
        <v>17797</v>
      </c>
      <c r="G814">
        <v>3820</v>
      </c>
      <c r="H814">
        <v>0</v>
      </c>
      <c r="J814" t="str">
        <f>VLOOKUP(Table3[[#This Row],[Faction ID]],Table4[],2)</f>
        <v>Southern Enedwaith</v>
      </c>
    </row>
    <row r="815" spans="1:10" x14ac:dyDescent="0.25">
      <c r="A815">
        <v>21</v>
      </c>
      <c r="B815" t="s">
        <v>30</v>
      </c>
      <c r="C815">
        <v>5</v>
      </c>
      <c r="D815">
        <v>3</v>
      </c>
      <c r="E815">
        <v>29</v>
      </c>
      <c r="F815">
        <v>23680</v>
      </c>
      <c r="G815">
        <v>4344</v>
      </c>
      <c r="H815">
        <v>0</v>
      </c>
      <c r="J815" t="str">
        <f>VLOOKUP(Table3[[#This Row],[Faction ID]],Table4[],2)</f>
        <v>Druedain</v>
      </c>
    </row>
    <row r="816" spans="1:10" x14ac:dyDescent="0.25">
      <c r="A816">
        <v>21</v>
      </c>
      <c r="B816" t="s">
        <v>31</v>
      </c>
      <c r="C816">
        <v>3</v>
      </c>
      <c r="D816">
        <v>1</v>
      </c>
      <c r="E816">
        <v>22</v>
      </c>
      <c r="F816">
        <v>6488</v>
      </c>
      <c r="G816">
        <v>4422</v>
      </c>
      <c r="H816">
        <v>149</v>
      </c>
      <c r="J816" t="str">
        <f>VLOOKUP(Table3[[#This Row],[Faction ID]],Table4[],2)</f>
        <v>Harondor</v>
      </c>
    </row>
    <row r="817" spans="1:10" x14ac:dyDescent="0.25">
      <c r="A817">
        <v>21</v>
      </c>
      <c r="B817" t="s">
        <v>35</v>
      </c>
      <c r="C817">
        <v>0</v>
      </c>
      <c r="D817">
        <v>0</v>
      </c>
      <c r="E817">
        <v>0</v>
      </c>
      <c r="F817">
        <v>4000</v>
      </c>
      <c r="G817">
        <v>1750</v>
      </c>
      <c r="H817">
        <v>0</v>
      </c>
      <c r="J817" t="str">
        <f>VLOOKUP(Table3[[#This Row],[Faction ID]],Table4[],2)</f>
        <v>Southron Nomads</v>
      </c>
    </row>
    <row r="818" spans="1:10" x14ac:dyDescent="0.25">
      <c r="A818">
        <v>21</v>
      </c>
      <c r="B818" t="s">
        <v>36</v>
      </c>
      <c r="C818">
        <v>0</v>
      </c>
      <c r="D818">
        <v>0</v>
      </c>
      <c r="E818">
        <v>0</v>
      </c>
      <c r="F818">
        <v>4000</v>
      </c>
      <c r="G818">
        <v>1750</v>
      </c>
      <c r="H818">
        <v>0</v>
      </c>
      <c r="J818" t="str">
        <f>VLOOKUP(Table3[[#This Row],[Faction ID]],Table4[],2)</f>
        <v>_</v>
      </c>
    </row>
    <row r="819" spans="1:10" x14ac:dyDescent="0.25">
      <c r="A819">
        <v>21</v>
      </c>
      <c r="B819" t="s">
        <v>37</v>
      </c>
      <c r="C819">
        <v>0</v>
      </c>
      <c r="D819">
        <v>0</v>
      </c>
      <c r="E819">
        <v>0</v>
      </c>
      <c r="F819">
        <v>4000</v>
      </c>
      <c r="G819">
        <v>1750</v>
      </c>
      <c r="H819">
        <v>0</v>
      </c>
      <c r="J819" t="str">
        <f>VLOOKUP(Table3[[#This Row],[Faction ID]],Table4[],2)</f>
        <v>_</v>
      </c>
    </row>
    <row r="820" spans="1:10" x14ac:dyDescent="0.25">
      <c r="A820">
        <v>21</v>
      </c>
      <c r="B820" t="s">
        <v>38</v>
      </c>
      <c r="C820">
        <v>0</v>
      </c>
      <c r="D820">
        <v>0</v>
      </c>
      <c r="E820">
        <v>0</v>
      </c>
      <c r="F820">
        <v>4000</v>
      </c>
      <c r="G820">
        <v>1750</v>
      </c>
      <c r="H820">
        <v>0</v>
      </c>
      <c r="J820" t="str">
        <f>VLOOKUP(Table3[[#This Row],[Faction ID]],Table4[],2)</f>
        <v>_</v>
      </c>
    </row>
    <row r="821" spans="1:10" x14ac:dyDescent="0.25">
      <c r="A821">
        <v>21</v>
      </c>
      <c r="B821" t="s">
        <v>39</v>
      </c>
      <c r="C821">
        <v>0</v>
      </c>
      <c r="D821">
        <v>0</v>
      </c>
      <c r="E821">
        <v>0</v>
      </c>
      <c r="F821">
        <v>4000</v>
      </c>
      <c r="G821">
        <v>1750</v>
      </c>
      <c r="H821">
        <v>0</v>
      </c>
      <c r="J821" t="str">
        <f>VLOOKUP(Table3[[#This Row],[Faction ID]],Table4[],2)</f>
        <v>_</v>
      </c>
    </row>
    <row r="822" spans="1:10" x14ac:dyDescent="0.25">
      <c r="A822">
        <v>21</v>
      </c>
      <c r="B822" t="s">
        <v>40</v>
      </c>
      <c r="C822">
        <v>0</v>
      </c>
      <c r="D822">
        <v>0</v>
      </c>
      <c r="E822">
        <v>0</v>
      </c>
      <c r="F822">
        <v>4000</v>
      </c>
      <c r="G822">
        <v>1750</v>
      </c>
      <c r="H822">
        <v>0</v>
      </c>
      <c r="J822" t="str">
        <f>VLOOKUP(Table3[[#This Row],[Faction ID]],Table4[],2)</f>
        <v>_</v>
      </c>
    </row>
    <row r="823" spans="1:10" x14ac:dyDescent="0.25">
      <c r="A823">
        <v>21</v>
      </c>
      <c r="B823" t="s">
        <v>41</v>
      </c>
      <c r="C823">
        <v>0</v>
      </c>
      <c r="D823">
        <v>0</v>
      </c>
      <c r="E823">
        <v>0</v>
      </c>
      <c r="F823">
        <v>4000</v>
      </c>
      <c r="G823">
        <v>1750</v>
      </c>
      <c r="H823">
        <v>0</v>
      </c>
      <c r="J823" t="str">
        <f>VLOOKUP(Table3[[#This Row],[Faction ID]],Table4[],2)</f>
        <v>_</v>
      </c>
    </row>
    <row r="824" spans="1:10" x14ac:dyDescent="0.25">
      <c r="A824">
        <v>21</v>
      </c>
      <c r="B824" t="s">
        <v>42</v>
      </c>
      <c r="C824">
        <v>0</v>
      </c>
      <c r="D824">
        <v>0</v>
      </c>
      <c r="E824">
        <v>0</v>
      </c>
      <c r="F824">
        <v>4000</v>
      </c>
      <c r="G824">
        <v>1750</v>
      </c>
      <c r="H824">
        <v>0</v>
      </c>
      <c r="J824" t="str">
        <f>VLOOKUP(Table3[[#This Row],[Faction ID]],Table4[],2)</f>
        <v>_</v>
      </c>
    </row>
    <row r="825" spans="1:10" x14ac:dyDescent="0.25">
      <c r="A825">
        <v>21</v>
      </c>
      <c r="B825" t="s">
        <v>43</v>
      </c>
      <c r="C825">
        <v>0</v>
      </c>
      <c r="D825">
        <v>0</v>
      </c>
      <c r="E825">
        <v>0</v>
      </c>
      <c r="F825">
        <v>4000</v>
      </c>
      <c r="G825">
        <v>1750</v>
      </c>
      <c r="H825">
        <v>0</v>
      </c>
      <c r="J825" t="str">
        <f>VLOOKUP(Table3[[#This Row],[Faction ID]],Table4[],2)</f>
        <v>_</v>
      </c>
    </row>
    <row r="826" spans="1:10" x14ac:dyDescent="0.25">
      <c r="A826">
        <v>21</v>
      </c>
      <c r="B826" t="s">
        <v>44</v>
      </c>
      <c r="C826">
        <v>0</v>
      </c>
      <c r="D826">
        <v>0</v>
      </c>
      <c r="E826">
        <v>0</v>
      </c>
      <c r="F826">
        <v>4000</v>
      </c>
      <c r="G826">
        <v>1750</v>
      </c>
      <c r="H826">
        <v>0</v>
      </c>
      <c r="J826" t="str">
        <f>VLOOKUP(Table3[[#This Row],[Faction ID]],Table4[],2)</f>
        <v>_</v>
      </c>
    </row>
    <row r="827" spans="1:10" x14ac:dyDescent="0.25">
      <c r="A827">
        <v>22</v>
      </c>
      <c r="B827" t="s">
        <v>9</v>
      </c>
      <c r="C827">
        <v>104</v>
      </c>
      <c r="D827">
        <v>17</v>
      </c>
      <c r="E827">
        <v>157.69999999999999</v>
      </c>
      <c r="F827">
        <v>888</v>
      </c>
      <c r="G827">
        <v>16016</v>
      </c>
      <c r="H827">
        <v>873</v>
      </c>
      <c r="J827" t="str">
        <f>VLOOKUP(Table3[[#This Row],[Faction ID]],Table4[],2)</f>
        <v>Mordor</v>
      </c>
    </row>
    <row r="828" spans="1:10" x14ac:dyDescent="0.25">
      <c r="A828">
        <v>22</v>
      </c>
      <c r="B828" t="s">
        <v>4</v>
      </c>
      <c r="C828">
        <v>80</v>
      </c>
      <c r="D828">
        <v>13</v>
      </c>
      <c r="E828">
        <v>159</v>
      </c>
      <c r="F828">
        <v>24971</v>
      </c>
      <c r="G828">
        <v>18157</v>
      </c>
      <c r="H828">
        <v>0</v>
      </c>
      <c r="J828" t="str">
        <f>VLOOKUP(Table3[[#This Row],[Faction ID]],Table4[],2)</f>
        <v>Gondor</v>
      </c>
    </row>
    <row r="829" spans="1:10" x14ac:dyDescent="0.25">
      <c r="A829">
        <v>22</v>
      </c>
      <c r="B829" t="s">
        <v>6</v>
      </c>
      <c r="C829">
        <v>63</v>
      </c>
      <c r="D829">
        <v>9</v>
      </c>
      <c r="E829">
        <v>100.4</v>
      </c>
      <c r="F829">
        <v>9507</v>
      </c>
      <c r="G829">
        <v>13275</v>
      </c>
      <c r="H829">
        <v>231</v>
      </c>
      <c r="J829" t="str">
        <f>VLOOKUP(Table3[[#This Row],[Faction ID]],Table4[],2)</f>
        <v>Dale</v>
      </c>
    </row>
    <row r="830" spans="1:10" x14ac:dyDescent="0.25">
      <c r="A830">
        <v>22</v>
      </c>
      <c r="B830" t="s">
        <v>21</v>
      </c>
      <c r="C830">
        <v>69</v>
      </c>
      <c r="D830">
        <v>4</v>
      </c>
      <c r="E830">
        <v>68</v>
      </c>
      <c r="F830">
        <v>25106</v>
      </c>
      <c r="G830">
        <v>13081</v>
      </c>
      <c r="H830">
        <v>683</v>
      </c>
      <c r="J830" t="str">
        <f>VLOOKUP(Table3[[#This Row],[Faction ID]],Table4[],2)</f>
        <v>Erebor</v>
      </c>
    </row>
    <row r="831" spans="1:10" x14ac:dyDescent="0.25">
      <c r="A831">
        <v>22</v>
      </c>
      <c r="B831" t="s">
        <v>5</v>
      </c>
      <c r="C831">
        <v>64</v>
      </c>
      <c r="D831">
        <v>12</v>
      </c>
      <c r="E831">
        <v>100</v>
      </c>
      <c r="F831">
        <v>14621</v>
      </c>
      <c r="G831">
        <v>13246</v>
      </c>
      <c r="H831">
        <v>0</v>
      </c>
      <c r="J831" t="str">
        <f>VLOOKUP(Table3[[#This Row],[Faction ID]],Table4[],2)</f>
        <v>Rohan</v>
      </c>
    </row>
    <row r="832" spans="1:10" x14ac:dyDescent="0.25">
      <c r="A832">
        <v>22</v>
      </c>
      <c r="B832" t="s">
        <v>12</v>
      </c>
      <c r="C832">
        <v>69</v>
      </c>
      <c r="D832">
        <v>11</v>
      </c>
      <c r="E832">
        <v>106</v>
      </c>
      <c r="F832">
        <v>18135</v>
      </c>
      <c r="G832">
        <v>15101</v>
      </c>
      <c r="H832">
        <v>577</v>
      </c>
      <c r="J832" t="str">
        <f>VLOOKUP(Table3[[#This Row],[Faction ID]],Table4[],2)</f>
        <v>Dol Guldur</v>
      </c>
    </row>
    <row r="833" spans="1:10" x14ac:dyDescent="0.25">
      <c r="A833">
        <v>22</v>
      </c>
      <c r="B833" t="s">
        <v>10</v>
      </c>
      <c r="C833">
        <v>47</v>
      </c>
      <c r="D833">
        <v>8</v>
      </c>
      <c r="E833">
        <v>75</v>
      </c>
      <c r="F833">
        <v>5606</v>
      </c>
      <c r="G833">
        <v>7198</v>
      </c>
      <c r="H833">
        <v>0</v>
      </c>
      <c r="J833" t="str">
        <f>VLOOKUP(Table3[[#This Row],[Faction ID]],Table4[],2)</f>
        <v>Anduin Vale</v>
      </c>
    </row>
    <row r="834" spans="1:10" x14ac:dyDescent="0.25">
      <c r="A834">
        <v>22</v>
      </c>
      <c r="B834" t="s">
        <v>32</v>
      </c>
      <c r="C834">
        <v>61</v>
      </c>
      <c r="D834">
        <v>3</v>
      </c>
      <c r="E834">
        <v>62.9</v>
      </c>
      <c r="F834">
        <v>12872</v>
      </c>
      <c r="G834">
        <v>10498</v>
      </c>
      <c r="H834">
        <v>381</v>
      </c>
      <c r="J834" t="str">
        <f>VLOOKUP(Table3[[#This Row],[Faction ID]],Table4[],2)</f>
        <v>Isengard</v>
      </c>
    </row>
    <row r="835" spans="1:10" x14ac:dyDescent="0.25">
      <c r="A835">
        <v>22</v>
      </c>
      <c r="B835" t="s">
        <v>22</v>
      </c>
      <c r="C835">
        <v>30</v>
      </c>
      <c r="D835">
        <v>0</v>
      </c>
      <c r="E835">
        <v>0</v>
      </c>
      <c r="F835">
        <v>8475</v>
      </c>
      <c r="G835">
        <v>2500</v>
      </c>
      <c r="H835">
        <v>0</v>
      </c>
      <c r="J835" t="str">
        <f>VLOOKUP(Table3[[#This Row],[Faction ID]],Table4[],2)</f>
        <v>Woodland Realm</v>
      </c>
    </row>
    <row r="836" spans="1:10" x14ac:dyDescent="0.25">
      <c r="A836">
        <v>22</v>
      </c>
      <c r="B836" t="s">
        <v>23</v>
      </c>
      <c r="C836">
        <v>39</v>
      </c>
      <c r="D836">
        <v>3</v>
      </c>
      <c r="E836">
        <v>21</v>
      </c>
      <c r="F836">
        <v>13367</v>
      </c>
      <c r="G836">
        <v>6767</v>
      </c>
      <c r="H836">
        <v>0</v>
      </c>
      <c r="J836" t="str">
        <f>VLOOKUP(Table3[[#This Row],[Faction ID]],Table4[],2)</f>
        <v>Lothlorien</v>
      </c>
    </row>
    <row r="837" spans="1:10" x14ac:dyDescent="0.25">
      <c r="A837">
        <v>22</v>
      </c>
      <c r="B837" t="s">
        <v>24</v>
      </c>
      <c r="C837">
        <v>8</v>
      </c>
      <c r="D837">
        <v>5</v>
      </c>
      <c r="E837">
        <v>54</v>
      </c>
      <c r="F837">
        <v>7197</v>
      </c>
      <c r="G837">
        <v>7582</v>
      </c>
      <c r="H837">
        <v>259</v>
      </c>
      <c r="J837" t="str">
        <f>VLOOKUP(Table3[[#This Row],[Faction ID]],Table4[],2)</f>
        <v>Variags (Khand)</v>
      </c>
    </row>
    <row r="838" spans="1:10" x14ac:dyDescent="0.25">
      <c r="A838">
        <v>22</v>
      </c>
      <c r="B838" t="s">
        <v>14</v>
      </c>
      <c r="C838">
        <v>8</v>
      </c>
      <c r="D838">
        <v>6</v>
      </c>
      <c r="E838">
        <v>65.3</v>
      </c>
      <c r="F838">
        <v>12041</v>
      </c>
      <c r="G838">
        <v>10814</v>
      </c>
      <c r="H838">
        <v>892</v>
      </c>
      <c r="J838" t="str">
        <f>VLOOKUP(Table3[[#This Row],[Faction ID]],Table4[],2)</f>
        <v>Corsairs of Umbar</v>
      </c>
    </row>
    <row r="839" spans="1:10" x14ac:dyDescent="0.25">
      <c r="A839">
        <v>22</v>
      </c>
      <c r="B839" t="s">
        <v>25</v>
      </c>
      <c r="C839">
        <v>5</v>
      </c>
      <c r="D839">
        <v>3</v>
      </c>
      <c r="E839">
        <v>41</v>
      </c>
      <c r="F839">
        <v>15264</v>
      </c>
      <c r="G839">
        <v>6095</v>
      </c>
      <c r="H839">
        <v>0</v>
      </c>
      <c r="J839" t="str">
        <f>VLOOKUP(Table3[[#This Row],[Faction ID]],Table4[],2)</f>
        <v>Mahud</v>
      </c>
    </row>
    <row r="840" spans="1:10" x14ac:dyDescent="0.25">
      <c r="A840">
        <v>22</v>
      </c>
      <c r="B840" t="s">
        <v>11</v>
      </c>
      <c r="C840">
        <v>43</v>
      </c>
      <c r="D840">
        <v>4</v>
      </c>
      <c r="E840">
        <v>59</v>
      </c>
      <c r="F840">
        <v>15513</v>
      </c>
      <c r="G840">
        <v>9765</v>
      </c>
      <c r="H840">
        <v>0</v>
      </c>
      <c r="J840" t="str">
        <f>VLOOKUP(Table3[[#This Row],[Faction ID]],Table4[],2)</f>
        <v>Haradrim</v>
      </c>
    </row>
    <row r="841" spans="1:10" x14ac:dyDescent="0.25">
      <c r="A841">
        <v>22</v>
      </c>
      <c r="B841" t="s">
        <v>15</v>
      </c>
      <c r="C841">
        <v>44</v>
      </c>
      <c r="D841">
        <v>4</v>
      </c>
      <c r="E841">
        <v>57.9</v>
      </c>
      <c r="F841">
        <v>15579</v>
      </c>
      <c r="G841">
        <v>9769</v>
      </c>
      <c r="H841">
        <v>430</v>
      </c>
      <c r="J841" t="str">
        <f>VLOOKUP(Table3[[#This Row],[Faction ID]],Table4[],2)</f>
        <v>Dunlendings</v>
      </c>
    </row>
    <row r="842" spans="1:10" x14ac:dyDescent="0.25">
      <c r="A842">
        <v>22</v>
      </c>
      <c r="B842" t="s">
        <v>16</v>
      </c>
      <c r="C842">
        <v>0</v>
      </c>
      <c r="D842">
        <v>0</v>
      </c>
      <c r="E842">
        <v>0</v>
      </c>
      <c r="F842">
        <v>5352</v>
      </c>
      <c r="G842">
        <v>1750</v>
      </c>
      <c r="H842">
        <v>0</v>
      </c>
      <c r="J842" t="str">
        <f>VLOOKUP(Table3[[#This Row],[Faction ID]],Table4[],2)</f>
        <v>Haerrim</v>
      </c>
    </row>
    <row r="843" spans="1:10" x14ac:dyDescent="0.25">
      <c r="A843">
        <v>22</v>
      </c>
      <c r="B843" t="s">
        <v>13</v>
      </c>
      <c r="C843">
        <v>75</v>
      </c>
      <c r="D843">
        <v>8</v>
      </c>
      <c r="E843">
        <v>124.9</v>
      </c>
      <c r="F843">
        <v>12018</v>
      </c>
      <c r="G843">
        <v>15474</v>
      </c>
      <c r="H843">
        <v>817</v>
      </c>
      <c r="J843" t="str">
        <f>VLOOKUP(Table3[[#This Row],[Faction ID]],Table4[],2)</f>
        <v>Goblins</v>
      </c>
    </row>
    <row r="844" spans="1:10" x14ac:dyDescent="0.25">
      <c r="A844">
        <v>22</v>
      </c>
      <c r="B844" t="s">
        <v>17</v>
      </c>
      <c r="C844">
        <v>0</v>
      </c>
      <c r="D844">
        <v>0</v>
      </c>
      <c r="E844">
        <v>0</v>
      </c>
      <c r="F844">
        <v>4872</v>
      </c>
      <c r="G844">
        <v>1750</v>
      </c>
      <c r="H844">
        <v>0</v>
      </c>
      <c r="J844" t="str">
        <f>VLOOKUP(Table3[[#This Row],[Faction ID]],Table4[],2)</f>
        <v>Balchoth</v>
      </c>
    </row>
    <row r="845" spans="1:10" x14ac:dyDescent="0.25">
      <c r="A845">
        <v>22</v>
      </c>
      <c r="B845" t="s">
        <v>18</v>
      </c>
      <c r="C845">
        <v>72</v>
      </c>
      <c r="D845">
        <v>24</v>
      </c>
      <c r="E845">
        <v>248.8</v>
      </c>
      <c r="F845">
        <v>22166</v>
      </c>
      <c r="G845">
        <v>22083</v>
      </c>
      <c r="H845">
        <v>801</v>
      </c>
      <c r="J845" t="str">
        <f>VLOOKUP(Table3[[#This Row],[Faction ID]],Table4[],2)</f>
        <v>Rhurim/Rhun</v>
      </c>
    </row>
    <row r="846" spans="1:10" x14ac:dyDescent="0.25">
      <c r="A846">
        <v>22</v>
      </c>
      <c r="B846" t="s">
        <v>19</v>
      </c>
      <c r="C846">
        <v>0</v>
      </c>
      <c r="D846">
        <v>0</v>
      </c>
      <c r="E846">
        <v>0</v>
      </c>
      <c r="F846">
        <v>7360</v>
      </c>
      <c r="G846">
        <v>1750</v>
      </c>
      <c r="H846">
        <v>0</v>
      </c>
      <c r="J846" t="str">
        <f>VLOOKUP(Table3[[#This Row],[Faction ID]],Table4[],2)</f>
        <v>Feredrim</v>
      </c>
    </row>
    <row r="847" spans="1:10" x14ac:dyDescent="0.25">
      <c r="A847">
        <v>22</v>
      </c>
      <c r="B847" t="s">
        <v>26</v>
      </c>
      <c r="C847">
        <v>0</v>
      </c>
      <c r="D847">
        <v>0</v>
      </c>
      <c r="E847">
        <v>0</v>
      </c>
      <c r="F847">
        <v>6395</v>
      </c>
      <c r="G847">
        <v>1750</v>
      </c>
      <c r="H847">
        <v>0</v>
      </c>
      <c r="J847" t="str">
        <f>VLOOKUP(Table3[[#This Row],[Faction ID]],Table4[],2)</f>
        <v>Rachrohir (Wainriders)</v>
      </c>
    </row>
    <row r="848" spans="1:10" x14ac:dyDescent="0.25">
      <c r="A848">
        <v>22</v>
      </c>
      <c r="B848" t="s">
        <v>27</v>
      </c>
      <c r="C848">
        <v>5</v>
      </c>
      <c r="D848">
        <v>3</v>
      </c>
      <c r="E848">
        <v>35</v>
      </c>
      <c r="F848">
        <v>26297</v>
      </c>
      <c r="G848">
        <v>6251</v>
      </c>
      <c r="H848">
        <v>0</v>
      </c>
      <c r="J848" t="str">
        <f>VLOOKUP(Table3[[#This Row],[Faction ID]],Table4[],2)</f>
        <v>Blacklock-Stonefoot League</v>
      </c>
    </row>
    <row r="849" spans="1:10" x14ac:dyDescent="0.25">
      <c r="A849">
        <v>22</v>
      </c>
      <c r="B849" t="s">
        <v>28</v>
      </c>
      <c r="C849">
        <v>4</v>
      </c>
      <c r="D849">
        <v>2</v>
      </c>
      <c r="E849">
        <v>26</v>
      </c>
      <c r="F849">
        <v>21596</v>
      </c>
      <c r="G849">
        <v>4924</v>
      </c>
      <c r="H849">
        <v>0</v>
      </c>
      <c r="J849" t="str">
        <f>VLOOKUP(Table3[[#This Row],[Faction ID]],Table4[],2)</f>
        <v>Ironfist-Stiffbeard Union</v>
      </c>
    </row>
    <row r="850" spans="1:10" x14ac:dyDescent="0.25">
      <c r="A850">
        <v>22</v>
      </c>
      <c r="B850" t="s">
        <v>20</v>
      </c>
      <c r="C850">
        <v>55</v>
      </c>
      <c r="D850">
        <v>7</v>
      </c>
      <c r="E850">
        <v>110.2</v>
      </c>
      <c r="F850">
        <v>8706</v>
      </c>
      <c r="G850">
        <v>13592</v>
      </c>
      <c r="H850">
        <v>0</v>
      </c>
      <c r="J850" t="str">
        <f>VLOOKUP(Table3[[#This Row],[Faction ID]],Table4[],2)</f>
        <v>Gundabad</v>
      </c>
    </row>
    <row r="851" spans="1:10" x14ac:dyDescent="0.25">
      <c r="A851">
        <v>22</v>
      </c>
      <c r="B851" t="s">
        <v>34</v>
      </c>
      <c r="C851">
        <v>0</v>
      </c>
      <c r="D851">
        <v>0</v>
      </c>
      <c r="E851">
        <v>3</v>
      </c>
      <c r="F851">
        <v>27541</v>
      </c>
      <c r="G851">
        <v>2379</v>
      </c>
      <c r="H851">
        <v>0</v>
      </c>
      <c r="J851" t="str">
        <f>VLOOKUP(Table3[[#This Row],[Faction ID]],Table4[],2)</f>
        <v>Scouts of Rohan</v>
      </c>
    </row>
    <row r="852" spans="1:10" x14ac:dyDescent="0.25">
      <c r="A852">
        <v>22</v>
      </c>
      <c r="B852" t="s">
        <v>33</v>
      </c>
      <c r="C852">
        <v>5</v>
      </c>
      <c r="D852">
        <v>3</v>
      </c>
      <c r="E852">
        <v>29</v>
      </c>
      <c r="F852">
        <v>13663</v>
      </c>
      <c r="G852">
        <v>4793</v>
      </c>
      <c r="H852">
        <v>0</v>
      </c>
      <c r="J852" t="str">
        <f>VLOOKUP(Table3[[#This Row],[Faction ID]],Table4[],2)</f>
        <v>Northern Enedwaith</v>
      </c>
    </row>
    <row r="853" spans="1:10" x14ac:dyDescent="0.25">
      <c r="A853">
        <v>22</v>
      </c>
      <c r="B853" t="s">
        <v>29</v>
      </c>
      <c r="C853">
        <v>3</v>
      </c>
      <c r="D853">
        <v>2</v>
      </c>
      <c r="E853">
        <v>16</v>
      </c>
      <c r="F853">
        <v>19282</v>
      </c>
      <c r="G853">
        <v>3914</v>
      </c>
      <c r="H853">
        <v>0</v>
      </c>
      <c r="J853" t="str">
        <f>VLOOKUP(Table3[[#This Row],[Faction ID]],Table4[],2)</f>
        <v>Southern Enedwaith</v>
      </c>
    </row>
    <row r="854" spans="1:10" x14ac:dyDescent="0.25">
      <c r="A854">
        <v>22</v>
      </c>
      <c r="B854" t="s">
        <v>30</v>
      </c>
      <c r="C854">
        <v>5</v>
      </c>
      <c r="D854">
        <v>3</v>
      </c>
      <c r="E854">
        <v>29</v>
      </c>
      <c r="F854">
        <v>25088</v>
      </c>
      <c r="G854">
        <v>4344</v>
      </c>
      <c r="H854">
        <v>0</v>
      </c>
      <c r="J854" t="str">
        <f>VLOOKUP(Table3[[#This Row],[Faction ID]],Table4[],2)</f>
        <v>Druedain</v>
      </c>
    </row>
    <row r="855" spans="1:10" x14ac:dyDescent="0.25">
      <c r="A855">
        <v>22</v>
      </c>
      <c r="B855" t="s">
        <v>31</v>
      </c>
      <c r="C855">
        <v>3</v>
      </c>
      <c r="D855">
        <v>1</v>
      </c>
      <c r="E855">
        <v>21</v>
      </c>
      <c r="F855">
        <v>7523</v>
      </c>
      <c r="G855">
        <v>4493</v>
      </c>
      <c r="H855">
        <v>149</v>
      </c>
      <c r="J855" t="str">
        <f>VLOOKUP(Table3[[#This Row],[Faction ID]],Table4[],2)</f>
        <v>Harondor</v>
      </c>
    </row>
    <row r="856" spans="1:10" x14ac:dyDescent="0.25">
      <c r="A856">
        <v>22</v>
      </c>
      <c r="B856" t="s">
        <v>35</v>
      </c>
      <c r="C856">
        <v>0</v>
      </c>
      <c r="D856">
        <v>0</v>
      </c>
      <c r="E856">
        <v>0</v>
      </c>
      <c r="F856">
        <v>4000</v>
      </c>
      <c r="G856">
        <v>1750</v>
      </c>
      <c r="H856">
        <v>0</v>
      </c>
      <c r="J856" t="str">
        <f>VLOOKUP(Table3[[#This Row],[Faction ID]],Table4[],2)</f>
        <v>Southron Nomads</v>
      </c>
    </row>
    <row r="857" spans="1:10" x14ac:dyDescent="0.25">
      <c r="A857">
        <v>22</v>
      </c>
      <c r="B857" t="s">
        <v>36</v>
      </c>
      <c r="C857">
        <v>0</v>
      </c>
      <c r="D857">
        <v>0</v>
      </c>
      <c r="E857">
        <v>0</v>
      </c>
      <c r="F857">
        <v>4000</v>
      </c>
      <c r="G857">
        <v>1750</v>
      </c>
      <c r="H857">
        <v>0</v>
      </c>
      <c r="J857" t="str">
        <f>VLOOKUP(Table3[[#This Row],[Faction ID]],Table4[],2)</f>
        <v>_</v>
      </c>
    </row>
    <row r="858" spans="1:10" x14ac:dyDescent="0.25">
      <c r="A858">
        <v>22</v>
      </c>
      <c r="B858" t="s">
        <v>37</v>
      </c>
      <c r="C858">
        <v>0</v>
      </c>
      <c r="D858">
        <v>0</v>
      </c>
      <c r="E858">
        <v>0</v>
      </c>
      <c r="F858">
        <v>4000</v>
      </c>
      <c r="G858">
        <v>1750</v>
      </c>
      <c r="H858">
        <v>0</v>
      </c>
      <c r="J858" t="str">
        <f>VLOOKUP(Table3[[#This Row],[Faction ID]],Table4[],2)</f>
        <v>_</v>
      </c>
    </row>
    <row r="859" spans="1:10" x14ac:dyDescent="0.25">
      <c r="A859">
        <v>22</v>
      </c>
      <c r="B859" t="s">
        <v>38</v>
      </c>
      <c r="C859">
        <v>0</v>
      </c>
      <c r="D859">
        <v>0</v>
      </c>
      <c r="E859">
        <v>0</v>
      </c>
      <c r="F859">
        <v>4000</v>
      </c>
      <c r="G859">
        <v>1750</v>
      </c>
      <c r="H859">
        <v>0</v>
      </c>
      <c r="J859" t="str">
        <f>VLOOKUP(Table3[[#This Row],[Faction ID]],Table4[],2)</f>
        <v>_</v>
      </c>
    </row>
    <row r="860" spans="1:10" x14ac:dyDescent="0.25">
      <c r="A860">
        <v>22</v>
      </c>
      <c r="B860" t="s">
        <v>39</v>
      </c>
      <c r="C860">
        <v>0</v>
      </c>
      <c r="D860">
        <v>0</v>
      </c>
      <c r="E860">
        <v>0</v>
      </c>
      <c r="F860">
        <v>4000</v>
      </c>
      <c r="G860">
        <v>1750</v>
      </c>
      <c r="H860">
        <v>0</v>
      </c>
      <c r="J860" t="str">
        <f>VLOOKUP(Table3[[#This Row],[Faction ID]],Table4[],2)</f>
        <v>_</v>
      </c>
    </row>
    <row r="861" spans="1:10" x14ac:dyDescent="0.25">
      <c r="A861">
        <v>22</v>
      </c>
      <c r="B861" t="s">
        <v>40</v>
      </c>
      <c r="C861">
        <v>0</v>
      </c>
      <c r="D861">
        <v>0</v>
      </c>
      <c r="E861">
        <v>0</v>
      </c>
      <c r="F861">
        <v>4000</v>
      </c>
      <c r="G861">
        <v>1750</v>
      </c>
      <c r="H861">
        <v>0</v>
      </c>
      <c r="J861" t="str">
        <f>VLOOKUP(Table3[[#This Row],[Faction ID]],Table4[],2)</f>
        <v>_</v>
      </c>
    </row>
    <row r="862" spans="1:10" x14ac:dyDescent="0.25">
      <c r="A862">
        <v>22</v>
      </c>
      <c r="B862" t="s">
        <v>41</v>
      </c>
      <c r="C862">
        <v>0</v>
      </c>
      <c r="D862">
        <v>0</v>
      </c>
      <c r="E862">
        <v>0</v>
      </c>
      <c r="F862">
        <v>4000</v>
      </c>
      <c r="G862">
        <v>1750</v>
      </c>
      <c r="H862">
        <v>0</v>
      </c>
      <c r="J862" t="str">
        <f>VLOOKUP(Table3[[#This Row],[Faction ID]],Table4[],2)</f>
        <v>_</v>
      </c>
    </row>
    <row r="863" spans="1:10" x14ac:dyDescent="0.25">
      <c r="A863">
        <v>22</v>
      </c>
      <c r="B863" t="s">
        <v>42</v>
      </c>
      <c r="C863">
        <v>0</v>
      </c>
      <c r="D863">
        <v>0</v>
      </c>
      <c r="E863">
        <v>0</v>
      </c>
      <c r="F863">
        <v>4000</v>
      </c>
      <c r="G863">
        <v>1750</v>
      </c>
      <c r="H863">
        <v>0</v>
      </c>
      <c r="J863" t="str">
        <f>VLOOKUP(Table3[[#This Row],[Faction ID]],Table4[],2)</f>
        <v>_</v>
      </c>
    </row>
    <row r="864" spans="1:10" x14ac:dyDescent="0.25">
      <c r="A864">
        <v>22</v>
      </c>
      <c r="B864" t="s">
        <v>43</v>
      </c>
      <c r="C864">
        <v>0</v>
      </c>
      <c r="D864">
        <v>0</v>
      </c>
      <c r="E864">
        <v>0</v>
      </c>
      <c r="F864">
        <v>4000</v>
      </c>
      <c r="G864">
        <v>1750</v>
      </c>
      <c r="H864">
        <v>0</v>
      </c>
      <c r="J864" t="str">
        <f>VLOOKUP(Table3[[#This Row],[Faction ID]],Table4[],2)</f>
        <v>_</v>
      </c>
    </row>
    <row r="865" spans="1:10" x14ac:dyDescent="0.25">
      <c r="A865">
        <v>22</v>
      </c>
      <c r="B865" t="s">
        <v>44</v>
      </c>
      <c r="C865">
        <v>0</v>
      </c>
      <c r="D865">
        <v>0</v>
      </c>
      <c r="E865">
        <v>0</v>
      </c>
      <c r="F865">
        <v>4000</v>
      </c>
      <c r="G865">
        <v>1750</v>
      </c>
      <c r="H865">
        <v>0</v>
      </c>
      <c r="J865" t="str">
        <f>VLOOKUP(Table3[[#This Row],[Faction ID]],Table4[],2)</f>
        <v>_</v>
      </c>
    </row>
    <row r="866" spans="1:10" x14ac:dyDescent="0.25">
      <c r="A866">
        <v>23</v>
      </c>
      <c r="B866" t="s">
        <v>9</v>
      </c>
      <c r="C866">
        <v>104</v>
      </c>
      <c r="D866">
        <v>17</v>
      </c>
      <c r="E866">
        <v>157.69999999999999</v>
      </c>
      <c r="F866">
        <v>4903</v>
      </c>
      <c r="G866">
        <v>15854</v>
      </c>
      <c r="H866">
        <v>711</v>
      </c>
      <c r="J866" t="str">
        <f>VLOOKUP(Table3[[#This Row],[Faction ID]],Table4[],2)</f>
        <v>Mordor</v>
      </c>
    </row>
    <row r="867" spans="1:10" x14ac:dyDescent="0.25">
      <c r="A867">
        <v>23</v>
      </c>
      <c r="B867" t="s">
        <v>4</v>
      </c>
      <c r="C867">
        <v>95</v>
      </c>
      <c r="D867">
        <v>13</v>
      </c>
      <c r="E867">
        <v>160</v>
      </c>
      <c r="F867">
        <v>26047</v>
      </c>
      <c r="G867">
        <v>19644</v>
      </c>
      <c r="H867">
        <v>653</v>
      </c>
      <c r="J867" t="str">
        <f>VLOOKUP(Table3[[#This Row],[Faction ID]],Table4[],2)</f>
        <v>Gondor</v>
      </c>
    </row>
    <row r="868" spans="1:10" x14ac:dyDescent="0.25">
      <c r="A868">
        <v>23</v>
      </c>
      <c r="B868" t="s">
        <v>6</v>
      </c>
      <c r="C868">
        <v>62</v>
      </c>
      <c r="D868">
        <v>8</v>
      </c>
      <c r="E868">
        <v>99.4</v>
      </c>
      <c r="F868">
        <v>12428</v>
      </c>
      <c r="G868">
        <v>13904</v>
      </c>
      <c r="H868">
        <v>239</v>
      </c>
      <c r="J868" t="str">
        <f>VLOOKUP(Table3[[#This Row],[Faction ID]],Table4[],2)</f>
        <v>Dale</v>
      </c>
    </row>
    <row r="869" spans="1:10" x14ac:dyDescent="0.25">
      <c r="A869">
        <v>23</v>
      </c>
      <c r="B869" t="s">
        <v>21</v>
      </c>
      <c r="C869">
        <v>69</v>
      </c>
      <c r="D869">
        <v>4</v>
      </c>
      <c r="E869">
        <v>71</v>
      </c>
      <c r="F869">
        <v>27702</v>
      </c>
      <c r="G869">
        <v>14158</v>
      </c>
      <c r="H869">
        <v>689</v>
      </c>
      <c r="J869" t="str">
        <f>VLOOKUP(Table3[[#This Row],[Faction ID]],Table4[],2)</f>
        <v>Erebor</v>
      </c>
    </row>
    <row r="870" spans="1:10" x14ac:dyDescent="0.25">
      <c r="A870">
        <v>23</v>
      </c>
      <c r="B870" t="s">
        <v>5</v>
      </c>
      <c r="C870">
        <v>67</v>
      </c>
      <c r="D870">
        <v>11</v>
      </c>
      <c r="E870">
        <v>89</v>
      </c>
      <c r="F870">
        <v>18168</v>
      </c>
      <c r="G870">
        <v>13421</v>
      </c>
      <c r="H870">
        <v>508</v>
      </c>
      <c r="J870" t="str">
        <f>VLOOKUP(Table3[[#This Row],[Faction ID]],Table4[],2)</f>
        <v>Rohan</v>
      </c>
    </row>
    <row r="871" spans="1:10" x14ac:dyDescent="0.25">
      <c r="A871">
        <v>23</v>
      </c>
      <c r="B871" t="s">
        <v>12</v>
      </c>
      <c r="C871">
        <v>69</v>
      </c>
      <c r="D871">
        <v>11</v>
      </c>
      <c r="E871">
        <v>109</v>
      </c>
      <c r="F871">
        <v>16428</v>
      </c>
      <c r="G871">
        <v>15411</v>
      </c>
      <c r="H871">
        <v>582</v>
      </c>
      <c r="J871" t="str">
        <f>VLOOKUP(Table3[[#This Row],[Faction ID]],Table4[],2)</f>
        <v>Dol Guldur</v>
      </c>
    </row>
    <row r="872" spans="1:10" x14ac:dyDescent="0.25">
      <c r="A872">
        <v>23</v>
      </c>
      <c r="B872" t="s">
        <v>10</v>
      </c>
      <c r="C872">
        <v>51</v>
      </c>
      <c r="D872">
        <v>8</v>
      </c>
      <c r="E872">
        <v>75</v>
      </c>
      <c r="F872">
        <v>6996</v>
      </c>
      <c r="G872">
        <v>7816</v>
      </c>
      <c r="H872">
        <v>0</v>
      </c>
      <c r="J872" t="str">
        <f>VLOOKUP(Table3[[#This Row],[Faction ID]],Table4[],2)</f>
        <v>Anduin Vale</v>
      </c>
    </row>
    <row r="873" spans="1:10" x14ac:dyDescent="0.25">
      <c r="A873">
        <v>23</v>
      </c>
      <c r="B873" t="s">
        <v>32</v>
      </c>
      <c r="C873">
        <v>62</v>
      </c>
      <c r="D873">
        <v>4</v>
      </c>
      <c r="E873">
        <v>67</v>
      </c>
      <c r="F873">
        <v>15493</v>
      </c>
      <c r="G873">
        <v>10567</v>
      </c>
      <c r="H873">
        <v>383</v>
      </c>
      <c r="J873" t="str">
        <f>VLOOKUP(Table3[[#This Row],[Faction ID]],Table4[],2)</f>
        <v>Isengard</v>
      </c>
    </row>
    <row r="874" spans="1:10" x14ac:dyDescent="0.25">
      <c r="A874">
        <v>23</v>
      </c>
      <c r="B874" t="s">
        <v>22</v>
      </c>
      <c r="C874">
        <v>30</v>
      </c>
      <c r="D874">
        <v>0</v>
      </c>
      <c r="E874">
        <v>0</v>
      </c>
      <c r="F874">
        <v>8475</v>
      </c>
      <c r="G874">
        <v>2500</v>
      </c>
      <c r="H874">
        <v>0</v>
      </c>
      <c r="J874" t="str">
        <f>VLOOKUP(Table3[[#This Row],[Faction ID]],Table4[],2)</f>
        <v>Woodland Realm</v>
      </c>
    </row>
    <row r="875" spans="1:10" x14ac:dyDescent="0.25">
      <c r="A875">
        <v>23</v>
      </c>
      <c r="B875" t="s">
        <v>23</v>
      </c>
      <c r="C875">
        <v>39</v>
      </c>
      <c r="D875">
        <v>3</v>
      </c>
      <c r="E875">
        <v>30</v>
      </c>
      <c r="F875">
        <v>9823</v>
      </c>
      <c r="G875">
        <v>7134</v>
      </c>
      <c r="H875">
        <v>388</v>
      </c>
      <c r="J875" t="str">
        <f>VLOOKUP(Table3[[#This Row],[Faction ID]],Table4[],2)</f>
        <v>Lothlorien</v>
      </c>
    </row>
    <row r="876" spans="1:10" x14ac:dyDescent="0.25">
      <c r="A876">
        <v>23</v>
      </c>
      <c r="B876" t="s">
        <v>24</v>
      </c>
      <c r="C876">
        <v>8</v>
      </c>
      <c r="D876">
        <v>5</v>
      </c>
      <c r="E876">
        <v>56</v>
      </c>
      <c r="F876">
        <v>6286</v>
      </c>
      <c r="G876">
        <v>8010</v>
      </c>
      <c r="H876">
        <v>0</v>
      </c>
      <c r="J876" t="str">
        <f>VLOOKUP(Table3[[#This Row],[Faction ID]],Table4[],2)</f>
        <v>Variags (Khand)</v>
      </c>
    </row>
    <row r="877" spans="1:10" x14ac:dyDescent="0.25">
      <c r="A877">
        <v>23</v>
      </c>
      <c r="B877" t="s">
        <v>14</v>
      </c>
      <c r="C877">
        <v>8</v>
      </c>
      <c r="D877">
        <v>6</v>
      </c>
      <c r="E877">
        <v>64.3</v>
      </c>
      <c r="F877">
        <v>14007</v>
      </c>
      <c r="G877">
        <v>10710</v>
      </c>
      <c r="H877">
        <v>895</v>
      </c>
      <c r="J877" t="str">
        <f>VLOOKUP(Table3[[#This Row],[Faction ID]],Table4[],2)</f>
        <v>Corsairs of Umbar</v>
      </c>
    </row>
    <row r="878" spans="1:10" x14ac:dyDescent="0.25">
      <c r="A878">
        <v>23</v>
      </c>
      <c r="B878" t="s">
        <v>25</v>
      </c>
      <c r="C878">
        <v>5</v>
      </c>
      <c r="D878">
        <v>3</v>
      </c>
      <c r="E878">
        <v>41</v>
      </c>
      <c r="F878">
        <v>16373</v>
      </c>
      <c r="G878">
        <v>6095</v>
      </c>
      <c r="H878">
        <v>0</v>
      </c>
      <c r="J878" t="str">
        <f>VLOOKUP(Table3[[#This Row],[Faction ID]],Table4[],2)</f>
        <v>Mahud</v>
      </c>
    </row>
    <row r="879" spans="1:10" x14ac:dyDescent="0.25">
      <c r="A879">
        <v>23</v>
      </c>
      <c r="B879" t="s">
        <v>11</v>
      </c>
      <c r="C879">
        <v>43</v>
      </c>
      <c r="D879">
        <v>4</v>
      </c>
      <c r="E879">
        <v>61</v>
      </c>
      <c r="F879">
        <v>12801</v>
      </c>
      <c r="G879">
        <v>9766</v>
      </c>
      <c r="H879">
        <v>0</v>
      </c>
      <c r="J879" t="str">
        <f>VLOOKUP(Table3[[#This Row],[Faction ID]],Table4[],2)</f>
        <v>Haradrim</v>
      </c>
    </row>
    <row r="880" spans="1:10" x14ac:dyDescent="0.25">
      <c r="A880">
        <v>23</v>
      </c>
      <c r="B880" t="s">
        <v>15</v>
      </c>
      <c r="C880">
        <v>49</v>
      </c>
      <c r="D880">
        <v>4</v>
      </c>
      <c r="E880">
        <v>57.9</v>
      </c>
      <c r="F880">
        <v>17072</v>
      </c>
      <c r="G880">
        <v>10219</v>
      </c>
      <c r="H880">
        <v>435</v>
      </c>
      <c r="J880" t="str">
        <f>VLOOKUP(Table3[[#This Row],[Faction ID]],Table4[],2)</f>
        <v>Dunlendings</v>
      </c>
    </row>
    <row r="881" spans="1:10" x14ac:dyDescent="0.25">
      <c r="A881">
        <v>23</v>
      </c>
      <c r="B881" t="s">
        <v>16</v>
      </c>
      <c r="C881">
        <v>0</v>
      </c>
      <c r="D881">
        <v>0</v>
      </c>
      <c r="E881">
        <v>0</v>
      </c>
      <c r="F881">
        <v>5352</v>
      </c>
      <c r="G881">
        <v>1750</v>
      </c>
      <c r="H881">
        <v>0</v>
      </c>
      <c r="J881" t="str">
        <f>VLOOKUP(Table3[[#This Row],[Faction ID]],Table4[],2)</f>
        <v>Haerrim</v>
      </c>
    </row>
    <row r="882" spans="1:10" x14ac:dyDescent="0.25">
      <c r="A882">
        <v>23</v>
      </c>
      <c r="B882" t="s">
        <v>13</v>
      </c>
      <c r="C882">
        <v>75</v>
      </c>
      <c r="D882">
        <v>8</v>
      </c>
      <c r="E882">
        <v>123.9</v>
      </c>
      <c r="F882">
        <v>14605</v>
      </c>
      <c r="G882">
        <v>15913</v>
      </c>
      <c r="H882">
        <v>821</v>
      </c>
      <c r="J882" t="str">
        <f>VLOOKUP(Table3[[#This Row],[Faction ID]],Table4[],2)</f>
        <v>Goblins</v>
      </c>
    </row>
    <row r="883" spans="1:10" x14ac:dyDescent="0.25">
      <c r="A883">
        <v>23</v>
      </c>
      <c r="B883" t="s">
        <v>17</v>
      </c>
      <c r="C883">
        <v>0</v>
      </c>
      <c r="D883">
        <v>0</v>
      </c>
      <c r="E883">
        <v>0</v>
      </c>
      <c r="F883">
        <v>4872</v>
      </c>
      <c r="G883">
        <v>1750</v>
      </c>
      <c r="H883">
        <v>0</v>
      </c>
      <c r="J883" t="str">
        <f>VLOOKUP(Table3[[#This Row],[Faction ID]],Table4[],2)</f>
        <v>Balchoth</v>
      </c>
    </row>
    <row r="884" spans="1:10" x14ac:dyDescent="0.25">
      <c r="A884">
        <v>23</v>
      </c>
      <c r="B884" t="s">
        <v>18</v>
      </c>
      <c r="C884">
        <v>78</v>
      </c>
      <c r="D884">
        <v>25</v>
      </c>
      <c r="E884">
        <v>256.3</v>
      </c>
      <c r="F884">
        <v>22635</v>
      </c>
      <c r="G884">
        <v>22379</v>
      </c>
      <c r="H884">
        <v>810</v>
      </c>
      <c r="J884" t="str">
        <f>VLOOKUP(Table3[[#This Row],[Faction ID]],Table4[],2)</f>
        <v>Rhurim/Rhun</v>
      </c>
    </row>
    <row r="885" spans="1:10" x14ac:dyDescent="0.25">
      <c r="A885">
        <v>23</v>
      </c>
      <c r="B885" t="s">
        <v>19</v>
      </c>
      <c r="C885">
        <v>0</v>
      </c>
      <c r="D885">
        <v>0</v>
      </c>
      <c r="E885">
        <v>0</v>
      </c>
      <c r="F885">
        <v>7360</v>
      </c>
      <c r="G885">
        <v>1750</v>
      </c>
      <c r="H885">
        <v>0</v>
      </c>
      <c r="J885" t="str">
        <f>VLOOKUP(Table3[[#This Row],[Faction ID]],Table4[],2)</f>
        <v>Feredrim</v>
      </c>
    </row>
    <row r="886" spans="1:10" x14ac:dyDescent="0.25">
      <c r="A886">
        <v>23</v>
      </c>
      <c r="B886" t="s">
        <v>26</v>
      </c>
      <c r="C886">
        <v>0</v>
      </c>
      <c r="D886">
        <v>0</v>
      </c>
      <c r="E886">
        <v>0</v>
      </c>
      <c r="F886">
        <v>6395</v>
      </c>
      <c r="G886">
        <v>1750</v>
      </c>
      <c r="H886">
        <v>0</v>
      </c>
      <c r="J886" t="str">
        <f>VLOOKUP(Table3[[#This Row],[Faction ID]],Table4[],2)</f>
        <v>Rachrohir (Wainriders)</v>
      </c>
    </row>
    <row r="887" spans="1:10" x14ac:dyDescent="0.25">
      <c r="A887">
        <v>23</v>
      </c>
      <c r="B887" t="s">
        <v>27</v>
      </c>
      <c r="C887">
        <v>5</v>
      </c>
      <c r="D887">
        <v>3</v>
      </c>
      <c r="E887">
        <v>35</v>
      </c>
      <c r="F887">
        <v>27478</v>
      </c>
      <c r="G887">
        <v>6470</v>
      </c>
      <c r="H887">
        <v>0</v>
      </c>
      <c r="J887" t="str">
        <f>VLOOKUP(Table3[[#This Row],[Faction ID]],Table4[],2)</f>
        <v>Blacklock-Stonefoot League</v>
      </c>
    </row>
    <row r="888" spans="1:10" x14ac:dyDescent="0.25">
      <c r="A888">
        <v>23</v>
      </c>
      <c r="B888" t="s">
        <v>28</v>
      </c>
      <c r="C888">
        <v>4</v>
      </c>
      <c r="D888">
        <v>2</v>
      </c>
      <c r="E888">
        <v>26</v>
      </c>
      <c r="F888">
        <v>22753</v>
      </c>
      <c r="G888">
        <v>5105</v>
      </c>
      <c r="H888">
        <v>0</v>
      </c>
      <c r="J888" t="str">
        <f>VLOOKUP(Table3[[#This Row],[Faction ID]],Table4[],2)</f>
        <v>Ironfist-Stiffbeard Union</v>
      </c>
    </row>
    <row r="889" spans="1:10" x14ac:dyDescent="0.25">
      <c r="A889">
        <v>23</v>
      </c>
      <c r="B889" t="s">
        <v>20</v>
      </c>
      <c r="C889">
        <v>55</v>
      </c>
      <c r="D889">
        <v>7</v>
      </c>
      <c r="E889">
        <v>111.8</v>
      </c>
      <c r="F889">
        <v>9920</v>
      </c>
      <c r="G889">
        <v>13590</v>
      </c>
      <c r="H889">
        <v>0</v>
      </c>
      <c r="J889" t="str">
        <f>VLOOKUP(Table3[[#This Row],[Faction ID]],Table4[],2)</f>
        <v>Gundabad</v>
      </c>
    </row>
    <row r="890" spans="1:10" x14ac:dyDescent="0.25">
      <c r="A890">
        <v>23</v>
      </c>
      <c r="B890" t="s">
        <v>34</v>
      </c>
      <c r="C890">
        <v>0</v>
      </c>
      <c r="D890">
        <v>0</v>
      </c>
      <c r="E890">
        <v>3</v>
      </c>
      <c r="F890">
        <v>28662</v>
      </c>
      <c r="G890">
        <v>2379</v>
      </c>
      <c r="H890">
        <v>0</v>
      </c>
      <c r="J890" t="str">
        <f>VLOOKUP(Table3[[#This Row],[Faction ID]],Table4[],2)</f>
        <v>Scouts of Rohan</v>
      </c>
    </row>
    <row r="891" spans="1:10" x14ac:dyDescent="0.25">
      <c r="A891">
        <v>23</v>
      </c>
      <c r="B891" t="s">
        <v>33</v>
      </c>
      <c r="C891">
        <v>5</v>
      </c>
      <c r="D891">
        <v>3</v>
      </c>
      <c r="E891">
        <v>29</v>
      </c>
      <c r="F891">
        <v>14845</v>
      </c>
      <c r="G891">
        <v>4615</v>
      </c>
      <c r="H891">
        <v>0</v>
      </c>
      <c r="J891" t="str">
        <f>VLOOKUP(Table3[[#This Row],[Faction ID]],Table4[],2)</f>
        <v>Northern Enedwaith</v>
      </c>
    </row>
    <row r="892" spans="1:10" x14ac:dyDescent="0.25">
      <c r="A892">
        <v>23</v>
      </c>
      <c r="B892" t="s">
        <v>29</v>
      </c>
      <c r="C892">
        <v>3</v>
      </c>
      <c r="D892">
        <v>2</v>
      </c>
      <c r="E892">
        <v>17</v>
      </c>
      <c r="F892">
        <v>20600</v>
      </c>
      <c r="G892">
        <v>3820</v>
      </c>
      <c r="H892">
        <v>0</v>
      </c>
      <c r="J892" t="str">
        <f>VLOOKUP(Table3[[#This Row],[Faction ID]],Table4[],2)</f>
        <v>Southern Enedwaith</v>
      </c>
    </row>
    <row r="893" spans="1:10" x14ac:dyDescent="0.25">
      <c r="A893">
        <v>23</v>
      </c>
      <c r="B893" t="s">
        <v>30</v>
      </c>
      <c r="C893">
        <v>5</v>
      </c>
      <c r="D893">
        <v>3</v>
      </c>
      <c r="E893">
        <v>29</v>
      </c>
      <c r="F893">
        <v>26541</v>
      </c>
      <c r="G893">
        <v>4389</v>
      </c>
      <c r="H893">
        <v>0</v>
      </c>
      <c r="J893" t="str">
        <f>VLOOKUP(Table3[[#This Row],[Faction ID]],Table4[],2)</f>
        <v>Druedain</v>
      </c>
    </row>
    <row r="894" spans="1:10" x14ac:dyDescent="0.25">
      <c r="A894">
        <v>23</v>
      </c>
      <c r="B894" t="s">
        <v>31</v>
      </c>
      <c r="C894">
        <v>3</v>
      </c>
      <c r="D894">
        <v>1</v>
      </c>
      <c r="E894">
        <v>22</v>
      </c>
      <c r="F894">
        <v>8440</v>
      </c>
      <c r="G894">
        <v>4422</v>
      </c>
      <c r="H894">
        <v>149</v>
      </c>
      <c r="J894" t="str">
        <f>VLOOKUP(Table3[[#This Row],[Faction ID]],Table4[],2)</f>
        <v>Harondor</v>
      </c>
    </row>
    <row r="895" spans="1:10" x14ac:dyDescent="0.25">
      <c r="A895">
        <v>23</v>
      </c>
      <c r="B895" t="s">
        <v>35</v>
      </c>
      <c r="C895">
        <v>0</v>
      </c>
      <c r="D895">
        <v>0</v>
      </c>
      <c r="E895">
        <v>0</v>
      </c>
      <c r="F895">
        <v>4000</v>
      </c>
      <c r="G895">
        <v>1750</v>
      </c>
      <c r="H895">
        <v>0</v>
      </c>
      <c r="J895" t="str">
        <f>VLOOKUP(Table3[[#This Row],[Faction ID]],Table4[],2)</f>
        <v>Southron Nomads</v>
      </c>
    </row>
    <row r="896" spans="1:10" x14ac:dyDescent="0.25">
      <c r="A896">
        <v>23</v>
      </c>
      <c r="B896" t="s">
        <v>36</v>
      </c>
      <c r="C896">
        <v>0</v>
      </c>
      <c r="D896">
        <v>0</v>
      </c>
      <c r="E896">
        <v>0</v>
      </c>
      <c r="F896">
        <v>4000</v>
      </c>
      <c r="G896">
        <v>1750</v>
      </c>
      <c r="H896">
        <v>0</v>
      </c>
      <c r="J896" t="str">
        <f>VLOOKUP(Table3[[#This Row],[Faction ID]],Table4[],2)</f>
        <v>_</v>
      </c>
    </row>
    <row r="897" spans="1:10" x14ac:dyDescent="0.25">
      <c r="A897">
        <v>23</v>
      </c>
      <c r="B897" t="s">
        <v>37</v>
      </c>
      <c r="C897">
        <v>0</v>
      </c>
      <c r="D897">
        <v>0</v>
      </c>
      <c r="E897">
        <v>0</v>
      </c>
      <c r="F897">
        <v>4000</v>
      </c>
      <c r="G897">
        <v>1750</v>
      </c>
      <c r="H897">
        <v>0</v>
      </c>
      <c r="J897" t="str">
        <f>VLOOKUP(Table3[[#This Row],[Faction ID]],Table4[],2)</f>
        <v>_</v>
      </c>
    </row>
    <row r="898" spans="1:10" x14ac:dyDescent="0.25">
      <c r="A898">
        <v>23</v>
      </c>
      <c r="B898" t="s">
        <v>38</v>
      </c>
      <c r="C898">
        <v>0</v>
      </c>
      <c r="D898">
        <v>0</v>
      </c>
      <c r="E898">
        <v>0</v>
      </c>
      <c r="F898">
        <v>4000</v>
      </c>
      <c r="G898">
        <v>1750</v>
      </c>
      <c r="H898">
        <v>0</v>
      </c>
      <c r="J898" t="str">
        <f>VLOOKUP(Table3[[#This Row],[Faction ID]],Table4[],2)</f>
        <v>_</v>
      </c>
    </row>
    <row r="899" spans="1:10" x14ac:dyDescent="0.25">
      <c r="A899">
        <v>23</v>
      </c>
      <c r="B899" t="s">
        <v>39</v>
      </c>
      <c r="C899">
        <v>0</v>
      </c>
      <c r="D899">
        <v>0</v>
      </c>
      <c r="E899">
        <v>0</v>
      </c>
      <c r="F899">
        <v>4000</v>
      </c>
      <c r="G899">
        <v>1750</v>
      </c>
      <c r="H899">
        <v>0</v>
      </c>
      <c r="J899" t="str">
        <f>VLOOKUP(Table3[[#This Row],[Faction ID]],Table4[],2)</f>
        <v>_</v>
      </c>
    </row>
    <row r="900" spans="1:10" x14ac:dyDescent="0.25">
      <c r="A900">
        <v>23</v>
      </c>
      <c r="B900" t="s">
        <v>40</v>
      </c>
      <c r="C900">
        <v>0</v>
      </c>
      <c r="D900">
        <v>0</v>
      </c>
      <c r="E900">
        <v>0</v>
      </c>
      <c r="F900">
        <v>4000</v>
      </c>
      <c r="G900">
        <v>1750</v>
      </c>
      <c r="H900">
        <v>0</v>
      </c>
      <c r="J900" t="str">
        <f>VLOOKUP(Table3[[#This Row],[Faction ID]],Table4[],2)</f>
        <v>_</v>
      </c>
    </row>
    <row r="901" spans="1:10" x14ac:dyDescent="0.25">
      <c r="A901">
        <v>23</v>
      </c>
      <c r="B901" t="s">
        <v>41</v>
      </c>
      <c r="C901">
        <v>0</v>
      </c>
      <c r="D901">
        <v>0</v>
      </c>
      <c r="E901">
        <v>0</v>
      </c>
      <c r="F901">
        <v>4000</v>
      </c>
      <c r="G901">
        <v>1750</v>
      </c>
      <c r="H901">
        <v>0</v>
      </c>
      <c r="J901" t="str">
        <f>VLOOKUP(Table3[[#This Row],[Faction ID]],Table4[],2)</f>
        <v>_</v>
      </c>
    </row>
    <row r="902" spans="1:10" x14ac:dyDescent="0.25">
      <c r="A902">
        <v>23</v>
      </c>
      <c r="B902" t="s">
        <v>42</v>
      </c>
      <c r="C902">
        <v>0</v>
      </c>
      <c r="D902">
        <v>0</v>
      </c>
      <c r="E902">
        <v>0</v>
      </c>
      <c r="F902">
        <v>4000</v>
      </c>
      <c r="G902">
        <v>1750</v>
      </c>
      <c r="H902">
        <v>0</v>
      </c>
      <c r="J902" t="str">
        <f>VLOOKUP(Table3[[#This Row],[Faction ID]],Table4[],2)</f>
        <v>_</v>
      </c>
    </row>
    <row r="903" spans="1:10" x14ac:dyDescent="0.25">
      <c r="A903">
        <v>23</v>
      </c>
      <c r="B903" t="s">
        <v>43</v>
      </c>
      <c r="C903">
        <v>0</v>
      </c>
      <c r="D903">
        <v>0</v>
      </c>
      <c r="E903">
        <v>0</v>
      </c>
      <c r="F903">
        <v>4000</v>
      </c>
      <c r="G903">
        <v>1750</v>
      </c>
      <c r="H903">
        <v>0</v>
      </c>
      <c r="J903" t="str">
        <f>VLOOKUP(Table3[[#This Row],[Faction ID]],Table4[],2)</f>
        <v>_</v>
      </c>
    </row>
    <row r="904" spans="1:10" x14ac:dyDescent="0.25">
      <c r="A904">
        <v>23</v>
      </c>
      <c r="B904" t="s">
        <v>44</v>
      </c>
      <c r="C904">
        <v>0</v>
      </c>
      <c r="D904">
        <v>0</v>
      </c>
      <c r="E904">
        <v>0</v>
      </c>
      <c r="F904">
        <v>4000</v>
      </c>
      <c r="G904">
        <v>1750</v>
      </c>
      <c r="H904">
        <v>0</v>
      </c>
      <c r="J904" t="str">
        <f>VLOOKUP(Table3[[#This Row],[Faction ID]],Table4[],2)</f>
        <v>_</v>
      </c>
    </row>
    <row r="905" spans="1:10" x14ac:dyDescent="0.25">
      <c r="A905">
        <v>24</v>
      </c>
      <c r="B905" t="s">
        <v>9</v>
      </c>
      <c r="C905">
        <v>113</v>
      </c>
      <c r="D905">
        <v>17</v>
      </c>
      <c r="E905">
        <v>163.69999999999999</v>
      </c>
      <c r="F905">
        <v>1029</v>
      </c>
      <c r="G905">
        <v>14815</v>
      </c>
      <c r="H905">
        <v>910</v>
      </c>
      <c r="J905" t="str">
        <f>VLOOKUP(Table3[[#This Row],[Faction ID]],Table4[],2)</f>
        <v>Mordor</v>
      </c>
    </row>
    <row r="906" spans="1:10" x14ac:dyDescent="0.25">
      <c r="A906">
        <v>24</v>
      </c>
      <c r="B906" t="s">
        <v>4</v>
      </c>
      <c r="C906">
        <v>95</v>
      </c>
      <c r="D906">
        <v>13</v>
      </c>
      <c r="E906">
        <v>163</v>
      </c>
      <c r="F906">
        <v>30782</v>
      </c>
      <c r="G906">
        <v>19556</v>
      </c>
      <c r="H906">
        <v>657</v>
      </c>
      <c r="J906" t="str">
        <f>VLOOKUP(Table3[[#This Row],[Faction ID]],Table4[],2)</f>
        <v>Gondor</v>
      </c>
    </row>
    <row r="907" spans="1:10" x14ac:dyDescent="0.25">
      <c r="A907">
        <v>24</v>
      </c>
      <c r="B907" t="s">
        <v>6</v>
      </c>
      <c r="C907">
        <v>61</v>
      </c>
      <c r="D907">
        <v>7</v>
      </c>
      <c r="E907">
        <v>102.4</v>
      </c>
      <c r="F907">
        <v>12447</v>
      </c>
      <c r="G907">
        <v>13486</v>
      </c>
      <c r="H907">
        <v>232</v>
      </c>
      <c r="J907" t="str">
        <f>VLOOKUP(Table3[[#This Row],[Faction ID]],Table4[],2)</f>
        <v>Dale</v>
      </c>
    </row>
    <row r="908" spans="1:10" x14ac:dyDescent="0.25">
      <c r="A908">
        <v>24</v>
      </c>
      <c r="B908" t="s">
        <v>21</v>
      </c>
      <c r="C908">
        <v>74</v>
      </c>
      <c r="D908">
        <v>4</v>
      </c>
      <c r="E908">
        <v>75</v>
      </c>
      <c r="F908">
        <v>30961</v>
      </c>
      <c r="G908">
        <v>13694</v>
      </c>
      <c r="H908">
        <v>683</v>
      </c>
      <c r="J908" t="str">
        <f>VLOOKUP(Table3[[#This Row],[Faction ID]],Table4[],2)</f>
        <v>Erebor</v>
      </c>
    </row>
    <row r="909" spans="1:10" x14ac:dyDescent="0.25">
      <c r="A909">
        <v>24</v>
      </c>
      <c r="B909" t="s">
        <v>5</v>
      </c>
      <c r="C909">
        <v>76</v>
      </c>
      <c r="D909">
        <v>11</v>
      </c>
      <c r="E909">
        <v>103</v>
      </c>
      <c r="F909">
        <v>17693</v>
      </c>
      <c r="G909">
        <v>13463</v>
      </c>
      <c r="H909">
        <v>178</v>
      </c>
      <c r="J909" t="str">
        <f>VLOOKUP(Table3[[#This Row],[Faction ID]],Table4[],2)</f>
        <v>Rohan</v>
      </c>
    </row>
    <row r="910" spans="1:10" x14ac:dyDescent="0.25">
      <c r="A910">
        <v>24</v>
      </c>
      <c r="B910" t="s">
        <v>12</v>
      </c>
      <c r="C910">
        <v>69</v>
      </c>
      <c r="D910">
        <v>11</v>
      </c>
      <c r="E910">
        <v>108</v>
      </c>
      <c r="F910">
        <v>19986</v>
      </c>
      <c r="G910">
        <v>15247</v>
      </c>
      <c r="H910">
        <v>920</v>
      </c>
      <c r="J910" t="str">
        <f>VLOOKUP(Table3[[#This Row],[Faction ID]],Table4[],2)</f>
        <v>Dol Guldur</v>
      </c>
    </row>
    <row r="911" spans="1:10" x14ac:dyDescent="0.25">
      <c r="A911">
        <v>24</v>
      </c>
      <c r="B911" t="s">
        <v>10</v>
      </c>
      <c r="C911">
        <v>51</v>
      </c>
      <c r="D911">
        <v>8</v>
      </c>
      <c r="E911">
        <v>75</v>
      </c>
      <c r="F911">
        <v>9196</v>
      </c>
      <c r="G911">
        <v>7786</v>
      </c>
      <c r="H911">
        <v>0</v>
      </c>
      <c r="J911" t="str">
        <f>VLOOKUP(Table3[[#This Row],[Faction ID]],Table4[],2)</f>
        <v>Anduin Vale</v>
      </c>
    </row>
    <row r="912" spans="1:10" x14ac:dyDescent="0.25">
      <c r="A912">
        <v>24</v>
      </c>
      <c r="B912" t="s">
        <v>32</v>
      </c>
      <c r="C912">
        <v>62</v>
      </c>
      <c r="D912">
        <v>4</v>
      </c>
      <c r="E912">
        <v>68.2</v>
      </c>
      <c r="F912">
        <v>13759</v>
      </c>
      <c r="G912">
        <v>10992</v>
      </c>
      <c r="H912">
        <v>383</v>
      </c>
      <c r="J912" t="str">
        <f>VLOOKUP(Table3[[#This Row],[Faction ID]],Table4[],2)</f>
        <v>Isengard</v>
      </c>
    </row>
    <row r="913" spans="1:10" x14ac:dyDescent="0.25">
      <c r="A913">
        <v>24</v>
      </c>
      <c r="B913" t="s">
        <v>22</v>
      </c>
      <c r="C913">
        <v>30</v>
      </c>
      <c r="D913">
        <v>0</v>
      </c>
      <c r="E913">
        <v>0</v>
      </c>
      <c r="F913">
        <v>8475</v>
      </c>
      <c r="G913">
        <v>2500</v>
      </c>
      <c r="H913">
        <v>0</v>
      </c>
      <c r="J913" t="str">
        <f>VLOOKUP(Table3[[#This Row],[Faction ID]],Table4[],2)</f>
        <v>Woodland Realm</v>
      </c>
    </row>
    <row r="914" spans="1:10" x14ac:dyDescent="0.25">
      <c r="A914">
        <v>24</v>
      </c>
      <c r="B914" t="s">
        <v>23</v>
      </c>
      <c r="C914">
        <v>44</v>
      </c>
      <c r="D914">
        <v>3</v>
      </c>
      <c r="E914">
        <v>29</v>
      </c>
      <c r="F914">
        <v>6915</v>
      </c>
      <c r="G914">
        <v>8483</v>
      </c>
      <c r="H914">
        <v>391</v>
      </c>
      <c r="J914" t="str">
        <f>VLOOKUP(Table3[[#This Row],[Faction ID]],Table4[],2)</f>
        <v>Lothlorien</v>
      </c>
    </row>
    <row r="915" spans="1:10" x14ac:dyDescent="0.25">
      <c r="A915">
        <v>24</v>
      </c>
      <c r="B915" t="s">
        <v>24</v>
      </c>
      <c r="C915">
        <v>0</v>
      </c>
      <c r="D915">
        <v>0</v>
      </c>
      <c r="E915">
        <v>0</v>
      </c>
      <c r="F915">
        <v>4919</v>
      </c>
      <c r="G915">
        <v>4226</v>
      </c>
      <c r="H915">
        <v>0</v>
      </c>
      <c r="J915" t="str">
        <f>VLOOKUP(Table3[[#This Row],[Faction ID]],Table4[],2)</f>
        <v>Variags (Khand)</v>
      </c>
    </row>
    <row r="916" spans="1:10" x14ac:dyDescent="0.25">
      <c r="A916">
        <v>24</v>
      </c>
      <c r="B916" t="s">
        <v>14</v>
      </c>
      <c r="C916">
        <v>8</v>
      </c>
      <c r="D916">
        <v>6</v>
      </c>
      <c r="E916">
        <v>66.400000000000006</v>
      </c>
      <c r="F916">
        <v>11230</v>
      </c>
      <c r="G916">
        <v>10414</v>
      </c>
      <c r="H916">
        <v>898</v>
      </c>
      <c r="J916" t="str">
        <f>VLOOKUP(Table3[[#This Row],[Faction ID]],Table4[],2)</f>
        <v>Corsairs of Umbar</v>
      </c>
    </row>
    <row r="917" spans="1:10" x14ac:dyDescent="0.25">
      <c r="A917">
        <v>24</v>
      </c>
      <c r="B917" t="s">
        <v>25</v>
      </c>
      <c r="C917">
        <v>5</v>
      </c>
      <c r="D917">
        <v>3</v>
      </c>
      <c r="E917">
        <v>41</v>
      </c>
      <c r="F917">
        <v>17507</v>
      </c>
      <c r="G917">
        <v>6070</v>
      </c>
      <c r="H917">
        <v>0</v>
      </c>
      <c r="J917" t="str">
        <f>VLOOKUP(Table3[[#This Row],[Faction ID]],Table4[],2)</f>
        <v>Mahud</v>
      </c>
    </row>
    <row r="918" spans="1:10" x14ac:dyDescent="0.25">
      <c r="A918">
        <v>24</v>
      </c>
      <c r="B918" t="s">
        <v>11</v>
      </c>
      <c r="C918">
        <v>43</v>
      </c>
      <c r="D918">
        <v>4</v>
      </c>
      <c r="E918">
        <v>62</v>
      </c>
      <c r="F918">
        <v>13201</v>
      </c>
      <c r="G918">
        <v>9534</v>
      </c>
      <c r="H918">
        <v>0</v>
      </c>
      <c r="J918" t="str">
        <f>VLOOKUP(Table3[[#This Row],[Faction ID]],Table4[],2)</f>
        <v>Haradrim</v>
      </c>
    </row>
    <row r="919" spans="1:10" x14ac:dyDescent="0.25">
      <c r="A919">
        <v>24</v>
      </c>
      <c r="B919" t="s">
        <v>15</v>
      </c>
      <c r="C919">
        <v>49</v>
      </c>
      <c r="D919">
        <v>4</v>
      </c>
      <c r="E919">
        <v>56.9</v>
      </c>
      <c r="F919">
        <v>18905</v>
      </c>
      <c r="G919">
        <v>10200</v>
      </c>
      <c r="H919">
        <v>435</v>
      </c>
      <c r="J919" t="str">
        <f>VLOOKUP(Table3[[#This Row],[Faction ID]],Table4[],2)</f>
        <v>Dunlendings</v>
      </c>
    </row>
    <row r="920" spans="1:10" x14ac:dyDescent="0.25">
      <c r="A920">
        <v>24</v>
      </c>
      <c r="B920" t="s">
        <v>16</v>
      </c>
      <c r="C920">
        <v>0</v>
      </c>
      <c r="D920">
        <v>0</v>
      </c>
      <c r="E920">
        <v>0</v>
      </c>
      <c r="F920">
        <v>5352</v>
      </c>
      <c r="G920">
        <v>1750</v>
      </c>
      <c r="H920">
        <v>0</v>
      </c>
      <c r="J920" t="str">
        <f>VLOOKUP(Table3[[#This Row],[Faction ID]],Table4[],2)</f>
        <v>Haerrim</v>
      </c>
    </row>
    <row r="921" spans="1:10" x14ac:dyDescent="0.25">
      <c r="A921">
        <v>24</v>
      </c>
      <c r="B921" t="s">
        <v>13</v>
      </c>
      <c r="C921">
        <v>75</v>
      </c>
      <c r="D921">
        <v>8</v>
      </c>
      <c r="E921">
        <v>126.9</v>
      </c>
      <c r="F921">
        <v>18277</v>
      </c>
      <c r="G921">
        <v>14445</v>
      </c>
      <c r="H921">
        <v>822</v>
      </c>
      <c r="J921" t="str">
        <f>VLOOKUP(Table3[[#This Row],[Faction ID]],Table4[],2)</f>
        <v>Goblins</v>
      </c>
    </row>
    <row r="922" spans="1:10" x14ac:dyDescent="0.25">
      <c r="A922">
        <v>24</v>
      </c>
      <c r="B922" t="s">
        <v>17</v>
      </c>
      <c r="C922">
        <v>0</v>
      </c>
      <c r="D922">
        <v>0</v>
      </c>
      <c r="E922">
        <v>0</v>
      </c>
      <c r="F922">
        <v>4872</v>
      </c>
      <c r="G922">
        <v>1750</v>
      </c>
      <c r="H922">
        <v>0</v>
      </c>
      <c r="J922" t="str">
        <f>VLOOKUP(Table3[[#This Row],[Faction ID]],Table4[],2)</f>
        <v>Balchoth</v>
      </c>
    </row>
    <row r="923" spans="1:10" x14ac:dyDescent="0.25">
      <c r="A923">
        <v>24</v>
      </c>
      <c r="B923" t="s">
        <v>18</v>
      </c>
      <c r="C923">
        <v>86</v>
      </c>
      <c r="D923">
        <v>31</v>
      </c>
      <c r="E923">
        <v>278</v>
      </c>
      <c r="F923">
        <v>29300</v>
      </c>
      <c r="G923">
        <v>24175</v>
      </c>
      <c r="H923">
        <v>936</v>
      </c>
      <c r="J923" t="str">
        <f>VLOOKUP(Table3[[#This Row],[Faction ID]],Table4[],2)</f>
        <v>Rhurim/Rhun</v>
      </c>
    </row>
    <row r="924" spans="1:10" x14ac:dyDescent="0.25">
      <c r="A924">
        <v>24</v>
      </c>
      <c r="B924" t="s">
        <v>19</v>
      </c>
      <c r="C924">
        <v>0</v>
      </c>
      <c r="D924">
        <v>0</v>
      </c>
      <c r="E924">
        <v>0</v>
      </c>
      <c r="F924">
        <v>7360</v>
      </c>
      <c r="G924">
        <v>1750</v>
      </c>
      <c r="H924">
        <v>0</v>
      </c>
      <c r="J924" t="str">
        <f>VLOOKUP(Table3[[#This Row],[Faction ID]],Table4[],2)</f>
        <v>Feredrim</v>
      </c>
    </row>
    <row r="925" spans="1:10" x14ac:dyDescent="0.25">
      <c r="A925">
        <v>24</v>
      </c>
      <c r="B925" t="s">
        <v>26</v>
      </c>
      <c r="C925">
        <v>0</v>
      </c>
      <c r="D925">
        <v>0</v>
      </c>
      <c r="E925">
        <v>0</v>
      </c>
      <c r="F925">
        <v>6395</v>
      </c>
      <c r="G925">
        <v>1750</v>
      </c>
      <c r="H925">
        <v>0</v>
      </c>
      <c r="J925" t="str">
        <f>VLOOKUP(Table3[[#This Row],[Faction ID]],Table4[],2)</f>
        <v>Rachrohir (Wainriders)</v>
      </c>
    </row>
    <row r="926" spans="1:10" x14ac:dyDescent="0.25">
      <c r="A926">
        <v>24</v>
      </c>
      <c r="B926" t="s">
        <v>27</v>
      </c>
      <c r="C926">
        <v>5</v>
      </c>
      <c r="D926">
        <v>3</v>
      </c>
      <c r="E926">
        <v>35</v>
      </c>
      <c r="F926">
        <v>26913</v>
      </c>
      <c r="G926">
        <v>6324</v>
      </c>
      <c r="H926">
        <v>0</v>
      </c>
      <c r="J926" t="str">
        <f>VLOOKUP(Table3[[#This Row],[Faction ID]],Table4[],2)</f>
        <v>Blacklock-Stonefoot League</v>
      </c>
    </row>
    <row r="927" spans="1:10" x14ac:dyDescent="0.25">
      <c r="A927">
        <v>24</v>
      </c>
      <c r="B927" t="s">
        <v>28</v>
      </c>
      <c r="C927">
        <v>4</v>
      </c>
      <c r="D927">
        <v>2</v>
      </c>
      <c r="E927">
        <v>28</v>
      </c>
      <c r="F927">
        <v>24566</v>
      </c>
      <c r="G927">
        <v>5390</v>
      </c>
      <c r="H927">
        <v>0</v>
      </c>
      <c r="J927" t="str">
        <f>VLOOKUP(Table3[[#This Row],[Faction ID]],Table4[],2)</f>
        <v>Ironfist-Stiffbeard Union</v>
      </c>
    </row>
    <row r="928" spans="1:10" x14ac:dyDescent="0.25">
      <c r="A928">
        <v>24</v>
      </c>
      <c r="B928" t="s">
        <v>20</v>
      </c>
      <c r="C928">
        <v>55</v>
      </c>
      <c r="D928">
        <v>7</v>
      </c>
      <c r="E928">
        <v>111.8</v>
      </c>
      <c r="F928">
        <v>9753</v>
      </c>
      <c r="G928">
        <v>13204</v>
      </c>
      <c r="H928">
        <v>271</v>
      </c>
      <c r="J928" t="str">
        <f>VLOOKUP(Table3[[#This Row],[Faction ID]],Table4[],2)</f>
        <v>Gundabad</v>
      </c>
    </row>
    <row r="929" spans="1:10" x14ac:dyDescent="0.25">
      <c r="A929">
        <v>24</v>
      </c>
      <c r="B929" t="s">
        <v>34</v>
      </c>
      <c r="C929">
        <v>0</v>
      </c>
      <c r="D929">
        <v>0</v>
      </c>
      <c r="E929">
        <v>3</v>
      </c>
      <c r="F929">
        <v>29783</v>
      </c>
      <c r="G929">
        <v>2379</v>
      </c>
      <c r="H929">
        <v>0</v>
      </c>
      <c r="J929" t="str">
        <f>VLOOKUP(Table3[[#This Row],[Faction ID]],Table4[],2)</f>
        <v>Scouts of Rohan</v>
      </c>
    </row>
    <row r="930" spans="1:10" x14ac:dyDescent="0.25">
      <c r="A930">
        <v>24</v>
      </c>
      <c r="B930" t="s">
        <v>33</v>
      </c>
      <c r="C930">
        <v>5</v>
      </c>
      <c r="D930">
        <v>3</v>
      </c>
      <c r="E930">
        <v>29</v>
      </c>
      <c r="F930">
        <v>16772</v>
      </c>
      <c r="G930">
        <v>4793</v>
      </c>
      <c r="H930">
        <v>0</v>
      </c>
      <c r="J930" t="str">
        <f>VLOOKUP(Table3[[#This Row],[Faction ID]],Table4[],2)</f>
        <v>Northern Enedwaith</v>
      </c>
    </row>
    <row r="931" spans="1:10" x14ac:dyDescent="0.25">
      <c r="A931">
        <v>24</v>
      </c>
      <c r="B931" t="s">
        <v>29</v>
      </c>
      <c r="C931">
        <v>3</v>
      </c>
      <c r="D931">
        <v>2</v>
      </c>
      <c r="E931">
        <v>16</v>
      </c>
      <c r="F931">
        <v>22085</v>
      </c>
      <c r="G931">
        <v>3914</v>
      </c>
      <c r="H931">
        <v>0</v>
      </c>
      <c r="J931" t="str">
        <f>VLOOKUP(Table3[[#This Row],[Faction ID]],Table4[],2)</f>
        <v>Southern Enedwaith</v>
      </c>
    </row>
    <row r="932" spans="1:10" x14ac:dyDescent="0.25">
      <c r="A932">
        <v>24</v>
      </c>
      <c r="B932" t="s">
        <v>30</v>
      </c>
      <c r="C932">
        <v>5</v>
      </c>
      <c r="D932">
        <v>3</v>
      </c>
      <c r="E932">
        <v>29</v>
      </c>
      <c r="F932">
        <v>27994</v>
      </c>
      <c r="G932">
        <v>4389</v>
      </c>
      <c r="H932">
        <v>0</v>
      </c>
      <c r="J932" t="str">
        <f>VLOOKUP(Table3[[#This Row],[Faction ID]],Table4[],2)</f>
        <v>Druedain</v>
      </c>
    </row>
    <row r="933" spans="1:10" x14ac:dyDescent="0.25">
      <c r="A933">
        <v>24</v>
      </c>
      <c r="B933" t="s">
        <v>31</v>
      </c>
      <c r="C933">
        <v>3</v>
      </c>
      <c r="D933">
        <v>1</v>
      </c>
      <c r="E933">
        <v>21</v>
      </c>
      <c r="F933">
        <v>8277</v>
      </c>
      <c r="G933">
        <v>4737</v>
      </c>
      <c r="H933">
        <v>151</v>
      </c>
      <c r="J933" t="str">
        <f>VLOOKUP(Table3[[#This Row],[Faction ID]],Table4[],2)</f>
        <v>Harondor</v>
      </c>
    </row>
    <row r="934" spans="1:10" x14ac:dyDescent="0.25">
      <c r="A934">
        <v>24</v>
      </c>
      <c r="B934" t="s">
        <v>35</v>
      </c>
      <c r="C934">
        <v>0</v>
      </c>
      <c r="D934">
        <v>0</v>
      </c>
      <c r="E934">
        <v>0</v>
      </c>
      <c r="F934">
        <v>4000</v>
      </c>
      <c r="G934">
        <v>1750</v>
      </c>
      <c r="H934">
        <v>0</v>
      </c>
      <c r="J934" t="str">
        <f>VLOOKUP(Table3[[#This Row],[Faction ID]],Table4[],2)</f>
        <v>Southron Nomads</v>
      </c>
    </row>
    <row r="935" spans="1:10" x14ac:dyDescent="0.25">
      <c r="A935">
        <v>24</v>
      </c>
      <c r="B935" t="s">
        <v>36</v>
      </c>
      <c r="C935">
        <v>0</v>
      </c>
      <c r="D935">
        <v>0</v>
      </c>
      <c r="E935">
        <v>0</v>
      </c>
      <c r="F935">
        <v>4000</v>
      </c>
      <c r="G935">
        <v>1750</v>
      </c>
      <c r="H935">
        <v>0</v>
      </c>
      <c r="J935" t="str">
        <f>VLOOKUP(Table3[[#This Row],[Faction ID]],Table4[],2)</f>
        <v>_</v>
      </c>
    </row>
    <row r="936" spans="1:10" x14ac:dyDescent="0.25">
      <c r="A936">
        <v>24</v>
      </c>
      <c r="B936" t="s">
        <v>37</v>
      </c>
      <c r="C936">
        <v>0</v>
      </c>
      <c r="D936">
        <v>0</v>
      </c>
      <c r="E936">
        <v>0</v>
      </c>
      <c r="F936">
        <v>4000</v>
      </c>
      <c r="G936">
        <v>1750</v>
      </c>
      <c r="H936">
        <v>0</v>
      </c>
      <c r="J936" t="str">
        <f>VLOOKUP(Table3[[#This Row],[Faction ID]],Table4[],2)</f>
        <v>_</v>
      </c>
    </row>
    <row r="937" spans="1:10" x14ac:dyDescent="0.25">
      <c r="A937">
        <v>24</v>
      </c>
      <c r="B937" t="s">
        <v>38</v>
      </c>
      <c r="C937">
        <v>0</v>
      </c>
      <c r="D937">
        <v>0</v>
      </c>
      <c r="E937">
        <v>0</v>
      </c>
      <c r="F937">
        <v>4000</v>
      </c>
      <c r="G937">
        <v>1750</v>
      </c>
      <c r="H937">
        <v>0</v>
      </c>
      <c r="J937" t="str">
        <f>VLOOKUP(Table3[[#This Row],[Faction ID]],Table4[],2)</f>
        <v>_</v>
      </c>
    </row>
    <row r="938" spans="1:10" x14ac:dyDescent="0.25">
      <c r="A938">
        <v>24</v>
      </c>
      <c r="B938" t="s">
        <v>39</v>
      </c>
      <c r="C938">
        <v>0</v>
      </c>
      <c r="D938">
        <v>0</v>
      </c>
      <c r="E938">
        <v>0</v>
      </c>
      <c r="F938">
        <v>4000</v>
      </c>
      <c r="G938">
        <v>1750</v>
      </c>
      <c r="H938">
        <v>0</v>
      </c>
      <c r="J938" t="str">
        <f>VLOOKUP(Table3[[#This Row],[Faction ID]],Table4[],2)</f>
        <v>_</v>
      </c>
    </row>
    <row r="939" spans="1:10" x14ac:dyDescent="0.25">
      <c r="A939">
        <v>24</v>
      </c>
      <c r="B939" t="s">
        <v>40</v>
      </c>
      <c r="C939">
        <v>0</v>
      </c>
      <c r="D939">
        <v>0</v>
      </c>
      <c r="E939">
        <v>0</v>
      </c>
      <c r="F939">
        <v>4000</v>
      </c>
      <c r="G939">
        <v>1750</v>
      </c>
      <c r="H939">
        <v>0</v>
      </c>
      <c r="J939" t="str">
        <f>VLOOKUP(Table3[[#This Row],[Faction ID]],Table4[],2)</f>
        <v>_</v>
      </c>
    </row>
    <row r="940" spans="1:10" x14ac:dyDescent="0.25">
      <c r="A940">
        <v>24</v>
      </c>
      <c r="B940" t="s">
        <v>41</v>
      </c>
      <c r="C940">
        <v>0</v>
      </c>
      <c r="D940">
        <v>0</v>
      </c>
      <c r="E940">
        <v>0</v>
      </c>
      <c r="F940">
        <v>4000</v>
      </c>
      <c r="G940">
        <v>1750</v>
      </c>
      <c r="H940">
        <v>0</v>
      </c>
      <c r="J940" t="str">
        <f>VLOOKUP(Table3[[#This Row],[Faction ID]],Table4[],2)</f>
        <v>_</v>
      </c>
    </row>
    <row r="941" spans="1:10" x14ac:dyDescent="0.25">
      <c r="A941">
        <v>24</v>
      </c>
      <c r="B941" t="s">
        <v>42</v>
      </c>
      <c r="C941">
        <v>0</v>
      </c>
      <c r="D941">
        <v>0</v>
      </c>
      <c r="E941">
        <v>0</v>
      </c>
      <c r="F941">
        <v>4000</v>
      </c>
      <c r="G941">
        <v>1750</v>
      </c>
      <c r="H941">
        <v>0</v>
      </c>
      <c r="J941" t="str">
        <f>VLOOKUP(Table3[[#This Row],[Faction ID]],Table4[],2)</f>
        <v>_</v>
      </c>
    </row>
    <row r="942" spans="1:10" x14ac:dyDescent="0.25">
      <c r="A942">
        <v>24</v>
      </c>
      <c r="B942" t="s">
        <v>43</v>
      </c>
      <c r="C942">
        <v>0</v>
      </c>
      <c r="D942">
        <v>0</v>
      </c>
      <c r="E942">
        <v>0</v>
      </c>
      <c r="F942">
        <v>4000</v>
      </c>
      <c r="G942">
        <v>1750</v>
      </c>
      <c r="H942">
        <v>0</v>
      </c>
      <c r="J942" t="str">
        <f>VLOOKUP(Table3[[#This Row],[Faction ID]],Table4[],2)</f>
        <v>_</v>
      </c>
    </row>
    <row r="943" spans="1:10" x14ac:dyDescent="0.25">
      <c r="A943">
        <v>24</v>
      </c>
      <c r="B943" t="s">
        <v>44</v>
      </c>
      <c r="C943">
        <v>0</v>
      </c>
      <c r="D943">
        <v>0</v>
      </c>
      <c r="E943">
        <v>0</v>
      </c>
      <c r="F943">
        <v>4000</v>
      </c>
      <c r="G943">
        <v>1750</v>
      </c>
      <c r="H943">
        <v>0</v>
      </c>
      <c r="J943" t="str">
        <f>VLOOKUP(Table3[[#This Row],[Faction ID]],Table4[],2)</f>
        <v>_</v>
      </c>
    </row>
    <row r="944" spans="1:10" x14ac:dyDescent="0.25">
      <c r="A944">
        <v>25</v>
      </c>
      <c r="B944" t="s">
        <v>9</v>
      </c>
      <c r="C944">
        <v>117</v>
      </c>
      <c r="D944">
        <v>17</v>
      </c>
      <c r="E944">
        <v>167.5</v>
      </c>
      <c r="F944">
        <v>3662</v>
      </c>
      <c r="G944">
        <v>16864</v>
      </c>
      <c r="H944">
        <v>915</v>
      </c>
      <c r="J944" t="str">
        <f>VLOOKUP(Table3[[#This Row],[Faction ID]],Table4[],2)</f>
        <v>Mordor</v>
      </c>
    </row>
    <row r="945" spans="1:10" x14ac:dyDescent="0.25">
      <c r="A945">
        <v>25</v>
      </c>
      <c r="B945" t="s">
        <v>4</v>
      </c>
      <c r="C945">
        <v>95</v>
      </c>
      <c r="D945">
        <v>13</v>
      </c>
      <c r="E945">
        <v>170</v>
      </c>
      <c r="F945">
        <v>31871</v>
      </c>
      <c r="G945">
        <v>21020</v>
      </c>
      <c r="H945">
        <v>658</v>
      </c>
      <c r="J945" t="str">
        <f>VLOOKUP(Table3[[#This Row],[Faction ID]],Table4[],2)</f>
        <v>Gondor</v>
      </c>
    </row>
    <row r="946" spans="1:10" x14ac:dyDescent="0.25">
      <c r="A946">
        <v>25</v>
      </c>
      <c r="B946" t="s">
        <v>6</v>
      </c>
      <c r="C946">
        <v>66</v>
      </c>
      <c r="D946">
        <v>7</v>
      </c>
      <c r="E946">
        <v>102.4</v>
      </c>
      <c r="F946">
        <v>14035</v>
      </c>
      <c r="G946">
        <v>13771</v>
      </c>
      <c r="H946">
        <v>238</v>
      </c>
      <c r="J946" t="str">
        <f>VLOOKUP(Table3[[#This Row],[Faction ID]],Table4[],2)</f>
        <v>Dale</v>
      </c>
    </row>
    <row r="947" spans="1:10" x14ac:dyDescent="0.25">
      <c r="A947">
        <v>25</v>
      </c>
      <c r="B947" t="s">
        <v>21</v>
      </c>
      <c r="C947">
        <v>74</v>
      </c>
      <c r="D947">
        <v>4</v>
      </c>
      <c r="E947">
        <v>77</v>
      </c>
      <c r="F947">
        <v>34337</v>
      </c>
      <c r="G947">
        <v>15190</v>
      </c>
      <c r="H947">
        <v>688</v>
      </c>
      <c r="J947" t="str">
        <f>VLOOKUP(Table3[[#This Row],[Faction ID]],Table4[],2)</f>
        <v>Erebor</v>
      </c>
    </row>
    <row r="948" spans="1:10" x14ac:dyDescent="0.25">
      <c r="A948">
        <v>25</v>
      </c>
      <c r="B948" t="s">
        <v>5</v>
      </c>
      <c r="C948">
        <v>76</v>
      </c>
      <c r="D948">
        <v>11</v>
      </c>
      <c r="E948">
        <v>105</v>
      </c>
      <c r="F948">
        <v>14288</v>
      </c>
      <c r="G948">
        <v>13328</v>
      </c>
      <c r="H948">
        <v>507</v>
      </c>
      <c r="J948" t="str">
        <f>VLOOKUP(Table3[[#This Row],[Faction ID]],Table4[],2)</f>
        <v>Rohan</v>
      </c>
    </row>
    <row r="949" spans="1:10" x14ac:dyDescent="0.25">
      <c r="A949">
        <v>25</v>
      </c>
      <c r="B949" t="s">
        <v>12</v>
      </c>
      <c r="C949">
        <v>84</v>
      </c>
      <c r="D949">
        <v>11</v>
      </c>
      <c r="E949">
        <v>118</v>
      </c>
      <c r="F949">
        <v>14506</v>
      </c>
      <c r="G949">
        <v>15411</v>
      </c>
      <c r="H949">
        <v>927</v>
      </c>
      <c r="J949" t="str">
        <f>VLOOKUP(Table3[[#This Row],[Faction ID]],Table4[],2)</f>
        <v>Dol Guldur</v>
      </c>
    </row>
    <row r="950" spans="1:10" x14ac:dyDescent="0.25">
      <c r="A950">
        <v>25</v>
      </c>
      <c r="B950" t="s">
        <v>10</v>
      </c>
      <c r="C950">
        <v>52</v>
      </c>
      <c r="D950">
        <v>6</v>
      </c>
      <c r="E950">
        <v>60</v>
      </c>
      <c r="F950">
        <v>5188</v>
      </c>
      <c r="G950">
        <v>7647</v>
      </c>
      <c r="H950">
        <v>0</v>
      </c>
      <c r="J950" t="str">
        <f>VLOOKUP(Table3[[#This Row],[Faction ID]],Table4[],2)</f>
        <v>Anduin Vale</v>
      </c>
    </row>
    <row r="951" spans="1:10" x14ac:dyDescent="0.25">
      <c r="A951">
        <v>25</v>
      </c>
      <c r="B951" t="s">
        <v>32</v>
      </c>
      <c r="C951">
        <v>62</v>
      </c>
      <c r="D951">
        <v>4</v>
      </c>
      <c r="E951">
        <v>68.2</v>
      </c>
      <c r="F951">
        <v>11597</v>
      </c>
      <c r="G951">
        <v>10703</v>
      </c>
      <c r="H951">
        <v>384</v>
      </c>
      <c r="J951" t="str">
        <f>VLOOKUP(Table3[[#This Row],[Faction ID]],Table4[],2)</f>
        <v>Isengard</v>
      </c>
    </row>
    <row r="952" spans="1:10" x14ac:dyDescent="0.25">
      <c r="A952">
        <v>25</v>
      </c>
      <c r="B952" t="s">
        <v>22</v>
      </c>
      <c r="C952">
        <v>30</v>
      </c>
      <c r="D952">
        <v>0</v>
      </c>
      <c r="E952">
        <v>0</v>
      </c>
      <c r="F952">
        <v>8475</v>
      </c>
      <c r="G952">
        <v>2500</v>
      </c>
      <c r="H952">
        <v>0</v>
      </c>
      <c r="J952" t="str">
        <f>VLOOKUP(Table3[[#This Row],[Faction ID]],Table4[],2)</f>
        <v>Woodland Realm</v>
      </c>
    </row>
    <row r="953" spans="1:10" x14ac:dyDescent="0.25">
      <c r="A953">
        <v>25</v>
      </c>
      <c r="B953" t="s">
        <v>23</v>
      </c>
      <c r="C953">
        <v>43</v>
      </c>
      <c r="D953">
        <v>2</v>
      </c>
      <c r="E953">
        <v>32</v>
      </c>
      <c r="F953">
        <v>4522</v>
      </c>
      <c r="G953">
        <v>9154</v>
      </c>
      <c r="H953">
        <v>388</v>
      </c>
      <c r="J953" t="str">
        <f>VLOOKUP(Table3[[#This Row],[Faction ID]],Table4[],2)</f>
        <v>Lothlorien</v>
      </c>
    </row>
    <row r="954" spans="1:10" x14ac:dyDescent="0.25">
      <c r="A954">
        <v>25</v>
      </c>
      <c r="B954" t="s">
        <v>24</v>
      </c>
      <c r="C954">
        <v>0</v>
      </c>
      <c r="D954">
        <v>0</v>
      </c>
      <c r="E954">
        <v>0</v>
      </c>
      <c r="F954">
        <v>4919</v>
      </c>
      <c r="G954">
        <v>1750</v>
      </c>
      <c r="H954">
        <v>0</v>
      </c>
      <c r="J954" t="str">
        <f>VLOOKUP(Table3[[#This Row],[Faction ID]],Table4[],2)</f>
        <v>Variags (Khand)</v>
      </c>
    </row>
    <row r="955" spans="1:10" x14ac:dyDescent="0.25">
      <c r="A955">
        <v>25</v>
      </c>
      <c r="B955" t="s">
        <v>14</v>
      </c>
      <c r="C955">
        <v>8</v>
      </c>
      <c r="D955">
        <v>6</v>
      </c>
      <c r="E955">
        <v>71.8</v>
      </c>
      <c r="F955">
        <v>9345</v>
      </c>
      <c r="G955">
        <v>11257</v>
      </c>
      <c r="H955">
        <v>904</v>
      </c>
      <c r="J955" t="str">
        <f>VLOOKUP(Table3[[#This Row],[Faction ID]],Table4[],2)</f>
        <v>Corsairs of Umbar</v>
      </c>
    </row>
    <row r="956" spans="1:10" x14ac:dyDescent="0.25">
      <c r="A956">
        <v>25</v>
      </c>
      <c r="B956" t="s">
        <v>25</v>
      </c>
      <c r="C956">
        <v>5</v>
      </c>
      <c r="D956">
        <v>3</v>
      </c>
      <c r="E956">
        <v>41</v>
      </c>
      <c r="F956">
        <v>18631</v>
      </c>
      <c r="G956">
        <v>6110</v>
      </c>
      <c r="H956">
        <v>0</v>
      </c>
      <c r="J956" t="str">
        <f>VLOOKUP(Table3[[#This Row],[Faction ID]],Table4[],2)</f>
        <v>Mahud</v>
      </c>
    </row>
    <row r="957" spans="1:10" x14ac:dyDescent="0.25">
      <c r="A957">
        <v>25</v>
      </c>
      <c r="B957" t="s">
        <v>11</v>
      </c>
      <c r="C957">
        <v>52</v>
      </c>
      <c r="D957">
        <v>4</v>
      </c>
      <c r="E957">
        <v>63</v>
      </c>
      <c r="F957">
        <v>15177</v>
      </c>
      <c r="G957">
        <v>9706</v>
      </c>
      <c r="H957">
        <v>0</v>
      </c>
      <c r="J957" t="str">
        <f>VLOOKUP(Table3[[#This Row],[Faction ID]],Table4[],2)</f>
        <v>Haradrim</v>
      </c>
    </row>
    <row r="958" spans="1:10" x14ac:dyDescent="0.25">
      <c r="A958">
        <v>25</v>
      </c>
      <c r="B958" t="s">
        <v>15</v>
      </c>
      <c r="C958">
        <v>49</v>
      </c>
      <c r="D958">
        <v>4</v>
      </c>
      <c r="E958">
        <v>57.9</v>
      </c>
      <c r="F958">
        <v>16179</v>
      </c>
      <c r="G958">
        <v>10481</v>
      </c>
      <c r="H958">
        <v>439</v>
      </c>
      <c r="J958" t="str">
        <f>VLOOKUP(Table3[[#This Row],[Faction ID]],Table4[],2)</f>
        <v>Dunlendings</v>
      </c>
    </row>
    <row r="959" spans="1:10" x14ac:dyDescent="0.25">
      <c r="A959">
        <v>25</v>
      </c>
      <c r="B959" t="s">
        <v>16</v>
      </c>
      <c r="C959">
        <v>0</v>
      </c>
      <c r="D959">
        <v>0</v>
      </c>
      <c r="E959">
        <v>0</v>
      </c>
      <c r="F959">
        <v>5352</v>
      </c>
      <c r="G959">
        <v>1750</v>
      </c>
      <c r="H959">
        <v>0</v>
      </c>
      <c r="J959" t="str">
        <f>VLOOKUP(Table3[[#This Row],[Faction ID]],Table4[],2)</f>
        <v>Haerrim</v>
      </c>
    </row>
    <row r="960" spans="1:10" x14ac:dyDescent="0.25">
      <c r="A960">
        <v>25</v>
      </c>
      <c r="B960" t="s">
        <v>13</v>
      </c>
      <c r="C960">
        <v>83</v>
      </c>
      <c r="D960">
        <v>10</v>
      </c>
      <c r="E960">
        <v>128.80000000000001</v>
      </c>
      <c r="F960">
        <v>10833</v>
      </c>
      <c r="G960">
        <v>14598</v>
      </c>
      <c r="H960">
        <v>826</v>
      </c>
      <c r="J960" t="str">
        <f>VLOOKUP(Table3[[#This Row],[Faction ID]],Table4[],2)</f>
        <v>Goblins</v>
      </c>
    </row>
    <row r="961" spans="1:10" x14ac:dyDescent="0.25">
      <c r="A961">
        <v>25</v>
      </c>
      <c r="B961" t="s">
        <v>17</v>
      </c>
      <c r="C961">
        <v>0</v>
      </c>
      <c r="D961">
        <v>0</v>
      </c>
      <c r="E961">
        <v>0</v>
      </c>
      <c r="F961">
        <v>4872</v>
      </c>
      <c r="G961">
        <v>1750</v>
      </c>
      <c r="H961">
        <v>0</v>
      </c>
      <c r="J961" t="str">
        <f>VLOOKUP(Table3[[#This Row],[Faction ID]],Table4[],2)</f>
        <v>Balchoth</v>
      </c>
    </row>
    <row r="962" spans="1:10" x14ac:dyDescent="0.25">
      <c r="A962">
        <v>25</v>
      </c>
      <c r="B962" t="s">
        <v>18</v>
      </c>
      <c r="C962">
        <v>86</v>
      </c>
      <c r="D962">
        <v>31</v>
      </c>
      <c r="E962">
        <v>288.89999999999998</v>
      </c>
      <c r="F962">
        <v>25333</v>
      </c>
      <c r="G962">
        <v>25344</v>
      </c>
      <c r="H962">
        <v>940</v>
      </c>
      <c r="J962" t="str">
        <f>VLOOKUP(Table3[[#This Row],[Faction ID]],Table4[],2)</f>
        <v>Rhurim/Rhun</v>
      </c>
    </row>
    <row r="963" spans="1:10" x14ac:dyDescent="0.25">
      <c r="A963">
        <v>25</v>
      </c>
      <c r="B963" t="s">
        <v>19</v>
      </c>
      <c r="C963">
        <v>0</v>
      </c>
      <c r="D963">
        <v>0</v>
      </c>
      <c r="E963">
        <v>0</v>
      </c>
      <c r="F963">
        <v>7360</v>
      </c>
      <c r="G963">
        <v>1750</v>
      </c>
      <c r="H963">
        <v>0</v>
      </c>
      <c r="J963" t="str">
        <f>VLOOKUP(Table3[[#This Row],[Faction ID]],Table4[],2)</f>
        <v>Feredrim</v>
      </c>
    </row>
    <row r="964" spans="1:10" x14ac:dyDescent="0.25">
      <c r="A964">
        <v>25</v>
      </c>
      <c r="B964" t="s">
        <v>26</v>
      </c>
      <c r="C964">
        <v>0</v>
      </c>
      <c r="D964">
        <v>0</v>
      </c>
      <c r="E964">
        <v>0</v>
      </c>
      <c r="F964">
        <v>6395</v>
      </c>
      <c r="G964">
        <v>1750</v>
      </c>
      <c r="H964">
        <v>0</v>
      </c>
      <c r="J964" t="str">
        <f>VLOOKUP(Table3[[#This Row],[Faction ID]],Table4[],2)</f>
        <v>Rachrohir (Wainriders)</v>
      </c>
    </row>
    <row r="965" spans="1:10" x14ac:dyDescent="0.25">
      <c r="A965">
        <v>25</v>
      </c>
      <c r="B965" t="s">
        <v>27</v>
      </c>
      <c r="C965">
        <v>5</v>
      </c>
      <c r="D965">
        <v>3</v>
      </c>
      <c r="E965">
        <v>37</v>
      </c>
      <c r="F965">
        <v>29137</v>
      </c>
      <c r="G965">
        <v>6546</v>
      </c>
      <c r="H965">
        <v>0</v>
      </c>
      <c r="J965" t="str">
        <f>VLOOKUP(Table3[[#This Row],[Faction ID]],Table4[],2)</f>
        <v>Blacklock-Stonefoot League</v>
      </c>
    </row>
    <row r="966" spans="1:10" x14ac:dyDescent="0.25">
      <c r="A966">
        <v>25</v>
      </c>
      <c r="B966" t="s">
        <v>28</v>
      </c>
      <c r="C966">
        <v>4</v>
      </c>
      <c r="D966">
        <v>2</v>
      </c>
      <c r="E966">
        <v>28</v>
      </c>
      <c r="F966">
        <v>23330</v>
      </c>
      <c r="G966">
        <v>5203</v>
      </c>
      <c r="H966">
        <v>0</v>
      </c>
      <c r="J966" t="str">
        <f>VLOOKUP(Table3[[#This Row],[Faction ID]],Table4[],2)</f>
        <v>Ironfist-Stiffbeard Union</v>
      </c>
    </row>
    <row r="967" spans="1:10" x14ac:dyDescent="0.25">
      <c r="A967">
        <v>25</v>
      </c>
      <c r="B967" t="s">
        <v>20</v>
      </c>
      <c r="C967">
        <v>62</v>
      </c>
      <c r="D967">
        <v>8</v>
      </c>
      <c r="E967">
        <v>111.8</v>
      </c>
      <c r="F967">
        <v>10436</v>
      </c>
      <c r="G967">
        <v>13802</v>
      </c>
      <c r="H967">
        <v>325</v>
      </c>
      <c r="J967" t="str">
        <f>VLOOKUP(Table3[[#This Row],[Faction ID]],Table4[],2)</f>
        <v>Gundabad</v>
      </c>
    </row>
    <row r="968" spans="1:10" x14ac:dyDescent="0.25">
      <c r="A968">
        <v>25</v>
      </c>
      <c r="B968" t="s">
        <v>34</v>
      </c>
      <c r="C968">
        <v>0</v>
      </c>
      <c r="D968">
        <v>0</v>
      </c>
      <c r="E968">
        <v>3</v>
      </c>
      <c r="F968">
        <v>30904</v>
      </c>
      <c r="G968">
        <v>2379</v>
      </c>
      <c r="H968">
        <v>0</v>
      </c>
      <c r="J968" t="str">
        <f>VLOOKUP(Table3[[#This Row],[Faction ID]],Table4[],2)</f>
        <v>Scouts of Rohan</v>
      </c>
    </row>
    <row r="969" spans="1:10" x14ac:dyDescent="0.25">
      <c r="A969">
        <v>25</v>
      </c>
      <c r="B969" t="s">
        <v>33</v>
      </c>
      <c r="C969">
        <v>5</v>
      </c>
      <c r="D969">
        <v>3</v>
      </c>
      <c r="E969">
        <v>29</v>
      </c>
      <c r="F969">
        <v>18954</v>
      </c>
      <c r="G969">
        <v>4615</v>
      </c>
      <c r="H969">
        <v>0</v>
      </c>
      <c r="J969" t="str">
        <f>VLOOKUP(Table3[[#This Row],[Faction ID]],Table4[],2)</f>
        <v>Northern Enedwaith</v>
      </c>
    </row>
    <row r="970" spans="1:10" x14ac:dyDescent="0.25">
      <c r="A970">
        <v>25</v>
      </c>
      <c r="B970" t="s">
        <v>29</v>
      </c>
      <c r="C970">
        <v>3</v>
      </c>
      <c r="D970">
        <v>2</v>
      </c>
      <c r="E970">
        <v>17</v>
      </c>
      <c r="F970">
        <v>20065</v>
      </c>
      <c r="G970">
        <v>3821</v>
      </c>
      <c r="H970">
        <v>0</v>
      </c>
      <c r="J970" t="str">
        <f>VLOOKUP(Table3[[#This Row],[Faction ID]],Table4[],2)</f>
        <v>Southern Enedwaith</v>
      </c>
    </row>
    <row r="971" spans="1:10" x14ac:dyDescent="0.25">
      <c r="A971">
        <v>25</v>
      </c>
      <c r="B971" t="s">
        <v>30</v>
      </c>
      <c r="C971">
        <v>5</v>
      </c>
      <c r="D971">
        <v>3</v>
      </c>
      <c r="E971">
        <v>29</v>
      </c>
      <c r="F971">
        <v>29447</v>
      </c>
      <c r="G971">
        <v>4389</v>
      </c>
      <c r="H971">
        <v>0</v>
      </c>
      <c r="J971" t="str">
        <f>VLOOKUP(Table3[[#This Row],[Faction ID]],Table4[],2)</f>
        <v>Druedain</v>
      </c>
    </row>
    <row r="972" spans="1:10" x14ac:dyDescent="0.25">
      <c r="A972">
        <v>25</v>
      </c>
      <c r="B972" t="s">
        <v>31</v>
      </c>
      <c r="C972">
        <v>3</v>
      </c>
      <c r="D972">
        <v>1</v>
      </c>
      <c r="E972">
        <v>22</v>
      </c>
      <c r="F972">
        <v>6711</v>
      </c>
      <c r="G972">
        <v>4647</v>
      </c>
      <c r="H972">
        <v>152</v>
      </c>
      <c r="J972" t="str">
        <f>VLOOKUP(Table3[[#This Row],[Faction ID]],Table4[],2)</f>
        <v>Harondor</v>
      </c>
    </row>
    <row r="973" spans="1:10" x14ac:dyDescent="0.25">
      <c r="A973">
        <v>25</v>
      </c>
      <c r="B973" t="s">
        <v>35</v>
      </c>
      <c r="C973">
        <v>0</v>
      </c>
      <c r="D973">
        <v>0</v>
      </c>
      <c r="E973">
        <v>0</v>
      </c>
      <c r="F973">
        <v>4000</v>
      </c>
      <c r="G973">
        <v>1750</v>
      </c>
      <c r="H973">
        <v>0</v>
      </c>
      <c r="J973" t="str">
        <f>VLOOKUP(Table3[[#This Row],[Faction ID]],Table4[],2)</f>
        <v>Southron Nomads</v>
      </c>
    </row>
    <row r="974" spans="1:10" x14ac:dyDescent="0.25">
      <c r="A974">
        <v>25</v>
      </c>
      <c r="B974" t="s">
        <v>36</v>
      </c>
      <c r="C974">
        <v>0</v>
      </c>
      <c r="D974">
        <v>0</v>
      </c>
      <c r="E974">
        <v>0</v>
      </c>
      <c r="F974">
        <v>4000</v>
      </c>
      <c r="G974">
        <v>1750</v>
      </c>
      <c r="H974">
        <v>0</v>
      </c>
      <c r="J974" t="str">
        <f>VLOOKUP(Table3[[#This Row],[Faction ID]],Table4[],2)</f>
        <v>_</v>
      </c>
    </row>
    <row r="975" spans="1:10" x14ac:dyDescent="0.25">
      <c r="A975">
        <v>25</v>
      </c>
      <c r="B975" t="s">
        <v>37</v>
      </c>
      <c r="C975">
        <v>0</v>
      </c>
      <c r="D975">
        <v>0</v>
      </c>
      <c r="E975">
        <v>0</v>
      </c>
      <c r="F975">
        <v>4000</v>
      </c>
      <c r="G975">
        <v>1750</v>
      </c>
      <c r="H975">
        <v>0</v>
      </c>
      <c r="J975" t="str">
        <f>VLOOKUP(Table3[[#This Row],[Faction ID]],Table4[],2)</f>
        <v>_</v>
      </c>
    </row>
    <row r="976" spans="1:10" x14ac:dyDescent="0.25">
      <c r="A976">
        <v>25</v>
      </c>
      <c r="B976" t="s">
        <v>38</v>
      </c>
      <c r="C976">
        <v>0</v>
      </c>
      <c r="D976">
        <v>0</v>
      </c>
      <c r="E976">
        <v>0</v>
      </c>
      <c r="F976">
        <v>4000</v>
      </c>
      <c r="G976">
        <v>1750</v>
      </c>
      <c r="H976">
        <v>0</v>
      </c>
      <c r="J976" t="str">
        <f>VLOOKUP(Table3[[#This Row],[Faction ID]],Table4[],2)</f>
        <v>_</v>
      </c>
    </row>
    <row r="977" spans="1:10" x14ac:dyDescent="0.25">
      <c r="A977">
        <v>25</v>
      </c>
      <c r="B977" t="s">
        <v>39</v>
      </c>
      <c r="C977">
        <v>0</v>
      </c>
      <c r="D977">
        <v>0</v>
      </c>
      <c r="E977">
        <v>0</v>
      </c>
      <c r="F977">
        <v>4000</v>
      </c>
      <c r="G977">
        <v>1750</v>
      </c>
      <c r="H977">
        <v>0</v>
      </c>
      <c r="J977" t="str">
        <f>VLOOKUP(Table3[[#This Row],[Faction ID]],Table4[],2)</f>
        <v>_</v>
      </c>
    </row>
    <row r="978" spans="1:10" x14ac:dyDescent="0.25">
      <c r="A978">
        <v>25</v>
      </c>
      <c r="B978" t="s">
        <v>40</v>
      </c>
      <c r="C978">
        <v>0</v>
      </c>
      <c r="D978">
        <v>0</v>
      </c>
      <c r="E978">
        <v>0</v>
      </c>
      <c r="F978">
        <v>4000</v>
      </c>
      <c r="G978">
        <v>1750</v>
      </c>
      <c r="H978">
        <v>0</v>
      </c>
      <c r="J978" t="str">
        <f>VLOOKUP(Table3[[#This Row],[Faction ID]],Table4[],2)</f>
        <v>_</v>
      </c>
    </row>
    <row r="979" spans="1:10" x14ac:dyDescent="0.25">
      <c r="A979">
        <v>25</v>
      </c>
      <c r="B979" t="s">
        <v>41</v>
      </c>
      <c r="C979">
        <v>0</v>
      </c>
      <c r="D979">
        <v>0</v>
      </c>
      <c r="E979">
        <v>0</v>
      </c>
      <c r="F979">
        <v>4000</v>
      </c>
      <c r="G979">
        <v>1750</v>
      </c>
      <c r="H979">
        <v>0</v>
      </c>
      <c r="J979" t="str">
        <f>VLOOKUP(Table3[[#This Row],[Faction ID]],Table4[],2)</f>
        <v>_</v>
      </c>
    </row>
    <row r="980" spans="1:10" x14ac:dyDescent="0.25">
      <c r="A980">
        <v>25</v>
      </c>
      <c r="B980" t="s">
        <v>42</v>
      </c>
      <c r="C980">
        <v>0</v>
      </c>
      <c r="D980">
        <v>0</v>
      </c>
      <c r="E980">
        <v>0</v>
      </c>
      <c r="F980">
        <v>4000</v>
      </c>
      <c r="G980">
        <v>1750</v>
      </c>
      <c r="H980">
        <v>0</v>
      </c>
      <c r="J980" t="str">
        <f>VLOOKUP(Table3[[#This Row],[Faction ID]],Table4[],2)</f>
        <v>_</v>
      </c>
    </row>
    <row r="981" spans="1:10" x14ac:dyDescent="0.25">
      <c r="A981">
        <v>25</v>
      </c>
      <c r="B981" t="s">
        <v>43</v>
      </c>
      <c r="C981">
        <v>0</v>
      </c>
      <c r="D981">
        <v>0</v>
      </c>
      <c r="E981">
        <v>0</v>
      </c>
      <c r="F981">
        <v>4000</v>
      </c>
      <c r="G981">
        <v>1750</v>
      </c>
      <c r="H981">
        <v>0</v>
      </c>
      <c r="J981" t="str">
        <f>VLOOKUP(Table3[[#This Row],[Faction ID]],Table4[],2)</f>
        <v>_</v>
      </c>
    </row>
    <row r="982" spans="1:10" x14ac:dyDescent="0.25">
      <c r="A982">
        <v>25</v>
      </c>
      <c r="B982" t="s">
        <v>44</v>
      </c>
      <c r="C982">
        <v>0</v>
      </c>
      <c r="D982">
        <v>0</v>
      </c>
      <c r="E982">
        <v>0</v>
      </c>
      <c r="F982">
        <v>4000</v>
      </c>
      <c r="G982">
        <v>1750</v>
      </c>
      <c r="H982">
        <v>0</v>
      </c>
      <c r="J982" t="str">
        <f>VLOOKUP(Table3[[#This Row],[Faction ID]],Table4[],2)</f>
        <v>_</v>
      </c>
    </row>
    <row r="983" spans="1:10" x14ac:dyDescent="0.25">
      <c r="A983">
        <v>26</v>
      </c>
      <c r="B983" t="s">
        <v>9</v>
      </c>
      <c r="C983">
        <v>117</v>
      </c>
      <c r="D983">
        <v>17</v>
      </c>
      <c r="E983">
        <v>168.7</v>
      </c>
      <c r="F983">
        <v>5133</v>
      </c>
      <c r="G983">
        <v>17122</v>
      </c>
      <c r="H983">
        <v>917</v>
      </c>
      <c r="J983" t="str">
        <f>VLOOKUP(Table3[[#This Row],[Faction ID]],Table4[],2)</f>
        <v>Mordor</v>
      </c>
    </row>
    <row r="984" spans="1:10" x14ac:dyDescent="0.25">
      <c r="A984">
        <v>26</v>
      </c>
      <c r="B984" t="s">
        <v>4</v>
      </c>
      <c r="C984">
        <v>100</v>
      </c>
      <c r="D984">
        <v>13</v>
      </c>
      <c r="E984">
        <v>175</v>
      </c>
      <c r="F984">
        <v>23565</v>
      </c>
      <c r="G984">
        <v>21608</v>
      </c>
      <c r="H984">
        <v>662</v>
      </c>
      <c r="J984" t="str">
        <f>VLOOKUP(Table3[[#This Row],[Faction ID]],Table4[],2)</f>
        <v>Gondor</v>
      </c>
    </row>
    <row r="985" spans="1:10" x14ac:dyDescent="0.25">
      <c r="A985">
        <v>26</v>
      </c>
      <c r="B985" t="s">
        <v>6</v>
      </c>
      <c r="C985">
        <v>66</v>
      </c>
      <c r="D985">
        <v>7</v>
      </c>
      <c r="E985">
        <v>101.4</v>
      </c>
      <c r="F985">
        <v>15098</v>
      </c>
      <c r="G985">
        <v>12955</v>
      </c>
      <c r="H985">
        <v>235</v>
      </c>
      <c r="J985" t="str">
        <f>VLOOKUP(Table3[[#This Row],[Faction ID]],Table4[],2)</f>
        <v>Dale</v>
      </c>
    </row>
    <row r="986" spans="1:10" x14ac:dyDescent="0.25">
      <c r="A986">
        <v>26</v>
      </c>
      <c r="B986" t="s">
        <v>21</v>
      </c>
      <c r="C986">
        <v>74</v>
      </c>
      <c r="D986">
        <v>4</v>
      </c>
      <c r="E986">
        <v>76</v>
      </c>
      <c r="F986">
        <v>38065</v>
      </c>
      <c r="G986">
        <v>14786</v>
      </c>
      <c r="H986">
        <v>686</v>
      </c>
      <c r="J986" t="str">
        <f>VLOOKUP(Table3[[#This Row],[Faction ID]],Table4[],2)</f>
        <v>Erebor</v>
      </c>
    </row>
    <row r="987" spans="1:10" x14ac:dyDescent="0.25">
      <c r="A987">
        <v>26</v>
      </c>
      <c r="B987" t="s">
        <v>5</v>
      </c>
      <c r="C987">
        <v>76</v>
      </c>
      <c r="D987">
        <v>11</v>
      </c>
      <c r="E987">
        <v>103</v>
      </c>
      <c r="F987">
        <v>11503</v>
      </c>
      <c r="G987">
        <v>14613</v>
      </c>
      <c r="H987">
        <v>473</v>
      </c>
      <c r="J987" t="str">
        <f>VLOOKUP(Table3[[#This Row],[Faction ID]],Table4[],2)</f>
        <v>Rohan</v>
      </c>
    </row>
    <row r="988" spans="1:10" x14ac:dyDescent="0.25">
      <c r="A988">
        <v>26</v>
      </c>
      <c r="B988" t="s">
        <v>12</v>
      </c>
      <c r="C988">
        <v>84</v>
      </c>
      <c r="D988">
        <v>11</v>
      </c>
      <c r="E988">
        <v>120</v>
      </c>
      <c r="F988">
        <v>17216</v>
      </c>
      <c r="G988">
        <v>15825</v>
      </c>
      <c r="H988">
        <v>931</v>
      </c>
      <c r="J988" t="str">
        <f>VLOOKUP(Table3[[#This Row],[Faction ID]],Table4[],2)</f>
        <v>Dol Guldur</v>
      </c>
    </row>
    <row r="989" spans="1:10" x14ac:dyDescent="0.25">
      <c r="A989">
        <v>26</v>
      </c>
      <c r="B989" t="s">
        <v>10</v>
      </c>
      <c r="C989">
        <v>52</v>
      </c>
      <c r="D989">
        <v>6</v>
      </c>
      <c r="E989">
        <v>60</v>
      </c>
      <c r="F989">
        <v>5918</v>
      </c>
      <c r="G989">
        <v>8267</v>
      </c>
      <c r="H989">
        <v>0</v>
      </c>
      <c r="J989" t="str">
        <f>VLOOKUP(Table3[[#This Row],[Faction ID]],Table4[],2)</f>
        <v>Anduin Vale</v>
      </c>
    </row>
    <row r="990" spans="1:10" x14ac:dyDescent="0.25">
      <c r="A990">
        <v>26</v>
      </c>
      <c r="B990" t="s">
        <v>32</v>
      </c>
      <c r="C990">
        <v>62</v>
      </c>
      <c r="D990">
        <v>4</v>
      </c>
      <c r="E990">
        <v>64.900000000000006</v>
      </c>
      <c r="F990">
        <v>16574</v>
      </c>
      <c r="G990">
        <v>10637</v>
      </c>
      <c r="H990">
        <v>385</v>
      </c>
      <c r="J990" t="str">
        <f>VLOOKUP(Table3[[#This Row],[Faction ID]],Table4[],2)</f>
        <v>Isengard</v>
      </c>
    </row>
    <row r="991" spans="1:10" x14ac:dyDescent="0.25">
      <c r="A991">
        <v>26</v>
      </c>
      <c r="B991" t="s">
        <v>22</v>
      </c>
      <c r="C991">
        <v>30</v>
      </c>
      <c r="D991">
        <v>0</v>
      </c>
      <c r="E991">
        <v>0</v>
      </c>
      <c r="F991">
        <v>8475</v>
      </c>
      <c r="G991">
        <v>2500</v>
      </c>
      <c r="H991">
        <v>0</v>
      </c>
      <c r="J991" t="str">
        <f>VLOOKUP(Table3[[#This Row],[Faction ID]],Table4[],2)</f>
        <v>Woodland Realm</v>
      </c>
    </row>
    <row r="992" spans="1:10" x14ac:dyDescent="0.25">
      <c r="A992">
        <v>26</v>
      </c>
      <c r="B992" t="s">
        <v>23</v>
      </c>
      <c r="C992">
        <v>43</v>
      </c>
      <c r="D992">
        <v>2</v>
      </c>
      <c r="E992">
        <v>31</v>
      </c>
      <c r="F992">
        <v>6267</v>
      </c>
      <c r="G992">
        <v>8859</v>
      </c>
      <c r="H992">
        <v>392</v>
      </c>
      <c r="J992" t="str">
        <f>VLOOKUP(Table3[[#This Row],[Faction ID]],Table4[],2)</f>
        <v>Lothlorien</v>
      </c>
    </row>
    <row r="993" spans="1:10" x14ac:dyDescent="0.25">
      <c r="A993">
        <v>26</v>
      </c>
      <c r="B993" t="s">
        <v>24</v>
      </c>
      <c r="C993">
        <v>0</v>
      </c>
      <c r="D993">
        <v>0</v>
      </c>
      <c r="E993">
        <v>0</v>
      </c>
      <c r="F993">
        <v>4919</v>
      </c>
      <c r="G993">
        <v>1750</v>
      </c>
      <c r="H993">
        <v>0</v>
      </c>
      <c r="J993" t="str">
        <f>VLOOKUP(Table3[[#This Row],[Faction ID]],Table4[],2)</f>
        <v>Variags (Khand)</v>
      </c>
    </row>
    <row r="994" spans="1:10" x14ac:dyDescent="0.25">
      <c r="A994">
        <v>26</v>
      </c>
      <c r="B994" t="s">
        <v>14</v>
      </c>
      <c r="C994">
        <v>8</v>
      </c>
      <c r="D994">
        <v>6</v>
      </c>
      <c r="E994">
        <v>77.099999999999994</v>
      </c>
      <c r="F994">
        <v>8698</v>
      </c>
      <c r="G994">
        <v>12119</v>
      </c>
      <c r="H994">
        <v>908</v>
      </c>
      <c r="J994" t="str">
        <f>VLOOKUP(Table3[[#This Row],[Faction ID]],Table4[],2)</f>
        <v>Corsairs of Umbar</v>
      </c>
    </row>
    <row r="995" spans="1:10" x14ac:dyDescent="0.25">
      <c r="A995">
        <v>26</v>
      </c>
      <c r="B995" t="s">
        <v>25</v>
      </c>
      <c r="C995">
        <v>5</v>
      </c>
      <c r="D995">
        <v>3</v>
      </c>
      <c r="E995">
        <v>41</v>
      </c>
      <c r="F995">
        <v>19755</v>
      </c>
      <c r="G995">
        <v>6110</v>
      </c>
      <c r="H995">
        <v>0</v>
      </c>
      <c r="J995" t="str">
        <f>VLOOKUP(Table3[[#This Row],[Faction ID]],Table4[],2)</f>
        <v>Mahud</v>
      </c>
    </row>
    <row r="996" spans="1:10" x14ac:dyDescent="0.25">
      <c r="A996">
        <v>26</v>
      </c>
      <c r="B996" t="s">
        <v>11</v>
      </c>
      <c r="C996">
        <v>52</v>
      </c>
      <c r="D996">
        <v>4</v>
      </c>
      <c r="E996">
        <v>62</v>
      </c>
      <c r="F996">
        <v>17518</v>
      </c>
      <c r="G996">
        <v>10082</v>
      </c>
      <c r="H996">
        <v>0</v>
      </c>
      <c r="J996" t="str">
        <f>VLOOKUP(Table3[[#This Row],[Faction ID]],Table4[],2)</f>
        <v>Haradrim</v>
      </c>
    </row>
    <row r="997" spans="1:10" x14ac:dyDescent="0.25">
      <c r="A997">
        <v>26</v>
      </c>
      <c r="B997" t="s">
        <v>15</v>
      </c>
      <c r="C997">
        <v>54</v>
      </c>
      <c r="D997">
        <v>4</v>
      </c>
      <c r="E997">
        <v>57.9</v>
      </c>
      <c r="F997">
        <v>15485</v>
      </c>
      <c r="G997">
        <v>10562</v>
      </c>
      <c r="H997">
        <v>441</v>
      </c>
      <c r="J997" t="str">
        <f>VLOOKUP(Table3[[#This Row],[Faction ID]],Table4[],2)</f>
        <v>Dunlendings</v>
      </c>
    </row>
    <row r="998" spans="1:10" x14ac:dyDescent="0.25">
      <c r="A998">
        <v>26</v>
      </c>
      <c r="B998" t="s">
        <v>16</v>
      </c>
      <c r="C998">
        <v>0</v>
      </c>
      <c r="D998">
        <v>0</v>
      </c>
      <c r="E998">
        <v>0</v>
      </c>
      <c r="F998">
        <v>5352</v>
      </c>
      <c r="G998">
        <v>1750</v>
      </c>
      <c r="H998">
        <v>0</v>
      </c>
      <c r="J998" t="str">
        <f>VLOOKUP(Table3[[#This Row],[Faction ID]],Table4[],2)</f>
        <v>Haerrim</v>
      </c>
    </row>
    <row r="999" spans="1:10" x14ac:dyDescent="0.25">
      <c r="A999">
        <v>26</v>
      </c>
      <c r="B999" t="s">
        <v>13</v>
      </c>
      <c r="C999">
        <v>87</v>
      </c>
      <c r="D999">
        <v>10</v>
      </c>
      <c r="E999">
        <v>134.69999999999999</v>
      </c>
      <c r="F999">
        <v>11369</v>
      </c>
      <c r="G999">
        <v>16401</v>
      </c>
      <c r="H999">
        <v>828</v>
      </c>
      <c r="J999" t="str">
        <f>VLOOKUP(Table3[[#This Row],[Faction ID]],Table4[],2)</f>
        <v>Goblins</v>
      </c>
    </row>
    <row r="1000" spans="1:10" x14ac:dyDescent="0.25">
      <c r="A1000">
        <v>26</v>
      </c>
      <c r="B1000" t="s">
        <v>17</v>
      </c>
      <c r="C1000">
        <v>0</v>
      </c>
      <c r="D1000">
        <v>0</v>
      </c>
      <c r="E1000">
        <v>0</v>
      </c>
      <c r="F1000">
        <v>4872</v>
      </c>
      <c r="G1000">
        <v>1750</v>
      </c>
      <c r="H1000">
        <v>0</v>
      </c>
      <c r="J1000" t="str">
        <f>VLOOKUP(Table3[[#This Row],[Faction ID]],Table4[],2)</f>
        <v>Balchoth</v>
      </c>
    </row>
    <row r="1001" spans="1:10" x14ac:dyDescent="0.25">
      <c r="A1001">
        <v>26</v>
      </c>
      <c r="B1001" t="s">
        <v>18</v>
      </c>
      <c r="C1001">
        <v>86</v>
      </c>
      <c r="D1001">
        <v>31</v>
      </c>
      <c r="E1001">
        <v>305.8</v>
      </c>
      <c r="F1001">
        <v>26134</v>
      </c>
      <c r="G1001">
        <v>24945</v>
      </c>
      <c r="H1001">
        <v>943</v>
      </c>
      <c r="J1001" t="str">
        <f>VLOOKUP(Table3[[#This Row],[Faction ID]],Table4[],2)</f>
        <v>Rhurim/Rhun</v>
      </c>
    </row>
    <row r="1002" spans="1:10" x14ac:dyDescent="0.25">
      <c r="A1002">
        <v>26</v>
      </c>
      <c r="B1002" t="s">
        <v>19</v>
      </c>
      <c r="C1002">
        <v>0</v>
      </c>
      <c r="D1002">
        <v>0</v>
      </c>
      <c r="E1002">
        <v>0</v>
      </c>
      <c r="F1002">
        <v>7360</v>
      </c>
      <c r="G1002">
        <v>1750</v>
      </c>
      <c r="H1002">
        <v>0</v>
      </c>
      <c r="J1002" t="str">
        <f>VLOOKUP(Table3[[#This Row],[Faction ID]],Table4[],2)</f>
        <v>Feredrim</v>
      </c>
    </row>
    <row r="1003" spans="1:10" x14ac:dyDescent="0.25">
      <c r="A1003">
        <v>26</v>
      </c>
      <c r="B1003" t="s">
        <v>26</v>
      </c>
      <c r="C1003">
        <v>0</v>
      </c>
      <c r="D1003">
        <v>0</v>
      </c>
      <c r="E1003">
        <v>0</v>
      </c>
      <c r="F1003">
        <v>6395</v>
      </c>
      <c r="G1003">
        <v>1750</v>
      </c>
      <c r="H1003">
        <v>0</v>
      </c>
      <c r="J1003" t="str">
        <f>VLOOKUP(Table3[[#This Row],[Faction ID]],Table4[],2)</f>
        <v>Rachrohir (Wainriders)</v>
      </c>
    </row>
    <row r="1004" spans="1:10" x14ac:dyDescent="0.25">
      <c r="A1004">
        <v>26</v>
      </c>
      <c r="B1004" t="s">
        <v>27</v>
      </c>
      <c r="C1004">
        <v>5</v>
      </c>
      <c r="D1004">
        <v>3</v>
      </c>
      <c r="E1004">
        <v>37</v>
      </c>
      <c r="F1004">
        <v>31361</v>
      </c>
      <c r="G1004">
        <v>6670</v>
      </c>
      <c r="H1004">
        <v>0</v>
      </c>
      <c r="J1004" t="str">
        <f>VLOOKUP(Table3[[#This Row],[Faction ID]],Table4[],2)</f>
        <v>Blacklock-Stonefoot League</v>
      </c>
    </row>
    <row r="1005" spans="1:10" x14ac:dyDescent="0.25">
      <c r="A1005">
        <v>26</v>
      </c>
      <c r="B1005" t="s">
        <v>28</v>
      </c>
      <c r="C1005">
        <v>4</v>
      </c>
      <c r="D1005">
        <v>2</v>
      </c>
      <c r="E1005">
        <v>28</v>
      </c>
      <c r="F1005">
        <v>25019</v>
      </c>
      <c r="G1005">
        <v>5231</v>
      </c>
      <c r="H1005">
        <v>0</v>
      </c>
      <c r="J1005" t="str">
        <f>VLOOKUP(Table3[[#This Row],[Faction ID]],Table4[],2)</f>
        <v>Ironfist-Stiffbeard Union</v>
      </c>
    </row>
    <row r="1006" spans="1:10" x14ac:dyDescent="0.25">
      <c r="A1006">
        <v>26</v>
      </c>
      <c r="B1006" t="s">
        <v>20</v>
      </c>
      <c r="C1006">
        <v>62</v>
      </c>
      <c r="D1006">
        <v>8</v>
      </c>
      <c r="E1006">
        <v>111.8</v>
      </c>
      <c r="F1006">
        <v>10333</v>
      </c>
      <c r="G1006">
        <v>13787</v>
      </c>
      <c r="H1006">
        <v>327</v>
      </c>
      <c r="J1006" t="str">
        <f>VLOOKUP(Table3[[#This Row],[Faction ID]],Table4[],2)</f>
        <v>Gundabad</v>
      </c>
    </row>
    <row r="1007" spans="1:10" x14ac:dyDescent="0.25">
      <c r="A1007">
        <v>26</v>
      </c>
      <c r="B1007" t="s">
        <v>34</v>
      </c>
      <c r="C1007">
        <v>0</v>
      </c>
      <c r="D1007">
        <v>0</v>
      </c>
      <c r="E1007">
        <v>3</v>
      </c>
      <c r="F1007">
        <v>32025</v>
      </c>
      <c r="G1007">
        <v>2379</v>
      </c>
      <c r="H1007">
        <v>0</v>
      </c>
      <c r="J1007" t="str">
        <f>VLOOKUP(Table3[[#This Row],[Faction ID]],Table4[],2)</f>
        <v>Scouts of Rohan</v>
      </c>
    </row>
    <row r="1008" spans="1:10" x14ac:dyDescent="0.25">
      <c r="A1008">
        <v>26</v>
      </c>
      <c r="B1008" t="s">
        <v>33</v>
      </c>
      <c r="C1008">
        <v>5</v>
      </c>
      <c r="D1008">
        <v>3</v>
      </c>
      <c r="E1008">
        <v>29</v>
      </c>
      <c r="F1008">
        <v>17506</v>
      </c>
      <c r="G1008">
        <v>4829</v>
      </c>
      <c r="H1008">
        <v>0</v>
      </c>
      <c r="J1008" t="str">
        <f>VLOOKUP(Table3[[#This Row],[Faction ID]],Table4[],2)</f>
        <v>Northern Enedwaith</v>
      </c>
    </row>
    <row r="1009" spans="1:10" x14ac:dyDescent="0.25">
      <c r="A1009">
        <v>26</v>
      </c>
      <c r="B1009" t="s">
        <v>29</v>
      </c>
      <c r="C1009">
        <v>3</v>
      </c>
      <c r="D1009">
        <v>2</v>
      </c>
      <c r="E1009">
        <v>17</v>
      </c>
      <c r="F1009">
        <v>15296</v>
      </c>
      <c r="G1009">
        <v>4176</v>
      </c>
      <c r="H1009">
        <v>0</v>
      </c>
      <c r="J1009" t="str">
        <f>VLOOKUP(Table3[[#This Row],[Faction ID]],Table4[],2)</f>
        <v>Southern Enedwaith</v>
      </c>
    </row>
    <row r="1010" spans="1:10" x14ac:dyDescent="0.25">
      <c r="A1010">
        <v>26</v>
      </c>
      <c r="B1010" t="s">
        <v>30</v>
      </c>
      <c r="C1010">
        <v>5</v>
      </c>
      <c r="D1010">
        <v>3</v>
      </c>
      <c r="E1010">
        <v>30</v>
      </c>
      <c r="F1010">
        <v>15858</v>
      </c>
      <c r="G1010">
        <v>4718</v>
      </c>
      <c r="H1010">
        <v>0</v>
      </c>
      <c r="J1010" t="str">
        <f>VLOOKUP(Table3[[#This Row],[Faction ID]],Table4[],2)</f>
        <v>Druedain</v>
      </c>
    </row>
    <row r="1011" spans="1:10" x14ac:dyDescent="0.25">
      <c r="A1011">
        <v>26</v>
      </c>
      <c r="B1011" t="s">
        <v>31</v>
      </c>
      <c r="C1011">
        <v>3</v>
      </c>
      <c r="D1011">
        <v>1</v>
      </c>
      <c r="E1011">
        <v>22</v>
      </c>
      <c r="F1011">
        <v>7372</v>
      </c>
      <c r="G1011">
        <v>4832</v>
      </c>
      <c r="H1011">
        <v>152</v>
      </c>
      <c r="J1011" t="str">
        <f>VLOOKUP(Table3[[#This Row],[Faction ID]],Table4[],2)</f>
        <v>Harondor</v>
      </c>
    </row>
    <row r="1012" spans="1:10" x14ac:dyDescent="0.25">
      <c r="A1012">
        <v>26</v>
      </c>
      <c r="B1012" t="s">
        <v>35</v>
      </c>
      <c r="C1012">
        <v>0</v>
      </c>
      <c r="D1012">
        <v>0</v>
      </c>
      <c r="E1012">
        <v>0</v>
      </c>
      <c r="F1012">
        <v>4000</v>
      </c>
      <c r="G1012">
        <v>1750</v>
      </c>
      <c r="H1012">
        <v>0</v>
      </c>
      <c r="J1012" t="str">
        <f>VLOOKUP(Table3[[#This Row],[Faction ID]],Table4[],2)</f>
        <v>Southron Nomads</v>
      </c>
    </row>
    <row r="1013" spans="1:10" x14ac:dyDescent="0.25">
      <c r="A1013">
        <v>26</v>
      </c>
      <c r="B1013" t="s">
        <v>36</v>
      </c>
      <c r="C1013">
        <v>0</v>
      </c>
      <c r="D1013">
        <v>0</v>
      </c>
      <c r="E1013">
        <v>0</v>
      </c>
      <c r="F1013">
        <v>4000</v>
      </c>
      <c r="G1013">
        <v>1750</v>
      </c>
      <c r="H1013">
        <v>0</v>
      </c>
      <c r="J1013" t="str">
        <f>VLOOKUP(Table3[[#This Row],[Faction ID]],Table4[],2)</f>
        <v>_</v>
      </c>
    </row>
    <row r="1014" spans="1:10" x14ac:dyDescent="0.25">
      <c r="A1014">
        <v>26</v>
      </c>
      <c r="B1014" t="s">
        <v>37</v>
      </c>
      <c r="C1014">
        <v>0</v>
      </c>
      <c r="D1014">
        <v>0</v>
      </c>
      <c r="E1014">
        <v>0</v>
      </c>
      <c r="F1014">
        <v>4000</v>
      </c>
      <c r="G1014">
        <v>1750</v>
      </c>
      <c r="H1014">
        <v>0</v>
      </c>
      <c r="J1014" t="str">
        <f>VLOOKUP(Table3[[#This Row],[Faction ID]],Table4[],2)</f>
        <v>_</v>
      </c>
    </row>
    <row r="1015" spans="1:10" x14ac:dyDescent="0.25">
      <c r="A1015">
        <v>26</v>
      </c>
      <c r="B1015" t="s">
        <v>38</v>
      </c>
      <c r="C1015">
        <v>0</v>
      </c>
      <c r="D1015">
        <v>0</v>
      </c>
      <c r="E1015">
        <v>0</v>
      </c>
      <c r="F1015">
        <v>4000</v>
      </c>
      <c r="G1015">
        <v>1750</v>
      </c>
      <c r="H1015">
        <v>0</v>
      </c>
      <c r="J1015" t="str">
        <f>VLOOKUP(Table3[[#This Row],[Faction ID]],Table4[],2)</f>
        <v>_</v>
      </c>
    </row>
    <row r="1016" spans="1:10" x14ac:dyDescent="0.25">
      <c r="A1016">
        <v>26</v>
      </c>
      <c r="B1016" t="s">
        <v>39</v>
      </c>
      <c r="C1016">
        <v>0</v>
      </c>
      <c r="D1016">
        <v>0</v>
      </c>
      <c r="E1016">
        <v>0</v>
      </c>
      <c r="F1016">
        <v>4000</v>
      </c>
      <c r="G1016">
        <v>1750</v>
      </c>
      <c r="H1016">
        <v>0</v>
      </c>
      <c r="J1016" t="str">
        <f>VLOOKUP(Table3[[#This Row],[Faction ID]],Table4[],2)</f>
        <v>_</v>
      </c>
    </row>
    <row r="1017" spans="1:10" x14ac:dyDescent="0.25">
      <c r="A1017">
        <v>26</v>
      </c>
      <c r="B1017" t="s">
        <v>40</v>
      </c>
      <c r="C1017">
        <v>0</v>
      </c>
      <c r="D1017">
        <v>0</v>
      </c>
      <c r="E1017">
        <v>0</v>
      </c>
      <c r="F1017">
        <v>4000</v>
      </c>
      <c r="G1017">
        <v>1750</v>
      </c>
      <c r="H1017">
        <v>0</v>
      </c>
      <c r="J1017" t="str">
        <f>VLOOKUP(Table3[[#This Row],[Faction ID]],Table4[],2)</f>
        <v>_</v>
      </c>
    </row>
    <row r="1018" spans="1:10" x14ac:dyDescent="0.25">
      <c r="A1018">
        <v>26</v>
      </c>
      <c r="B1018" t="s">
        <v>41</v>
      </c>
      <c r="C1018">
        <v>0</v>
      </c>
      <c r="D1018">
        <v>0</v>
      </c>
      <c r="E1018">
        <v>0</v>
      </c>
      <c r="F1018">
        <v>4000</v>
      </c>
      <c r="G1018">
        <v>1750</v>
      </c>
      <c r="H1018">
        <v>0</v>
      </c>
      <c r="J1018" t="str">
        <f>VLOOKUP(Table3[[#This Row],[Faction ID]],Table4[],2)</f>
        <v>_</v>
      </c>
    </row>
    <row r="1019" spans="1:10" x14ac:dyDescent="0.25">
      <c r="A1019">
        <v>26</v>
      </c>
      <c r="B1019" t="s">
        <v>42</v>
      </c>
      <c r="C1019">
        <v>0</v>
      </c>
      <c r="D1019">
        <v>0</v>
      </c>
      <c r="E1019">
        <v>0</v>
      </c>
      <c r="F1019">
        <v>4000</v>
      </c>
      <c r="G1019">
        <v>1750</v>
      </c>
      <c r="H1019">
        <v>0</v>
      </c>
      <c r="J1019" t="str">
        <f>VLOOKUP(Table3[[#This Row],[Faction ID]],Table4[],2)</f>
        <v>_</v>
      </c>
    </row>
    <row r="1020" spans="1:10" x14ac:dyDescent="0.25">
      <c r="A1020">
        <v>26</v>
      </c>
      <c r="B1020" t="s">
        <v>43</v>
      </c>
      <c r="C1020">
        <v>0</v>
      </c>
      <c r="D1020">
        <v>0</v>
      </c>
      <c r="E1020">
        <v>0</v>
      </c>
      <c r="F1020">
        <v>4000</v>
      </c>
      <c r="G1020">
        <v>1750</v>
      </c>
      <c r="H1020">
        <v>0</v>
      </c>
      <c r="J1020" t="str">
        <f>VLOOKUP(Table3[[#This Row],[Faction ID]],Table4[],2)</f>
        <v>_</v>
      </c>
    </row>
    <row r="1021" spans="1:10" x14ac:dyDescent="0.25">
      <c r="A1021">
        <v>26</v>
      </c>
      <c r="B1021" t="s">
        <v>44</v>
      </c>
      <c r="C1021">
        <v>0</v>
      </c>
      <c r="D1021">
        <v>0</v>
      </c>
      <c r="E1021">
        <v>0</v>
      </c>
      <c r="F1021">
        <v>4000</v>
      </c>
      <c r="G1021">
        <v>1750</v>
      </c>
      <c r="H1021">
        <v>0</v>
      </c>
      <c r="J1021" t="str">
        <f>VLOOKUP(Table3[[#This Row],[Faction ID]],Table4[],2)</f>
        <v>_</v>
      </c>
    </row>
    <row r="1022" spans="1:10" x14ac:dyDescent="0.25">
      <c r="A1022">
        <v>27</v>
      </c>
      <c r="B1022" t="s">
        <v>9</v>
      </c>
      <c r="C1022">
        <v>117</v>
      </c>
      <c r="D1022">
        <v>17</v>
      </c>
      <c r="E1022">
        <v>179.7</v>
      </c>
      <c r="F1022">
        <v>264</v>
      </c>
      <c r="G1022">
        <v>18806</v>
      </c>
      <c r="H1022">
        <v>878</v>
      </c>
      <c r="J1022" t="str">
        <f>VLOOKUP(Table3[[#This Row],[Faction ID]],Table4[],2)</f>
        <v>Mordor</v>
      </c>
    </row>
    <row r="1023" spans="1:10" x14ac:dyDescent="0.25">
      <c r="A1023">
        <v>27</v>
      </c>
      <c r="B1023" t="s">
        <v>4</v>
      </c>
      <c r="C1023">
        <v>100</v>
      </c>
      <c r="D1023">
        <v>13</v>
      </c>
      <c r="E1023">
        <v>178</v>
      </c>
      <c r="F1023">
        <v>22554</v>
      </c>
      <c r="G1023">
        <v>22066</v>
      </c>
      <c r="H1023">
        <v>0</v>
      </c>
      <c r="J1023" t="str">
        <f>VLOOKUP(Table3[[#This Row],[Faction ID]],Table4[],2)</f>
        <v>Gondor</v>
      </c>
    </row>
    <row r="1024" spans="1:10" x14ac:dyDescent="0.25">
      <c r="A1024">
        <v>27</v>
      </c>
      <c r="B1024" t="s">
        <v>6</v>
      </c>
      <c r="C1024">
        <v>64</v>
      </c>
      <c r="D1024">
        <v>6</v>
      </c>
      <c r="E1024">
        <v>84.4</v>
      </c>
      <c r="F1024">
        <v>10497</v>
      </c>
      <c r="G1024">
        <v>12403</v>
      </c>
      <c r="H1024">
        <v>226</v>
      </c>
      <c r="J1024" t="str">
        <f>VLOOKUP(Table3[[#This Row],[Faction ID]],Table4[],2)</f>
        <v>Dale</v>
      </c>
    </row>
    <row r="1025" spans="1:10" x14ac:dyDescent="0.25">
      <c r="A1025">
        <v>27</v>
      </c>
      <c r="B1025" t="s">
        <v>21</v>
      </c>
      <c r="C1025">
        <v>74</v>
      </c>
      <c r="D1025">
        <v>4</v>
      </c>
      <c r="E1025">
        <v>77</v>
      </c>
      <c r="F1025">
        <v>40343</v>
      </c>
      <c r="G1025">
        <v>14275</v>
      </c>
      <c r="H1025">
        <v>679</v>
      </c>
      <c r="J1025" t="str">
        <f>VLOOKUP(Table3[[#This Row],[Faction ID]],Table4[],2)</f>
        <v>Erebor</v>
      </c>
    </row>
    <row r="1026" spans="1:10" x14ac:dyDescent="0.25">
      <c r="A1026">
        <v>27</v>
      </c>
      <c r="B1026" t="s">
        <v>5</v>
      </c>
      <c r="C1026">
        <v>82</v>
      </c>
      <c r="D1026">
        <v>12</v>
      </c>
      <c r="E1026">
        <v>120</v>
      </c>
      <c r="F1026">
        <v>13912</v>
      </c>
      <c r="G1026">
        <v>13917</v>
      </c>
      <c r="H1026">
        <v>157</v>
      </c>
      <c r="J1026" t="str">
        <f>VLOOKUP(Table3[[#This Row],[Faction ID]],Table4[],2)</f>
        <v>Rohan</v>
      </c>
    </row>
    <row r="1027" spans="1:10" x14ac:dyDescent="0.25">
      <c r="A1027">
        <v>27</v>
      </c>
      <c r="B1027" t="s">
        <v>12</v>
      </c>
      <c r="C1027">
        <v>84</v>
      </c>
      <c r="D1027">
        <v>11</v>
      </c>
      <c r="E1027">
        <v>123</v>
      </c>
      <c r="F1027">
        <v>18759</v>
      </c>
      <c r="G1027">
        <v>15973</v>
      </c>
      <c r="H1027">
        <v>935</v>
      </c>
      <c r="J1027" t="str">
        <f>VLOOKUP(Table3[[#This Row],[Faction ID]],Table4[],2)</f>
        <v>Dol Guldur</v>
      </c>
    </row>
    <row r="1028" spans="1:10" x14ac:dyDescent="0.25">
      <c r="A1028">
        <v>27</v>
      </c>
      <c r="B1028" t="s">
        <v>10</v>
      </c>
      <c r="C1028">
        <v>53</v>
      </c>
      <c r="D1028">
        <v>7</v>
      </c>
      <c r="E1028">
        <v>59</v>
      </c>
      <c r="F1028">
        <v>6607</v>
      </c>
      <c r="G1028">
        <v>7863</v>
      </c>
      <c r="H1028">
        <v>0</v>
      </c>
      <c r="J1028" t="str">
        <f>VLOOKUP(Table3[[#This Row],[Faction ID]],Table4[],2)</f>
        <v>Anduin Vale</v>
      </c>
    </row>
    <row r="1029" spans="1:10" x14ac:dyDescent="0.25">
      <c r="A1029">
        <v>27</v>
      </c>
      <c r="B1029" t="s">
        <v>32</v>
      </c>
      <c r="C1029">
        <v>67</v>
      </c>
      <c r="D1029">
        <v>4</v>
      </c>
      <c r="E1029">
        <v>68.2</v>
      </c>
      <c r="F1029">
        <v>18025</v>
      </c>
      <c r="G1029">
        <v>11190</v>
      </c>
      <c r="H1029">
        <v>385</v>
      </c>
      <c r="J1029" t="str">
        <f>VLOOKUP(Table3[[#This Row],[Faction ID]],Table4[],2)</f>
        <v>Isengard</v>
      </c>
    </row>
    <row r="1030" spans="1:10" x14ac:dyDescent="0.25">
      <c r="A1030">
        <v>27</v>
      </c>
      <c r="B1030" t="s">
        <v>22</v>
      </c>
      <c r="C1030">
        <v>30</v>
      </c>
      <c r="D1030">
        <v>0</v>
      </c>
      <c r="E1030">
        <v>0</v>
      </c>
      <c r="F1030">
        <v>8475</v>
      </c>
      <c r="G1030">
        <v>2500</v>
      </c>
      <c r="H1030">
        <v>0</v>
      </c>
      <c r="J1030" t="str">
        <f>VLOOKUP(Table3[[#This Row],[Faction ID]],Table4[],2)</f>
        <v>Woodland Realm</v>
      </c>
    </row>
    <row r="1031" spans="1:10" x14ac:dyDescent="0.25">
      <c r="A1031">
        <v>27</v>
      </c>
      <c r="B1031" t="s">
        <v>23</v>
      </c>
      <c r="C1031">
        <v>48</v>
      </c>
      <c r="D1031">
        <v>2</v>
      </c>
      <c r="E1031">
        <v>19</v>
      </c>
      <c r="F1031">
        <v>7878</v>
      </c>
      <c r="G1031">
        <v>7612</v>
      </c>
      <c r="H1031">
        <v>271</v>
      </c>
      <c r="J1031" t="str">
        <f>VLOOKUP(Table3[[#This Row],[Faction ID]],Table4[],2)</f>
        <v>Lothlorien</v>
      </c>
    </row>
    <row r="1032" spans="1:10" x14ac:dyDescent="0.25">
      <c r="A1032">
        <v>27</v>
      </c>
      <c r="B1032" t="s">
        <v>24</v>
      </c>
      <c r="C1032">
        <v>0</v>
      </c>
      <c r="D1032">
        <v>0</v>
      </c>
      <c r="E1032">
        <v>0</v>
      </c>
      <c r="F1032">
        <v>4919</v>
      </c>
      <c r="G1032">
        <v>1750</v>
      </c>
      <c r="H1032">
        <v>0</v>
      </c>
      <c r="J1032" t="str">
        <f>VLOOKUP(Table3[[#This Row],[Faction ID]],Table4[],2)</f>
        <v>Variags (Khand)</v>
      </c>
    </row>
    <row r="1033" spans="1:10" x14ac:dyDescent="0.25">
      <c r="A1033">
        <v>27</v>
      </c>
      <c r="B1033" t="s">
        <v>14</v>
      </c>
      <c r="C1033">
        <v>8</v>
      </c>
      <c r="D1033">
        <v>6</v>
      </c>
      <c r="E1033">
        <v>81.5</v>
      </c>
      <c r="F1033">
        <v>10560</v>
      </c>
      <c r="G1033">
        <v>12516</v>
      </c>
      <c r="H1033">
        <v>910</v>
      </c>
      <c r="J1033" t="str">
        <f>VLOOKUP(Table3[[#This Row],[Faction ID]],Table4[],2)</f>
        <v>Corsairs of Umbar</v>
      </c>
    </row>
    <row r="1034" spans="1:10" x14ac:dyDescent="0.25">
      <c r="A1034">
        <v>27</v>
      </c>
      <c r="B1034" t="s">
        <v>25</v>
      </c>
      <c r="C1034">
        <v>5</v>
      </c>
      <c r="D1034">
        <v>3</v>
      </c>
      <c r="E1034">
        <v>41</v>
      </c>
      <c r="F1034">
        <v>20879</v>
      </c>
      <c r="G1034">
        <v>6110</v>
      </c>
      <c r="H1034">
        <v>0</v>
      </c>
      <c r="J1034" t="str">
        <f>VLOOKUP(Table3[[#This Row],[Faction ID]],Table4[],2)</f>
        <v>Mahud</v>
      </c>
    </row>
    <row r="1035" spans="1:10" x14ac:dyDescent="0.25">
      <c r="A1035">
        <v>27</v>
      </c>
      <c r="B1035" t="s">
        <v>11</v>
      </c>
      <c r="C1035">
        <v>52</v>
      </c>
      <c r="D1035">
        <v>4</v>
      </c>
      <c r="E1035">
        <v>63</v>
      </c>
      <c r="F1035">
        <v>16918</v>
      </c>
      <c r="G1035">
        <v>10081</v>
      </c>
      <c r="H1035">
        <v>0</v>
      </c>
      <c r="J1035" t="str">
        <f>VLOOKUP(Table3[[#This Row],[Faction ID]],Table4[],2)</f>
        <v>Haradrim</v>
      </c>
    </row>
    <row r="1036" spans="1:10" x14ac:dyDescent="0.25">
      <c r="A1036">
        <v>27</v>
      </c>
      <c r="B1036" t="s">
        <v>15</v>
      </c>
      <c r="C1036">
        <v>53</v>
      </c>
      <c r="D1036">
        <v>3</v>
      </c>
      <c r="E1036">
        <v>57.9</v>
      </c>
      <c r="F1036">
        <v>16619</v>
      </c>
      <c r="G1036">
        <v>10140</v>
      </c>
      <c r="H1036">
        <v>436</v>
      </c>
      <c r="J1036" t="str">
        <f>VLOOKUP(Table3[[#This Row],[Faction ID]],Table4[],2)</f>
        <v>Dunlendings</v>
      </c>
    </row>
    <row r="1037" spans="1:10" x14ac:dyDescent="0.25">
      <c r="A1037">
        <v>27</v>
      </c>
      <c r="B1037" t="s">
        <v>16</v>
      </c>
      <c r="C1037">
        <v>0</v>
      </c>
      <c r="D1037">
        <v>0</v>
      </c>
      <c r="E1037">
        <v>0</v>
      </c>
      <c r="F1037">
        <v>5352</v>
      </c>
      <c r="G1037">
        <v>1750</v>
      </c>
      <c r="H1037">
        <v>0</v>
      </c>
      <c r="J1037" t="str">
        <f>VLOOKUP(Table3[[#This Row],[Faction ID]],Table4[],2)</f>
        <v>Haerrim</v>
      </c>
    </row>
    <row r="1038" spans="1:10" x14ac:dyDescent="0.25">
      <c r="A1038">
        <v>27</v>
      </c>
      <c r="B1038" t="s">
        <v>13</v>
      </c>
      <c r="C1038">
        <v>86</v>
      </c>
      <c r="D1038">
        <v>9</v>
      </c>
      <c r="E1038">
        <v>134.69999999999999</v>
      </c>
      <c r="F1038">
        <v>15663</v>
      </c>
      <c r="G1038">
        <v>16401</v>
      </c>
      <c r="H1038">
        <v>824</v>
      </c>
      <c r="J1038" t="str">
        <f>VLOOKUP(Table3[[#This Row],[Faction ID]],Table4[],2)</f>
        <v>Goblins</v>
      </c>
    </row>
    <row r="1039" spans="1:10" x14ac:dyDescent="0.25">
      <c r="A1039">
        <v>27</v>
      </c>
      <c r="B1039" t="s">
        <v>17</v>
      </c>
      <c r="C1039">
        <v>0</v>
      </c>
      <c r="D1039">
        <v>0</v>
      </c>
      <c r="E1039">
        <v>0</v>
      </c>
      <c r="F1039">
        <v>4872</v>
      </c>
      <c r="G1039">
        <v>1750</v>
      </c>
      <c r="H1039">
        <v>0</v>
      </c>
      <c r="J1039" t="str">
        <f>VLOOKUP(Table3[[#This Row],[Faction ID]],Table4[],2)</f>
        <v>Balchoth</v>
      </c>
    </row>
    <row r="1040" spans="1:10" x14ac:dyDescent="0.25">
      <c r="A1040">
        <v>27</v>
      </c>
      <c r="B1040" t="s">
        <v>18</v>
      </c>
      <c r="C1040">
        <v>93</v>
      </c>
      <c r="D1040">
        <v>32</v>
      </c>
      <c r="E1040">
        <v>318</v>
      </c>
      <c r="F1040">
        <v>30439</v>
      </c>
      <c r="G1040">
        <v>26847</v>
      </c>
      <c r="H1040">
        <v>949</v>
      </c>
      <c r="J1040" t="str">
        <f>VLOOKUP(Table3[[#This Row],[Faction ID]],Table4[],2)</f>
        <v>Rhurim/Rhun</v>
      </c>
    </row>
    <row r="1041" spans="1:10" x14ac:dyDescent="0.25">
      <c r="A1041">
        <v>27</v>
      </c>
      <c r="B1041" t="s">
        <v>19</v>
      </c>
      <c r="C1041">
        <v>0</v>
      </c>
      <c r="D1041">
        <v>0</v>
      </c>
      <c r="E1041">
        <v>0</v>
      </c>
      <c r="F1041">
        <v>7360</v>
      </c>
      <c r="G1041">
        <v>1750</v>
      </c>
      <c r="H1041">
        <v>0</v>
      </c>
      <c r="J1041" t="str">
        <f>VLOOKUP(Table3[[#This Row],[Faction ID]],Table4[],2)</f>
        <v>Feredrim</v>
      </c>
    </row>
    <row r="1042" spans="1:10" x14ac:dyDescent="0.25">
      <c r="A1042">
        <v>27</v>
      </c>
      <c r="B1042" t="s">
        <v>26</v>
      </c>
      <c r="C1042">
        <v>0</v>
      </c>
      <c r="D1042">
        <v>0</v>
      </c>
      <c r="E1042">
        <v>0</v>
      </c>
      <c r="F1042">
        <v>6395</v>
      </c>
      <c r="G1042">
        <v>1750</v>
      </c>
      <c r="H1042">
        <v>0</v>
      </c>
      <c r="J1042" t="str">
        <f>VLOOKUP(Table3[[#This Row],[Faction ID]],Table4[],2)</f>
        <v>Rachrohir (Wainriders)</v>
      </c>
    </row>
    <row r="1043" spans="1:10" x14ac:dyDescent="0.25">
      <c r="A1043">
        <v>27</v>
      </c>
      <c r="B1043" t="s">
        <v>27</v>
      </c>
      <c r="C1043">
        <v>5</v>
      </c>
      <c r="D1043">
        <v>3</v>
      </c>
      <c r="E1043">
        <v>37</v>
      </c>
      <c r="F1043">
        <v>33542</v>
      </c>
      <c r="G1043">
        <v>6941</v>
      </c>
      <c r="H1043">
        <v>0</v>
      </c>
      <c r="J1043" t="str">
        <f>VLOOKUP(Table3[[#This Row],[Faction ID]],Table4[],2)</f>
        <v>Blacklock-Stonefoot League</v>
      </c>
    </row>
    <row r="1044" spans="1:10" x14ac:dyDescent="0.25">
      <c r="A1044">
        <v>27</v>
      </c>
      <c r="B1044" t="s">
        <v>28</v>
      </c>
      <c r="C1044">
        <v>4</v>
      </c>
      <c r="D1044">
        <v>2</v>
      </c>
      <c r="E1044">
        <v>28</v>
      </c>
      <c r="F1044">
        <v>26791</v>
      </c>
      <c r="G1044">
        <v>5286</v>
      </c>
      <c r="H1044">
        <v>0</v>
      </c>
      <c r="J1044" t="str">
        <f>VLOOKUP(Table3[[#This Row],[Faction ID]],Table4[],2)</f>
        <v>Ironfist-Stiffbeard Union</v>
      </c>
    </row>
    <row r="1045" spans="1:10" x14ac:dyDescent="0.25">
      <c r="A1045">
        <v>27</v>
      </c>
      <c r="B1045" t="s">
        <v>20</v>
      </c>
      <c r="C1045">
        <v>62</v>
      </c>
      <c r="D1045">
        <v>8</v>
      </c>
      <c r="E1045">
        <v>116.8</v>
      </c>
      <c r="F1045">
        <v>10896</v>
      </c>
      <c r="G1045">
        <v>14709</v>
      </c>
      <c r="H1045">
        <v>378</v>
      </c>
      <c r="J1045" t="str">
        <f>VLOOKUP(Table3[[#This Row],[Faction ID]],Table4[],2)</f>
        <v>Gundabad</v>
      </c>
    </row>
    <row r="1046" spans="1:10" x14ac:dyDescent="0.25">
      <c r="A1046">
        <v>27</v>
      </c>
      <c r="B1046" t="s">
        <v>34</v>
      </c>
      <c r="C1046">
        <v>0</v>
      </c>
      <c r="D1046">
        <v>0</v>
      </c>
      <c r="E1046">
        <v>3</v>
      </c>
      <c r="F1046">
        <v>33146</v>
      </c>
      <c r="G1046">
        <v>2379</v>
      </c>
      <c r="H1046">
        <v>0</v>
      </c>
      <c r="J1046" t="str">
        <f>VLOOKUP(Table3[[#This Row],[Faction ID]],Table4[],2)</f>
        <v>Scouts of Rohan</v>
      </c>
    </row>
    <row r="1047" spans="1:10" x14ac:dyDescent="0.25">
      <c r="A1047">
        <v>27</v>
      </c>
      <c r="B1047" t="s">
        <v>33</v>
      </c>
      <c r="C1047">
        <v>5</v>
      </c>
      <c r="D1047">
        <v>3</v>
      </c>
      <c r="E1047">
        <v>30</v>
      </c>
      <c r="F1047">
        <v>19472</v>
      </c>
      <c r="G1047">
        <v>4832</v>
      </c>
      <c r="H1047">
        <v>0</v>
      </c>
      <c r="J1047" t="str">
        <f>VLOOKUP(Table3[[#This Row],[Faction ID]],Table4[],2)</f>
        <v>Northern Enedwaith</v>
      </c>
    </row>
    <row r="1048" spans="1:10" x14ac:dyDescent="0.25">
      <c r="A1048">
        <v>27</v>
      </c>
      <c r="B1048" t="s">
        <v>29</v>
      </c>
      <c r="C1048">
        <v>3</v>
      </c>
      <c r="D1048">
        <v>2</v>
      </c>
      <c r="E1048">
        <v>12</v>
      </c>
      <c r="F1048">
        <v>18133</v>
      </c>
      <c r="G1048">
        <v>3106</v>
      </c>
      <c r="H1048">
        <v>0</v>
      </c>
      <c r="J1048" t="str">
        <f>VLOOKUP(Table3[[#This Row],[Faction ID]],Table4[],2)</f>
        <v>Southern Enedwaith</v>
      </c>
    </row>
    <row r="1049" spans="1:10" x14ac:dyDescent="0.25">
      <c r="A1049">
        <v>27</v>
      </c>
      <c r="B1049" t="s">
        <v>30</v>
      </c>
      <c r="C1049">
        <v>5</v>
      </c>
      <c r="D1049">
        <v>3</v>
      </c>
      <c r="E1049">
        <v>31</v>
      </c>
      <c r="F1049">
        <v>17130</v>
      </c>
      <c r="G1049">
        <v>5025</v>
      </c>
      <c r="H1049">
        <v>0</v>
      </c>
      <c r="J1049" t="str">
        <f>VLOOKUP(Table3[[#This Row],[Faction ID]],Table4[],2)</f>
        <v>Druedain</v>
      </c>
    </row>
    <row r="1050" spans="1:10" x14ac:dyDescent="0.25">
      <c r="A1050">
        <v>27</v>
      </c>
      <c r="B1050" t="s">
        <v>31</v>
      </c>
      <c r="C1050">
        <v>3</v>
      </c>
      <c r="D1050">
        <v>1</v>
      </c>
      <c r="E1050">
        <v>23</v>
      </c>
      <c r="F1050">
        <v>8482</v>
      </c>
      <c r="G1050">
        <v>4708</v>
      </c>
      <c r="H1050">
        <v>152</v>
      </c>
      <c r="J1050" t="str">
        <f>VLOOKUP(Table3[[#This Row],[Faction ID]],Table4[],2)</f>
        <v>Harondor</v>
      </c>
    </row>
    <row r="1051" spans="1:10" x14ac:dyDescent="0.25">
      <c r="A1051">
        <v>27</v>
      </c>
      <c r="B1051" t="s">
        <v>35</v>
      </c>
      <c r="C1051">
        <v>0</v>
      </c>
      <c r="D1051">
        <v>0</v>
      </c>
      <c r="E1051">
        <v>0</v>
      </c>
      <c r="F1051">
        <v>4000</v>
      </c>
      <c r="G1051">
        <v>1750</v>
      </c>
      <c r="H1051">
        <v>0</v>
      </c>
      <c r="J1051" t="str">
        <f>VLOOKUP(Table3[[#This Row],[Faction ID]],Table4[],2)</f>
        <v>Southron Nomads</v>
      </c>
    </row>
    <row r="1052" spans="1:10" x14ac:dyDescent="0.25">
      <c r="A1052">
        <v>27</v>
      </c>
      <c r="B1052" t="s">
        <v>36</v>
      </c>
      <c r="C1052">
        <v>0</v>
      </c>
      <c r="D1052">
        <v>0</v>
      </c>
      <c r="E1052">
        <v>0</v>
      </c>
      <c r="F1052">
        <v>4000</v>
      </c>
      <c r="G1052">
        <v>1750</v>
      </c>
      <c r="H1052">
        <v>0</v>
      </c>
      <c r="J1052" t="str">
        <f>VLOOKUP(Table3[[#This Row],[Faction ID]],Table4[],2)</f>
        <v>_</v>
      </c>
    </row>
    <row r="1053" spans="1:10" x14ac:dyDescent="0.25">
      <c r="A1053">
        <v>27</v>
      </c>
      <c r="B1053" t="s">
        <v>37</v>
      </c>
      <c r="C1053">
        <v>0</v>
      </c>
      <c r="D1053">
        <v>0</v>
      </c>
      <c r="E1053">
        <v>0</v>
      </c>
      <c r="F1053">
        <v>4000</v>
      </c>
      <c r="G1053">
        <v>1750</v>
      </c>
      <c r="H1053">
        <v>0</v>
      </c>
      <c r="J1053" t="str">
        <f>VLOOKUP(Table3[[#This Row],[Faction ID]],Table4[],2)</f>
        <v>_</v>
      </c>
    </row>
    <row r="1054" spans="1:10" x14ac:dyDescent="0.25">
      <c r="A1054">
        <v>27</v>
      </c>
      <c r="B1054" t="s">
        <v>38</v>
      </c>
      <c r="C1054">
        <v>0</v>
      </c>
      <c r="D1054">
        <v>0</v>
      </c>
      <c r="E1054">
        <v>0</v>
      </c>
      <c r="F1054">
        <v>4000</v>
      </c>
      <c r="G1054">
        <v>1750</v>
      </c>
      <c r="H1054">
        <v>0</v>
      </c>
      <c r="J1054" t="str">
        <f>VLOOKUP(Table3[[#This Row],[Faction ID]],Table4[],2)</f>
        <v>_</v>
      </c>
    </row>
    <row r="1055" spans="1:10" x14ac:dyDescent="0.25">
      <c r="A1055">
        <v>27</v>
      </c>
      <c r="B1055" t="s">
        <v>39</v>
      </c>
      <c r="C1055">
        <v>0</v>
      </c>
      <c r="D1055">
        <v>0</v>
      </c>
      <c r="E1055">
        <v>0</v>
      </c>
      <c r="F1055">
        <v>4000</v>
      </c>
      <c r="G1055">
        <v>1750</v>
      </c>
      <c r="H1055">
        <v>0</v>
      </c>
      <c r="J1055" t="str">
        <f>VLOOKUP(Table3[[#This Row],[Faction ID]],Table4[],2)</f>
        <v>_</v>
      </c>
    </row>
    <row r="1056" spans="1:10" x14ac:dyDescent="0.25">
      <c r="A1056">
        <v>27</v>
      </c>
      <c r="B1056" t="s">
        <v>40</v>
      </c>
      <c r="C1056">
        <v>0</v>
      </c>
      <c r="D1056">
        <v>0</v>
      </c>
      <c r="E1056">
        <v>0</v>
      </c>
      <c r="F1056">
        <v>4000</v>
      </c>
      <c r="G1056">
        <v>1750</v>
      </c>
      <c r="H1056">
        <v>0</v>
      </c>
      <c r="J1056" t="str">
        <f>VLOOKUP(Table3[[#This Row],[Faction ID]],Table4[],2)</f>
        <v>_</v>
      </c>
    </row>
    <row r="1057" spans="1:10" x14ac:dyDescent="0.25">
      <c r="A1057">
        <v>27</v>
      </c>
      <c r="B1057" t="s">
        <v>41</v>
      </c>
      <c r="C1057">
        <v>0</v>
      </c>
      <c r="D1057">
        <v>0</v>
      </c>
      <c r="E1057">
        <v>0</v>
      </c>
      <c r="F1057">
        <v>4000</v>
      </c>
      <c r="G1057">
        <v>1750</v>
      </c>
      <c r="H1057">
        <v>0</v>
      </c>
      <c r="J1057" t="str">
        <f>VLOOKUP(Table3[[#This Row],[Faction ID]],Table4[],2)</f>
        <v>_</v>
      </c>
    </row>
    <row r="1058" spans="1:10" x14ac:dyDescent="0.25">
      <c r="A1058">
        <v>27</v>
      </c>
      <c r="B1058" t="s">
        <v>42</v>
      </c>
      <c r="C1058">
        <v>0</v>
      </c>
      <c r="D1058">
        <v>0</v>
      </c>
      <c r="E1058">
        <v>0</v>
      </c>
      <c r="F1058">
        <v>4000</v>
      </c>
      <c r="G1058">
        <v>1750</v>
      </c>
      <c r="H1058">
        <v>0</v>
      </c>
      <c r="J1058" t="str">
        <f>VLOOKUP(Table3[[#This Row],[Faction ID]],Table4[],2)</f>
        <v>_</v>
      </c>
    </row>
    <row r="1059" spans="1:10" x14ac:dyDescent="0.25">
      <c r="A1059">
        <v>27</v>
      </c>
      <c r="B1059" t="s">
        <v>43</v>
      </c>
      <c r="C1059">
        <v>0</v>
      </c>
      <c r="D1059">
        <v>0</v>
      </c>
      <c r="E1059">
        <v>0</v>
      </c>
      <c r="F1059">
        <v>4000</v>
      </c>
      <c r="G1059">
        <v>1750</v>
      </c>
      <c r="H1059">
        <v>0</v>
      </c>
      <c r="J1059" t="str">
        <f>VLOOKUP(Table3[[#This Row],[Faction ID]],Table4[],2)</f>
        <v>_</v>
      </c>
    </row>
    <row r="1060" spans="1:10" x14ac:dyDescent="0.25">
      <c r="A1060">
        <v>27</v>
      </c>
      <c r="B1060" t="s">
        <v>44</v>
      </c>
      <c r="C1060">
        <v>0</v>
      </c>
      <c r="D1060">
        <v>0</v>
      </c>
      <c r="E1060">
        <v>0</v>
      </c>
      <c r="F1060">
        <v>4000</v>
      </c>
      <c r="G1060">
        <v>1750</v>
      </c>
      <c r="H1060">
        <v>0</v>
      </c>
      <c r="J1060" t="str">
        <f>VLOOKUP(Table3[[#This Row],[Faction ID]],Table4[],2)</f>
        <v>_</v>
      </c>
    </row>
    <row r="1061" spans="1:10" x14ac:dyDescent="0.25">
      <c r="A1061">
        <v>28</v>
      </c>
      <c r="B1061" t="s">
        <v>9</v>
      </c>
      <c r="C1061">
        <v>124</v>
      </c>
      <c r="D1061">
        <v>18</v>
      </c>
      <c r="E1061">
        <v>177.2</v>
      </c>
      <c r="F1061">
        <v>589</v>
      </c>
      <c r="G1061">
        <v>19010</v>
      </c>
      <c r="H1061">
        <v>861</v>
      </c>
      <c r="J1061" t="str">
        <f>VLOOKUP(Table3[[#This Row],[Faction ID]],Table4[],2)</f>
        <v>Mordor</v>
      </c>
    </row>
    <row r="1062" spans="1:10" x14ac:dyDescent="0.25">
      <c r="A1062">
        <v>28</v>
      </c>
      <c r="B1062" t="s">
        <v>4</v>
      </c>
      <c r="C1062">
        <v>98</v>
      </c>
      <c r="D1062">
        <v>12</v>
      </c>
      <c r="E1062">
        <v>154</v>
      </c>
      <c r="F1062">
        <v>26142</v>
      </c>
      <c r="G1062">
        <v>20459</v>
      </c>
      <c r="H1062">
        <v>662</v>
      </c>
      <c r="J1062" t="str">
        <f>VLOOKUP(Table3[[#This Row],[Faction ID]],Table4[],2)</f>
        <v>Gondor</v>
      </c>
    </row>
    <row r="1063" spans="1:10" x14ac:dyDescent="0.25">
      <c r="A1063">
        <v>28</v>
      </c>
      <c r="B1063" t="s">
        <v>6</v>
      </c>
      <c r="C1063">
        <v>69</v>
      </c>
      <c r="D1063">
        <v>6</v>
      </c>
      <c r="E1063">
        <v>86.4</v>
      </c>
      <c r="F1063">
        <v>11350</v>
      </c>
      <c r="G1063">
        <v>12828</v>
      </c>
      <c r="H1063">
        <v>235</v>
      </c>
      <c r="J1063" t="str">
        <f>VLOOKUP(Table3[[#This Row],[Faction ID]],Table4[],2)</f>
        <v>Dale</v>
      </c>
    </row>
    <row r="1064" spans="1:10" x14ac:dyDescent="0.25">
      <c r="A1064">
        <v>28</v>
      </c>
      <c r="B1064" t="s">
        <v>21</v>
      </c>
      <c r="C1064">
        <v>80</v>
      </c>
      <c r="D1064">
        <v>5</v>
      </c>
      <c r="E1064">
        <v>77</v>
      </c>
      <c r="F1064">
        <v>45977</v>
      </c>
      <c r="G1064">
        <v>15255</v>
      </c>
      <c r="H1064">
        <v>686</v>
      </c>
      <c r="J1064" t="str">
        <f>VLOOKUP(Table3[[#This Row],[Faction ID]],Table4[],2)</f>
        <v>Erebor</v>
      </c>
    </row>
    <row r="1065" spans="1:10" x14ac:dyDescent="0.25">
      <c r="A1065">
        <v>28</v>
      </c>
      <c r="B1065" t="s">
        <v>5</v>
      </c>
      <c r="C1065">
        <v>82</v>
      </c>
      <c r="D1065">
        <v>12</v>
      </c>
      <c r="E1065">
        <v>97</v>
      </c>
      <c r="F1065">
        <v>16755</v>
      </c>
      <c r="G1065">
        <v>12281</v>
      </c>
      <c r="H1065">
        <v>503</v>
      </c>
      <c r="J1065" t="str">
        <f>VLOOKUP(Table3[[#This Row],[Faction ID]],Table4[],2)</f>
        <v>Rohan</v>
      </c>
    </row>
    <row r="1066" spans="1:10" x14ac:dyDescent="0.25">
      <c r="A1066">
        <v>28</v>
      </c>
      <c r="B1066" t="s">
        <v>12</v>
      </c>
      <c r="C1066">
        <v>84</v>
      </c>
      <c r="D1066">
        <v>11</v>
      </c>
      <c r="E1066">
        <v>130</v>
      </c>
      <c r="F1066">
        <v>17577</v>
      </c>
      <c r="G1066">
        <v>16084</v>
      </c>
      <c r="H1066">
        <v>939</v>
      </c>
      <c r="J1066" t="str">
        <f>VLOOKUP(Table3[[#This Row],[Faction ID]],Table4[],2)</f>
        <v>Dol Guldur</v>
      </c>
    </row>
    <row r="1067" spans="1:10" x14ac:dyDescent="0.25">
      <c r="A1067">
        <v>28</v>
      </c>
      <c r="B1067" t="s">
        <v>10</v>
      </c>
      <c r="C1067">
        <v>53</v>
      </c>
      <c r="D1067">
        <v>7</v>
      </c>
      <c r="E1067">
        <v>57</v>
      </c>
      <c r="F1067">
        <v>3197</v>
      </c>
      <c r="G1067">
        <v>7749</v>
      </c>
      <c r="H1067">
        <v>0</v>
      </c>
      <c r="J1067" t="str">
        <f>VLOOKUP(Table3[[#This Row],[Faction ID]],Table4[],2)</f>
        <v>Anduin Vale</v>
      </c>
    </row>
    <row r="1068" spans="1:10" x14ac:dyDescent="0.25">
      <c r="A1068">
        <v>28</v>
      </c>
      <c r="B1068" t="s">
        <v>32</v>
      </c>
      <c r="C1068">
        <v>67</v>
      </c>
      <c r="D1068">
        <v>4</v>
      </c>
      <c r="E1068">
        <v>70.599999999999994</v>
      </c>
      <c r="F1068">
        <v>17535</v>
      </c>
      <c r="G1068">
        <v>11758</v>
      </c>
      <c r="H1068">
        <v>385</v>
      </c>
      <c r="J1068" t="str">
        <f>VLOOKUP(Table3[[#This Row],[Faction ID]],Table4[],2)</f>
        <v>Isengard</v>
      </c>
    </row>
    <row r="1069" spans="1:10" x14ac:dyDescent="0.25">
      <c r="A1069">
        <v>28</v>
      </c>
      <c r="B1069" t="s">
        <v>22</v>
      </c>
      <c r="C1069">
        <v>30</v>
      </c>
      <c r="D1069">
        <v>0</v>
      </c>
      <c r="E1069">
        <v>0</v>
      </c>
      <c r="F1069">
        <v>8475</v>
      </c>
      <c r="G1069">
        <v>2500</v>
      </c>
      <c r="H1069">
        <v>0</v>
      </c>
      <c r="J1069" t="str">
        <f>VLOOKUP(Table3[[#This Row],[Faction ID]],Table4[],2)</f>
        <v>Woodland Realm</v>
      </c>
    </row>
    <row r="1070" spans="1:10" x14ac:dyDescent="0.25">
      <c r="A1070">
        <v>28</v>
      </c>
      <c r="B1070" t="s">
        <v>23</v>
      </c>
      <c r="C1070">
        <v>48</v>
      </c>
      <c r="D1070">
        <v>2</v>
      </c>
      <c r="E1070">
        <v>28</v>
      </c>
      <c r="F1070">
        <v>5685</v>
      </c>
      <c r="G1070">
        <v>7856</v>
      </c>
      <c r="H1070">
        <v>397</v>
      </c>
      <c r="J1070" t="str">
        <f>VLOOKUP(Table3[[#This Row],[Faction ID]],Table4[],2)</f>
        <v>Lothlorien</v>
      </c>
    </row>
    <row r="1071" spans="1:10" x14ac:dyDescent="0.25">
      <c r="A1071">
        <v>28</v>
      </c>
      <c r="B1071" t="s">
        <v>24</v>
      </c>
      <c r="C1071">
        <v>0</v>
      </c>
      <c r="D1071">
        <v>0</v>
      </c>
      <c r="E1071">
        <v>0</v>
      </c>
      <c r="F1071">
        <v>4919</v>
      </c>
      <c r="G1071">
        <v>1750</v>
      </c>
      <c r="H1071">
        <v>0</v>
      </c>
      <c r="J1071" t="str">
        <f>VLOOKUP(Table3[[#This Row],[Faction ID]],Table4[],2)</f>
        <v>Variags (Khand)</v>
      </c>
    </row>
    <row r="1072" spans="1:10" x14ac:dyDescent="0.25">
      <c r="A1072">
        <v>28</v>
      </c>
      <c r="B1072" t="s">
        <v>14</v>
      </c>
      <c r="C1072">
        <v>8</v>
      </c>
      <c r="D1072">
        <v>6</v>
      </c>
      <c r="E1072">
        <v>84.7</v>
      </c>
      <c r="F1072">
        <v>13537</v>
      </c>
      <c r="G1072">
        <v>12747</v>
      </c>
      <c r="H1072">
        <v>920</v>
      </c>
      <c r="J1072" t="str">
        <f>VLOOKUP(Table3[[#This Row],[Faction ID]],Table4[],2)</f>
        <v>Corsairs of Umbar</v>
      </c>
    </row>
    <row r="1073" spans="1:10" x14ac:dyDescent="0.25">
      <c r="A1073">
        <v>28</v>
      </c>
      <c r="B1073" t="s">
        <v>25</v>
      </c>
      <c r="C1073">
        <v>5</v>
      </c>
      <c r="D1073">
        <v>3</v>
      </c>
      <c r="E1073">
        <v>41</v>
      </c>
      <c r="F1073">
        <v>22247</v>
      </c>
      <c r="G1073">
        <v>5866</v>
      </c>
      <c r="H1073">
        <v>0</v>
      </c>
      <c r="J1073" t="str">
        <f>VLOOKUP(Table3[[#This Row],[Faction ID]],Table4[],2)</f>
        <v>Mahud</v>
      </c>
    </row>
    <row r="1074" spans="1:10" x14ac:dyDescent="0.25">
      <c r="A1074">
        <v>28</v>
      </c>
      <c r="B1074" t="s">
        <v>11</v>
      </c>
      <c r="C1074">
        <v>57</v>
      </c>
      <c r="D1074">
        <v>4</v>
      </c>
      <c r="E1074">
        <v>62</v>
      </c>
      <c r="F1074">
        <v>10554</v>
      </c>
      <c r="G1074">
        <v>10440</v>
      </c>
      <c r="H1074">
        <v>0</v>
      </c>
      <c r="J1074" t="str">
        <f>VLOOKUP(Table3[[#This Row],[Faction ID]],Table4[],2)</f>
        <v>Haradrim</v>
      </c>
    </row>
    <row r="1075" spans="1:10" x14ac:dyDescent="0.25">
      <c r="A1075">
        <v>28</v>
      </c>
      <c r="B1075" t="s">
        <v>15</v>
      </c>
      <c r="C1075">
        <v>53</v>
      </c>
      <c r="D1075">
        <v>3</v>
      </c>
      <c r="E1075">
        <v>57.9</v>
      </c>
      <c r="F1075">
        <v>17755</v>
      </c>
      <c r="G1075">
        <v>10141</v>
      </c>
      <c r="H1075">
        <v>437</v>
      </c>
      <c r="J1075" t="str">
        <f>VLOOKUP(Table3[[#This Row],[Faction ID]],Table4[],2)</f>
        <v>Dunlendings</v>
      </c>
    </row>
    <row r="1076" spans="1:10" x14ac:dyDescent="0.25">
      <c r="A1076">
        <v>28</v>
      </c>
      <c r="B1076" t="s">
        <v>16</v>
      </c>
      <c r="C1076">
        <v>0</v>
      </c>
      <c r="D1076">
        <v>0</v>
      </c>
      <c r="E1076">
        <v>0</v>
      </c>
      <c r="F1076">
        <v>5352</v>
      </c>
      <c r="G1076">
        <v>1750</v>
      </c>
      <c r="H1076">
        <v>0</v>
      </c>
      <c r="J1076" t="str">
        <f>VLOOKUP(Table3[[#This Row],[Faction ID]],Table4[],2)</f>
        <v>Haerrim</v>
      </c>
    </row>
    <row r="1077" spans="1:10" x14ac:dyDescent="0.25">
      <c r="A1077">
        <v>28</v>
      </c>
      <c r="B1077" t="s">
        <v>13</v>
      </c>
      <c r="C1077">
        <v>86</v>
      </c>
      <c r="D1077">
        <v>9</v>
      </c>
      <c r="E1077">
        <v>132.80000000000001</v>
      </c>
      <c r="F1077">
        <v>18271</v>
      </c>
      <c r="G1077">
        <v>16368</v>
      </c>
      <c r="H1077">
        <v>826</v>
      </c>
      <c r="J1077" t="str">
        <f>VLOOKUP(Table3[[#This Row],[Faction ID]],Table4[],2)</f>
        <v>Goblins</v>
      </c>
    </row>
    <row r="1078" spans="1:10" x14ac:dyDescent="0.25">
      <c r="A1078">
        <v>28</v>
      </c>
      <c r="B1078" t="s">
        <v>17</v>
      </c>
      <c r="C1078">
        <v>0</v>
      </c>
      <c r="D1078">
        <v>0</v>
      </c>
      <c r="E1078">
        <v>0</v>
      </c>
      <c r="F1078">
        <v>4872</v>
      </c>
      <c r="G1078">
        <v>1750</v>
      </c>
      <c r="H1078">
        <v>0</v>
      </c>
      <c r="J1078" t="str">
        <f>VLOOKUP(Table3[[#This Row],[Faction ID]],Table4[],2)</f>
        <v>Balchoth</v>
      </c>
    </row>
    <row r="1079" spans="1:10" x14ac:dyDescent="0.25">
      <c r="A1079">
        <v>28</v>
      </c>
      <c r="B1079" t="s">
        <v>18</v>
      </c>
      <c r="C1079">
        <v>93</v>
      </c>
      <c r="D1079">
        <v>32</v>
      </c>
      <c r="E1079">
        <v>322.7</v>
      </c>
      <c r="F1079">
        <v>28016</v>
      </c>
      <c r="G1079">
        <v>26955</v>
      </c>
      <c r="H1079">
        <v>957</v>
      </c>
      <c r="J1079" t="str">
        <f>VLOOKUP(Table3[[#This Row],[Faction ID]],Table4[],2)</f>
        <v>Rhurim/Rhun</v>
      </c>
    </row>
    <row r="1080" spans="1:10" x14ac:dyDescent="0.25">
      <c r="A1080">
        <v>28</v>
      </c>
      <c r="B1080" t="s">
        <v>19</v>
      </c>
      <c r="C1080">
        <v>0</v>
      </c>
      <c r="D1080">
        <v>0</v>
      </c>
      <c r="E1080">
        <v>0</v>
      </c>
      <c r="F1080">
        <v>7360</v>
      </c>
      <c r="G1080">
        <v>1750</v>
      </c>
      <c r="H1080">
        <v>0</v>
      </c>
      <c r="J1080" t="str">
        <f>VLOOKUP(Table3[[#This Row],[Faction ID]],Table4[],2)</f>
        <v>Feredrim</v>
      </c>
    </row>
    <row r="1081" spans="1:10" x14ac:dyDescent="0.25">
      <c r="A1081">
        <v>28</v>
      </c>
      <c r="B1081" t="s">
        <v>26</v>
      </c>
      <c r="C1081">
        <v>0</v>
      </c>
      <c r="D1081">
        <v>0</v>
      </c>
      <c r="E1081">
        <v>0</v>
      </c>
      <c r="F1081">
        <v>6395</v>
      </c>
      <c r="G1081">
        <v>1750</v>
      </c>
      <c r="H1081">
        <v>0</v>
      </c>
      <c r="J1081" t="str">
        <f>VLOOKUP(Table3[[#This Row],[Faction ID]],Table4[],2)</f>
        <v>Rachrohir (Wainriders)</v>
      </c>
    </row>
    <row r="1082" spans="1:10" x14ac:dyDescent="0.25">
      <c r="A1082">
        <v>28</v>
      </c>
      <c r="B1082" t="s">
        <v>27</v>
      </c>
      <c r="C1082">
        <v>5</v>
      </c>
      <c r="D1082">
        <v>3</v>
      </c>
      <c r="E1082">
        <v>38</v>
      </c>
      <c r="F1082">
        <v>35607</v>
      </c>
      <c r="G1082">
        <v>7039</v>
      </c>
      <c r="H1082">
        <v>0</v>
      </c>
      <c r="J1082" t="str">
        <f>VLOOKUP(Table3[[#This Row],[Faction ID]],Table4[],2)</f>
        <v>Blacklock-Stonefoot League</v>
      </c>
    </row>
    <row r="1083" spans="1:10" x14ac:dyDescent="0.25">
      <c r="A1083">
        <v>28</v>
      </c>
      <c r="B1083" t="s">
        <v>28</v>
      </c>
      <c r="C1083">
        <v>4</v>
      </c>
      <c r="D1083">
        <v>2</v>
      </c>
      <c r="E1083">
        <v>28</v>
      </c>
      <c r="F1083">
        <v>28563</v>
      </c>
      <c r="G1083">
        <v>5286</v>
      </c>
      <c r="H1083">
        <v>0</v>
      </c>
      <c r="J1083" t="str">
        <f>VLOOKUP(Table3[[#This Row],[Faction ID]],Table4[],2)</f>
        <v>Ironfist-Stiffbeard Union</v>
      </c>
    </row>
    <row r="1084" spans="1:10" x14ac:dyDescent="0.25">
      <c r="A1084">
        <v>28</v>
      </c>
      <c r="B1084" t="s">
        <v>20</v>
      </c>
      <c r="C1084">
        <v>66</v>
      </c>
      <c r="D1084">
        <v>7</v>
      </c>
      <c r="E1084">
        <v>117.9</v>
      </c>
      <c r="F1084">
        <v>9054</v>
      </c>
      <c r="G1084">
        <v>14510</v>
      </c>
      <c r="H1084">
        <v>377</v>
      </c>
      <c r="J1084" t="str">
        <f>VLOOKUP(Table3[[#This Row],[Faction ID]],Table4[],2)</f>
        <v>Gundabad</v>
      </c>
    </row>
    <row r="1085" spans="1:10" x14ac:dyDescent="0.25">
      <c r="A1085">
        <v>28</v>
      </c>
      <c r="B1085" t="s">
        <v>34</v>
      </c>
      <c r="C1085">
        <v>0</v>
      </c>
      <c r="D1085">
        <v>0</v>
      </c>
      <c r="E1085">
        <v>3</v>
      </c>
      <c r="F1085">
        <v>34267</v>
      </c>
      <c r="G1085">
        <v>2379</v>
      </c>
      <c r="H1085">
        <v>0</v>
      </c>
      <c r="J1085" t="str">
        <f>VLOOKUP(Table3[[#This Row],[Faction ID]],Table4[],2)</f>
        <v>Scouts of Rohan</v>
      </c>
    </row>
    <row r="1086" spans="1:10" x14ac:dyDescent="0.25">
      <c r="A1086">
        <v>28</v>
      </c>
      <c r="B1086" t="s">
        <v>33</v>
      </c>
      <c r="C1086">
        <v>5</v>
      </c>
      <c r="D1086">
        <v>3</v>
      </c>
      <c r="E1086">
        <v>30</v>
      </c>
      <c r="F1086">
        <v>21579</v>
      </c>
      <c r="G1086">
        <v>5149</v>
      </c>
      <c r="H1086">
        <v>0</v>
      </c>
      <c r="J1086" t="str">
        <f>VLOOKUP(Table3[[#This Row],[Faction ID]],Table4[],2)</f>
        <v>Northern Enedwaith</v>
      </c>
    </row>
    <row r="1087" spans="1:10" x14ac:dyDescent="0.25">
      <c r="A1087">
        <v>28</v>
      </c>
      <c r="B1087" t="s">
        <v>29</v>
      </c>
      <c r="C1087">
        <v>3</v>
      </c>
      <c r="D1087">
        <v>2</v>
      </c>
      <c r="E1087">
        <v>14</v>
      </c>
      <c r="F1087">
        <v>17452</v>
      </c>
      <c r="G1087">
        <v>3554</v>
      </c>
      <c r="H1087">
        <v>0</v>
      </c>
      <c r="J1087" t="str">
        <f>VLOOKUP(Table3[[#This Row],[Faction ID]],Table4[],2)</f>
        <v>Southern Enedwaith</v>
      </c>
    </row>
    <row r="1088" spans="1:10" x14ac:dyDescent="0.25">
      <c r="A1088">
        <v>28</v>
      </c>
      <c r="B1088" t="s">
        <v>30</v>
      </c>
      <c r="C1088">
        <v>5</v>
      </c>
      <c r="D1088">
        <v>3</v>
      </c>
      <c r="E1088">
        <v>34</v>
      </c>
      <c r="F1088">
        <v>18140</v>
      </c>
      <c r="G1088">
        <v>5463</v>
      </c>
      <c r="H1088">
        <v>0</v>
      </c>
      <c r="J1088" t="str">
        <f>VLOOKUP(Table3[[#This Row],[Faction ID]],Table4[],2)</f>
        <v>Druedain</v>
      </c>
    </row>
    <row r="1089" spans="1:10" x14ac:dyDescent="0.25">
      <c r="A1089">
        <v>28</v>
      </c>
      <c r="B1089" t="s">
        <v>31</v>
      </c>
      <c r="C1089">
        <v>3</v>
      </c>
      <c r="D1089">
        <v>1</v>
      </c>
      <c r="E1089">
        <v>22</v>
      </c>
      <c r="F1089">
        <v>9794</v>
      </c>
      <c r="G1089">
        <v>4809</v>
      </c>
      <c r="H1089">
        <v>158</v>
      </c>
      <c r="J1089" t="str">
        <f>VLOOKUP(Table3[[#This Row],[Faction ID]],Table4[],2)</f>
        <v>Harondor</v>
      </c>
    </row>
    <row r="1090" spans="1:10" x14ac:dyDescent="0.25">
      <c r="A1090">
        <v>28</v>
      </c>
      <c r="B1090" t="s">
        <v>35</v>
      </c>
      <c r="C1090">
        <v>0</v>
      </c>
      <c r="D1090">
        <v>0</v>
      </c>
      <c r="E1090">
        <v>0</v>
      </c>
      <c r="F1090">
        <v>4000</v>
      </c>
      <c r="G1090">
        <v>1750</v>
      </c>
      <c r="H1090">
        <v>0</v>
      </c>
      <c r="J1090" t="str">
        <f>VLOOKUP(Table3[[#This Row],[Faction ID]],Table4[],2)</f>
        <v>Southron Nomads</v>
      </c>
    </row>
    <row r="1091" spans="1:10" x14ac:dyDescent="0.25">
      <c r="A1091">
        <v>28</v>
      </c>
      <c r="B1091" t="s">
        <v>36</v>
      </c>
      <c r="C1091">
        <v>0</v>
      </c>
      <c r="D1091">
        <v>0</v>
      </c>
      <c r="E1091">
        <v>0</v>
      </c>
      <c r="F1091">
        <v>4000</v>
      </c>
      <c r="G1091">
        <v>1750</v>
      </c>
      <c r="H1091">
        <v>0</v>
      </c>
      <c r="J1091" t="str">
        <f>VLOOKUP(Table3[[#This Row],[Faction ID]],Table4[],2)</f>
        <v>_</v>
      </c>
    </row>
    <row r="1092" spans="1:10" x14ac:dyDescent="0.25">
      <c r="A1092">
        <v>28</v>
      </c>
      <c r="B1092" t="s">
        <v>37</v>
      </c>
      <c r="C1092">
        <v>0</v>
      </c>
      <c r="D1092">
        <v>0</v>
      </c>
      <c r="E1092">
        <v>0</v>
      </c>
      <c r="F1092">
        <v>4000</v>
      </c>
      <c r="G1092">
        <v>1750</v>
      </c>
      <c r="H1092">
        <v>0</v>
      </c>
      <c r="J1092" t="str">
        <f>VLOOKUP(Table3[[#This Row],[Faction ID]],Table4[],2)</f>
        <v>_</v>
      </c>
    </row>
    <row r="1093" spans="1:10" x14ac:dyDescent="0.25">
      <c r="A1093">
        <v>28</v>
      </c>
      <c r="B1093" t="s">
        <v>38</v>
      </c>
      <c r="C1093">
        <v>0</v>
      </c>
      <c r="D1093">
        <v>0</v>
      </c>
      <c r="E1093">
        <v>0</v>
      </c>
      <c r="F1093">
        <v>4000</v>
      </c>
      <c r="G1093">
        <v>1750</v>
      </c>
      <c r="H1093">
        <v>0</v>
      </c>
      <c r="J1093" t="str">
        <f>VLOOKUP(Table3[[#This Row],[Faction ID]],Table4[],2)</f>
        <v>_</v>
      </c>
    </row>
    <row r="1094" spans="1:10" x14ac:dyDescent="0.25">
      <c r="A1094">
        <v>28</v>
      </c>
      <c r="B1094" t="s">
        <v>39</v>
      </c>
      <c r="C1094">
        <v>0</v>
      </c>
      <c r="D1094">
        <v>0</v>
      </c>
      <c r="E1094">
        <v>0</v>
      </c>
      <c r="F1094">
        <v>4000</v>
      </c>
      <c r="G1094">
        <v>1750</v>
      </c>
      <c r="H1094">
        <v>0</v>
      </c>
      <c r="J1094" t="str">
        <f>VLOOKUP(Table3[[#This Row],[Faction ID]],Table4[],2)</f>
        <v>_</v>
      </c>
    </row>
    <row r="1095" spans="1:10" x14ac:dyDescent="0.25">
      <c r="A1095">
        <v>28</v>
      </c>
      <c r="B1095" t="s">
        <v>40</v>
      </c>
      <c r="C1095">
        <v>0</v>
      </c>
      <c r="D1095">
        <v>0</v>
      </c>
      <c r="E1095">
        <v>0</v>
      </c>
      <c r="F1095">
        <v>4000</v>
      </c>
      <c r="G1095">
        <v>1750</v>
      </c>
      <c r="H1095">
        <v>0</v>
      </c>
      <c r="J1095" t="str">
        <f>VLOOKUP(Table3[[#This Row],[Faction ID]],Table4[],2)</f>
        <v>_</v>
      </c>
    </row>
    <row r="1096" spans="1:10" x14ac:dyDescent="0.25">
      <c r="A1096">
        <v>28</v>
      </c>
      <c r="B1096" t="s">
        <v>41</v>
      </c>
      <c r="C1096">
        <v>0</v>
      </c>
      <c r="D1096">
        <v>0</v>
      </c>
      <c r="E1096">
        <v>0</v>
      </c>
      <c r="F1096">
        <v>4000</v>
      </c>
      <c r="G1096">
        <v>1750</v>
      </c>
      <c r="H1096">
        <v>0</v>
      </c>
      <c r="J1096" t="str">
        <f>VLOOKUP(Table3[[#This Row],[Faction ID]],Table4[],2)</f>
        <v>_</v>
      </c>
    </row>
    <row r="1097" spans="1:10" x14ac:dyDescent="0.25">
      <c r="A1097">
        <v>28</v>
      </c>
      <c r="B1097" t="s">
        <v>42</v>
      </c>
      <c r="C1097">
        <v>0</v>
      </c>
      <c r="D1097">
        <v>0</v>
      </c>
      <c r="E1097">
        <v>0</v>
      </c>
      <c r="F1097">
        <v>4000</v>
      </c>
      <c r="G1097">
        <v>1750</v>
      </c>
      <c r="H1097">
        <v>0</v>
      </c>
      <c r="J1097" t="str">
        <f>VLOOKUP(Table3[[#This Row],[Faction ID]],Table4[],2)</f>
        <v>_</v>
      </c>
    </row>
    <row r="1098" spans="1:10" x14ac:dyDescent="0.25">
      <c r="A1098">
        <v>28</v>
      </c>
      <c r="B1098" t="s">
        <v>43</v>
      </c>
      <c r="C1098">
        <v>0</v>
      </c>
      <c r="D1098">
        <v>0</v>
      </c>
      <c r="E1098">
        <v>0</v>
      </c>
      <c r="F1098">
        <v>4000</v>
      </c>
      <c r="G1098">
        <v>1750</v>
      </c>
      <c r="H1098">
        <v>0</v>
      </c>
      <c r="J1098" t="str">
        <f>VLOOKUP(Table3[[#This Row],[Faction ID]],Table4[],2)</f>
        <v>_</v>
      </c>
    </row>
    <row r="1099" spans="1:10" x14ac:dyDescent="0.25">
      <c r="A1099">
        <v>28</v>
      </c>
      <c r="B1099" t="s">
        <v>44</v>
      </c>
      <c r="C1099">
        <v>0</v>
      </c>
      <c r="D1099">
        <v>0</v>
      </c>
      <c r="E1099">
        <v>0</v>
      </c>
      <c r="F1099">
        <v>4000</v>
      </c>
      <c r="G1099">
        <v>1750</v>
      </c>
      <c r="H1099">
        <v>0</v>
      </c>
      <c r="J1099" t="str">
        <f>VLOOKUP(Table3[[#This Row],[Faction ID]],Table4[],2)</f>
        <v>_</v>
      </c>
    </row>
    <row r="1100" spans="1:10" x14ac:dyDescent="0.25">
      <c r="A1100">
        <v>29</v>
      </c>
      <c r="B1100" t="s">
        <v>9</v>
      </c>
      <c r="C1100">
        <v>124</v>
      </c>
      <c r="D1100">
        <v>18</v>
      </c>
      <c r="E1100">
        <v>179.4</v>
      </c>
      <c r="F1100">
        <v>870</v>
      </c>
      <c r="G1100">
        <v>18546</v>
      </c>
      <c r="H1100">
        <v>863</v>
      </c>
      <c r="J1100" t="str">
        <f>VLOOKUP(Table3[[#This Row],[Faction ID]],Table4[],2)</f>
        <v>Mordor</v>
      </c>
    </row>
    <row r="1101" spans="1:10" x14ac:dyDescent="0.25">
      <c r="A1101">
        <v>29</v>
      </c>
      <c r="B1101" t="s">
        <v>4</v>
      </c>
      <c r="C1101">
        <v>107</v>
      </c>
      <c r="D1101">
        <v>12</v>
      </c>
      <c r="E1101">
        <v>156</v>
      </c>
      <c r="F1101">
        <v>33596</v>
      </c>
      <c r="G1101">
        <v>20881</v>
      </c>
      <c r="H1101">
        <v>665</v>
      </c>
      <c r="J1101" t="str">
        <f>VLOOKUP(Table3[[#This Row],[Faction ID]],Table4[],2)</f>
        <v>Gondor</v>
      </c>
    </row>
    <row r="1102" spans="1:10" x14ac:dyDescent="0.25">
      <c r="A1102">
        <v>29</v>
      </c>
      <c r="B1102" t="s">
        <v>6</v>
      </c>
      <c r="C1102">
        <v>70</v>
      </c>
      <c r="D1102">
        <v>7</v>
      </c>
      <c r="E1102">
        <v>76</v>
      </c>
      <c r="F1102">
        <v>14698</v>
      </c>
      <c r="G1102">
        <v>11784</v>
      </c>
      <c r="H1102">
        <v>227</v>
      </c>
      <c r="J1102" t="str">
        <f>VLOOKUP(Table3[[#This Row],[Faction ID]],Table4[],2)</f>
        <v>Dale</v>
      </c>
    </row>
    <row r="1103" spans="1:10" x14ac:dyDescent="0.25">
      <c r="A1103">
        <v>29</v>
      </c>
      <c r="B1103" t="s">
        <v>21</v>
      </c>
      <c r="C1103">
        <v>79</v>
      </c>
      <c r="D1103">
        <v>4</v>
      </c>
      <c r="E1103">
        <v>54</v>
      </c>
      <c r="F1103">
        <v>48942</v>
      </c>
      <c r="G1103">
        <v>11470</v>
      </c>
      <c r="H1103">
        <v>679</v>
      </c>
      <c r="J1103" t="str">
        <f>VLOOKUP(Table3[[#This Row],[Faction ID]],Table4[],2)</f>
        <v>Erebor</v>
      </c>
    </row>
    <row r="1104" spans="1:10" x14ac:dyDescent="0.25">
      <c r="A1104">
        <v>29</v>
      </c>
      <c r="B1104" t="s">
        <v>5</v>
      </c>
      <c r="C1104">
        <v>82</v>
      </c>
      <c r="D1104">
        <v>12</v>
      </c>
      <c r="E1104">
        <v>95</v>
      </c>
      <c r="F1104">
        <v>18553</v>
      </c>
      <c r="G1104">
        <v>12899</v>
      </c>
      <c r="H1104">
        <v>667</v>
      </c>
      <c r="J1104" t="str">
        <f>VLOOKUP(Table3[[#This Row],[Faction ID]],Table4[],2)</f>
        <v>Rohan</v>
      </c>
    </row>
    <row r="1105" spans="1:10" x14ac:dyDescent="0.25">
      <c r="A1105">
        <v>29</v>
      </c>
      <c r="B1105" t="s">
        <v>12</v>
      </c>
      <c r="C1105">
        <v>89</v>
      </c>
      <c r="D1105">
        <v>11</v>
      </c>
      <c r="E1105">
        <v>130</v>
      </c>
      <c r="F1105">
        <v>20608</v>
      </c>
      <c r="G1105">
        <v>16272</v>
      </c>
      <c r="H1105">
        <v>1003</v>
      </c>
      <c r="J1105" t="str">
        <f>VLOOKUP(Table3[[#This Row],[Faction ID]],Table4[],2)</f>
        <v>Dol Guldur</v>
      </c>
    </row>
    <row r="1106" spans="1:10" x14ac:dyDescent="0.25">
      <c r="A1106">
        <v>29</v>
      </c>
      <c r="B1106" t="s">
        <v>10</v>
      </c>
      <c r="C1106">
        <v>58</v>
      </c>
      <c r="D1106">
        <v>7</v>
      </c>
      <c r="E1106">
        <v>70</v>
      </c>
      <c r="F1106">
        <v>3124</v>
      </c>
      <c r="G1106">
        <v>7971</v>
      </c>
      <c r="H1106">
        <v>0</v>
      </c>
      <c r="J1106" t="str">
        <f>VLOOKUP(Table3[[#This Row],[Faction ID]],Table4[],2)</f>
        <v>Anduin Vale</v>
      </c>
    </row>
    <row r="1107" spans="1:10" x14ac:dyDescent="0.25">
      <c r="A1107">
        <v>29</v>
      </c>
      <c r="B1107" t="s">
        <v>32</v>
      </c>
      <c r="C1107">
        <v>67</v>
      </c>
      <c r="D1107">
        <v>4</v>
      </c>
      <c r="E1107">
        <v>70.599999999999994</v>
      </c>
      <c r="F1107">
        <v>9305</v>
      </c>
      <c r="G1107">
        <v>11726</v>
      </c>
      <c r="H1107">
        <v>385</v>
      </c>
      <c r="J1107" t="str">
        <f>VLOOKUP(Table3[[#This Row],[Faction ID]],Table4[],2)</f>
        <v>Isengard</v>
      </c>
    </row>
    <row r="1108" spans="1:10" x14ac:dyDescent="0.25">
      <c r="A1108">
        <v>29</v>
      </c>
      <c r="B1108" t="s">
        <v>22</v>
      </c>
      <c r="C1108">
        <v>30</v>
      </c>
      <c r="D1108">
        <v>0</v>
      </c>
      <c r="E1108">
        <v>0</v>
      </c>
      <c r="F1108">
        <v>8475</v>
      </c>
      <c r="G1108">
        <v>2500</v>
      </c>
      <c r="H1108">
        <v>0</v>
      </c>
      <c r="J1108" t="str">
        <f>VLOOKUP(Table3[[#This Row],[Faction ID]],Table4[],2)</f>
        <v>Woodland Realm</v>
      </c>
    </row>
    <row r="1109" spans="1:10" x14ac:dyDescent="0.25">
      <c r="A1109">
        <v>29</v>
      </c>
      <c r="B1109" t="s">
        <v>23</v>
      </c>
      <c r="C1109">
        <v>48</v>
      </c>
      <c r="D1109">
        <v>2</v>
      </c>
      <c r="E1109">
        <v>29</v>
      </c>
      <c r="F1109">
        <v>7294</v>
      </c>
      <c r="G1109">
        <v>8507</v>
      </c>
      <c r="H1109">
        <v>397</v>
      </c>
      <c r="J1109" t="str">
        <f>VLOOKUP(Table3[[#This Row],[Faction ID]],Table4[],2)</f>
        <v>Lothlorien</v>
      </c>
    </row>
    <row r="1110" spans="1:10" x14ac:dyDescent="0.25">
      <c r="A1110">
        <v>29</v>
      </c>
      <c r="B1110" t="s">
        <v>24</v>
      </c>
      <c r="C1110">
        <v>0</v>
      </c>
      <c r="D1110">
        <v>0</v>
      </c>
      <c r="E1110">
        <v>0</v>
      </c>
      <c r="F1110">
        <v>4919</v>
      </c>
      <c r="G1110">
        <v>1750</v>
      </c>
      <c r="H1110">
        <v>0</v>
      </c>
      <c r="J1110" t="str">
        <f>VLOOKUP(Table3[[#This Row],[Faction ID]],Table4[],2)</f>
        <v>Variags (Khand)</v>
      </c>
    </row>
    <row r="1111" spans="1:10" x14ac:dyDescent="0.25">
      <c r="A1111">
        <v>29</v>
      </c>
      <c r="B1111" t="s">
        <v>14</v>
      </c>
      <c r="C1111">
        <v>8</v>
      </c>
      <c r="D1111">
        <v>6</v>
      </c>
      <c r="E1111">
        <v>85.7</v>
      </c>
      <c r="F1111">
        <v>12855</v>
      </c>
      <c r="G1111">
        <v>12879</v>
      </c>
      <c r="H1111">
        <v>924</v>
      </c>
      <c r="J1111" t="str">
        <f>VLOOKUP(Table3[[#This Row],[Faction ID]],Table4[],2)</f>
        <v>Corsairs of Umbar</v>
      </c>
    </row>
    <row r="1112" spans="1:10" x14ac:dyDescent="0.25">
      <c r="A1112">
        <v>29</v>
      </c>
      <c r="B1112" t="s">
        <v>25</v>
      </c>
      <c r="C1112">
        <v>5</v>
      </c>
      <c r="D1112">
        <v>3</v>
      </c>
      <c r="E1112">
        <v>41</v>
      </c>
      <c r="F1112">
        <v>23615</v>
      </c>
      <c r="G1112">
        <v>5866</v>
      </c>
      <c r="H1112">
        <v>0</v>
      </c>
      <c r="J1112" t="str">
        <f>VLOOKUP(Table3[[#This Row],[Faction ID]],Table4[],2)</f>
        <v>Mahud</v>
      </c>
    </row>
    <row r="1113" spans="1:10" x14ac:dyDescent="0.25">
      <c r="A1113">
        <v>29</v>
      </c>
      <c r="B1113" t="s">
        <v>11</v>
      </c>
      <c r="C1113">
        <v>57</v>
      </c>
      <c r="D1113">
        <v>4</v>
      </c>
      <c r="E1113">
        <v>64</v>
      </c>
      <c r="F1113">
        <v>6984</v>
      </c>
      <c r="G1113">
        <v>10753</v>
      </c>
      <c r="H1113">
        <v>0</v>
      </c>
      <c r="J1113" t="str">
        <f>VLOOKUP(Table3[[#This Row],[Faction ID]],Table4[],2)</f>
        <v>Haradrim</v>
      </c>
    </row>
    <row r="1114" spans="1:10" x14ac:dyDescent="0.25">
      <c r="A1114">
        <v>29</v>
      </c>
      <c r="B1114" t="s">
        <v>15</v>
      </c>
      <c r="C1114">
        <v>58</v>
      </c>
      <c r="D1114">
        <v>3</v>
      </c>
      <c r="E1114">
        <v>57.9</v>
      </c>
      <c r="F1114">
        <v>18637</v>
      </c>
      <c r="G1114">
        <v>10146</v>
      </c>
      <c r="H1114">
        <v>442</v>
      </c>
      <c r="J1114" t="str">
        <f>VLOOKUP(Table3[[#This Row],[Faction ID]],Table4[],2)</f>
        <v>Dunlendings</v>
      </c>
    </row>
    <row r="1115" spans="1:10" x14ac:dyDescent="0.25">
      <c r="A1115">
        <v>29</v>
      </c>
      <c r="B1115" t="s">
        <v>16</v>
      </c>
      <c r="C1115">
        <v>0</v>
      </c>
      <c r="D1115">
        <v>0</v>
      </c>
      <c r="E1115">
        <v>0</v>
      </c>
      <c r="F1115">
        <v>5352</v>
      </c>
      <c r="G1115">
        <v>1750</v>
      </c>
      <c r="H1115">
        <v>0</v>
      </c>
      <c r="J1115" t="str">
        <f>VLOOKUP(Table3[[#This Row],[Faction ID]],Table4[],2)</f>
        <v>Haerrim</v>
      </c>
    </row>
    <row r="1116" spans="1:10" x14ac:dyDescent="0.25">
      <c r="A1116">
        <v>29</v>
      </c>
      <c r="B1116" t="s">
        <v>13</v>
      </c>
      <c r="C1116">
        <v>91</v>
      </c>
      <c r="D1116">
        <v>9</v>
      </c>
      <c r="E1116">
        <v>138.80000000000001</v>
      </c>
      <c r="F1116">
        <v>15994</v>
      </c>
      <c r="G1116">
        <v>16836</v>
      </c>
      <c r="H1116">
        <v>831</v>
      </c>
      <c r="J1116" t="str">
        <f>VLOOKUP(Table3[[#This Row],[Faction ID]],Table4[],2)</f>
        <v>Goblins</v>
      </c>
    </row>
    <row r="1117" spans="1:10" x14ac:dyDescent="0.25">
      <c r="A1117">
        <v>29</v>
      </c>
      <c r="B1117" t="s">
        <v>17</v>
      </c>
      <c r="C1117">
        <v>0</v>
      </c>
      <c r="D1117">
        <v>0</v>
      </c>
      <c r="E1117">
        <v>0</v>
      </c>
      <c r="F1117">
        <v>4872</v>
      </c>
      <c r="G1117">
        <v>1750</v>
      </c>
      <c r="H1117">
        <v>0</v>
      </c>
      <c r="J1117" t="str">
        <f>VLOOKUP(Table3[[#This Row],[Faction ID]],Table4[],2)</f>
        <v>Balchoth</v>
      </c>
    </row>
    <row r="1118" spans="1:10" x14ac:dyDescent="0.25">
      <c r="A1118">
        <v>29</v>
      </c>
      <c r="B1118" t="s">
        <v>18</v>
      </c>
      <c r="C1118">
        <v>92</v>
      </c>
      <c r="D1118">
        <v>31</v>
      </c>
      <c r="E1118">
        <v>329.4</v>
      </c>
      <c r="F1118">
        <v>29017</v>
      </c>
      <c r="G1118">
        <v>27856</v>
      </c>
      <c r="H1118">
        <v>962</v>
      </c>
      <c r="J1118" t="str">
        <f>VLOOKUP(Table3[[#This Row],[Faction ID]],Table4[],2)</f>
        <v>Rhurim/Rhun</v>
      </c>
    </row>
    <row r="1119" spans="1:10" x14ac:dyDescent="0.25">
      <c r="A1119">
        <v>29</v>
      </c>
      <c r="B1119" t="s">
        <v>19</v>
      </c>
      <c r="C1119">
        <v>0</v>
      </c>
      <c r="D1119">
        <v>0</v>
      </c>
      <c r="E1119">
        <v>0</v>
      </c>
      <c r="F1119">
        <v>7360</v>
      </c>
      <c r="G1119">
        <v>1750</v>
      </c>
      <c r="H1119">
        <v>0</v>
      </c>
      <c r="J1119" t="str">
        <f>VLOOKUP(Table3[[#This Row],[Faction ID]],Table4[],2)</f>
        <v>Feredrim</v>
      </c>
    </row>
    <row r="1120" spans="1:10" x14ac:dyDescent="0.25">
      <c r="A1120">
        <v>29</v>
      </c>
      <c r="B1120" t="s">
        <v>26</v>
      </c>
      <c r="C1120">
        <v>0</v>
      </c>
      <c r="D1120">
        <v>0</v>
      </c>
      <c r="E1120">
        <v>0</v>
      </c>
      <c r="F1120">
        <v>6395</v>
      </c>
      <c r="G1120">
        <v>1750</v>
      </c>
      <c r="H1120">
        <v>0</v>
      </c>
      <c r="J1120" t="str">
        <f>VLOOKUP(Table3[[#This Row],[Faction ID]],Table4[],2)</f>
        <v>Rachrohir (Wainriders)</v>
      </c>
    </row>
    <row r="1121" spans="1:10" x14ac:dyDescent="0.25">
      <c r="A1121">
        <v>29</v>
      </c>
      <c r="B1121" t="s">
        <v>27</v>
      </c>
      <c r="C1121">
        <v>5</v>
      </c>
      <c r="D1121">
        <v>3</v>
      </c>
      <c r="E1121">
        <v>39</v>
      </c>
      <c r="F1121">
        <v>38027</v>
      </c>
      <c r="G1121">
        <v>7140</v>
      </c>
      <c r="H1121">
        <v>0</v>
      </c>
      <c r="J1121" t="str">
        <f>VLOOKUP(Table3[[#This Row],[Faction ID]],Table4[],2)</f>
        <v>Blacklock-Stonefoot League</v>
      </c>
    </row>
    <row r="1122" spans="1:10" x14ac:dyDescent="0.25">
      <c r="A1122">
        <v>29</v>
      </c>
      <c r="B1122" t="s">
        <v>28</v>
      </c>
      <c r="C1122">
        <v>4</v>
      </c>
      <c r="D1122">
        <v>2</v>
      </c>
      <c r="E1122">
        <v>28</v>
      </c>
      <c r="F1122">
        <v>30335</v>
      </c>
      <c r="G1122">
        <v>5286</v>
      </c>
      <c r="H1122">
        <v>0</v>
      </c>
      <c r="J1122" t="str">
        <f>VLOOKUP(Table3[[#This Row],[Faction ID]],Table4[],2)</f>
        <v>Ironfist-Stiffbeard Union</v>
      </c>
    </row>
    <row r="1123" spans="1:10" x14ac:dyDescent="0.25">
      <c r="A1123">
        <v>29</v>
      </c>
      <c r="B1123" t="s">
        <v>20</v>
      </c>
      <c r="C1123">
        <v>71</v>
      </c>
      <c r="D1123">
        <v>8</v>
      </c>
      <c r="E1123">
        <v>132.5</v>
      </c>
      <c r="F1123">
        <v>9114</v>
      </c>
      <c r="G1123">
        <v>15240</v>
      </c>
      <c r="H1123">
        <v>379</v>
      </c>
      <c r="J1123" t="str">
        <f>VLOOKUP(Table3[[#This Row],[Faction ID]],Table4[],2)</f>
        <v>Gundabad</v>
      </c>
    </row>
    <row r="1124" spans="1:10" x14ac:dyDescent="0.25">
      <c r="A1124">
        <v>29</v>
      </c>
      <c r="B1124" t="s">
        <v>34</v>
      </c>
      <c r="C1124">
        <v>0</v>
      </c>
      <c r="D1124">
        <v>0</v>
      </c>
      <c r="E1124">
        <v>3</v>
      </c>
      <c r="F1124">
        <v>35388</v>
      </c>
      <c r="G1124">
        <v>2379</v>
      </c>
      <c r="H1124">
        <v>0</v>
      </c>
      <c r="J1124" t="str">
        <f>VLOOKUP(Table3[[#This Row],[Faction ID]],Table4[],2)</f>
        <v>Scouts of Rohan</v>
      </c>
    </row>
    <row r="1125" spans="1:10" x14ac:dyDescent="0.25">
      <c r="A1125">
        <v>29</v>
      </c>
      <c r="B1125" t="s">
        <v>33</v>
      </c>
      <c r="C1125">
        <v>5</v>
      </c>
      <c r="D1125">
        <v>3</v>
      </c>
      <c r="E1125">
        <v>31</v>
      </c>
      <c r="F1125">
        <v>23697</v>
      </c>
      <c r="G1125">
        <v>4984</v>
      </c>
      <c r="H1125">
        <v>0</v>
      </c>
      <c r="J1125" t="str">
        <f>VLOOKUP(Table3[[#This Row],[Faction ID]],Table4[],2)</f>
        <v>Northern Enedwaith</v>
      </c>
    </row>
    <row r="1126" spans="1:10" x14ac:dyDescent="0.25">
      <c r="A1126">
        <v>29</v>
      </c>
      <c r="B1126" t="s">
        <v>29</v>
      </c>
      <c r="C1126">
        <v>3</v>
      </c>
      <c r="D1126">
        <v>2</v>
      </c>
      <c r="E1126">
        <v>14</v>
      </c>
      <c r="F1126">
        <v>20010</v>
      </c>
      <c r="G1126">
        <v>3218</v>
      </c>
      <c r="H1126">
        <v>0</v>
      </c>
      <c r="J1126" t="str">
        <f>VLOOKUP(Table3[[#This Row],[Faction ID]],Table4[],2)</f>
        <v>Southern Enedwaith</v>
      </c>
    </row>
    <row r="1127" spans="1:10" x14ac:dyDescent="0.25">
      <c r="A1127">
        <v>29</v>
      </c>
      <c r="B1127" t="s">
        <v>30</v>
      </c>
      <c r="C1127">
        <v>5</v>
      </c>
      <c r="D1127">
        <v>3</v>
      </c>
      <c r="E1127">
        <v>34</v>
      </c>
      <c r="F1127">
        <v>16041</v>
      </c>
      <c r="G1127">
        <v>5480</v>
      </c>
      <c r="H1127">
        <v>0</v>
      </c>
      <c r="J1127" t="str">
        <f>VLOOKUP(Table3[[#This Row],[Faction ID]],Table4[],2)</f>
        <v>Druedain</v>
      </c>
    </row>
    <row r="1128" spans="1:10" x14ac:dyDescent="0.25">
      <c r="A1128">
        <v>29</v>
      </c>
      <c r="B1128" t="s">
        <v>31</v>
      </c>
      <c r="C1128">
        <v>3</v>
      </c>
      <c r="D1128">
        <v>1</v>
      </c>
      <c r="E1128">
        <v>23</v>
      </c>
      <c r="F1128">
        <v>10946</v>
      </c>
      <c r="G1128">
        <v>4729</v>
      </c>
      <c r="H1128">
        <v>158</v>
      </c>
      <c r="J1128" t="str">
        <f>VLOOKUP(Table3[[#This Row],[Faction ID]],Table4[],2)</f>
        <v>Harondor</v>
      </c>
    </row>
    <row r="1129" spans="1:10" x14ac:dyDescent="0.25">
      <c r="A1129">
        <v>29</v>
      </c>
      <c r="B1129" t="s">
        <v>35</v>
      </c>
      <c r="C1129">
        <v>0</v>
      </c>
      <c r="D1129">
        <v>0</v>
      </c>
      <c r="E1129">
        <v>0</v>
      </c>
      <c r="F1129">
        <v>4000</v>
      </c>
      <c r="G1129">
        <v>1750</v>
      </c>
      <c r="H1129">
        <v>0</v>
      </c>
      <c r="J1129" t="str">
        <f>VLOOKUP(Table3[[#This Row],[Faction ID]],Table4[],2)</f>
        <v>Southron Nomads</v>
      </c>
    </row>
    <row r="1130" spans="1:10" x14ac:dyDescent="0.25">
      <c r="A1130">
        <v>29</v>
      </c>
      <c r="B1130" t="s">
        <v>36</v>
      </c>
      <c r="C1130">
        <v>0</v>
      </c>
      <c r="D1130">
        <v>0</v>
      </c>
      <c r="E1130">
        <v>0</v>
      </c>
      <c r="F1130">
        <v>4000</v>
      </c>
      <c r="G1130">
        <v>1750</v>
      </c>
      <c r="H1130">
        <v>0</v>
      </c>
      <c r="J1130" t="str">
        <f>VLOOKUP(Table3[[#This Row],[Faction ID]],Table4[],2)</f>
        <v>_</v>
      </c>
    </row>
    <row r="1131" spans="1:10" x14ac:dyDescent="0.25">
      <c r="A1131">
        <v>29</v>
      </c>
      <c r="B1131" t="s">
        <v>37</v>
      </c>
      <c r="C1131">
        <v>0</v>
      </c>
      <c r="D1131">
        <v>0</v>
      </c>
      <c r="E1131">
        <v>0</v>
      </c>
      <c r="F1131">
        <v>4000</v>
      </c>
      <c r="G1131">
        <v>1750</v>
      </c>
      <c r="H1131">
        <v>0</v>
      </c>
      <c r="J1131" t="str">
        <f>VLOOKUP(Table3[[#This Row],[Faction ID]],Table4[],2)</f>
        <v>_</v>
      </c>
    </row>
    <row r="1132" spans="1:10" x14ac:dyDescent="0.25">
      <c r="A1132">
        <v>29</v>
      </c>
      <c r="B1132" t="s">
        <v>38</v>
      </c>
      <c r="C1132">
        <v>0</v>
      </c>
      <c r="D1132">
        <v>0</v>
      </c>
      <c r="E1132">
        <v>0</v>
      </c>
      <c r="F1132">
        <v>4000</v>
      </c>
      <c r="G1132">
        <v>1750</v>
      </c>
      <c r="H1132">
        <v>0</v>
      </c>
      <c r="J1132" t="str">
        <f>VLOOKUP(Table3[[#This Row],[Faction ID]],Table4[],2)</f>
        <v>_</v>
      </c>
    </row>
    <row r="1133" spans="1:10" x14ac:dyDescent="0.25">
      <c r="A1133">
        <v>29</v>
      </c>
      <c r="B1133" t="s">
        <v>39</v>
      </c>
      <c r="C1133">
        <v>0</v>
      </c>
      <c r="D1133">
        <v>0</v>
      </c>
      <c r="E1133">
        <v>0</v>
      </c>
      <c r="F1133">
        <v>4000</v>
      </c>
      <c r="G1133">
        <v>1750</v>
      </c>
      <c r="H1133">
        <v>0</v>
      </c>
      <c r="J1133" t="str">
        <f>VLOOKUP(Table3[[#This Row],[Faction ID]],Table4[],2)</f>
        <v>_</v>
      </c>
    </row>
    <row r="1134" spans="1:10" x14ac:dyDescent="0.25">
      <c r="A1134">
        <v>29</v>
      </c>
      <c r="B1134" t="s">
        <v>40</v>
      </c>
      <c r="C1134">
        <v>0</v>
      </c>
      <c r="D1134">
        <v>0</v>
      </c>
      <c r="E1134">
        <v>0</v>
      </c>
      <c r="F1134">
        <v>4000</v>
      </c>
      <c r="G1134">
        <v>1750</v>
      </c>
      <c r="H1134">
        <v>0</v>
      </c>
      <c r="J1134" t="str">
        <f>VLOOKUP(Table3[[#This Row],[Faction ID]],Table4[],2)</f>
        <v>_</v>
      </c>
    </row>
    <row r="1135" spans="1:10" x14ac:dyDescent="0.25">
      <c r="A1135">
        <v>29</v>
      </c>
      <c r="B1135" t="s">
        <v>41</v>
      </c>
      <c r="C1135">
        <v>0</v>
      </c>
      <c r="D1135">
        <v>0</v>
      </c>
      <c r="E1135">
        <v>0</v>
      </c>
      <c r="F1135">
        <v>4000</v>
      </c>
      <c r="G1135">
        <v>1750</v>
      </c>
      <c r="H1135">
        <v>0</v>
      </c>
      <c r="J1135" t="str">
        <f>VLOOKUP(Table3[[#This Row],[Faction ID]],Table4[],2)</f>
        <v>_</v>
      </c>
    </row>
    <row r="1136" spans="1:10" x14ac:dyDescent="0.25">
      <c r="A1136">
        <v>29</v>
      </c>
      <c r="B1136" t="s">
        <v>42</v>
      </c>
      <c r="C1136">
        <v>0</v>
      </c>
      <c r="D1136">
        <v>0</v>
      </c>
      <c r="E1136">
        <v>0</v>
      </c>
      <c r="F1136">
        <v>4000</v>
      </c>
      <c r="G1136">
        <v>1750</v>
      </c>
      <c r="H1136">
        <v>0</v>
      </c>
      <c r="J1136" t="str">
        <f>VLOOKUP(Table3[[#This Row],[Faction ID]],Table4[],2)</f>
        <v>_</v>
      </c>
    </row>
    <row r="1137" spans="1:10" x14ac:dyDescent="0.25">
      <c r="A1137">
        <v>29</v>
      </c>
      <c r="B1137" t="s">
        <v>43</v>
      </c>
      <c r="C1137">
        <v>0</v>
      </c>
      <c r="D1137">
        <v>0</v>
      </c>
      <c r="E1137">
        <v>0</v>
      </c>
      <c r="F1137">
        <v>4000</v>
      </c>
      <c r="G1137">
        <v>1750</v>
      </c>
      <c r="H1137">
        <v>0</v>
      </c>
      <c r="J1137" t="str">
        <f>VLOOKUP(Table3[[#This Row],[Faction ID]],Table4[],2)</f>
        <v>_</v>
      </c>
    </row>
    <row r="1138" spans="1:10" x14ac:dyDescent="0.25">
      <c r="A1138">
        <v>29</v>
      </c>
      <c r="B1138" t="s">
        <v>44</v>
      </c>
      <c r="C1138">
        <v>0</v>
      </c>
      <c r="D1138">
        <v>0</v>
      </c>
      <c r="E1138">
        <v>0</v>
      </c>
      <c r="F1138">
        <v>4000</v>
      </c>
      <c r="G1138">
        <v>1750</v>
      </c>
      <c r="H1138">
        <v>0</v>
      </c>
      <c r="J1138" t="str">
        <f>VLOOKUP(Table3[[#This Row],[Faction ID]],Table4[],2)</f>
        <v>_</v>
      </c>
    </row>
    <row r="1139" spans="1:10" x14ac:dyDescent="0.25">
      <c r="A1139">
        <v>30</v>
      </c>
      <c r="B1139" t="s">
        <v>9</v>
      </c>
      <c r="C1139">
        <v>124</v>
      </c>
      <c r="D1139">
        <v>18</v>
      </c>
      <c r="E1139">
        <v>179.4</v>
      </c>
      <c r="F1139">
        <v>1112</v>
      </c>
      <c r="G1139">
        <v>19079</v>
      </c>
      <c r="H1139">
        <v>869</v>
      </c>
      <c r="J1139" t="str">
        <f>VLOOKUP(Table3[[#This Row],[Faction ID]],Table4[],2)</f>
        <v>Mordor</v>
      </c>
    </row>
    <row r="1140" spans="1:10" x14ac:dyDescent="0.25">
      <c r="A1140">
        <v>30</v>
      </c>
      <c r="B1140" t="s">
        <v>4</v>
      </c>
      <c r="C1140">
        <v>107</v>
      </c>
      <c r="D1140">
        <v>12</v>
      </c>
      <c r="E1140">
        <v>157</v>
      </c>
      <c r="F1140">
        <v>41378</v>
      </c>
      <c r="G1140">
        <v>20557</v>
      </c>
      <c r="H1140">
        <v>668</v>
      </c>
      <c r="J1140" t="str">
        <f>VLOOKUP(Table3[[#This Row],[Faction ID]],Table4[],2)</f>
        <v>Gondor</v>
      </c>
    </row>
    <row r="1141" spans="1:10" x14ac:dyDescent="0.25">
      <c r="A1141">
        <v>30</v>
      </c>
      <c r="B1141" t="s">
        <v>6</v>
      </c>
      <c r="C1141">
        <v>67</v>
      </c>
      <c r="D1141">
        <v>5</v>
      </c>
      <c r="E1141">
        <v>78</v>
      </c>
      <c r="F1141">
        <v>12663</v>
      </c>
      <c r="G1141">
        <v>11687</v>
      </c>
      <c r="H1141">
        <v>221</v>
      </c>
      <c r="J1141" t="str">
        <f>VLOOKUP(Table3[[#This Row],[Faction ID]],Table4[],2)</f>
        <v>Dale</v>
      </c>
    </row>
    <row r="1142" spans="1:10" x14ac:dyDescent="0.25">
      <c r="A1142">
        <v>30</v>
      </c>
      <c r="B1142" t="s">
        <v>21</v>
      </c>
      <c r="C1142">
        <v>79</v>
      </c>
      <c r="D1142">
        <v>4</v>
      </c>
      <c r="E1142">
        <v>56.1</v>
      </c>
      <c r="F1142">
        <v>46178</v>
      </c>
      <c r="G1142">
        <v>11511</v>
      </c>
      <c r="H1142">
        <v>414</v>
      </c>
      <c r="J1142" t="str">
        <f>VLOOKUP(Table3[[#This Row],[Faction ID]],Table4[],2)</f>
        <v>Erebor</v>
      </c>
    </row>
    <row r="1143" spans="1:10" x14ac:dyDescent="0.25">
      <c r="A1143">
        <v>30</v>
      </c>
      <c r="B1143" t="s">
        <v>5</v>
      </c>
      <c r="C1143">
        <v>87</v>
      </c>
      <c r="D1143">
        <v>12</v>
      </c>
      <c r="E1143">
        <v>112.1</v>
      </c>
      <c r="F1143">
        <v>20945</v>
      </c>
      <c r="G1143">
        <v>13606</v>
      </c>
      <c r="H1143">
        <v>669</v>
      </c>
      <c r="J1143" t="str">
        <f>VLOOKUP(Table3[[#This Row],[Faction ID]],Table4[],2)</f>
        <v>Rohan</v>
      </c>
    </row>
    <row r="1144" spans="1:10" x14ac:dyDescent="0.25">
      <c r="A1144">
        <v>30</v>
      </c>
      <c r="B1144" t="s">
        <v>12</v>
      </c>
      <c r="C1144">
        <v>90</v>
      </c>
      <c r="D1144">
        <v>12</v>
      </c>
      <c r="E1144">
        <v>130</v>
      </c>
      <c r="F1144">
        <v>10838</v>
      </c>
      <c r="G1144">
        <v>15956</v>
      </c>
      <c r="H1144">
        <v>1009</v>
      </c>
      <c r="J1144" t="str">
        <f>VLOOKUP(Table3[[#This Row],[Faction ID]],Table4[],2)</f>
        <v>Dol Guldur</v>
      </c>
    </row>
    <row r="1145" spans="1:10" x14ac:dyDescent="0.25">
      <c r="A1145">
        <v>30</v>
      </c>
      <c r="B1145" t="s">
        <v>10</v>
      </c>
      <c r="C1145">
        <v>57</v>
      </c>
      <c r="D1145">
        <v>6</v>
      </c>
      <c r="E1145">
        <v>67</v>
      </c>
      <c r="F1145">
        <v>4340</v>
      </c>
      <c r="G1145">
        <v>7144</v>
      </c>
      <c r="H1145">
        <v>0</v>
      </c>
      <c r="J1145" t="str">
        <f>VLOOKUP(Table3[[#This Row],[Faction ID]],Table4[],2)</f>
        <v>Anduin Vale</v>
      </c>
    </row>
    <row r="1146" spans="1:10" x14ac:dyDescent="0.25">
      <c r="A1146">
        <v>30</v>
      </c>
      <c r="B1146" t="s">
        <v>32</v>
      </c>
      <c r="C1146">
        <v>72</v>
      </c>
      <c r="D1146">
        <v>4</v>
      </c>
      <c r="E1146">
        <v>70.599999999999994</v>
      </c>
      <c r="F1146">
        <v>8958</v>
      </c>
      <c r="G1146">
        <v>11739</v>
      </c>
      <c r="H1146">
        <v>386</v>
      </c>
      <c r="J1146" t="str">
        <f>VLOOKUP(Table3[[#This Row],[Faction ID]],Table4[],2)</f>
        <v>Isengard</v>
      </c>
    </row>
    <row r="1147" spans="1:10" x14ac:dyDescent="0.25">
      <c r="A1147">
        <v>30</v>
      </c>
      <c r="B1147" t="s">
        <v>22</v>
      </c>
      <c r="C1147">
        <v>30</v>
      </c>
      <c r="D1147">
        <v>0</v>
      </c>
      <c r="E1147">
        <v>0</v>
      </c>
      <c r="F1147">
        <v>8475</v>
      </c>
      <c r="G1147">
        <v>2500</v>
      </c>
      <c r="H1147">
        <v>0</v>
      </c>
      <c r="J1147" t="str">
        <f>VLOOKUP(Table3[[#This Row],[Faction ID]],Table4[],2)</f>
        <v>Woodland Realm</v>
      </c>
    </row>
    <row r="1148" spans="1:10" x14ac:dyDescent="0.25">
      <c r="A1148">
        <v>30</v>
      </c>
      <c r="B1148" t="s">
        <v>23</v>
      </c>
      <c r="C1148">
        <v>53</v>
      </c>
      <c r="D1148">
        <v>2</v>
      </c>
      <c r="E1148">
        <v>29</v>
      </c>
      <c r="F1148">
        <v>8294</v>
      </c>
      <c r="G1148">
        <v>8548</v>
      </c>
      <c r="H1148">
        <v>313</v>
      </c>
      <c r="J1148" t="str">
        <f>VLOOKUP(Table3[[#This Row],[Faction ID]],Table4[],2)</f>
        <v>Lothlorien</v>
      </c>
    </row>
    <row r="1149" spans="1:10" x14ac:dyDescent="0.25">
      <c r="A1149">
        <v>30</v>
      </c>
      <c r="B1149" t="s">
        <v>24</v>
      </c>
      <c r="C1149">
        <v>0</v>
      </c>
      <c r="D1149">
        <v>0</v>
      </c>
      <c r="E1149">
        <v>0</v>
      </c>
      <c r="F1149">
        <v>4919</v>
      </c>
      <c r="G1149">
        <v>1750</v>
      </c>
      <c r="H1149">
        <v>0</v>
      </c>
      <c r="J1149" t="str">
        <f>VLOOKUP(Table3[[#This Row],[Faction ID]],Table4[],2)</f>
        <v>Variags (Khand)</v>
      </c>
    </row>
    <row r="1150" spans="1:10" x14ac:dyDescent="0.25">
      <c r="A1150">
        <v>30</v>
      </c>
      <c r="B1150" t="s">
        <v>14</v>
      </c>
      <c r="C1150">
        <v>8</v>
      </c>
      <c r="D1150">
        <v>6</v>
      </c>
      <c r="E1150">
        <v>87.8</v>
      </c>
      <c r="F1150">
        <v>15310</v>
      </c>
      <c r="G1150">
        <v>13751</v>
      </c>
      <c r="H1150">
        <v>929</v>
      </c>
      <c r="J1150" t="str">
        <f>VLOOKUP(Table3[[#This Row],[Faction ID]],Table4[],2)</f>
        <v>Corsairs of Umbar</v>
      </c>
    </row>
    <row r="1151" spans="1:10" x14ac:dyDescent="0.25">
      <c r="A1151">
        <v>30</v>
      </c>
      <c r="B1151" t="s">
        <v>25</v>
      </c>
      <c r="C1151">
        <v>5</v>
      </c>
      <c r="D1151">
        <v>3</v>
      </c>
      <c r="E1151">
        <v>41</v>
      </c>
      <c r="F1151">
        <v>24983</v>
      </c>
      <c r="G1151">
        <v>5866</v>
      </c>
      <c r="H1151">
        <v>0</v>
      </c>
      <c r="J1151" t="str">
        <f>VLOOKUP(Table3[[#This Row],[Faction ID]],Table4[],2)</f>
        <v>Mahud</v>
      </c>
    </row>
    <row r="1152" spans="1:10" x14ac:dyDescent="0.25">
      <c r="A1152">
        <v>30</v>
      </c>
      <c r="B1152" t="s">
        <v>11</v>
      </c>
      <c r="C1152">
        <v>57</v>
      </c>
      <c r="D1152">
        <v>4</v>
      </c>
      <c r="E1152">
        <v>68</v>
      </c>
      <c r="F1152">
        <v>5825</v>
      </c>
      <c r="G1152">
        <v>11033</v>
      </c>
      <c r="H1152">
        <v>0</v>
      </c>
      <c r="J1152" t="str">
        <f>VLOOKUP(Table3[[#This Row],[Faction ID]],Table4[],2)</f>
        <v>Haradrim</v>
      </c>
    </row>
    <row r="1153" spans="1:10" x14ac:dyDescent="0.25">
      <c r="A1153">
        <v>30</v>
      </c>
      <c r="B1153" t="s">
        <v>15</v>
      </c>
      <c r="C1153">
        <v>58</v>
      </c>
      <c r="D1153">
        <v>3</v>
      </c>
      <c r="E1153">
        <v>57.9</v>
      </c>
      <c r="F1153">
        <v>19779</v>
      </c>
      <c r="G1153">
        <v>10146</v>
      </c>
      <c r="H1153">
        <v>442</v>
      </c>
      <c r="J1153" t="str">
        <f>VLOOKUP(Table3[[#This Row],[Faction ID]],Table4[],2)</f>
        <v>Dunlendings</v>
      </c>
    </row>
    <row r="1154" spans="1:10" x14ac:dyDescent="0.25">
      <c r="A1154">
        <v>30</v>
      </c>
      <c r="B1154" t="s">
        <v>16</v>
      </c>
      <c r="C1154">
        <v>0</v>
      </c>
      <c r="D1154">
        <v>0</v>
      </c>
      <c r="E1154">
        <v>0</v>
      </c>
      <c r="F1154">
        <v>5352</v>
      </c>
      <c r="G1154">
        <v>1750</v>
      </c>
      <c r="H1154">
        <v>0</v>
      </c>
      <c r="J1154" t="str">
        <f>VLOOKUP(Table3[[#This Row],[Faction ID]],Table4[],2)</f>
        <v>Haerrim</v>
      </c>
    </row>
    <row r="1155" spans="1:10" x14ac:dyDescent="0.25">
      <c r="A1155">
        <v>30</v>
      </c>
      <c r="B1155" t="s">
        <v>13</v>
      </c>
      <c r="C1155">
        <v>91</v>
      </c>
      <c r="D1155">
        <v>9</v>
      </c>
      <c r="E1155">
        <v>131.4</v>
      </c>
      <c r="F1155">
        <v>13956</v>
      </c>
      <c r="G1155">
        <v>15962</v>
      </c>
      <c r="H1155">
        <v>830</v>
      </c>
      <c r="J1155" t="str">
        <f>VLOOKUP(Table3[[#This Row],[Faction ID]],Table4[],2)</f>
        <v>Goblins</v>
      </c>
    </row>
    <row r="1156" spans="1:10" x14ac:dyDescent="0.25">
      <c r="A1156">
        <v>30</v>
      </c>
      <c r="B1156" t="s">
        <v>17</v>
      </c>
      <c r="C1156">
        <v>0</v>
      </c>
      <c r="D1156">
        <v>0</v>
      </c>
      <c r="E1156">
        <v>0</v>
      </c>
      <c r="F1156">
        <v>4872</v>
      </c>
      <c r="G1156">
        <v>1750</v>
      </c>
      <c r="H1156">
        <v>0</v>
      </c>
      <c r="J1156" t="str">
        <f>VLOOKUP(Table3[[#This Row],[Faction ID]],Table4[],2)</f>
        <v>Balchoth</v>
      </c>
    </row>
    <row r="1157" spans="1:10" x14ac:dyDescent="0.25">
      <c r="A1157">
        <v>30</v>
      </c>
      <c r="B1157" t="s">
        <v>18</v>
      </c>
      <c r="C1157">
        <v>98</v>
      </c>
      <c r="D1157">
        <v>32</v>
      </c>
      <c r="E1157">
        <v>342.4</v>
      </c>
      <c r="F1157">
        <v>31428</v>
      </c>
      <c r="G1157">
        <v>28756</v>
      </c>
      <c r="H1157">
        <v>970</v>
      </c>
      <c r="J1157" t="str">
        <f>VLOOKUP(Table3[[#This Row],[Faction ID]],Table4[],2)</f>
        <v>Rhurim/Rhun</v>
      </c>
    </row>
    <row r="1158" spans="1:10" x14ac:dyDescent="0.25">
      <c r="A1158">
        <v>30</v>
      </c>
      <c r="B1158" t="s">
        <v>19</v>
      </c>
      <c r="C1158">
        <v>0</v>
      </c>
      <c r="D1158">
        <v>0</v>
      </c>
      <c r="E1158">
        <v>0</v>
      </c>
      <c r="F1158">
        <v>7360</v>
      </c>
      <c r="G1158">
        <v>1750</v>
      </c>
      <c r="H1158">
        <v>0</v>
      </c>
      <c r="J1158" t="str">
        <f>VLOOKUP(Table3[[#This Row],[Faction ID]],Table4[],2)</f>
        <v>Feredrim</v>
      </c>
    </row>
    <row r="1159" spans="1:10" x14ac:dyDescent="0.25">
      <c r="A1159">
        <v>30</v>
      </c>
      <c r="B1159" t="s">
        <v>26</v>
      </c>
      <c r="C1159">
        <v>0</v>
      </c>
      <c r="D1159">
        <v>0</v>
      </c>
      <c r="E1159">
        <v>0</v>
      </c>
      <c r="F1159">
        <v>6395</v>
      </c>
      <c r="G1159">
        <v>1750</v>
      </c>
      <c r="H1159">
        <v>0</v>
      </c>
      <c r="J1159" t="str">
        <f>VLOOKUP(Table3[[#This Row],[Faction ID]],Table4[],2)</f>
        <v>Rachrohir (Wainriders)</v>
      </c>
    </row>
    <row r="1160" spans="1:10" x14ac:dyDescent="0.25">
      <c r="A1160">
        <v>30</v>
      </c>
      <c r="B1160" t="s">
        <v>27</v>
      </c>
      <c r="C1160">
        <v>5</v>
      </c>
      <c r="D1160">
        <v>3</v>
      </c>
      <c r="E1160">
        <v>39</v>
      </c>
      <c r="F1160">
        <v>36847</v>
      </c>
      <c r="G1160">
        <v>7140</v>
      </c>
      <c r="H1160">
        <v>0</v>
      </c>
      <c r="J1160" t="str">
        <f>VLOOKUP(Table3[[#This Row],[Faction ID]],Table4[],2)</f>
        <v>Blacklock-Stonefoot League</v>
      </c>
    </row>
    <row r="1161" spans="1:10" x14ac:dyDescent="0.25">
      <c r="A1161">
        <v>30</v>
      </c>
      <c r="B1161" t="s">
        <v>28</v>
      </c>
      <c r="C1161">
        <v>4</v>
      </c>
      <c r="D1161">
        <v>2</v>
      </c>
      <c r="E1161">
        <v>28</v>
      </c>
      <c r="F1161">
        <v>32133</v>
      </c>
      <c r="G1161">
        <v>5312</v>
      </c>
      <c r="H1161">
        <v>0</v>
      </c>
      <c r="J1161" t="str">
        <f>VLOOKUP(Table3[[#This Row],[Faction ID]],Table4[],2)</f>
        <v>Ironfist-Stiffbeard Union</v>
      </c>
    </row>
    <row r="1162" spans="1:10" x14ac:dyDescent="0.25">
      <c r="A1162">
        <v>30</v>
      </c>
      <c r="B1162" t="s">
        <v>20</v>
      </c>
      <c r="C1162">
        <v>76</v>
      </c>
      <c r="D1162">
        <v>9</v>
      </c>
      <c r="E1162">
        <v>137.5</v>
      </c>
      <c r="F1162">
        <v>6859</v>
      </c>
      <c r="G1162">
        <v>16293</v>
      </c>
      <c r="H1162">
        <v>384</v>
      </c>
      <c r="J1162" t="str">
        <f>VLOOKUP(Table3[[#This Row],[Faction ID]],Table4[],2)</f>
        <v>Gundabad</v>
      </c>
    </row>
    <row r="1163" spans="1:10" x14ac:dyDescent="0.25">
      <c r="A1163">
        <v>30</v>
      </c>
      <c r="B1163" t="s">
        <v>34</v>
      </c>
      <c r="C1163">
        <v>0</v>
      </c>
      <c r="D1163">
        <v>0</v>
      </c>
      <c r="E1163">
        <v>3</v>
      </c>
      <c r="F1163">
        <v>36509</v>
      </c>
      <c r="G1163">
        <v>2379</v>
      </c>
      <c r="H1163">
        <v>0</v>
      </c>
      <c r="J1163" t="str">
        <f>VLOOKUP(Table3[[#This Row],[Faction ID]],Table4[],2)</f>
        <v>Scouts of Rohan</v>
      </c>
    </row>
    <row r="1164" spans="1:10" x14ac:dyDescent="0.25">
      <c r="A1164">
        <v>30</v>
      </c>
      <c r="B1164" t="s">
        <v>33</v>
      </c>
      <c r="C1164">
        <v>5</v>
      </c>
      <c r="D1164">
        <v>3</v>
      </c>
      <c r="E1164">
        <v>30</v>
      </c>
      <c r="F1164">
        <v>19451</v>
      </c>
      <c r="G1164">
        <v>5131</v>
      </c>
      <c r="H1164">
        <v>0</v>
      </c>
      <c r="J1164" t="str">
        <f>VLOOKUP(Table3[[#This Row],[Faction ID]],Table4[],2)</f>
        <v>Northern Enedwaith</v>
      </c>
    </row>
    <row r="1165" spans="1:10" x14ac:dyDescent="0.25">
      <c r="A1165">
        <v>30</v>
      </c>
      <c r="B1165" t="s">
        <v>29</v>
      </c>
      <c r="C1165">
        <v>3</v>
      </c>
      <c r="D1165">
        <v>2</v>
      </c>
      <c r="E1165">
        <v>14</v>
      </c>
      <c r="F1165">
        <v>22568</v>
      </c>
      <c r="G1165">
        <v>3218</v>
      </c>
      <c r="H1165">
        <v>0</v>
      </c>
      <c r="J1165" t="str">
        <f>VLOOKUP(Table3[[#This Row],[Faction ID]],Table4[],2)</f>
        <v>Southern Enedwaith</v>
      </c>
    </row>
    <row r="1166" spans="1:10" x14ac:dyDescent="0.25">
      <c r="A1166">
        <v>30</v>
      </c>
      <c r="B1166" t="s">
        <v>30</v>
      </c>
      <c r="C1166">
        <v>5</v>
      </c>
      <c r="D1166">
        <v>3</v>
      </c>
      <c r="E1166">
        <v>34</v>
      </c>
      <c r="F1166">
        <v>15123</v>
      </c>
      <c r="G1166">
        <v>5480</v>
      </c>
      <c r="H1166">
        <v>0</v>
      </c>
      <c r="J1166" t="str">
        <f>VLOOKUP(Table3[[#This Row],[Faction ID]],Table4[],2)</f>
        <v>Druedain</v>
      </c>
    </row>
    <row r="1167" spans="1:10" x14ac:dyDescent="0.25">
      <c r="A1167">
        <v>30</v>
      </c>
      <c r="B1167" t="s">
        <v>31</v>
      </c>
      <c r="C1167">
        <v>3</v>
      </c>
      <c r="D1167">
        <v>1</v>
      </c>
      <c r="E1167">
        <v>22</v>
      </c>
      <c r="F1167">
        <v>12277</v>
      </c>
      <c r="G1167">
        <v>4810</v>
      </c>
      <c r="H1167">
        <v>159</v>
      </c>
      <c r="J1167" t="str">
        <f>VLOOKUP(Table3[[#This Row],[Faction ID]],Table4[],2)</f>
        <v>Harondor</v>
      </c>
    </row>
    <row r="1168" spans="1:10" x14ac:dyDescent="0.25">
      <c r="A1168">
        <v>30</v>
      </c>
      <c r="B1168" t="s">
        <v>35</v>
      </c>
      <c r="C1168">
        <v>0</v>
      </c>
      <c r="D1168">
        <v>0</v>
      </c>
      <c r="E1168">
        <v>0</v>
      </c>
      <c r="F1168">
        <v>4000</v>
      </c>
      <c r="G1168">
        <v>1750</v>
      </c>
      <c r="H1168">
        <v>0</v>
      </c>
      <c r="J1168" t="str">
        <f>VLOOKUP(Table3[[#This Row],[Faction ID]],Table4[],2)</f>
        <v>Southron Nomads</v>
      </c>
    </row>
    <row r="1169" spans="1:10" x14ac:dyDescent="0.25">
      <c r="A1169">
        <v>30</v>
      </c>
      <c r="B1169" t="s">
        <v>36</v>
      </c>
      <c r="C1169">
        <v>0</v>
      </c>
      <c r="D1169">
        <v>0</v>
      </c>
      <c r="E1169">
        <v>0</v>
      </c>
      <c r="F1169">
        <v>4000</v>
      </c>
      <c r="G1169">
        <v>1750</v>
      </c>
      <c r="H1169">
        <v>0</v>
      </c>
      <c r="J1169" t="str">
        <f>VLOOKUP(Table3[[#This Row],[Faction ID]],Table4[],2)</f>
        <v>_</v>
      </c>
    </row>
    <row r="1170" spans="1:10" x14ac:dyDescent="0.25">
      <c r="A1170">
        <v>30</v>
      </c>
      <c r="B1170" t="s">
        <v>37</v>
      </c>
      <c r="C1170">
        <v>0</v>
      </c>
      <c r="D1170">
        <v>0</v>
      </c>
      <c r="E1170">
        <v>0</v>
      </c>
      <c r="F1170">
        <v>4000</v>
      </c>
      <c r="G1170">
        <v>1750</v>
      </c>
      <c r="H1170">
        <v>0</v>
      </c>
      <c r="J1170" t="str">
        <f>VLOOKUP(Table3[[#This Row],[Faction ID]],Table4[],2)</f>
        <v>_</v>
      </c>
    </row>
    <row r="1171" spans="1:10" x14ac:dyDescent="0.25">
      <c r="A1171">
        <v>30</v>
      </c>
      <c r="B1171" t="s">
        <v>38</v>
      </c>
      <c r="C1171">
        <v>0</v>
      </c>
      <c r="D1171">
        <v>0</v>
      </c>
      <c r="E1171">
        <v>0</v>
      </c>
      <c r="F1171">
        <v>4000</v>
      </c>
      <c r="G1171">
        <v>1750</v>
      </c>
      <c r="H1171">
        <v>0</v>
      </c>
      <c r="J1171" t="str">
        <f>VLOOKUP(Table3[[#This Row],[Faction ID]],Table4[],2)</f>
        <v>_</v>
      </c>
    </row>
    <row r="1172" spans="1:10" x14ac:dyDescent="0.25">
      <c r="A1172">
        <v>30</v>
      </c>
      <c r="B1172" t="s">
        <v>39</v>
      </c>
      <c r="C1172">
        <v>0</v>
      </c>
      <c r="D1172">
        <v>0</v>
      </c>
      <c r="E1172">
        <v>0</v>
      </c>
      <c r="F1172">
        <v>4000</v>
      </c>
      <c r="G1172">
        <v>1750</v>
      </c>
      <c r="H1172">
        <v>0</v>
      </c>
      <c r="J1172" t="str">
        <f>VLOOKUP(Table3[[#This Row],[Faction ID]],Table4[],2)</f>
        <v>_</v>
      </c>
    </row>
    <row r="1173" spans="1:10" x14ac:dyDescent="0.25">
      <c r="A1173">
        <v>30</v>
      </c>
      <c r="B1173" t="s">
        <v>40</v>
      </c>
      <c r="C1173">
        <v>0</v>
      </c>
      <c r="D1173">
        <v>0</v>
      </c>
      <c r="E1173">
        <v>0</v>
      </c>
      <c r="F1173">
        <v>4000</v>
      </c>
      <c r="G1173">
        <v>1750</v>
      </c>
      <c r="H1173">
        <v>0</v>
      </c>
      <c r="J1173" t="str">
        <f>VLOOKUP(Table3[[#This Row],[Faction ID]],Table4[],2)</f>
        <v>_</v>
      </c>
    </row>
    <row r="1174" spans="1:10" x14ac:dyDescent="0.25">
      <c r="A1174">
        <v>30</v>
      </c>
      <c r="B1174" t="s">
        <v>41</v>
      </c>
      <c r="C1174">
        <v>0</v>
      </c>
      <c r="D1174">
        <v>0</v>
      </c>
      <c r="E1174">
        <v>0</v>
      </c>
      <c r="F1174">
        <v>4000</v>
      </c>
      <c r="G1174">
        <v>1750</v>
      </c>
      <c r="H1174">
        <v>0</v>
      </c>
      <c r="J1174" t="str">
        <f>VLOOKUP(Table3[[#This Row],[Faction ID]],Table4[],2)</f>
        <v>_</v>
      </c>
    </row>
    <row r="1175" spans="1:10" x14ac:dyDescent="0.25">
      <c r="A1175">
        <v>30</v>
      </c>
      <c r="B1175" t="s">
        <v>42</v>
      </c>
      <c r="C1175">
        <v>0</v>
      </c>
      <c r="D1175">
        <v>0</v>
      </c>
      <c r="E1175">
        <v>0</v>
      </c>
      <c r="F1175">
        <v>4000</v>
      </c>
      <c r="G1175">
        <v>1750</v>
      </c>
      <c r="H1175">
        <v>0</v>
      </c>
      <c r="J1175" t="str">
        <f>VLOOKUP(Table3[[#This Row],[Faction ID]],Table4[],2)</f>
        <v>_</v>
      </c>
    </row>
    <row r="1176" spans="1:10" x14ac:dyDescent="0.25">
      <c r="A1176">
        <v>30</v>
      </c>
      <c r="B1176" t="s">
        <v>43</v>
      </c>
      <c r="C1176">
        <v>0</v>
      </c>
      <c r="D1176">
        <v>0</v>
      </c>
      <c r="E1176">
        <v>0</v>
      </c>
      <c r="F1176">
        <v>4000</v>
      </c>
      <c r="G1176">
        <v>1750</v>
      </c>
      <c r="H1176">
        <v>0</v>
      </c>
      <c r="J1176" t="str">
        <f>VLOOKUP(Table3[[#This Row],[Faction ID]],Table4[],2)</f>
        <v>_</v>
      </c>
    </row>
    <row r="1177" spans="1:10" x14ac:dyDescent="0.25">
      <c r="A1177">
        <v>30</v>
      </c>
      <c r="B1177" t="s">
        <v>44</v>
      </c>
      <c r="C1177">
        <v>0</v>
      </c>
      <c r="D1177">
        <v>0</v>
      </c>
      <c r="E1177">
        <v>0</v>
      </c>
      <c r="F1177">
        <v>4000</v>
      </c>
      <c r="G1177">
        <v>1750</v>
      </c>
      <c r="H1177">
        <v>0</v>
      </c>
      <c r="J1177" t="str">
        <f>VLOOKUP(Table3[[#This Row],[Faction ID]],Table4[],2)</f>
        <v>_</v>
      </c>
    </row>
    <row r="1178" spans="1:10" x14ac:dyDescent="0.25">
      <c r="A1178">
        <v>31</v>
      </c>
      <c r="B1178" t="s">
        <v>9</v>
      </c>
      <c r="C1178">
        <v>129</v>
      </c>
      <c r="D1178">
        <v>18</v>
      </c>
      <c r="E1178">
        <v>176.4</v>
      </c>
      <c r="F1178">
        <v>862</v>
      </c>
      <c r="G1178">
        <v>19096</v>
      </c>
      <c r="H1178">
        <v>870</v>
      </c>
      <c r="J1178" t="str">
        <f>VLOOKUP(Table3[[#This Row],[Faction ID]],Table4[],2)</f>
        <v>Mordor</v>
      </c>
    </row>
    <row r="1179" spans="1:10" x14ac:dyDescent="0.25">
      <c r="A1179">
        <v>31</v>
      </c>
      <c r="B1179" t="s">
        <v>4</v>
      </c>
      <c r="C1179">
        <v>107</v>
      </c>
      <c r="D1179">
        <v>12</v>
      </c>
      <c r="E1179">
        <v>158</v>
      </c>
      <c r="F1179">
        <v>49129</v>
      </c>
      <c r="G1179">
        <v>20972</v>
      </c>
      <c r="H1179">
        <v>669</v>
      </c>
      <c r="J1179" t="str">
        <f>VLOOKUP(Table3[[#This Row],[Faction ID]],Table4[],2)</f>
        <v>Gondor</v>
      </c>
    </row>
    <row r="1180" spans="1:10" x14ac:dyDescent="0.25">
      <c r="A1180">
        <v>31</v>
      </c>
      <c r="B1180" t="s">
        <v>6</v>
      </c>
      <c r="C1180">
        <v>83</v>
      </c>
      <c r="D1180">
        <v>6</v>
      </c>
      <c r="E1180">
        <v>75</v>
      </c>
      <c r="F1180">
        <v>10832</v>
      </c>
      <c r="G1180">
        <v>11517</v>
      </c>
      <c r="H1180">
        <v>235</v>
      </c>
      <c r="J1180" t="str">
        <f>VLOOKUP(Table3[[#This Row],[Faction ID]],Table4[],2)</f>
        <v>Dale</v>
      </c>
    </row>
    <row r="1181" spans="1:10" x14ac:dyDescent="0.25">
      <c r="A1181">
        <v>31</v>
      </c>
      <c r="B1181" t="s">
        <v>21</v>
      </c>
      <c r="C1181">
        <v>79</v>
      </c>
      <c r="D1181">
        <v>4</v>
      </c>
      <c r="E1181">
        <v>59.4</v>
      </c>
      <c r="F1181">
        <v>50989</v>
      </c>
      <c r="G1181">
        <v>13392</v>
      </c>
      <c r="H1181">
        <v>685</v>
      </c>
      <c r="J1181" t="str">
        <f>VLOOKUP(Table3[[#This Row],[Faction ID]],Table4[],2)</f>
        <v>Erebor</v>
      </c>
    </row>
    <row r="1182" spans="1:10" x14ac:dyDescent="0.25">
      <c r="A1182">
        <v>31</v>
      </c>
      <c r="B1182" t="s">
        <v>5</v>
      </c>
      <c r="C1182">
        <v>91</v>
      </c>
      <c r="D1182">
        <v>12</v>
      </c>
      <c r="E1182">
        <v>87</v>
      </c>
      <c r="F1182">
        <v>26913</v>
      </c>
      <c r="G1182">
        <v>10660</v>
      </c>
      <c r="H1182">
        <v>667</v>
      </c>
      <c r="J1182" t="str">
        <f>VLOOKUP(Table3[[#This Row],[Faction ID]],Table4[],2)</f>
        <v>Rohan</v>
      </c>
    </row>
    <row r="1183" spans="1:10" x14ac:dyDescent="0.25">
      <c r="A1183">
        <v>31</v>
      </c>
      <c r="B1183" t="s">
        <v>12</v>
      </c>
      <c r="C1183">
        <v>90</v>
      </c>
      <c r="D1183">
        <v>12</v>
      </c>
      <c r="E1183">
        <v>147</v>
      </c>
      <c r="F1183">
        <v>13625</v>
      </c>
      <c r="G1183">
        <v>16782</v>
      </c>
      <c r="H1183">
        <v>1012</v>
      </c>
      <c r="J1183" t="str">
        <f>VLOOKUP(Table3[[#This Row],[Faction ID]],Table4[],2)</f>
        <v>Dol Guldur</v>
      </c>
    </row>
    <row r="1184" spans="1:10" x14ac:dyDescent="0.25">
      <c r="A1184">
        <v>31</v>
      </c>
      <c r="B1184" t="s">
        <v>10</v>
      </c>
      <c r="C1184">
        <v>55</v>
      </c>
      <c r="D1184">
        <v>4</v>
      </c>
      <c r="E1184">
        <v>40</v>
      </c>
      <c r="F1184">
        <v>6723</v>
      </c>
      <c r="G1184">
        <v>5553</v>
      </c>
      <c r="H1184">
        <v>0</v>
      </c>
      <c r="J1184" t="str">
        <f>VLOOKUP(Table3[[#This Row],[Faction ID]],Table4[],2)</f>
        <v>Anduin Vale</v>
      </c>
    </row>
    <row r="1185" spans="1:10" x14ac:dyDescent="0.25">
      <c r="A1185">
        <v>31</v>
      </c>
      <c r="B1185" t="s">
        <v>32</v>
      </c>
      <c r="C1185">
        <v>72</v>
      </c>
      <c r="D1185">
        <v>4</v>
      </c>
      <c r="E1185">
        <v>75.400000000000006</v>
      </c>
      <c r="F1185">
        <v>14237</v>
      </c>
      <c r="G1185">
        <v>11799</v>
      </c>
      <c r="H1185">
        <v>386</v>
      </c>
      <c r="J1185" t="str">
        <f>VLOOKUP(Table3[[#This Row],[Faction ID]],Table4[],2)</f>
        <v>Isengard</v>
      </c>
    </row>
    <row r="1186" spans="1:10" x14ac:dyDescent="0.25">
      <c r="A1186">
        <v>31</v>
      </c>
      <c r="B1186" t="s">
        <v>22</v>
      </c>
      <c r="C1186">
        <v>30</v>
      </c>
      <c r="D1186">
        <v>0</v>
      </c>
      <c r="E1186">
        <v>0</v>
      </c>
      <c r="F1186">
        <v>8475</v>
      </c>
      <c r="G1186">
        <v>2500</v>
      </c>
      <c r="H1186">
        <v>0</v>
      </c>
      <c r="J1186" t="str">
        <f>VLOOKUP(Table3[[#This Row],[Faction ID]],Table4[],2)</f>
        <v>Woodland Realm</v>
      </c>
    </row>
    <row r="1187" spans="1:10" x14ac:dyDescent="0.25">
      <c r="A1187">
        <v>31</v>
      </c>
      <c r="B1187" t="s">
        <v>23</v>
      </c>
      <c r="C1187">
        <v>53</v>
      </c>
      <c r="D1187">
        <v>2</v>
      </c>
      <c r="E1187">
        <v>29</v>
      </c>
      <c r="F1187">
        <v>9674</v>
      </c>
      <c r="G1187">
        <v>8324</v>
      </c>
      <c r="H1187">
        <v>347</v>
      </c>
      <c r="J1187" t="str">
        <f>VLOOKUP(Table3[[#This Row],[Faction ID]],Table4[],2)</f>
        <v>Lothlorien</v>
      </c>
    </row>
    <row r="1188" spans="1:10" x14ac:dyDescent="0.25">
      <c r="A1188">
        <v>31</v>
      </c>
      <c r="B1188" t="s">
        <v>24</v>
      </c>
      <c r="C1188">
        <v>0</v>
      </c>
      <c r="D1188">
        <v>0</v>
      </c>
      <c r="E1188">
        <v>0</v>
      </c>
      <c r="F1188">
        <v>4919</v>
      </c>
      <c r="G1188">
        <v>1750</v>
      </c>
      <c r="H1188">
        <v>0</v>
      </c>
      <c r="J1188" t="str">
        <f>VLOOKUP(Table3[[#This Row],[Faction ID]],Table4[],2)</f>
        <v>Variags (Khand)</v>
      </c>
    </row>
    <row r="1189" spans="1:10" x14ac:dyDescent="0.25">
      <c r="A1189">
        <v>31</v>
      </c>
      <c r="B1189" t="s">
        <v>14</v>
      </c>
      <c r="C1189">
        <v>8</v>
      </c>
      <c r="D1189">
        <v>6</v>
      </c>
      <c r="E1189">
        <v>87.8</v>
      </c>
      <c r="F1189">
        <v>18233</v>
      </c>
      <c r="G1189">
        <v>13981</v>
      </c>
      <c r="H1189">
        <v>934</v>
      </c>
      <c r="J1189" t="str">
        <f>VLOOKUP(Table3[[#This Row],[Faction ID]],Table4[],2)</f>
        <v>Corsairs of Umbar</v>
      </c>
    </row>
    <row r="1190" spans="1:10" x14ac:dyDescent="0.25">
      <c r="A1190">
        <v>31</v>
      </c>
      <c r="B1190" t="s">
        <v>25</v>
      </c>
      <c r="C1190">
        <v>5</v>
      </c>
      <c r="D1190">
        <v>3</v>
      </c>
      <c r="E1190">
        <v>41</v>
      </c>
      <c r="F1190">
        <v>21532</v>
      </c>
      <c r="G1190">
        <v>5930</v>
      </c>
      <c r="H1190">
        <v>0</v>
      </c>
      <c r="J1190" t="str">
        <f>VLOOKUP(Table3[[#This Row],[Faction ID]],Table4[],2)</f>
        <v>Mahud</v>
      </c>
    </row>
    <row r="1191" spans="1:10" x14ac:dyDescent="0.25">
      <c r="A1191">
        <v>31</v>
      </c>
      <c r="B1191" t="s">
        <v>11</v>
      </c>
      <c r="C1191">
        <v>62</v>
      </c>
      <c r="D1191">
        <v>4</v>
      </c>
      <c r="E1191">
        <v>73</v>
      </c>
      <c r="F1191">
        <v>6498</v>
      </c>
      <c r="G1191">
        <v>11494</v>
      </c>
      <c r="H1191">
        <v>0</v>
      </c>
      <c r="J1191" t="str">
        <f>VLOOKUP(Table3[[#This Row],[Faction ID]],Table4[],2)</f>
        <v>Haradrim</v>
      </c>
    </row>
    <row r="1192" spans="1:10" x14ac:dyDescent="0.25">
      <c r="A1192">
        <v>31</v>
      </c>
      <c r="B1192" t="s">
        <v>15</v>
      </c>
      <c r="C1192">
        <v>58</v>
      </c>
      <c r="D1192">
        <v>3</v>
      </c>
      <c r="E1192">
        <v>57.9</v>
      </c>
      <c r="F1192">
        <v>20921</v>
      </c>
      <c r="G1192">
        <v>10147</v>
      </c>
      <c r="H1192">
        <v>443</v>
      </c>
      <c r="J1192" t="str">
        <f>VLOOKUP(Table3[[#This Row],[Faction ID]],Table4[],2)</f>
        <v>Dunlendings</v>
      </c>
    </row>
    <row r="1193" spans="1:10" x14ac:dyDescent="0.25">
      <c r="A1193">
        <v>31</v>
      </c>
      <c r="B1193" t="s">
        <v>16</v>
      </c>
      <c r="C1193">
        <v>0</v>
      </c>
      <c r="D1193">
        <v>0</v>
      </c>
      <c r="E1193">
        <v>0</v>
      </c>
      <c r="F1193">
        <v>5352</v>
      </c>
      <c r="G1193">
        <v>1750</v>
      </c>
      <c r="H1193">
        <v>0</v>
      </c>
      <c r="J1193" t="str">
        <f>VLOOKUP(Table3[[#This Row],[Faction ID]],Table4[],2)</f>
        <v>Haerrim</v>
      </c>
    </row>
    <row r="1194" spans="1:10" x14ac:dyDescent="0.25">
      <c r="A1194">
        <v>31</v>
      </c>
      <c r="B1194" t="s">
        <v>13</v>
      </c>
      <c r="C1194">
        <v>95</v>
      </c>
      <c r="D1194">
        <v>9</v>
      </c>
      <c r="E1194">
        <v>126.8</v>
      </c>
      <c r="F1194">
        <v>18459</v>
      </c>
      <c r="G1194">
        <v>15594</v>
      </c>
      <c r="H1194">
        <v>831</v>
      </c>
      <c r="J1194" t="str">
        <f>VLOOKUP(Table3[[#This Row],[Faction ID]],Table4[],2)</f>
        <v>Goblins</v>
      </c>
    </row>
    <row r="1195" spans="1:10" x14ac:dyDescent="0.25">
      <c r="A1195">
        <v>31</v>
      </c>
      <c r="B1195" t="s">
        <v>17</v>
      </c>
      <c r="C1195">
        <v>0</v>
      </c>
      <c r="D1195">
        <v>0</v>
      </c>
      <c r="E1195">
        <v>0</v>
      </c>
      <c r="F1195">
        <v>4872</v>
      </c>
      <c r="G1195">
        <v>1750</v>
      </c>
      <c r="H1195">
        <v>0</v>
      </c>
      <c r="J1195" t="str">
        <f>VLOOKUP(Table3[[#This Row],[Faction ID]],Table4[],2)</f>
        <v>Balchoth</v>
      </c>
    </row>
    <row r="1196" spans="1:10" x14ac:dyDescent="0.25">
      <c r="A1196">
        <v>31</v>
      </c>
      <c r="B1196" t="s">
        <v>18</v>
      </c>
      <c r="C1196">
        <v>106</v>
      </c>
      <c r="D1196">
        <v>31</v>
      </c>
      <c r="E1196">
        <v>351.9</v>
      </c>
      <c r="F1196">
        <v>30193</v>
      </c>
      <c r="G1196">
        <v>27934</v>
      </c>
      <c r="H1196">
        <v>966</v>
      </c>
      <c r="J1196" t="str">
        <f>VLOOKUP(Table3[[#This Row],[Faction ID]],Table4[],2)</f>
        <v>Rhurim/Rhun</v>
      </c>
    </row>
    <row r="1197" spans="1:10" x14ac:dyDescent="0.25">
      <c r="A1197">
        <v>31</v>
      </c>
      <c r="B1197" t="s">
        <v>19</v>
      </c>
      <c r="C1197">
        <v>0</v>
      </c>
      <c r="D1197">
        <v>0</v>
      </c>
      <c r="E1197">
        <v>0</v>
      </c>
      <c r="F1197">
        <v>7360</v>
      </c>
      <c r="G1197">
        <v>1750</v>
      </c>
      <c r="H1197">
        <v>0</v>
      </c>
      <c r="J1197" t="str">
        <f>VLOOKUP(Table3[[#This Row],[Faction ID]],Table4[],2)</f>
        <v>Feredrim</v>
      </c>
    </row>
    <row r="1198" spans="1:10" x14ac:dyDescent="0.25">
      <c r="A1198">
        <v>31</v>
      </c>
      <c r="B1198" t="s">
        <v>26</v>
      </c>
      <c r="C1198">
        <v>0</v>
      </c>
      <c r="D1198">
        <v>0</v>
      </c>
      <c r="E1198">
        <v>0</v>
      </c>
      <c r="F1198">
        <v>6395</v>
      </c>
      <c r="G1198">
        <v>1750</v>
      </c>
      <c r="H1198">
        <v>0</v>
      </c>
      <c r="J1198" t="str">
        <f>VLOOKUP(Table3[[#This Row],[Faction ID]],Table4[],2)</f>
        <v>Rachrohir (Wainriders)</v>
      </c>
    </row>
    <row r="1199" spans="1:10" x14ac:dyDescent="0.25">
      <c r="A1199">
        <v>31</v>
      </c>
      <c r="B1199" t="s">
        <v>27</v>
      </c>
      <c r="C1199">
        <v>5</v>
      </c>
      <c r="D1199">
        <v>3</v>
      </c>
      <c r="E1199">
        <v>39</v>
      </c>
      <c r="F1199">
        <v>39267</v>
      </c>
      <c r="G1199">
        <v>7140</v>
      </c>
      <c r="H1199">
        <v>0</v>
      </c>
      <c r="J1199" t="str">
        <f>VLOOKUP(Table3[[#This Row],[Faction ID]],Table4[],2)</f>
        <v>Blacklock-Stonefoot League</v>
      </c>
    </row>
    <row r="1200" spans="1:10" x14ac:dyDescent="0.25">
      <c r="A1200">
        <v>31</v>
      </c>
      <c r="B1200" t="s">
        <v>28</v>
      </c>
      <c r="C1200">
        <v>4</v>
      </c>
      <c r="D1200">
        <v>2</v>
      </c>
      <c r="E1200">
        <v>28</v>
      </c>
      <c r="F1200">
        <v>33931</v>
      </c>
      <c r="G1200">
        <v>5312</v>
      </c>
      <c r="H1200">
        <v>0</v>
      </c>
      <c r="J1200" t="str">
        <f>VLOOKUP(Table3[[#This Row],[Faction ID]],Table4[],2)</f>
        <v>Ironfist-Stiffbeard Union</v>
      </c>
    </row>
    <row r="1201" spans="1:10" x14ac:dyDescent="0.25">
      <c r="A1201">
        <v>31</v>
      </c>
      <c r="B1201" t="s">
        <v>20</v>
      </c>
      <c r="C1201">
        <v>83</v>
      </c>
      <c r="D1201">
        <v>11</v>
      </c>
      <c r="E1201">
        <v>137.5</v>
      </c>
      <c r="F1201">
        <v>6900</v>
      </c>
      <c r="G1201">
        <v>16131</v>
      </c>
      <c r="H1201">
        <v>438</v>
      </c>
      <c r="J1201" t="str">
        <f>VLOOKUP(Table3[[#This Row],[Faction ID]],Table4[],2)</f>
        <v>Gundabad</v>
      </c>
    </row>
    <row r="1202" spans="1:10" x14ac:dyDescent="0.25">
      <c r="A1202">
        <v>31</v>
      </c>
      <c r="B1202" t="s">
        <v>34</v>
      </c>
      <c r="C1202">
        <v>0</v>
      </c>
      <c r="D1202">
        <v>0</v>
      </c>
      <c r="E1202">
        <v>3</v>
      </c>
      <c r="F1202">
        <v>37630</v>
      </c>
      <c r="G1202">
        <v>2379</v>
      </c>
      <c r="H1202">
        <v>0</v>
      </c>
      <c r="J1202" t="str">
        <f>VLOOKUP(Table3[[#This Row],[Faction ID]],Table4[],2)</f>
        <v>Scouts of Rohan</v>
      </c>
    </row>
    <row r="1203" spans="1:10" x14ac:dyDescent="0.25">
      <c r="A1203">
        <v>31</v>
      </c>
      <c r="B1203" t="s">
        <v>33</v>
      </c>
      <c r="C1203">
        <v>5</v>
      </c>
      <c r="D1203">
        <v>3</v>
      </c>
      <c r="E1203">
        <v>30</v>
      </c>
      <c r="F1203">
        <v>16049</v>
      </c>
      <c r="G1203">
        <v>5217</v>
      </c>
      <c r="H1203">
        <v>0</v>
      </c>
      <c r="J1203" t="str">
        <f>VLOOKUP(Table3[[#This Row],[Faction ID]],Table4[],2)</f>
        <v>Northern Enedwaith</v>
      </c>
    </row>
    <row r="1204" spans="1:10" x14ac:dyDescent="0.25">
      <c r="A1204">
        <v>31</v>
      </c>
      <c r="B1204" t="s">
        <v>29</v>
      </c>
      <c r="C1204">
        <v>3</v>
      </c>
      <c r="D1204">
        <v>2</v>
      </c>
      <c r="E1204">
        <v>14</v>
      </c>
      <c r="F1204">
        <v>25126</v>
      </c>
      <c r="G1204">
        <v>3218</v>
      </c>
      <c r="H1204">
        <v>0</v>
      </c>
      <c r="J1204" t="str">
        <f>VLOOKUP(Table3[[#This Row],[Faction ID]],Table4[],2)</f>
        <v>Southern Enedwaith</v>
      </c>
    </row>
    <row r="1205" spans="1:10" x14ac:dyDescent="0.25">
      <c r="A1205">
        <v>31</v>
      </c>
      <c r="B1205" t="s">
        <v>30</v>
      </c>
      <c r="C1205">
        <v>5</v>
      </c>
      <c r="D1205">
        <v>3</v>
      </c>
      <c r="E1205">
        <v>34</v>
      </c>
      <c r="F1205">
        <v>16455</v>
      </c>
      <c r="G1205">
        <v>5603</v>
      </c>
      <c r="H1205">
        <v>0</v>
      </c>
      <c r="J1205" t="str">
        <f>VLOOKUP(Table3[[#This Row],[Faction ID]],Table4[],2)</f>
        <v>Druedain</v>
      </c>
    </row>
    <row r="1206" spans="1:10" x14ac:dyDescent="0.25">
      <c r="A1206">
        <v>31</v>
      </c>
      <c r="B1206" t="s">
        <v>31</v>
      </c>
      <c r="C1206">
        <v>3</v>
      </c>
      <c r="D1206">
        <v>1</v>
      </c>
      <c r="E1206">
        <v>23</v>
      </c>
      <c r="F1206">
        <v>13507</v>
      </c>
      <c r="G1206">
        <v>4656</v>
      </c>
      <c r="H1206">
        <v>160</v>
      </c>
      <c r="J1206" t="str">
        <f>VLOOKUP(Table3[[#This Row],[Faction ID]],Table4[],2)</f>
        <v>Harondor</v>
      </c>
    </row>
    <row r="1207" spans="1:10" x14ac:dyDescent="0.25">
      <c r="A1207">
        <v>31</v>
      </c>
      <c r="B1207" t="s">
        <v>35</v>
      </c>
      <c r="C1207">
        <v>0</v>
      </c>
      <c r="D1207">
        <v>0</v>
      </c>
      <c r="E1207">
        <v>0</v>
      </c>
      <c r="F1207">
        <v>4000</v>
      </c>
      <c r="G1207">
        <v>1750</v>
      </c>
      <c r="H1207">
        <v>0</v>
      </c>
      <c r="J1207" t="str">
        <f>VLOOKUP(Table3[[#This Row],[Faction ID]],Table4[],2)</f>
        <v>Southron Nomads</v>
      </c>
    </row>
    <row r="1208" spans="1:10" x14ac:dyDescent="0.25">
      <c r="A1208">
        <v>31</v>
      </c>
      <c r="B1208" t="s">
        <v>36</v>
      </c>
      <c r="C1208">
        <v>0</v>
      </c>
      <c r="D1208">
        <v>0</v>
      </c>
      <c r="E1208">
        <v>0</v>
      </c>
      <c r="F1208">
        <v>4000</v>
      </c>
      <c r="G1208">
        <v>1750</v>
      </c>
      <c r="H1208">
        <v>0</v>
      </c>
      <c r="J1208" t="str">
        <f>VLOOKUP(Table3[[#This Row],[Faction ID]],Table4[],2)</f>
        <v>_</v>
      </c>
    </row>
    <row r="1209" spans="1:10" x14ac:dyDescent="0.25">
      <c r="A1209">
        <v>31</v>
      </c>
      <c r="B1209" t="s">
        <v>37</v>
      </c>
      <c r="C1209">
        <v>0</v>
      </c>
      <c r="D1209">
        <v>0</v>
      </c>
      <c r="E1209">
        <v>0</v>
      </c>
      <c r="F1209">
        <v>4000</v>
      </c>
      <c r="G1209">
        <v>1750</v>
      </c>
      <c r="H1209">
        <v>0</v>
      </c>
      <c r="J1209" t="str">
        <f>VLOOKUP(Table3[[#This Row],[Faction ID]],Table4[],2)</f>
        <v>_</v>
      </c>
    </row>
    <row r="1210" spans="1:10" x14ac:dyDescent="0.25">
      <c r="A1210">
        <v>31</v>
      </c>
      <c r="B1210" t="s">
        <v>38</v>
      </c>
      <c r="C1210">
        <v>0</v>
      </c>
      <c r="D1210">
        <v>0</v>
      </c>
      <c r="E1210">
        <v>0</v>
      </c>
      <c r="F1210">
        <v>4000</v>
      </c>
      <c r="G1210">
        <v>1750</v>
      </c>
      <c r="H1210">
        <v>0</v>
      </c>
      <c r="J1210" t="str">
        <f>VLOOKUP(Table3[[#This Row],[Faction ID]],Table4[],2)</f>
        <v>_</v>
      </c>
    </row>
    <row r="1211" spans="1:10" x14ac:dyDescent="0.25">
      <c r="A1211">
        <v>31</v>
      </c>
      <c r="B1211" t="s">
        <v>39</v>
      </c>
      <c r="C1211">
        <v>0</v>
      </c>
      <c r="D1211">
        <v>0</v>
      </c>
      <c r="E1211">
        <v>0</v>
      </c>
      <c r="F1211">
        <v>4000</v>
      </c>
      <c r="G1211">
        <v>1750</v>
      </c>
      <c r="H1211">
        <v>0</v>
      </c>
      <c r="J1211" t="str">
        <f>VLOOKUP(Table3[[#This Row],[Faction ID]],Table4[],2)</f>
        <v>_</v>
      </c>
    </row>
    <row r="1212" spans="1:10" x14ac:dyDescent="0.25">
      <c r="A1212">
        <v>31</v>
      </c>
      <c r="B1212" t="s">
        <v>40</v>
      </c>
      <c r="C1212">
        <v>0</v>
      </c>
      <c r="D1212">
        <v>0</v>
      </c>
      <c r="E1212">
        <v>0</v>
      </c>
      <c r="F1212">
        <v>4000</v>
      </c>
      <c r="G1212">
        <v>1750</v>
      </c>
      <c r="H1212">
        <v>0</v>
      </c>
      <c r="J1212" t="str">
        <f>VLOOKUP(Table3[[#This Row],[Faction ID]],Table4[],2)</f>
        <v>_</v>
      </c>
    </row>
    <row r="1213" spans="1:10" x14ac:dyDescent="0.25">
      <c r="A1213">
        <v>31</v>
      </c>
      <c r="B1213" t="s">
        <v>41</v>
      </c>
      <c r="C1213">
        <v>0</v>
      </c>
      <c r="D1213">
        <v>0</v>
      </c>
      <c r="E1213">
        <v>0</v>
      </c>
      <c r="F1213">
        <v>4000</v>
      </c>
      <c r="G1213">
        <v>1750</v>
      </c>
      <c r="H1213">
        <v>0</v>
      </c>
      <c r="J1213" t="str">
        <f>VLOOKUP(Table3[[#This Row],[Faction ID]],Table4[],2)</f>
        <v>_</v>
      </c>
    </row>
    <row r="1214" spans="1:10" x14ac:dyDescent="0.25">
      <c r="A1214">
        <v>31</v>
      </c>
      <c r="B1214" t="s">
        <v>42</v>
      </c>
      <c r="C1214">
        <v>0</v>
      </c>
      <c r="D1214">
        <v>0</v>
      </c>
      <c r="E1214">
        <v>0</v>
      </c>
      <c r="F1214">
        <v>4000</v>
      </c>
      <c r="G1214">
        <v>1750</v>
      </c>
      <c r="H1214">
        <v>0</v>
      </c>
      <c r="J1214" t="str">
        <f>VLOOKUP(Table3[[#This Row],[Faction ID]],Table4[],2)</f>
        <v>_</v>
      </c>
    </row>
    <row r="1215" spans="1:10" x14ac:dyDescent="0.25">
      <c r="A1215">
        <v>31</v>
      </c>
      <c r="B1215" t="s">
        <v>43</v>
      </c>
      <c r="C1215">
        <v>0</v>
      </c>
      <c r="D1215">
        <v>0</v>
      </c>
      <c r="E1215">
        <v>0</v>
      </c>
      <c r="F1215">
        <v>4000</v>
      </c>
      <c r="G1215">
        <v>1750</v>
      </c>
      <c r="H1215">
        <v>0</v>
      </c>
      <c r="J1215" t="str">
        <f>VLOOKUP(Table3[[#This Row],[Faction ID]],Table4[],2)</f>
        <v>_</v>
      </c>
    </row>
    <row r="1216" spans="1:10" x14ac:dyDescent="0.25">
      <c r="A1216">
        <v>31</v>
      </c>
      <c r="B1216" t="s">
        <v>44</v>
      </c>
      <c r="C1216">
        <v>0</v>
      </c>
      <c r="D1216">
        <v>0</v>
      </c>
      <c r="E1216">
        <v>0</v>
      </c>
      <c r="F1216">
        <v>4000</v>
      </c>
      <c r="G1216">
        <v>1750</v>
      </c>
      <c r="H1216">
        <v>0</v>
      </c>
      <c r="J1216" t="str">
        <f>VLOOKUP(Table3[[#This Row],[Faction ID]],Table4[],2)</f>
        <v>_</v>
      </c>
    </row>
    <row r="1217" spans="1:10" x14ac:dyDescent="0.25">
      <c r="A1217">
        <v>32</v>
      </c>
      <c r="B1217" t="s">
        <v>9</v>
      </c>
      <c r="C1217">
        <v>129</v>
      </c>
      <c r="D1217">
        <v>18</v>
      </c>
      <c r="E1217">
        <v>176.4</v>
      </c>
      <c r="F1217">
        <v>232</v>
      </c>
      <c r="G1217">
        <v>19346</v>
      </c>
      <c r="H1217">
        <v>707</v>
      </c>
      <c r="J1217" t="str">
        <f>VLOOKUP(Table3[[#This Row],[Faction ID]],Table4[],2)</f>
        <v>Mordor</v>
      </c>
    </row>
    <row r="1218" spans="1:10" x14ac:dyDescent="0.25">
      <c r="A1218">
        <v>32</v>
      </c>
      <c r="B1218" t="s">
        <v>4</v>
      </c>
      <c r="C1218">
        <v>107</v>
      </c>
      <c r="D1218">
        <v>12</v>
      </c>
      <c r="E1218">
        <v>159</v>
      </c>
      <c r="F1218">
        <v>55108</v>
      </c>
      <c r="G1218">
        <v>20598</v>
      </c>
      <c r="H1218">
        <v>0</v>
      </c>
      <c r="J1218" t="str">
        <f>VLOOKUP(Table3[[#This Row],[Faction ID]],Table4[],2)</f>
        <v>Gondor</v>
      </c>
    </row>
    <row r="1219" spans="1:10" x14ac:dyDescent="0.25">
      <c r="A1219">
        <v>32</v>
      </c>
      <c r="B1219" t="s">
        <v>6</v>
      </c>
      <c r="C1219">
        <v>89</v>
      </c>
      <c r="D1219">
        <v>7</v>
      </c>
      <c r="E1219">
        <v>75</v>
      </c>
      <c r="F1219">
        <v>9757</v>
      </c>
      <c r="G1219">
        <v>12746</v>
      </c>
      <c r="H1219">
        <v>242</v>
      </c>
      <c r="J1219" t="str">
        <f>VLOOKUP(Table3[[#This Row],[Faction ID]],Table4[],2)</f>
        <v>Dale</v>
      </c>
    </row>
    <row r="1220" spans="1:10" x14ac:dyDescent="0.25">
      <c r="A1220">
        <v>32</v>
      </c>
      <c r="B1220" t="s">
        <v>21</v>
      </c>
      <c r="C1220">
        <v>84</v>
      </c>
      <c r="D1220">
        <v>4</v>
      </c>
      <c r="E1220">
        <v>65.3</v>
      </c>
      <c r="F1220">
        <v>48393</v>
      </c>
      <c r="G1220">
        <v>14663</v>
      </c>
      <c r="H1220">
        <v>691</v>
      </c>
      <c r="J1220" t="str">
        <f>VLOOKUP(Table3[[#This Row],[Faction ID]],Table4[],2)</f>
        <v>Erebor</v>
      </c>
    </row>
    <row r="1221" spans="1:10" x14ac:dyDescent="0.25">
      <c r="A1221">
        <v>32</v>
      </c>
      <c r="B1221" t="s">
        <v>5</v>
      </c>
      <c r="C1221">
        <v>93</v>
      </c>
      <c r="D1221">
        <v>11</v>
      </c>
      <c r="E1221">
        <v>88.1</v>
      </c>
      <c r="F1221">
        <v>26137</v>
      </c>
      <c r="G1221">
        <v>10756</v>
      </c>
      <c r="H1221">
        <v>0</v>
      </c>
      <c r="J1221" t="str">
        <f>VLOOKUP(Table3[[#This Row],[Faction ID]],Table4[],2)</f>
        <v>Rohan</v>
      </c>
    </row>
    <row r="1222" spans="1:10" x14ac:dyDescent="0.25">
      <c r="A1222">
        <v>32</v>
      </c>
      <c r="B1222" t="s">
        <v>12</v>
      </c>
      <c r="C1222">
        <v>95</v>
      </c>
      <c r="D1222">
        <v>12</v>
      </c>
      <c r="E1222">
        <v>147</v>
      </c>
      <c r="F1222">
        <v>12046</v>
      </c>
      <c r="G1222">
        <v>16800</v>
      </c>
      <c r="H1222">
        <v>1018</v>
      </c>
      <c r="J1222" t="str">
        <f>VLOOKUP(Table3[[#This Row],[Faction ID]],Table4[],2)</f>
        <v>Dol Guldur</v>
      </c>
    </row>
    <row r="1223" spans="1:10" x14ac:dyDescent="0.25">
      <c r="A1223">
        <v>32</v>
      </c>
      <c r="B1223" t="s">
        <v>10</v>
      </c>
      <c r="C1223">
        <v>54</v>
      </c>
      <c r="D1223">
        <v>3</v>
      </c>
      <c r="E1223">
        <v>36</v>
      </c>
      <c r="F1223">
        <v>6187</v>
      </c>
      <c r="G1223">
        <v>5580</v>
      </c>
      <c r="H1223">
        <v>0</v>
      </c>
      <c r="J1223" t="str">
        <f>VLOOKUP(Table3[[#This Row],[Faction ID]],Table4[],2)</f>
        <v>Anduin Vale</v>
      </c>
    </row>
    <row r="1224" spans="1:10" x14ac:dyDescent="0.25">
      <c r="A1224">
        <v>32</v>
      </c>
      <c r="B1224" t="s">
        <v>32</v>
      </c>
      <c r="C1224">
        <v>72</v>
      </c>
      <c r="D1224">
        <v>4</v>
      </c>
      <c r="E1224">
        <v>78.3</v>
      </c>
      <c r="F1224">
        <v>14576</v>
      </c>
      <c r="G1224">
        <v>12278</v>
      </c>
      <c r="H1224">
        <v>388</v>
      </c>
      <c r="J1224" t="str">
        <f>VLOOKUP(Table3[[#This Row],[Faction ID]],Table4[],2)</f>
        <v>Isengard</v>
      </c>
    </row>
    <row r="1225" spans="1:10" x14ac:dyDescent="0.25">
      <c r="A1225">
        <v>32</v>
      </c>
      <c r="B1225" t="s">
        <v>22</v>
      </c>
      <c r="C1225">
        <v>30</v>
      </c>
      <c r="D1225">
        <v>0</v>
      </c>
      <c r="E1225">
        <v>0</v>
      </c>
      <c r="F1225">
        <v>8475</v>
      </c>
      <c r="G1225">
        <v>2500</v>
      </c>
      <c r="H1225">
        <v>0</v>
      </c>
      <c r="J1225" t="str">
        <f>VLOOKUP(Table3[[#This Row],[Faction ID]],Table4[],2)</f>
        <v>Woodland Realm</v>
      </c>
    </row>
    <row r="1226" spans="1:10" x14ac:dyDescent="0.25">
      <c r="A1226">
        <v>32</v>
      </c>
      <c r="B1226" t="s">
        <v>23</v>
      </c>
      <c r="C1226">
        <v>53</v>
      </c>
      <c r="D1226">
        <v>2</v>
      </c>
      <c r="E1226">
        <v>29</v>
      </c>
      <c r="F1226">
        <v>10707</v>
      </c>
      <c r="G1226">
        <v>7977</v>
      </c>
      <c r="H1226">
        <v>0</v>
      </c>
      <c r="J1226" t="str">
        <f>VLOOKUP(Table3[[#This Row],[Faction ID]],Table4[],2)</f>
        <v>Lothlorien</v>
      </c>
    </row>
    <row r="1227" spans="1:10" x14ac:dyDescent="0.25">
      <c r="A1227">
        <v>32</v>
      </c>
      <c r="B1227" t="s">
        <v>24</v>
      </c>
      <c r="C1227">
        <v>0</v>
      </c>
      <c r="D1227">
        <v>0</v>
      </c>
      <c r="E1227">
        <v>0</v>
      </c>
      <c r="F1227">
        <v>4919</v>
      </c>
      <c r="G1227">
        <v>1750</v>
      </c>
      <c r="H1227">
        <v>0</v>
      </c>
      <c r="J1227" t="str">
        <f>VLOOKUP(Table3[[#This Row],[Faction ID]],Table4[],2)</f>
        <v>Variags (Khand)</v>
      </c>
    </row>
    <row r="1228" spans="1:10" x14ac:dyDescent="0.25">
      <c r="A1228">
        <v>32</v>
      </c>
      <c r="B1228" t="s">
        <v>14</v>
      </c>
      <c r="C1228">
        <v>8</v>
      </c>
      <c r="D1228">
        <v>6</v>
      </c>
      <c r="E1228">
        <v>87.8</v>
      </c>
      <c r="F1228">
        <v>17166</v>
      </c>
      <c r="G1228">
        <v>14061</v>
      </c>
      <c r="H1228">
        <v>938</v>
      </c>
      <c r="J1228" t="str">
        <f>VLOOKUP(Table3[[#This Row],[Faction ID]],Table4[],2)</f>
        <v>Corsairs of Umbar</v>
      </c>
    </row>
    <row r="1229" spans="1:10" x14ac:dyDescent="0.25">
      <c r="A1229">
        <v>32</v>
      </c>
      <c r="B1229" t="s">
        <v>25</v>
      </c>
      <c r="C1229">
        <v>5</v>
      </c>
      <c r="D1229">
        <v>3</v>
      </c>
      <c r="E1229">
        <v>42</v>
      </c>
      <c r="F1229">
        <v>19611</v>
      </c>
      <c r="G1229">
        <v>6070</v>
      </c>
      <c r="H1229">
        <v>0</v>
      </c>
      <c r="J1229" t="str">
        <f>VLOOKUP(Table3[[#This Row],[Faction ID]],Table4[],2)</f>
        <v>Mahud</v>
      </c>
    </row>
    <row r="1230" spans="1:10" x14ac:dyDescent="0.25">
      <c r="A1230">
        <v>32</v>
      </c>
      <c r="B1230" t="s">
        <v>11</v>
      </c>
      <c r="C1230">
        <v>62</v>
      </c>
      <c r="D1230">
        <v>4</v>
      </c>
      <c r="E1230">
        <v>73</v>
      </c>
      <c r="F1230">
        <v>7882</v>
      </c>
      <c r="G1230">
        <v>11452</v>
      </c>
      <c r="H1230">
        <v>0</v>
      </c>
      <c r="J1230" t="str">
        <f>VLOOKUP(Table3[[#This Row],[Faction ID]],Table4[],2)</f>
        <v>Haradrim</v>
      </c>
    </row>
    <row r="1231" spans="1:10" x14ac:dyDescent="0.25">
      <c r="A1231">
        <v>32</v>
      </c>
      <c r="B1231" t="s">
        <v>15</v>
      </c>
      <c r="C1231">
        <v>65</v>
      </c>
      <c r="D1231">
        <v>4</v>
      </c>
      <c r="E1231">
        <v>57.9</v>
      </c>
      <c r="F1231">
        <v>22747</v>
      </c>
      <c r="G1231">
        <v>10185</v>
      </c>
      <c r="H1231">
        <v>501</v>
      </c>
      <c r="J1231" t="str">
        <f>VLOOKUP(Table3[[#This Row],[Faction ID]],Table4[],2)</f>
        <v>Dunlendings</v>
      </c>
    </row>
    <row r="1232" spans="1:10" x14ac:dyDescent="0.25">
      <c r="A1232">
        <v>32</v>
      </c>
      <c r="B1232" t="s">
        <v>16</v>
      </c>
      <c r="C1232">
        <v>0</v>
      </c>
      <c r="D1232">
        <v>0</v>
      </c>
      <c r="E1232">
        <v>0</v>
      </c>
      <c r="F1232">
        <v>5352</v>
      </c>
      <c r="G1232">
        <v>1750</v>
      </c>
      <c r="H1232">
        <v>0</v>
      </c>
      <c r="J1232" t="str">
        <f>VLOOKUP(Table3[[#This Row],[Faction ID]],Table4[],2)</f>
        <v>Haerrim</v>
      </c>
    </row>
    <row r="1233" spans="1:10" x14ac:dyDescent="0.25">
      <c r="A1233">
        <v>32</v>
      </c>
      <c r="B1233" t="s">
        <v>13</v>
      </c>
      <c r="C1233">
        <v>105</v>
      </c>
      <c r="D1233">
        <v>10</v>
      </c>
      <c r="E1233">
        <v>137.80000000000001</v>
      </c>
      <c r="F1233">
        <v>21588</v>
      </c>
      <c r="G1233">
        <v>16541</v>
      </c>
      <c r="H1233">
        <v>837</v>
      </c>
      <c r="J1233" t="str">
        <f>VLOOKUP(Table3[[#This Row],[Faction ID]],Table4[],2)</f>
        <v>Goblins</v>
      </c>
    </row>
    <row r="1234" spans="1:10" x14ac:dyDescent="0.25">
      <c r="A1234">
        <v>32</v>
      </c>
      <c r="B1234" t="s">
        <v>17</v>
      </c>
      <c r="C1234">
        <v>0</v>
      </c>
      <c r="D1234">
        <v>0</v>
      </c>
      <c r="E1234">
        <v>0</v>
      </c>
      <c r="F1234">
        <v>4872</v>
      </c>
      <c r="G1234">
        <v>1750</v>
      </c>
      <c r="H1234">
        <v>0</v>
      </c>
      <c r="J1234" t="str">
        <f>VLOOKUP(Table3[[#This Row],[Faction ID]],Table4[],2)</f>
        <v>Balchoth</v>
      </c>
    </row>
    <row r="1235" spans="1:10" x14ac:dyDescent="0.25">
      <c r="A1235">
        <v>32</v>
      </c>
      <c r="B1235" t="s">
        <v>18</v>
      </c>
      <c r="C1235">
        <v>109</v>
      </c>
      <c r="D1235">
        <v>30</v>
      </c>
      <c r="E1235">
        <v>357.8</v>
      </c>
      <c r="F1235">
        <v>30192</v>
      </c>
      <c r="G1235">
        <v>28718</v>
      </c>
      <c r="H1235">
        <v>970</v>
      </c>
      <c r="J1235" t="str">
        <f>VLOOKUP(Table3[[#This Row],[Faction ID]],Table4[],2)</f>
        <v>Rhurim/Rhun</v>
      </c>
    </row>
    <row r="1236" spans="1:10" x14ac:dyDescent="0.25">
      <c r="A1236">
        <v>32</v>
      </c>
      <c r="B1236" t="s">
        <v>19</v>
      </c>
      <c r="C1236">
        <v>0</v>
      </c>
      <c r="D1236">
        <v>0</v>
      </c>
      <c r="E1236">
        <v>0</v>
      </c>
      <c r="F1236">
        <v>7360</v>
      </c>
      <c r="G1236">
        <v>1750</v>
      </c>
      <c r="H1236">
        <v>0</v>
      </c>
      <c r="J1236" t="str">
        <f>VLOOKUP(Table3[[#This Row],[Faction ID]],Table4[],2)</f>
        <v>Feredrim</v>
      </c>
    </row>
    <row r="1237" spans="1:10" x14ac:dyDescent="0.25">
      <c r="A1237">
        <v>32</v>
      </c>
      <c r="B1237" t="s">
        <v>26</v>
      </c>
      <c r="C1237">
        <v>0</v>
      </c>
      <c r="D1237">
        <v>0</v>
      </c>
      <c r="E1237">
        <v>0</v>
      </c>
      <c r="F1237">
        <v>6395</v>
      </c>
      <c r="G1237">
        <v>1750</v>
      </c>
      <c r="H1237">
        <v>0</v>
      </c>
      <c r="J1237" t="str">
        <f>VLOOKUP(Table3[[#This Row],[Faction ID]],Table4[],2)</f>
        <v>Rachrohir (Wainriders)</v>
      </c>
    </row>
    <row r="1238" spans="1:10" x14ac:dyDescent="0.25">
      <c r="A1238">
        <v>32</v>
      </c>
      <c r="B1238" t="s">
        <v>27</v>
      </c>
      <c r="C1238">
        <v>5</v>
      </c>
      <c r="D1238">
        <v>3</v>
      </c>
      <c r="E1238">
        <v>39</v>
      </c>
      <c r="F1238">
        <v>32362</v>
      </c>
      <c r="G1238">
        <v>7472</v>
      </c>
      <c r="H1238">
        <v>0</v>
      </c>
      <c r="J1238" t="str">
        <f>VLOOKUP(Table3[[#This Row],[Faction ID]],Table4[],2)</f>
        <v>Blacklock-Stonefoot League</v>
      </c>
    </row>
    <row r="1239" spans="1:10" x14ac:dyDescent="0.25">
      <c r="A1239">
        <v>32</v>
      </c>
      <c r="B1239" t="s">
        <v>28</v>
      </c>
      <c r="C1239">
        <v>4</v>
      </c>
      <c r="D1239">
        <v>2</v>
      </c>
      <c r="E1239">
        <v>28</v>
      </c>
      <c r="F1239">
        <v>35729</v>
      </c>
      <c r="G1239">
        <v>5312</v>
      </c>
      <c r="H1239">
        <v>0</v>
      </c>
      <c r="J1239" t="str">
        <f>VLOOKUP(Table3[[#This Row],[Faction ID]],Table4[],2)</f>
        <v>Ironfist-Stiffbeard Union</v>
      </c>
    </row>
    <row r="1240" spans="1:10" x14ac:dyDescent="0.25">
      <c r="A1240">
        <v>32</v>
      </c>
      <c r="B1240" t="s">
        <v>20</v>
      </c>
      <c r="C1240">
        <v>87</v>
      </c>
      <c r="D1240">
        <v>11</v>
      </c>
      <c r="E1240">
        <v>137.1</v>
      </c>
      <c r="F1240">
        <v>7390</v>
      </c>
      <c r="G1240">
        <v>16658</v>
      </c>
      <c r="H1240">
        <v>440</v>
      </c>
      <c r="J1240" t="str">
        <f>VLOOKUP(Table3[[#This Row],[Faction ID]],Table4[],2)</f>
        <v>Gundabad</v>
      </c>
    </row>
    <row r="1241" spans="1:10" x14ac:dyDescent="0.25">
      <c r="A1241">
        <v>32</v>
      </c>
      <c r="B1241" t="s">
        <v>34</v>
      </c>
      <c r="C1241">
        <v>0</v>
      </c>
      <c r="D1241">
        <v>0</v>
      </c>
      <c r="E1241">
        <v>3</v>
      </c>
      <c r="F1241">
        <v>38751</v>
      </c>
      <c r="G1241">
        <v>2379</v>
      </c>
      <c r="H1241">
        <v>0</v>
      </c>
      <c r="J1241" t="str">
        <f>VLOOKUP(Table3[[#This Row],[Faction ID]],Table4[],2)</f>
        <v>Scouts of Rohan</v>
      </c>
    </row>
    <row r="1242" spans="1:10" x14ac:dyDescent="0.25">
      <c r="A1242">
        <v>32</v>
      </c>
      <c r="B1242" t="s">
        <v>33</v>
      </c>
      <c r="C1242">
        <v>5</v>
      </c>
      <c r="D1242">
        <v>3</v>
      </c>
      <c r="E1242">
        <v>35</v>
      </c>
      <c r="F1242">
        <v>14908</v>
      </c>
      <c r="G1242">
        <v>6018</v>
      </c>
      <c r="H1242">
        <v>0</v>
      </c>
      <c r="J1242" t="str">
        <f>VLOOKUP(Table3[[#This Row],[Faction ID]],Table4[],2)</f>
        <v>Northern Enedwaith</v>
      </c>
    </row>
    <row r="1243" spans="1:10" x14ac:dyDescent="0.25">
      <c r="A1243">
        <v>32</v>
      </c>
      <c r="B1243" t="s">
        <v>29</v>
      </c>
      <c r="C1243">
        <v>3</v>
      </c>
      <c r="D1243">
        <v>2</v>
      </c>
      <c r="E1243">
        <v>14</v>
      </c>
      <c r="F1243">
        <v>27684</v>
      </c>
      <c r="G1243">
        <v>3218</v>
      </c>
      <c r="H1243">
        <v>0</v>
      </c>
      <c r="J1243" t="str">
        <f>VLOOKUP(Table3[[#This Row],[Faction ID]],Table4[],2)</f>
        <v>Southern Enedwaith</v>
      </c>
    </row>
    <row r="1244" spans="1:10" x14ac:dyDescent="0.25">
      <c r="A1244">
        <v>32</v>
      </c>
      <c r="B1244" t="s">
        <v>30</v>
      </c>
      <c r="C1244">
        <v>5</v>
      </c>
      <c r="D1244">
        <v>3</v>
      </c>
      <c r="E1244">
        <v>34</v>
      </c>
      <c r="F1244">
        <v>17896</v>
      </c>
      <c r="G1244">
        <v>5621</v>
      </c>
      <c r="H1244">
        <v>0</v>
      </c>
      <c r="J1244" t="str">
        <f>VLOOKUP(Table3[[#This Row],[Faction ID]],Table4[],2)</f>
        <v>Druedain</v>
      </c>
    </row>
    <row r="1245" spans="1:10" x14ac:dyDescent="0.25">
      <c r="A1245">
        <v>32</v>
      </c>
      <c r="B1245" t="s">
        <v>31</v>
      </c>
      <c r="C1245">
        <v>3</v>
      </c>
      <c r="D1245">
        <v>1</v>
      </c>
      <c r="E1245">
        <v>23</v>
      </c>
      <c r="F1245">
        <v>14151</v>
      </c>
      <c r="G1245">
        <v>4024</v>
      </c>
      <c r="H1245">
        <v>0</v>
      </c>
      <c r="J1245" t="str">
        <f>VLOOKUP(Table3[[#This Row],[Faction ID]],Table4[],2)</f>
        <v>Harondor</v>
      </c>
    </row>
    <row r="1246" spans="1:10" x14ac:dyDescent="0.25">
      <c r="A1246">
        <v>32</v>
      </c>
      <c r="B1246" t="s">
        <v>35</v>
      </c>
      <c r="C1246">
        <v>0</v>
      </c>
      <c r="D1246">
        <v>0</v>
      </c>
      <c r="E1246">
        <v>0</v>
      </c>
      <c r="F1246">
        <v>4000</v>
      </c>
      <c r="G1246">
        <v>1750</v>
      </c>
      <c r="H1246">
        <v>0</v>
      </c>
      <c r="J1246" t="str">
        <f>VLOOKUP(Table3[[#This Row],[Faction ID]],Table4[],2)</f>
        <v>Southron Nomads</v>
      </c>
    </row>
    <row r="1247" spans="1:10" x14ac:dyDescent="0.25">
      <c r="A1247">
        <v>32</v>
      </c>
      <c r="B1247" t="s">
        <v>36</v>
      </c>
      <c r="C1247">
        <v>0</v>
      </c>
      <c r="D1247">
        <v>0</v>
      </c>
      <c r="E1247">
        <v>0</v>
      </c>
      <c r="F1247">
        <v>4000</v>
      </c>
      <c r="G1247">
        <v>1750</v>
      </c>
      <c r="H1247">
        <v>0</v>
      </c>
      <c r="J1247" t="str">
        <f>VLOOKUP(Table3[[#This Row],[Faction ID]],Table4[],2)</f>
        <v>_</v>
      </c>
    </row>
    <row r="1248" spans="1:10" x14ac:dyDescent="0.25">
      <c r="A1248">
        <v>32</v>
      </c>
      <c r="B1248" t="s">
        <v>37</v>
      </c>
      <c r="C1248">
        <v>0</v>
      </c>
      <c r="D1248">
        <v>0</v>
      </c>
      <c r="E1248">
        <v>0</v>
      </c>
      <c r="F1248">
        <v>4000</v>
      </c>
      <c r="G1248">
        <v>1750</v>
      </c>
      <c r="H1248">
        <v>0</v>
      </c>
      <c r="J1248" t="str">
        <f>VLOOKUP(Table3[[#This Row],[Faction ID]],Table4[],2)</f>
        <v>_</v>
      </c>
    </row>
    <row r="1249" spans="1:10" x14ac:dyDescent="0.25">
      <c r="A1249">
        <v>32</v>
      </c>
      <c r="B1249" t="s">
        <v>38</v>
      </c>
      <c r="C1249">
        <v>0</v>
      </c>
      <c r="D1249">
        <v>0</v>
      </c>
      <c r="E1249">
        <v>0</v>
      </c>
      <c r="F1249">
        <v>4000</v>
      </c>
      <c r="G1249">
        <v>1750</v>
      </c>
      <c r="H1249">
        <v>0</v>
      </c>
      <c r="J1249" t="str">
        <f>VLOOKUP(Table3[[#This Row],[Faction ID]],Table4[],2)</f>
        <v>_</v>
      </c>
    </row>
    <row r="1250" spans="1:10" x14ac:dyDescent="0.25">
      <c r="A1250">
        <v>32</v>
      </c>
      <c r="B1250" t="s">
        <v>39</v>
      </c>
      <c r="C1250">
        <v>0</v>
      </c>
      <c r="D1250">
        <v>0</v>
      </c>
      <c r="E1250">
        <v>0</v>
      </c>
      <c r="F1250">
        <v>4000</v>
      </c>
      <c r="G1250">
        <v>1750</v>
      </c>
      <c r="H1250">
        <v>0</v>
      </c>
      <c r="J1250" t="str">
        <f>VLOOKUP(Table3[[#This Row],[Faction ID]],Table4[],2)</f>
        <v>_</v>
      </c>
    </row>
    <row r="1251" spans="1:10" x14ac:dyDescent="0.25">
      <c r="A1251">
        <v>32</v>
      </c>
      <c r="B1251" t="s">
        <v>40</v>
      </c>
      <c r="C1251">
        <v>0</v>
      </c>
      <c r="D1251">
        <v>0</v>
      </c>
      <c r="E1251">
        <v>0</v>
      </c>
      <c r="F1251">
        <v>4000</v>
      </c>
      <c r="G1251">
        <v>1750</v>
      </c>
      <c r="H1251">
        <v>0</v>
      </c>
      <c r="J1251" t="str">
        <f>VLOOKUP(Table3[[#This Row],[Faction ID]],Table4[],2)</f>
        <v>_</v>
      </c>
    </row>
    <row r="1252" spans="1:10" x14ac:dyDescent="0.25">
      <c r="A1252">
        <v>32</v>
      </c>
      <c r="B1252" t="s">
        <v>41</v>
      </c>
      <c r="C1252">
        <v>0</v>
      </c>
      <c r="D1252">
        <v>0</v>
      </c>
      <c r="E1252">
        <v>0</v>
      </c>
      <c r="F1252">
        <v>4000</v>
      </c>
      <c r="G1252">
        <v>1750</v>
      </c>
      <c r="H1252">
        <v>0</v>
      </c>
      <c r="J1252" t="str">
        <f>VLOOKUP(Table3[[#This Row],[Faction ID]],Table4[],2)</f>
        <v>_</v>
      </c>
    </row>
    <row r="1253" spans="1:10" x14ac:dyDescent="0.25">
      <c r="A1253">
        <v>32</v>
      </c>
      <c r="B1253" t="s">
        <v>42</v>
      </c>
      <c r="C1253">
        <v>0</v>
      </c>
      <c r="D1253">
        <v>0</v>
      </c>
      <c r="E1253">
        <v>0</v>
      </c>
      <c r="F1253">
        <v>4000</v>
      </c>
      <c r="G1253">
        <v>1750</v>
      </c>
      <c r="H1253">
        <v>0</v>
      </c>
      <c r="J1253" t="str">
        <f>VLOOKUP(Table3[[#This Row],[Faction ID]],Table4[],2)</f>
        <v>_</v>
      </c>
    </row>
    <row r="1254" spans="1:10" x14ac:dyDescent="0.25">
      <c r="A1254">
        <v>32</v>
      </c>
      <c r="B1254" t="s">
        <v>43</v>
      </c>
      <c r="C1254">
        <v>0</v>
      </c>
      <c r="D1254">
        <v>0</v>
      </c>
      <c r="E1254">
        <v>0</v>
      </c>
      <c r="F1254">
        <v>4000</v>
      </c>
      <c r="G1254">
        <v>1750</v>
      </c>
      <c r="H1254">
        <v>0</v>
      </c>
      <c r="J1254" t="str">
        <f>VLOOKUP(Table3[[#This Row],[Faction ID]],Table4[],2)</f>
        <v>_</v>
      </c>
    </row>
    <row r="1255" spans="1:10" x14ac:dyDescent="0.25">
      <c r="A1255">
        <v>32</v>
      </c>
      <c r="B1255" t="s">
        <v>44</v>
      </c>
      <c r="C1255">
        <v>0</v>
      </c>
      <c r="D1255">
        <v>0</v>
      </c>
      <c r="E1255">
        <v>0</v>
      </c>
      <c r="F1255">
        <v>4000</v>
      </c>
      <c r="G1255">
        <v>1750</v>
      </c>
      <c r="H1255">
        <v>0</v>
      </c>
      <c r="J1255" t="str">
        <f>VLOOKUP(Table3[[#This Row],[Faction ID]],Table4[],2)</f>
        <v>_</v>
      </c>
    </row>
    <row r="1256" spans="1:10" x14ac:dyDescent="0.25">
      <c r="A1256">
        <v>33</v>
      </c>
      <c r="B1256" t="s">
        <v>9</v>
      </c>
      <c r="C1256">
        <v>129</v>
      </c>
      <c r="D1256">
        <v>18</v>
      </c>
      <c r="E1256">
        <v>176.4</v>
      </c>
      <c r="F1256">
        <v>1112</v>
      </c>
      <c r="G1256">
        <v>19477</v>
      </c>
      <c r="H1256">
        <v>714</v>
      </c>
      <c r="J1256" t="str">
        <f>VLOOKUP(Table3[[#This Row],[Faction ID]],Table4[],2)</f>
        <v>Mordor</v>
      </c>
    </row>
    <row r="1257" spans="1:10" x14ac:dyDescent="0.25">
      <c r="A1257">
        <v>33</v>
      </c>
      <c r="B1257" t="s">
        <v>4</v>
      </c>
      <c r="C1257">
        <v>112</v>
      </c>
      <c r="D1257">
        <v>12</v>
      </c>
      <c r="E1257">
        <v>160</v>
      </c>
      <c r="F1257">
        <v>51965</v>
      </c>
      <c r="G1257">
        <v>21000</v>
      </c>
      <c r="H1257">
        <v>0</v>
      </c>
      <c r="J1257" t="str">
        <f>VLOOKUP(Table3[[#This Row],[Faction ID]],Table4[],2)</f>
        <v>Gondor</v>
      </c>
    </row>
    <row r="1258" spans="1:10" x14ac:dyDescent="0.25">
      <c r="A1258">
        <v>33</v>
      </c>
      <c r="B1258" t="s">
        <v>6</v>
      </c>
      <c r="C1258">
        <v>89</v>
      </c>
      <c r="D1258">
        <v>7</v>
      </c>
      <c r="E1258">
        <v>78</v>
      </c>
      <c r="F1258">
        <v>9687</v>
      </c>
      <c r="G1258">
        <v>13407</v>
      </c>
      <c r="H1258">
        <v>242</v>
      </c>
      <c r="J1258" t="str">
        <f>VLOOKUP(Table3[[#This Row],[Faction ID]],Table4[],2)</f>
        <v>Dale</v>
      </c>
    </row>
    <row r="1259" spans="1:10" x14ac:dyDescent="0.25">
      <c r="A1259">
        <v>33</v>
      </c>
      <c r="B1259" t="s">
        <v>21</v>
      </c>
      <c r="C1259">
        <v>84</v>
      </c>
      <c r="D1259">
        <v>4</v>
      </c>
      <c r="E1259">
        <v>67.2</v>
      </c>
      <c r="F1259">
        <v>56010</v>
      </c>
      <c r="G1259">
        <v>15006</v>
      </c>
      <c r="H1259">
        <v>691</v>
      </c>
      <c r="J1259" t="str">
        <f>VLOOKUP(Table3[[#This Row],[Faction ID]],Table4[],2)</f>
        <v>Erebor</v>
      </c>
    </row>
    <row r="1260" spans="1:10" x14ac:dyDescent="0.25">
      <c r="A1260">
        <v>33</v>
      </c>
      <c r="B1260" t="s">
        <v>5</v>
      </c>
      <c r="C1260">
        <v>98</v>
      </c>
      <c r="D1260">
        <v>11</v>
      </c>
      <c r="E1260">
        <v>84.1</v>
      </c>
      <c r="F1260">
        <v>26984</v>
      </c>
      <c r="G1260">
        <v>10054</v>
      </c>
      <c r="H1260">
        <v>0</v>
      </c>
      <c r="J1260" t="str">
        <f>VLOOKUP(Table3[[#This Row],[Faction ID]],Table4[],2)</f>
        <v>Rohan</v>
      </c>
    </row>
    <row r="1261" spans="1:10" x14ac:dyDescent="0.25">
      <c r="A1261">
        <v>33</v>
      </c>
      <c r="B1261" t="s">
        <v>12</v>
      </c>
      <c r="C1261">
        <v>95</v>
      </c>
      <c r="D1261">
        <v>12</v>
      </c>
      <c r="E1261">
        <v>150</v>
      </c>
      <c r="F1261">
        <v>11511</v>
      </c>
      <c r="G1261">
        <v>17400</v>
      </c>
      <c r="H1261">
        <v>1190</v>
      </c>
      <c r="J1261" t="str">
        <f>VLOOKUP(Table3[[#This Row],[Faction ID]],Table4[],2)</f>
        <v>Dol Guldur</v>
      </c>
    </row>
    <row r="1262" spans="1:10" x14ac:dyDescent="0.25">
      <c r="A1262">
        <v>33</v>
      </c>
      <c r="B1262" t="s">
        <v>10</v>
      </c>
      <c r="C1262">
        <v>59</v>
      </c>
      <c r="D1262">
        <v>3</v>
      </c>
      <c r="E1262">
        <v>38</v>
      </c>
      <c r="F1262">
        <v>5062</v>
      </c>
      <c r="G1262">
        <v>5864</v>
      </c>
      <c r="H1262">
        <v>0</v>
      </c>
      <c r="J1262" t="str">
        <f>VLOOKUP(Table3[[#This Row],[Faction ID]],Table4[],2)</f>
        <v>Anduin Vale</v>
      </c>
    </row>
    <row r="1263" spans="1:10" x14ac:dyDescent="0.25">
      <c r="A1263">
        <v>33</v>
      </c>
      <c r="B1263" t="s">
        <v>32</v>
      </c>
      <c r="C1263">
        <v>72</v>
      </c>
      <c r="D1263">
        <v>4</v>
      </c>
      <c r="E1263">
        <v>84</v>
      </c>
      <c r="F1263">
        <v>11085</v>
      </c>
      <c r="G1263">
        <v>12839</v>
      </c>
      <c r="H1263">
        <v>389</v>
      </c>
      <c r="J1263" t="str">
        <f>VLOOKUP(Table3[[#This Row],[Faction ID]],Table4[],2)</f>
        <v>Isengard</v>
      </c>
    </row>
    <row r="1264" spans="1:10" x14ac:dyDescent="0.25">
      <c r="A1264">
        <v>33</v>
      </c>
      <c r="B1264" t="s">
        <v>22</v>
      </c>
      <c r="C1264">
        <v>30</v>
      </c>
      <c r="D1264">
        <v>0</v>
      </c>
      <c r="E1264">
        <v>0</v>
      </c>
      <c r="F1264">
        <v>8475</v>
      </c>
      <c r="G1264">
        <v>2500</v>
      </c>
      <c r="H1264">
        <v>0</v>
      </c>
      <c r="J1264" t="str">
        <f>VLOOKUP(Table3[[#This Row],[Faction ID]],Table4[],2)</f>
        <v>Woodland Realm</v>
      </c>
    </row>
    <row r="1265" spans="1:10" x14ac:dyDescent="0.25">
      <c r="A1265">
        <v>33</v>
      </c>
      <c r="B1265" t="s">
        <v>23</v>
      </c>
      <c r="C1265">
        <v>58</v>
      </c>
      <c r="D1265">
        <v>2</v>
      </c>
      <c r="E1265">
        <v>20</v>
      </c>
      <c r="F1265">
        <v>4900</v>
      </c>
      <c r="G1265">
        <v>7528</v>
      </c>
      <c r="H1265">
        <v>0</v>
      </c>
      <c r="J1265" t="str">
        <f>VLOOKUP(Table3[[#This Row],[Faction ID]],Table4[],2)</f>
        <v>Lothlorien</v>
      </c>
    </row>
    <row r="1266" spans="1:10" x14ac:dyDescent="0.25">
      <c r="A1266">
        <v>33</v>
      </c>
      <c r="B1266" t="s">
        <v>24</v>
      </c>
      <c r="C1266">
        <v>0</v>
      </c>
      <c r="D1266">
        <v>0</v>
      </c>
      <c r="E1266">
        <v>0</v>
      </c>
      <c r="F1266">
        <v>4919</v>
      </c>
      <c r="G1266">
        <v>1750</v>
      </c>
      <c r="H1266">
        <v>0</v>
      </c>
      <c r="J1266" t="str">
        <f>VLOOKUP(Table3[[#This Row],[Faction ID]],Table4[],2)</f>
        <v>Variags (Khand)</v>
      </c>
    </row>
    <row r="1267" spans="1:10" x14ac:dyDescent="0.25">
      <c r="A1267">
        <v>33</v>
      </c>
      <c r="B1267" t="s">
        <v>14</v>
      </c>
      <c r="C1267">
        <v>8</v>
      </c>
      <c r="D1267">
        <v>6</v>
      </c>
      <c r="E1267">
        <v>87.8</v>
      </c>
      <c r="F1267">
        <v>19190</v>
      </c>
      <c r="G1267">
        <v>13664</v>
      </c>
      <c r="H1267">
        <v>944</v>
      </c>
      <c r="J1267" t="str">
        <f>VLOOKUP(Table3[[#This Row],[Faction ID]],Table4[],2)</f>
        <v>Corsairs of Umbar</v>
      </c>
    </row>
    <row r="1268" spans="1:10" x14ac:dyDescent="0.25">
      <c r="A1268">
        <v>33</v>
      </c>
      <c r="B1268" t="s">
        <v>25</v>
      </c>
      <c r="C1268">
        <v>5</v>
      </c>
      <c r="D1268">
        <v>3</v>
      </c>
      <c r="E1268">
        <v>43</v>
      </c>
      <c r="F1268">
        <v>20686</v>
      </c>
      <c r="G1268">
        <v>6485</v>
      </c>
      <c r="H1268">
        <v>0</v>
      </c>
      <c r="J1268" t="str">
        <f>VLOOKUP(Table3[[#This Row],[Faction ID]],Table4[],2)</f>
        <v>Mahud</v>
      </c>
    </row>
    <row r="1269" spans="1:10" x14ac:dyDescent="0.25">
      <c r="A1269">
        <v>33</v>
      </c>
      <c r="B1269" t="s">
        <v>11</v>
      </c>
      <c r="C1269">
        <v>62</v>
      </c>
      <c r="D1269">
        <v>4</v>
      </c>
      <c r="E1269">
        <v>73</v>
      </c>
      <c r="F1269">
        <v>7874</v>
      </c>
      <c r="G1269">
        <v>11522</v>
      </c>
      <c r="H1269">
        <v>0</v>
      </c>
      <c r="J1269" t="str">
        <f>VLOOKUP(Table3[[#This Row],[Faction ID]],Table4[],2)</f>
        <v>Haradrim</v>
      </c>
    </row>
    <row r="1270" spans="1:10" x14ac:dyDescent="0.25">
      <c r="A1270">
        <v>33</v>
      </c>
      <c r="B1270" t="s">
        <v>15</v>
      </c>
      <c r="C1270">
        <v>65</v>
      </c>
      <c r="D1270">
        <v>4</v>
      </c>
      <c r="E1270">
        <v>56.9</v>
      </c>
      <c r="F1270">
        <v>24949</v>
      </c>
      <c r="G1270">
        <v>10600</v>
      </c>
      <c r="H1270">
        <v>504</v>
      </c>
      <c r="J1270" t="str">
        <f>VLOOKUP(Table3[[#This Row],[Faction ID]],Table4[],2)</f>
        <v>Dunlendings</v>
      </c>
    </row>
    <row r="1271" spans="1:10" x14ac:dyDescent="0.25">
      <c r="A1271">
        <v>33</v>
      </c>
      <c r="B1271" t="s">
        <v>16</v>
      </c>
      <c r="C1271">
        <v>0</v>
      </c>
      <c r="D1271">
        <v>0</v>
      </c>
      <c r="E1271">
        <v>0</v>
      </c>
      <c r="F1271">
        <v>5352</v>
      </c>
      <c r="G1271">
        <v>1750</v>
      </c>
      <c r="H1271">
        <v>0</v>
      </c>
      <c r="J1271" t="str">
        <f>VLOOKUP(Table3[[#This Row],[Faction ID]],Table4[],2)</f>
        <v>Haerrim</v>
      </c>
    </row>
    <row r="1272" spans="1:10" x14ac:dyDescent="0.25">
      <c r="A1272">
        <v>33</v>
      </c>
      <c r="B1272" t="s">
        <v>13</v>
      </c>
      <c r="C1272">
        <v>105</v>
      </c>
      <c r="D1272">
        <v>10</v>
      </c>
      <c r="E1272">
        <v>139.4</v>
      </c>
      <c r="F1272">
        <v>16954</v>
      </c>
      <c r="G1272">
        <v>17847</v>
      </c>
      <c r="H1272">
        <v>1679</v>
      </c>
      <c r="J1272" t="str">
        <f>VLOOKUP(Table3[[#This Row],[Faction ID]],Table4[],2)</f>
        <v>Goblins</v>
      </c>
    </row>
    <row r="1273" spans="1:10" x14ac:dyDescent="0.25">
      <c r="A1273">
        <v>33</v>
      </c>
      <c r="B1273" t="s">
        <v>17</v>
      </c>
      <c r="C1273">
        <v>0</v>
      </c>
      <c r="D1273">
        <v>0</v>
      </c>
      <c r="E1273">
        <v>0</v>
      </c>
      <c r="F1273">
        <v>4872</v>
      </c>
      <c r="G1273">
        <v>1750</v>
      </c>
      <c r="H1273">
        <v>0</v>
      </c>
      <c r="J1273" t="str">
        <f>VLOOKUP(Table3[[#This Row],[Faction ID]],Table4[],2)</f>
        <v>Balchoth</v>
      </c>
    </row>
    <row r="1274" spans="1:10" x14ac:dyDescent="0.25">
      <c r="A1274">
        <v>33</v>
      </c>
      <c r="B1274" t="s">
        <v>18</v>
      </c>
      <c r="C1274">
        <v>109</v>
      </c>
      <c r="D1274">
        <v>30</v>
      </c>
      <c r="E1274">
        <v>367.1</v>
      </c>
      <c r="F1274">
        <v>30658</v>
      </c>
      <c r="G1274">
        <v>29414</v>
      </c>
      <c r="H1274">
        <v>976</v>
      </c>
      <c r="J1274" t="str">
        <f>VLOOKUP(Table3[[#This Row],[Faction ID]],Table4[],2)</f>
        <v>Rhurim/Rhun</v>
      </c>
    </row>
    <row r="1275" spans="1:10" x14ac:dyDescent="0.25">
      <c r="A1275">
        <v>33</v>
      </c>
      <c r="B1275" t="s">
        <v>19</v>
      </c>
      <c r="C1275">
        <v>0</v>
      </c>
      <c r="D1275">
        <v>0</v>
      </c>
      <c r="E1275">
        <v>0</v>
      </c>
      <c r="F1275">
        <v>7360</v>
      </c>
      <c r="G1275">
        <v>1750</v>
      </c>
      <c r="H1275">
        <v>0</v>
      </c>
      <c r="J1275" t="str">
        <f>VLOOKUP(Table3[[#This Row],[Faction ID]],Table4[],2)</f>
        <v>Feredrim</v>
      </c>
    </row>
    <row r="1276" spans="1:10" x14ac:dyDescent="0.25">
      <c r="A1276">
        <v>33</v>
      </c>
      <c r="B1276" t="s">
        <v>26</v>
      </c>
      <c r="C1276">
        <v>0</v>
      </c>
      <c r="D1276">
        <v>0</v>
      </c>
      <c r="E1276">
        <v>0</v>
      </c>
      <c r="F1276">
        <v>6395</v>
      </c>
      <c r="G1276">
        <v>1750</v>
      </c>
      <c r="H1276">
        <v>0</v>
      </c>
      <c r="J1276" t="str">
        <f>VLOOKUP(Table3[[#This Row],[Faction ID]],Table4[],2)</f>
        <v>Rachrohir (Wainriders)</v>
      </c>
    </row>
    <row r="1277" spans="1:10" x14ac:dyDescent="0.25">
      <c r="A1277">
        <v>33</v>
      </c>
      <c r="B1277" t="s">
        <v>27</v>
      </c>
      <c r="C1277">
        <v>5</v>
      </c>
      <c r="D1277">
        <v>3</v>
      </c>
      <c r="E1277">
        <v>39</v>
      </c>
      <c r="F1277">
        <v>32651</v>
      </c>
      <c r="G1277">
        <v>7472</v>
      </c>
      <c r="H1277">
        <v>0</v>
      </c>
      <c r="J1277" t="str">
        <f>VLOOKUP(Table3[[#This Row],[Faction ID]],Table4[],2)</f>
        <v>Blacklock-Stonefoot League</v>
      </c>
    </row>
    <row r="1278" spans="1:10" x14ac:dyDescent="0.25">
      <c r="A1278">
        <v>33</v>
      </c>
      <c r="B1278" t="s">
        <v>28</v>
      </c>
      <c r="C1278">
        <v>4</v>
      </c>
      <c r="D1278">
        <v>2</v>
      </c>
      <c r="E1278">
        <v>28</v>
      </c>
      <c r="F1278">
        <v>32322</v>
      </c>
      <c r="G1278">
        <v>5312</v>
      </c>
      <c r="H1278">
        <v>0</v>
      </c>
      <c r="J1278" t="str">
        <f>VLOOKUP(Table3[[#This Row],[Faction ID]],Table4[],2)</f>
        <v>Ironfist-Stiffbeard Union</v>
      </c>
    </row>
    <row r="1279" spans="1:10" x14ac:dyDescent="0.25">
      <c r="A1279">
        <v>33</v>
      </c>
      <c r="B1279" t="s">
        <v>20</v>
      </c>
      <c r="C1279">
        <v>87</v>
      </c>
      <c r="D1279">
        <v>11</v>
      </c>
      <c r="E1279">
        <v>115.5</v>
      </c>
      <c r="F1279">
        <v>9095</v>
      </c>
      <c r="G1279">
        <v>14801</v>
      </c>
      <c r="H1279">
        <v>442</v>
      </c>
      <c r="J1279" t="str">
        <f>VLOOKUP(Table3[[#This Row],[Faction ID]],Table4[],2)</f>
        <v>Gundabad</v>
      </c>
    </row>
    <row r="1280" spans="1:10" x14ac:dyDescent="0.25">
      <c r="A1280">
        <v>33</v>
      </c>
      <c r="B1280" t="s">
        <v>34</v>
      </c>
      <c r="C1280">
        <v>0</v>
      </c>
      <c r="D1280">
        <v>0</v>
      </c>
      <c r="E1280">
        <v>3</v>
      </c>
      <c r="F1280">
        <v>39872</v>
      </c>
      <c r="G1280">
        <v>2379</v>
      </c>
      <c r="H1280">
        <v>0</v>
      </c>
      <c r="J1280" t="str">
        <f>VLOOKUP(Table3[[#This Row],[Faction ID]],Table4[],2)</f>
        <v>Scouts of Rohan</v>
      </c>
    </row>
    <row r="1281" spans="1:10" x14ac:dyDescent="0.25">
      <c r="A1281">
        <v>33</v>
      </c>
      <c r="B1281" t="s">
        <v>33</v>
      </c>
      <c r="C1281">
        <v>5</v>
      </c>
      <c r="D1281">
        <v>3</v>
      </c>
      <c r="E1281">
        <v>34</v>
      </c>
      <c r="F1281">
        <v>15381</v>
      </c>
      <c r="G1281">
        <v>6413</v>
      </c>
      <c r="H1281">
        <v>0</v>
      </c>
      <c r="J1281" t="str">
        <f>VLOOKUP(Table3[[#This Row],[Faction ID]],Table4[],2)</f>
        <v>Northern Enedwaith</v>
      </c>
    </row>
    <row r="1282" spans="1:10" x14ac:dyDescent="0.25">
      <c r="A1282">
        <v>33</v>
      </c>
      <c r="B1282" t="s">
        <v>29</v>
      </c>
      <c r="C1282">
        <v>3</v>
      </c>
      <c r="D1282">
        <v>2</v>
      </c>
      <c r="E1282">
        <v>14</v>
      </c>
      <c r="F1282">
        <v>29912</v>
      </c>
      <c r="G1282">
        <v>2833</v>
      </c>
      <c r="H1282">
        <v>0</v>
      </c>
      <c r="J1282" t="str">
        <f>VLOOKUP(Table3[[#This Row],[Faction ID]],Table4[],2)</f>
        <v>Southern Enedwaith</v>
      </c>
    </row>
    <row r="1283" spans="1:10" x14ac:dyDescent="0.25">
      <c r="A1283">
        <v>33</v>
      </c>
      <c r="B1283" t="s">
        <v>30</v>
      </c>
      <c r="C1283">
        <v>5</v>
      </c>
      <c r="D1283">
        <v>3</v>
      </c>
      <c r="E1283">
        <v>34</v>
      </c>
      <c r="F1283">
        <v>19369</v>
      </c>
      <c r="G1283">
        <v>5621</v>
      </c>
      <c r="H1283">
        <v>0</v>
      </c>
      <c r="J1283" t="str">
        <f>VLOOKUP(Table3[[#This Row],[Faction ID]],Table4[],2)</f>
        <v>Druedain</v>
      </c>
    </row>
    <row r="1284" spans="1:10" x14ac:dyDescent="0.25">
      <c r="A1284">
        <v>33</v>
      </c>
      <c r="B1284" t="s">
        <v>31</v>
      </c>
      <c r="C1284">
        <v>3</v>
      </c>
      <c r="D1284">
        <v>1</v>
      </c>
      <c r="E1284">
        <v>23</v>
      </c>
      <c r="F1284">
        <v>14668</v>
      </c>
      <c r="G1284">
        <v>3872</v>
      </c>
      <c r="H1284">
        <v>0</v>
      </c>
      <c r="J1284" t="str">
        <f>VLOOKUP(Table3[[#This Row],[Faction ID]],Table4[],2)</f>
        <v>Harondor</v>
      </c>
    </row>
    <row r="1285" spans="1:10" x14ac:dyDescent="0.25">
      <c r="A1285">
        <v>33</v>
      </c>
      <c r="B1285" t="s">
        <v>35</v>
      </c>
      <c r="C1285">
        <v>0</v>
      </c>
      <c r="D1285">
        <v>0</v>
      </c>
      <c r="E1285">
        <v>0</v>
      </c>
      <c r="F1285">
        <v>4000</v>
      </c>
      <c r="G1285">
        <v>1750</v>
      </c>
      <c r="H1285">
        <v>0</v>
      </c>
      <c r="J1285" t="str">
        <f>VLOOKUP(Table3[[#This Row],[Faction ID]],Table4[],2)</f>
        <v>Southron Nomads</v>
      </c>
    </row>
    <row r="1286" spans="1:10" x14ac:dyDescent="0.25">
      <c r="A1286">
        <v>33</v>
      </c>
      <c r="B1286" t="s">
        <v>36</v>
      </c>
      <c r="C1286">
        <v>0</v>
      </c>
      <c r="D1286">
        <v>0</v>
      </c>
      <c r="E1286">
        <v>0</v>
      </c>
      <c r="F1286">
        <v>4000</v>
      </c>
      <c r="G1286">
        <v>1750</v>
      </c>
      <c r="H1286">
        <v>0</v>
      </c>
      <c r="J1286" t="str">
        <f>VLOOKUP(Table3[[#This Row],[Faction ID]],Table4[],2)</f>
        <v>_</v>
      </c>
    </row>
    <row r="1287" spans="1:10" x14ac:dyDescent="0.25">
      <c r="A1287">
        <v>33</v>
      </c>
      <c r="B1287" t="s">
        <v>37</v>
      </c>
      <c r="C1287">
        <v>0</v>
      </c>
      <c r="D1287">
        <v>0</v>
      </c>
      <c r="E1287">
        <v>0</v>
      </c>
      <c r="F1287">
        <v>4000</v>
      </c>
      <c r="G1287">
        <v>1750</v>
      </c>
      <c r="H1287">
        <v>0</v>
      </c>
      <c r="J1287" t="str">
        <f>VLOOKUP(Table3[[#This Row],[Faction ID]],Table4[],2)</f>
        <v>_</v>
      </c>
    </row>
    <row r="1288" spans="1:10" x14ac:dyDescent="0.25">
      <c r="A1288">
        <v>33</v>
      </c>
      <c r="B1288" t="s">
        <v>38</v>
      </c>
      <c r="C1288">
        <v>0</v>
      </c>
      <c r="D1288">
        <v>0</v>
      </c>
      <c r="E1288">
        <v>0</v>
      </c>
      <c r="F1288">
        <v>4000</v>
      </c>
      <c r="G1288">
        <v>1750</v>
      </c>
      <c r="H1288">
        <v>0</v>
      </c>
      <c r="J1288" t="str">
        <f>VLOOKUP(Table3[[#This Row],[Faction ID]],Table4[],2)</f>
        <v>_</v>
      </c>
    </row>
    <row r="1289" spans="1:10" x14ac:dyDescent="0.25">
      <c r="A1289">
        <v>33</v>
      </c>
      <c r="B1289" t="s">
        <v>39</v>
      </c>
      <c r="C1289">
        <v>0</v>
      </c>
      <c r="D1289">
        <v>0</v>
      </c>
      <c r="E1289">
        <v>0</v>
      </c>
      <c r="F1289">
        <v>4000</v>
      </c>
      <c r="G1289">
        <v>1750</v>
      </c>
      <c r="H1289">
        <v>0</v>
      </c>
      <c r="J1289" t="str">
        <f>VLOOKUP(Table3[[#This Row],[Faction ID]],Table4[],2)</f>
        <v>_</v>
      </c>
    </row>
    <row r="1290" spans="1:10" x14ac:dyDescent="0.25">
      <c r="A1290">
        <v>33</v>
      </c>
      <c r="B1290" t="s">
        <v>40</v>
      </c>
      <c r="C1290">
        <v>0</v>
      </c>
      <c r="D1290">
        <v>0</v>
      </c>
      <c r="E1290">
        <v>0</v>
      </c>
      <c r="F1290">
        <v>4000</v>
      </c>
      <c r="G1290">
        <v>1750</v>
      </c>
      <c r="H1290">
        <v>0</v>
      </c>
      <c r="J1290" t="str">
        <f>VLOOKUP(Table3[[#This Row],[Faction ID]],Table4[],2)</f>
        <v>_</v>
      </c>
    </row>
    <row r="1291" spans="1:10" x14ac:dyDescent="0.25">
      <c r="A1291">
        <v>33</v>
      </c>
      <c r="B1291" t="s">
        <v>41</v>
      </c>
      <c r="C1291">
        <v>0</v>
      </c>
      <c r="D1291">
        <v>0</v>
      </c>
      <c r="E1291">
        <v>0</v>
      </c>
      <c r="F1291">
        <v>4000</v>
      </c>
      <c r="G1291">
        <v>1750</v>
      </c>
      <c r="H1291">
        <v>0</v>
      </c>
      <c r="J1291" t="str">
        <f>VLOOKUP(Table3[[#This Row],[Faction ID]],Table4[],2)</f>
        <v>_</v>
      </c>
    </row>
    <row r="1292" spans="1:10" x14ac:dyDescent="0.25">
      <c r="A1292">
        <v>33</v>
      </c>
      <c r="B1292" t="s">
        <v>42</v>
      </c>
      <c r="C1292">
        <v>0</v>
      </c>
      <c r="D1292">
        <v>0</v>
      </c>
      <c r="E1292">
        <v>0</v>
      </c>
      <c r="F1292">
        <v>4000</v>
      </c>
      <c r="G1292">
        <v>1750</v>
      </c>
      <c r="H1292">
        <v>0</v>
      </c>
      <c r="J1292" t="str">
        <f>VLOOKUP(Table3[[#This Row],[Faction ID]],Table4[],2)</f>
        <v>_</v>
      </c>
    </row>
    <row r="1293" spans="1:10" x14ac:dyDescent="0.25">
      <c r="A1293">
        <v>33</v>
      </c>
      <c r="B1293" t="s">
        <v>43</v>
      </c>
      <c r="C1293">
        <v>0</v>
      </c>
      <c r="D1293">
        <v>0</v>
      </c>
      <c r="E1293">
        <v>0</v>
      </c>
      <c r="F1293">
        <v>4000</v>
      </c>
      <c r="G1293">
        <v>1750</v>
      </c>
      <c r="H1293">
        <v>0</v>
      </c>
      <c r="J1293" t="str">
        <f>VLOOKUP(Table3[[#This Row],[Faction ID]],Table4[],2)</f>
        <v>_</v>
      </c>
    </row>
    <row r="1294" spans="1:10" x14ac:dyDescent="0.25">
      <c r="A1294">
        <v>33</v>
      </c>
      <c r="B1294" t="s">
        <v>44</v>
      </c>
      <c r="C1294">
        <v>0</v>
      </c>
      <c r="D1294">
        <v>0</v>
      </c>
      <c r="E1294">
        <v>0</v>
      </c>
      <c r="F1294">
        <v>4000</v>
      </c>
      <c r="G1294">
        <v>1750</v>
      </c>
      <c r="H1294">
        <v>0</v>
      </c>
      <c r="J1294" t="str">
        <f>VLOOKUP(Table3[[#This Row],[Faction ID]],Table4[],2)</f>
        <v>_</v>
      </c>
    </row>
    <row r="1295" spans="1:10" x14ac:dyDescent="0.25">
      <c r="A1295">
        <v>34</v>
      </c>
      <c r="B1295" t="s">
        <v>9</v>
      </c>
      <c r="C1295">
        <v>129</v>
      </c>
      <c r="D1295">
        <v>18</v>
      </c>
      <c r="E1295">
        <v>176.4</v>
      </c>
      <c r="F1295">
        <v>1641</v>
      </c>
      <c r="G1295">
        <v>19880</v>
      </c>
      <c r="H1295">
        <v>721</v>
      </c>
      <c r="J1295" t="str">
        <f>VLOOKUP(Table3[[#This Row],[Faction ID]],Table4[],2)</f>
        <v>Mordor</v>
      </c>
    </row>
    <row r="1296" spans="1:10" x14ac:dyDescent="0.25">
      <c r="A1296">
        <v>34</v>
      </c>
      <c r="B1296" t="s">
        <v>4</v>
      </c>
      <c r="C1296">
        <v>112</v>
      </c>
      <c r="D1296">
        <v>12</v>
      </c>
      <c r="E1296">
        <v>160</v>
      </c>
      <c r="F1296">
        <v>58697</v>
      </c>
      <c r="G1296">
        <v>21670</v>
      </c>
      <c r="H1296">
        <v>670</v>
      </c>
      <c r="J1296" t="str">
        <f>VLOOKUP(Table3[[#This Row],[Faction ID]],Table4[],2)</f>
        <v>Gondor</v>
      </c>
    </row>
    <row r="1297" spans="1:10" x14ac:dyDescent="0.25">
      <c r="A1297">
        <v>34</v>
      </c>
      <c r="B1297" t="s">
        <v>6</v>
      </c>
      <c r="C1297">
        <v>87</v>
      </c>
      <c r="D1297">
        <v>5</v>
      </c>
      <c r="E1297">
        <v>70</v>
      </c>
      <c r="F1297">
        <v>9788</v>
      </c>
      <c r="G1297">
        <v>12697</v>
      </c>
      <c r="H1297">
        <v>187</v>
      </c>
      <c r="J1297" t="str">
        <f>VLOOKUP(Table3[[#This Row],[Faction ID]],Table4[],2)</f>
        <v>Dale</v>
      </c>
    </row>
    <row r="1298" spans="1:10" x14ac:dyDescent="0.25">
      <c r="A1298">
        <v>34</v>
      </c>
      <c r="B1298" t="s">
        <v>21</v>
      </c>
      <c r="C1298">
        <v>84</v>
      </c>
      <c r="D1298">
        <v>4</v>
      </c>
      <c r="E1298">
        <v>70.2</v>
      </c>
      <c r="F1298">
        <v>54511</v>
      </c>
      <c r="G1298">
        <v>15063</v>
      </c>
      <c r="H1298">
        <v>427</v>
      </c>
      <c r="J1298" t="str">
        <f>VLOOKUP(Table3[[#This Row],[Faction ID]],Table4[],2)</f>
        <v>Erebor</v>
      </c>
    </row>
    <row r="1299" spans="1:10" x14ac:dyDescent="0.25">
      <c r="A1299">
        <v>34</v>
      </c>
      <c r="B1299" t="s">
        <v>5</v>
      </c>
      <c r="C1299">
        <v>98</v>
      </c>
      <c r="D1299">
        <v>11</v>
      </c>
      <c r="E1299">
        <v>84.1</v>
      </c>
      <c r="F1299">
        <v>28810</v>
      </c>
      <c r="G1299">
        <v>11304</v>
      </c>
      <c r="H1299">
        <v>476</v>
      </c>
      <c r="J1299" t="str">
        <f>VLOOKUP(Table3[[#This Row],[Faction ID]],Table4[],2)</f>
        <v>Rohan</v>
      </c>
    </row>
    <row r="1300" spans="1:10" x14ac:dyDescent="0.25">
      <c r="A1300">
        <v>34</v>
      </c>
      <c r="B1300" t="s">
        <v>12</v>
      </c>
      <c r="C1300">
        <v>114</v>
      </c>
      <c r="D1300">
        <v>12</v>
      </c>
      <c r="E1300">
        <v>152</v>
      </c>
      <c r="F1300">
        <v>13288</v>
      </c>
      <c r="G1300">
        <v>17534</v>
      </c>
      <c r="H1300">
        <v>1205</v>
      </c>
      <c r="J1300" t="str">
        <f>VLOOKUP(Table3[[#This Row],[Faction ID]],Table4[],2)</f>
        <v>Dol Guldur</v>
      </c>
    </row>
    <row r="1301" spans="1:10" x14ac:dyDescent="0.25">
      <c r="A1301">
        <v>34</v>
      </c>
      <c r="B1301" t="s">
        <v>10</v>
      </c>
      <c r="C1301">
        <v>59</v>
      </c>
      <c r="D1301">
        <v>3</v>
      </c>
      <c r="E1301">
        <v>40</v>
      </c>
      <c r="F1301">
        <v>5476</v>
      </c>
      <c r="G1301">
        <v>5411</v>
      </c>
      <c r="H1301">
        <v>0</v>
      </c>
      <c r="J1301" t="str">
        <f>VLOOKUP(Table3[[#This Row],[Faction ID]],Table4[],2)</f>
        <v>Anduin Vale</v>
      </c>
    </row>
    <row r="1302" spans="1:10" x14ac:dyDescent="0.25">
      <c r="A1302">
        <v>34</v>
      </c>
      <c r="B1302" t="s">
        <v>32</v>
      </c>
      <c r="C1302">
        <v>77</v>
      </c>
      <c r="D1302">
        <v>4</v>
      </c>
      <c r="E1302">
        <v>75.5</v>
      </c>
      <c r="F1302">
        <v>12551</v>
      </c>
      <c r="G1302">
        <v>11994</v>
      </c>
      <c r="H1302">
        <v>390</v>
      </c>
      <c r="J1302" t="str">
        <f>VLOOKUP(Table3[[#This Row],[Faction ID]],Table4[],2)</f>
        <v>Isengard</v>
      </c>
    </row>
    <row r="1303" spans="1:10" x14ac:dyDescent="0.25">
      <c r="A1303">
        <v>34</v>
      </c>
      <c r="B1303" t="s">
        <v>22</v>
      </c>
      <c r="C1303">
        <v>30</v>
      </c>
      <c r="D1303">
        <v>0</v>
      </c>
      <c r="E1303">
        <v>0</v>
      </c>
      <c r="F1303">
        <v>8475</v>
      </c>
      <c r="G1303">
        <v>2500</v>
      </c>
      <c r="H1303">
        <v>0</v>
      </c>
      <c r="J1303" t="str">
        <f>VLOOKUP(Table3[[#This Row],[Faction ID]],Table4[],2)</f>
        <v>Woodland Realm</v>
      </c>
    </row>
    <row r="1304" spans="1:10" x14ac:dyDescent="0.25">
      <c r="A1304">
        <v>34</v>
      </c>
      <c r="B1304" t="s">
        <v>23</v>
      </c>
      <c r="C1304">
        <v>57</v>
      </c>
      <c r="D1304">
        <v>1</v>
      </c>
      <c r="E1304">
        <v>20</v>
      </c>
      <c r="F1304">
        <v>3168</v>
      </c>
      <c r="G1304">
        <v>6383</v>
      </c>
      <c r="H1304">
        <v>0</v>
      </c>
      <c r="J1304" t="str">
        <f>VLOOKUP(Table3[[#This Row],[Faction ID]],Table4[],2)</f>
        <v>Lothlorien</v>
      </c>
    </row>
    <row r="1305" spans="1:10" x14ac:dyDescent="0.25">
      <c r="A1305">
        <v>34</v>
      </c>
      <c r="B1305" t="s">
        <v>24</v>
      </c>
      <c r="C1305">
        <v>0</v>
      </c>
      <c r="D1305">
        <v>0</v>
      </c>
      <c r="E1305">
        <v>0</v>
      </c>
      <c r="F1305">
        <v>4919</v>
      </c>
      <c r="G1305">
        <v>1750</v>
      </c>
      <c r="H1305">
        <v>0</v>
      </c>
      <c r="J1305" t="str">
        <f>VLOOKUP(Table3[[#This Row],[Faction ID]],Table4[],2)</f>
        <v>Variags (Khand)</v>
      </c>
    </row>
    <row r="1306" spans="1:10" x14ac:dyDescent="0.25">
      <c r="A1306">
        <v>34</v>
      </c>
      <c r="B1306" t="s">
        <v>14</v>
      </c>
      <c r="C1306">
        <v>8</v>
      </c>
      <c r="D1306">
        <v>6</v>
      </c>
      <c r="E1306">
        <v>88.8</v>
      </c>
      <c r="F1306">
        <v>22236</v>
      </c>
      <c r="G1306">
        <v>14287</v>
      </c>
      <c r="H1306">
        <v>949</v>
      </c>
      <c r="J1306" t="str">
        <f>VLOOKUP(Table3[[#This Row],[Faction ID]],Table4[],2)</f>
        <v>Corsairs of Umbar</v>
      </c>
    </row>
    <row r="1307" spans="1:10" x14ac:dyDescent="0.25">
      <c r="A1307">
        <v>34</v>
      </c>
      <c r="B1307" t="s">
        <v>25</v>
      </c>
      <c r="C1307">
        <v>5</v>
      </c>
      <c r="D1307">
        <v>3</v>
      </c>
      <c r="E1307">
        <v>43</v>
      </c>
      <c r="F1307">
        <v>21758</v>
      </c>
      <c r="G1307">
        <v>6284</v>
      </c>
      <c r="H1307">
        <v>0</v>
      </c>
      <c r="J1307" t="str">
        <f>VLOOKUP(Table3[[#This Row],[Faction ID]],Table4[],2)</f>
        <v>Mahud</v>
      </c>
    </row>
    <row r="1308" spans="1:10" x14ac:dyDescent="0.25">
      <c r="A1308">
        <v>34</v>
      </c>
      <c r="B1308" t="s">
        <v>11</v>
      </c>
      <c r="C1308">
        <v>67</v>
      </c>
      <c r="D1308">
        <v>4</v>
      </c>
      <c r="E1308">
        <v>73</v>
      </c>
      <c r="F1308">
        <v>6549</v>
      </c>
      <c r="G1308">
        <v>11635</v>
      </c>
      <c r="H1308">
        <v>0</v>
      </c>
      <c r="J1308" t="str">
        <f>VLOOKUP(Table3[[#This Row],[Faction ID]],Table4[],2)</f>
        <v>Haradrim</v>
      </c>
    </row>
    <row r="1309" spans="1:10" x14ac:dyDescent="0.25">
      <c r="A1309">
        <v>34</v>
      </c>
      <c r="B1309" t="s">
        <v>15</v>
      </c>
      <c r="C1309">
        <v>65</v>
      </c>
      <c r="D1309">
        <v>4</v>
      </c>
      <c r="E1309">
        <v>56.9</v>
      </c>
      <c r="F1309">
        <v>26571</v>
      </c>
      <c r="G1309">
        <v>10527</v>
      </c>
      <c r="H1309">
        <v>510</v>
      </c>
      <c r="J1309" t="str">
        <f>VLOOKUP(Table3[[#This Row],[Faction ID]],Table4[],2)</f>
        <v>Dunlendings</v>
      </c>
    </row>
    <row r="1310" spans="1:10" x14ac:dyDescent="0.25">
      <c r="A1310">
        <v>34</v>
      </c>
      <c r="B1310" t="s">
        <v>16</v>
      </c>
      <c r="C1310">
        <v>0</v>
      </c>
      <c r="D1310">
        <v>0</v>
      </c>
      <c r="E1310">
        <v>0</v>
      </c>
      <c r="F1310">
        <v>5352</v>
      </c>
      <c r="G1310">
        <v>1750</v>
      </c>
      <c r="H1310">
        <v>0</v>
      </c>
      <c r="J1310" t="str">
        <f>VLOOKUP(Table3[[#This Row],[Faction ID]],Table4[],2)</f>
        <v>Haerrim</v>
      </c>
    </row>
    <row r="1311" spans="1:10" x14ac:dyDescent="0.25">
      <c r="A1311">
        <v>34</v>
      </c>
      <c r="B1311" t="s">
        <v>13</v>
      </c>
      <c r="C1311">
        <v>106</v>
      </c>
      <c r="D1311">
        <v>11</v>
      </c>
      <c r="E1311">
        <v>144.19999999999999</v>
      </c>
      <c r="F1311">
        <v>18325</v>
      </c>
      <c r="G1311">
        <v>19078</v>
      </c>
      <c r="H1311">
        <v>1815</v>
      </c>
      <c r="J1311" t="str">
        <f>VLOOKUP(Table3[[#This Row],[Faction ID]],Table4[],2)</f>
        <v>Goblins</v>
      </c>
    </row>
    <row r="1312" spans="1:10" x14ac:dyDescent="0.25">
      <c r="A1312">
        <v>34</v>
      </c>
      <c r="B1312" t="s">
        <v>17</v>
      </c>
      <c r="C1312">
        <v>0</v>
      </c>
      <c r="D1312">
        <v>0</v>
      </c>
      <c r="E1312">
        <v>0</v>
      </c>
      <c r="F1312">
        <v>4872</v>
      </c>
      <c r="G1312">
        <v>1750</v>
      </c>
      <c r="H1312">
        <v>0</v>
      </c>
      <c r="J1312" t="str">
        <f>VLOOKUP(Table3[[#This Row],[Faction ID]],Table4[],2)</f>
        <v>Balchoth</v>
      </c>
    </row>
    <row r="1313" spans="1:10" x14ac:dyDescent="0.25">
      <c r="A1313">
        <v>34</v>
      </c>
      <c r="B1313" t="s">
        <v>18</v>
      </c>
      <c r="C1313">
        <v>110</v>
      </c>
      <c r="D1313">
        <v>31</v>
      </c>
      <c r="E1313">
        <v>381.29999999999899</v>
      </c>
      <c r="F1313">
        <v>28347</v>
      </c>
      <c r="G1313">
        <v>29240</v>
      </c>
      <c r="H1313">
        <v>1084</v>
      </c>
      <c r="J1313" t="str">
        <f>VLOOKUP(Table3[[#This Row],[Faction ID]],Table4[],2)</f>
        <v>Rhurim/Rhun</v>
      </c>
    </row>
    <row r="1314" spans="1:10" x14ac:dyDescent="0.25">
      <c r="A1314">
        <v>34</v>
      </c>
      <c r="B1314" t="s">
        <v>19</v>
      </c>
      <c r="C1314">
        <v>0</v>
      </c>
      <c r="D1314">
        <v>0</v>
      </c>
      <c r="E1314">
        <v>0</v>
      </c>
      <c r="F1314">
        <v>7360</v>
      </c>
      <c r="G1314">
        <v>1750</v>
      </c>
      <c r="H1314">
        <v>0</v>
      </c>
      <c r="J1314" t="str">
        <f>VLOOKUP(Table3[[#This Row],[Faction ID]],Table4[],2)</f>
        <v>Feredrim</v>
      </c>
    </row>
    <row r="1315" spans="1:10" x14ac:dyDescent="0.25">
      <c r="A1315">
        <v>34</v>
      </c>
      <c r="B1315" t="s">
        <v>26</v>
      </c>
      <c r="C1315">
        <v>0</v>
      </c>
      <c r="D1315">
        <v>0</v>
      </c>
      <c r="E1315">
        <v>0</v>
      </c>
      <c r="F1315">
        <v>6395</v>
      </c>
      <c r="G1315">
        <v>1750</v>
      </c>
      <c r="H1315">
        <v>0</v>
      </c>
      <c r="J1315" t="str">
        <f>VLOOKUP(Table3[[#This Row],[Faction ID]],Table4[],2)</f>
        <v>Rachrohir (Wainriders)</v>
      </c>
    </row>
    <row r="1316" spans="1:10" x14ac:dyDescent="0.25">
      <c r="A1316">
        <v>34</v>
      </c>
      <c r="B1316" t="s">
        <v>27</v>
      </c>
      <c r="C1316">
        <v>5</v>
      </c>
      <c r="D1316">
        <v>3</v>
      </c>
      <c r="E1316">
        <v>40</v>
      </c>
      <c r="F1316">
        <v>35305</v>
      </c>
      <c r="G1316">
        <v>7605</v>
      </c>
      <c r="H1316">
        <v>0</v>
      </c>
      <c r="J1316" t="str">
        <f>VLOOKUP(Table3[[#This Row],[Faction ID]],Table4[],2)</f>
        <v>Blacklock-Stonefoot League</v>
      </c>
    </row>
    <row r="1317" spans="1:10" x14ac:dyDescent="0.25">
      <c r="A1317">
        <v>34</v>
      </c>
      <c r="B1317" t="s">
        <v>28</v>
      </c>
      <c r="C1317">
        <v>4</v>
      </c>
      <c r="D1317">
        <v>2</v>
      </c>
      <c r="E1317">
        <v>31</v>
      </c>
      <c r="F1317">
        <v>30435</v>
      </c>
      <c r="G1317">
        <v>5872</v>
      </c>
      <c r="H1317">
        <v>0</v>
      </c>
      <c r="J1317" t="str">
        <f>VLOOKUP(Table3[[#This Row],[Faction ID]],Table4[],2)</f>
        <v>Ironfist-Stiffbeard Union</v>
      </c>
    </row>
    <row r="1318" spans="1:10" x14ac:dyDescent="0.25">
      <c r="A1318">
        <v>34</v>
      </c>
      <c r="B1318" t="s">
        <v>20</v>
      </c>
      <c r="C1318">
        <v>87</v>
      </c>
      <c r="D1318">
        <v>11</v>
      </c>
      <c r="E1318">
        <v>116.9</v>
      </c>
      <c r="F1318">
        <v>9972</v>
      </c>
      <c r="G1318">
        <v>16324</v>
      </c>
      <c r="H1318">
        <v>495</v>
      </c>
      <c r="J1318" t="str">
        <f>VLOOKUP(Table3[[#This Row],[Faction ID]],Table4[],2)</f>
        <v>Gundabad</v>
      </c>
    </row>
    <row r="1319" spans="1:10" x14ac:dyDescent="0.25">
      <c r="A1319">
        <v>34</v>
      </c>
      <c r="B1319" t="s">
        <v>34</v>
      </c>
      <c r="C1319">
        <v>0</v>
      </c>
      <c r="D1319">
        <v>0</v>
      </c>
      <c r="E1319">
        <v>3</v>
      </c>
      <c r="F1319">
        <v>40993</v>
      </c>
      <c r="G1319">
        <v>2379</v>
      </c>
      <c r="H1319">
        <v>0</v>
      </c>
      <c r="J1319" t="str">
        <f>VLOOKUP(Table3[[#This Row],[Faction ID]],Table4[],2)</f>
        <v>Scouts of Rohan</v>
      </c>
    </row>
    <row r="1320" spans="1:10" x14ac:dyDescent="0.25">
      <c r="A1320">
        <v>34</v>
      </c>
      <c r="B1320" t="s">
        <v>33</v>
      </c>
      <c r="C1320">
        <v>5</v>
      </c>
      <c r="D1320">
        <v>3</v>
      </c>
      <c r="E1320">
        <v>34</v>
      </c>
      <c r="F1320">
        <v>17985</v>
      </c>
      <c r="G1320">
        <v>6184</v>
      </c>
      <c r="H1320">
        <v>0</v>
      </c>
      <c r="J1320" t="str">
        <f>VLOOKUP(Table3[[#This Row],[Faction ID]],Table4[],2)</f>
        <v>Northern Enedwaith</v>
      </c>
    </row>
    <row r="1321" spans="1:10" x14ac:dyDescent="0.25">
      <c r="A1321">
        <v>34</v>
      </c>
      <c r="B1321" t="s">
        <v>29</v>
      </c>
      <c r="C1321">
        <v>3</v>
      </c>
      <c r="D1321">
        <v>2</v>
      </c>
      <c r="E1321">
        <v>14</v>
      </c>
      <c r="F1321">
        <v>31105</v>
      </c>
      <c r="G1321">
        <v>2814</v>
      </c>
      <c r="H1321">
        <v>0</v>
      </c>
      <c r="J1321" t="str">
        <f>VLOOKUP(Table3[[#This Row],[Faction ID]],Table4[],2)</f>
        <v>Southern Enedwaith</v>
      </c>
    </row>
    <row r="1322" spans="1:10" x14ac:dyDescent="0.25">
      <c r="A1322">
        <v>34</v>
      </c>
      <c r="B1322" t="s">
        <v>30</v>
      </c>
      <c r="C1322">
        <v>5</v>
      </c>
      <c r="D1322">
        <v>3</v>
      </c>
      <c r="E1322">
        <v>34</v>
      </c>
      <c r="F1322">
        <v>20842</v>
      </c>
      <c r="G1322">
        <v>5621</v>
      </c>
      <c r="H1322">
        <v>0</v>
      </c>
      <c r="J1322" t="str">
        <f>VLOOKUP(Table3[[#This Row],[Faction ID]],Table4[],2)</f>
        <v>Druedain</v>
      </c>
    </row>
    <row r="1323" spans="1:10" x14ac:dyDescent="0.25">
      <c r="A1323">
        <v>34</v>
      </c>
      <c r="B1323" t="s">
        <v>31</v>
      </c>
      <c r="C1323">
        <v>3</v>
      </c>
      <c r="D1323">
        <v>1</v>
      </c>
      <c r="E1323">
        <v>23</v>
      </c>
      <c r="F1323">
        <v>15269</v>
      </c>
      <c r="G1323">
        <v>3981</v>
      </c>
      <c r="H1323">
        <v>0</v>
      </c>
      <c r="J1323" t="str">
        <f>VLOOKUP(Table3[[#This Row],[Faction ID]],Table4[],2)</f>
        <v>Harondor</v>
      </c>
    </row>
    <row r="1324" spans="1:10" x14ac:dyDescent="0.25">
      <c r="A1324">
        <v>34</v>
      </c>
      <c r="B1324" t="s">
        <v>35</v>
      </c>
      <c r="C1324">
        <v>0</v>
      </c>
      <c r="D1324">
        <v>0</v>
      </c>
      <c r="E1324">
        <v>0</v>
      </c>
      <c r="F1324">
        <v>4000</v>
      </c>
      <c r="G1324">
        <v>1750</v>
      </c>
      <c r="H1324">
        <v>0</v>
      </c>
      <c r="J1324" t="str">
        <f>VLOOKUP(Table3[[#This Row],[Faction ID]],Table4[],2)</f>
        <v>Southron Nomads</v>
      </c>
    </row>
    <row r="1325" spans="1:10" x14ac:dyDescent="0.25">
      <c r="A1325">
        <v>34</v>
      </c>
      <c r="B1325" t="s">
        <v>36</v>
      </c>
      <c r="C1325">
        <v>0</v>
      </c>
      <c r="D1325">
        <v>0</v>
      </c>
      <c r="E1325">
        <v>0</v>
      </c>
      <c r="F1325">
        <v>4000</v>
      </c>
      <c r="G1325">
        <v>1750</v>
      </c>
      <c r="H1325">
        <v>0</v>
      </c>
      <c r="J1325" t="str">
        <f>VLOOKUP(Table3[[#This Row],[Faction ID]],Table4[],2)</f>
        <v>_</v>
      </c>
    </row>
    <row r="1326" spans="1:10" x14ac:dyDescent="0.25">
      <c r="A1326">
        <v>34</v>
      </c>
      <c r="B1326" t="s">
        <v>37</v>
      </c>
      <c r="C1326">
        <v>0</v>
      </c>
      <c r="D1326">
        <v>0</v>
      </c>
      <c r="E1326">
        <v>0</v>
      </c>
      <c r="F1326">
        <v>4000</v>
      </c>
      <c r="G1326">
        <v>1750</v>
      </c>
      <c r="H1326">
        <v>0</v>
      </c>
      <c r="J1326" t="str">
        <f>VLOOKUP(Table3[[#This Row],[Faction ID]],Table4[],2)</f>
        <v>_</v>
      </c>
    </row>
    <row r="1327" spans="1:10" x14ac:dyDescent="0.25">
      <c r="A1327">
        <v>34</v>
      </c>
      <c r="B1327" t="s">
        <v>38</v>
      </c>
      <c r="C1327">
        <v>0</v>
      </c>
      <c r="D1327">
        <v>0</v>
      </c>
      <c r="E1327">
        <v>0</v>
      </c>
      <c r="F1327">
        <v>4000</v>
      </c>
      <c r="G1327">
        <v>1750</v>
      </c>
      <c r="H1327">
        <v>0</v>
      </c>
      <c r="J1327" t="str">
        <f>VLOOKUP(Table3[[#This Row],[Faction ID]],Table4[],2)</f>
        <v>_</v>
      </c>
    </row>
    <row r="1328" spans="1:10" x14ac:dyDescent="0.25">
      <c r="A1328">
        <v>34</v>
      </c>
      <c r="B1328" t="s">
        <v>39</v>
      </c>
      <c r="C1328">
        <v>0</v>
      </c>
      <c r="D1328">
        <v>0</v>
      </c>
      <c r="E1328">
        <v>0</v>
      </c>
      <c r="F1328">
        <v>4000</v>
      </c>
      <c r="G1328">
        <v>1750</v>
      </c>
      <c r="H1328">
        <v>0</v>
      </c>
      <c r="J1328" t="str">
        <f>VLOOKUP(Table3[[#This Row],[Faction ID]],Table4[],2)</f>
        <v>_</v>
      </c>
    </row>
    <row r="1329" spans="1:10" x14ac:dyDescent="0.25">
      <c r="A1329">
        <v>34</v>
      </c>
      <c r="B1329" t="s">
        <v>40</v>
      </c>
      <c r="C1329">
        <v>0</v>
      </c>
      <c r="D1329">
        <v>0</v>
      </c>
      <c r="E1329">
        <v>0</v>
      </c>
      <c r="F1329">
        <v>4000</v>
      </c>
      <c r="G1329">
        <v>1750</v>
      </c>
      <c r="H1329">
        <v>0</v>
      </c>
      <c r="J1329" t="str">
        <f>VLOOKUP(Table3[[#This Row],[Faction ID]],Table4[],2)</f>
        <v>_</v>
      </c>
    </row>
    <row r="1330" spans="1:10" x14ac:dyDescent="0.25">
      <c r="A1330">
        <v>34</v>
      </c>
      <c r="B1330" t="s">
        <v>41</v>
      </c>
      <c r="C1330">
        <v>0</v>
      </c>
      <c r="D1330">
        <v>0</v>
      </c>
      <c r="E1330">
        <v>0</v>
      </c>
      <c r="F1330">
        <v>4000</v>
      </c>
      <c r="G1330">
        <v>1750</v>
      </c>
      <c r="H1330">
        <v>0</v>
      </c>
      <c r="J1330" t="str">
        <f>VLOOKUP(Table3[[#This Row],[Faction ID]],Table4[],2)</f>
        <v>_</v>
      </c>
    </row>
    <row r="1331" spans="1:10" x14ac:dyDescent="0.25">
      <c r="A1331">
        <v>34</v>
      </c>
      <c r="B1331" t="s">
        <v>42</v>
      </c>
      <c r="C1331">
        <v>0</v>
      </c>
      <c r="D1331">
        <v>0</v>
      </c>
      <c r="E1331">
        <v>0</v>
      </c>
      <c r="F1331">
        <v>4000</v>
      </c>
      <c r="G1331">
        <v>1750</v>
      </c>
      <c r="H1331">
        <v>0</v>
      </c>
      <c r="J1331" t="str">
        <f>VLOOKUP(Table3[[#This Row],[Faction ID]],Table4[],2)</f>
        <v>_</v>
      </c>
    </row>
    <row r="1332" spans="1:10" x14ac:dyDescent="0.25">
      <c r="A1332">
        <v>34</v>
      </c>
      <c r="B1332" t="s">
        <v>43</v>
      </c>
      <c r="C1332">
        <v>0</v>
      </c>
      <c r="D1332">
        <v>0</v>
      </c>
      <c r="E1332">
        <v>0</v>
      </c>
      <c r="F1332">
        <v>4000</v>
      </c>
      <c r="G1332">
        <v>1750</v>
      </c>
      <c r="H1332">
        <v>0</v>
      </c>
      <c r="J1332" t="str">
        <f>VLOOKUP(Table3[[#This Row],[Faction ID]],Table4[],2)</f>
        <v>_</v>
      </c>
    </row>
    <row r="1333" spans="1:10" x14ac:dyDescent="0.25">
      <c r="A1333">
        <v>34</v>
      </c>
      <c r="B1333" t="s">
        <v>44</v>
      </c>
      <c r="C1333">
        <v>0</v>
      </c>
      <c r="D1333">
        <v>0</v>
      </c>
      <c r="E1333">
        <v>0</v>
      </c>
      <c r="F1333">
        <v>4000</v>
      </c>
      <c r="G1333">
        <v>1750</v>
      </c>
      <c r="H1333">
        <v>0</v>
      </c>
      <c r="J1333" t="str">
        <f>VLOOKUP(Table3[[#This Row],[Faction ID]],Table4[],2)</f>
        <v>_</v>
      </c>
    </row>
    <row r="1334" spans="1:10" x14ac:dyDescent="0.25">
      <c r="A1334">
        <v>35</v>
      </c>
      <c r="B1334" t="s">
        <v>9</v>
      </c>
      <c r="C1334">
        <v>129</v>
      </c>
      <c r="D1334">
        <v>18</v>
      </c>
      <c r="E1334">
        <v>177.4</v>
      </c>
      <c r="F1334">
        <v>6967</v>
      </c>
      <c r="G1334">
        <v>20008</v>
      </c>
      <c r="H1334">
        <v>717</v>
      </c>
      <c r="J1334" t="str">
        <f>VLOOKUP(Table3[[#This Row],[Faction ID]],Table4[],2)</f>
        <v>Mordor</v>
      </c>
    </row>
    <row r="1335" spans="1:10" x14ac:dyDescent="0.25">
      <c r="A1335">
        <v>35</v>
      </c>
      <c r="B1335" t="s">
        <v>4</v>
      </c>
      <c r="C1335">
        <v>122</v>
      </c>
      <c r="D1335">
        <v>12</v>
      </c>
      <c r="E1335">
        <v>160</v>
      </c>
      <c r="F1335">
        <v>66828</v>
      </c>
      <c r="G1335">
        <v>22025</v>
      </c>
      <c r="H1335">
        <v>591</v>
      </c>
      <c r="J1335" t="str">
        <f>VLOOKUP(Table3[[#This Row],[Faction ID]],Table4[],2)</f>
        <v>Gondor</v>
      </c>
    </row>
    <row r="1336" spans="1:10" x14ac:dyDescent="0.25">
      <c r="A1336">
        <v>35</v>
      </c>
      <c r="B1336" t="s">
        <v>6</v>
      </c>
      <c r="C1336">
        <v>87</v>
      </c>
      <c r="D1336">
        <v>5</v>
      </c>
      <c r="E1336">
        <v>72.099999999999994</v>
      </c>
      <c r="F1336">
        <v>8418</v>
      </c>
      <c r="G1336">
        <v>12843</v>
      </c>
      <c r="H1336">
        <v>190</v>
      </c>
      <c r="J1336" t="str">
        <f>VLOOKUP(Table3[[#This Row],[Faction ID]],Table4[],2)</f>
        <v>Dale</v>
      </c>
    </row>
    <row r="1337" spans="1:10" x14ac:dyDescent="0.25">
      <c r="A1337">
        <v>35</v>
      </c>
      <c r="B1337" t="s">
        <v>21</v>
      </c>
      <c r="C1337">
        <v>84</v>
      </c>
      <c r="D1337">
        <v>4</v>
      </c>
      <c r="E1337">
        <v>74.3</v>
      </c>
      <c r="F1337">
        <v>56938</v>
      </c>
      <c r="G1337">
        <v>16295</v>
      </c>
      <c r="H1337">
        <v>430</v>
      </c>
      <c r="J1337" t="str">
        <f>VLOOKUP(Table3[[#This Row],[Faction ID]],Table4[],2)</f>
        <v>Erebor</v>
      </c>
    </row>
    <row r="1338" spans="1:10" x14ac:dyDescent="0.25">
      <c r="A1338">
        <v>35</v>
      </c>
      <c r="B1338" t="s">
        <v>5</v>
      </c>
      <c r="C1338">
        <v>97</v>
      </c>
      <c r="D1338">
        <v>10</v>
      </c>
      <c r="E1338">
        <v>76.099999999999994</v>
      </c>
      <c r="F1338">
        <v>29536</v>
      </c>
      <c r="G1338">
        <v>10840</v>
      </c>
      <c r="H1338">
        <v>517</v>
      </c>
      <c r="J1338" t="str">
        <f>VLOOKUP(Table3[[#This Row],[Faction ID]],Table4[],2)</f>
        <v>Rohan</v>
      </c>
    </row>
    <row r="1339" spans="1:10" x14ac:dyDescent="0.25">
      <c r="A1339">
        <v>35</v>
      </c>
      <c r="B1339" t="s">
        <v>12</v>
      </c>
      <c r="C1339">
        <v>119</v>
      </c>
      <c r="D1339">
        <v>12</v>
      </c>
      <c r="E1339">
        <v>155</v>
      </c>
      <c r="F1339">
        <v>12205</v>
      </c>
      <c r="G1339">
        <v>17652</v>
      </c>
      <c r="H1339">
        <v>1194</v>
      </c>
      <c r="J1339" t="str">
        <f>VLOOKUP(Table3[[#This Row],[Faction ID]],Table4[],2)</f>
        <v>Dol Guldur</v>
      </c>
    </row>
    <row r="1340" spans="1:10" x14ac:dyDescent="0.25">
      <c r="A1340">
        <v>35</v>
      </c>
      <c r="B1340" t="s">
        <v>10</v>
      </c>
      <c r="C1340">
        <v>56</v>
      </c>
      <c r="D1340">
        <v>2</v>
      </c>
      <c r="E1340">
        <v>29</v>
      </c>
      <c r="F1340">
        <v>6024</v>
      </c>
      <c r="G1340">
        <v>5713</v>
      </c>
      <c r="H1340">
        <v>0</v>
      </c>
      <c r="J1340" t="str">
        <f>VLOOKUP(Table3[[#This Row],[Faction ID]],Table4[],2)</f>
        <v>Anduin Vale</v>
      </c>
    </row>
    <row r="1341" spans="1:10" x14ac:dyDescent="0.25">
      <c r="A1341">
        <v>35</v>
      </c>
      <c r="B1341" t="s">
        <v>32</v>
      </c>
      <c r="C1341">
        <v>81</v>
      </c>
      <c r="D1341">
        <v>4</v>
      </c>
      <c r="E1341">
        <v>79.7</v>
      </c>
      <c r="F1341">
        <v>5396</v>
      </c>
      <c r="G1341">
        <v>12598</v>
      </c>
      <c r="H1341">
        <v>395</v>
      </c>
      <c r="J1341" t="str">
        <f>VLOOKUP(Table3[[#This Row],[Faction ID]],Table4[],2)</f>
        <v>Isengard</v>
      </c>
    </row>
    <row r="1342" spans="1:10" x14ac:dyDescent="0.25">
      <c r="A1342">
        <v>35</v>
      </c>
      <c r="B1342" t="s">
        <v>22</v>
      </c>
      <c r="C1342">
        <v>30</v>
      </c>
      <c r="D1342">
        <v>0</v>
      </c>
      <c r="E1342">
        <v>0</v>
      </c>
      <c r="F1342">
        <v>8475</v>
      </c>
      <c r="G1342">
        <v>2500</v>
      </c>
      <c r="H1342">
        <v>0</v>
      </c>
      <c r="J1342" t="str">
        <f>VLOOKUP(Table3[[#This Row],[Faction ID]],Table4[],2)</f>
        <v>Woodland Realm</v>
      </c>
    </row>
    <row r="1343" spans="1:10" x14ac:dyDescent="0.25">
      <c r="A1343">
        <v>35</v>
      </c>
      <c r="B1343" t="s">
        <v>23</v>
      </c>
      <c r="C1343">
        <v>55</v>
      </c>
      <c r="D1343">
        <v>1</v>
      </c>
      <c r="E1343">
        <v>18</v>
      </c>
      <c r="F1343">
        <v>2059</v>
      </c>
      <c r="G1343">
        <v>5716</v>
      </c>
      <c r="H1343">
        <v>0</v>
      </c>
      <c r="J1343" t="str">
        <f>VLOOKUP(Table3[[#This Row],[Faction ID]],Table4[],2)</f>
        <v>Lothlorien</v>
      </c>
    </row>
    <row r="1344" spans="1:10" x14ac:dyDescent="0.25">
      <c r="A1344">
        <v>35</v>
      </c>
      <c r="B1344" t="s">
        <v>24</v>
      </c>
      <c r="C1344">
        <v>0</v>
      </c>
      <c r="D1344">
        <v>0</v>
      </c>
      <c r="E1344">
        <v>0</v>
      </c>
      <c r="F1344">
        <v>4919</v>
      </c>
      <c r="G1344">
        <v>1750</v>
      </c>
      <c r="H1344">
        <v>0</v>
      </c>
      <c r="J1344" t="str">
        <f>VLOOKUP(Table3[[#This Row],[Faction ID]],Table4[],2)</f>
        <v>Variags (Khand)</v>
      </c>
    </row>
    <row r="1345" spans="1:10" x14ac:dyDescent="0.25">
      <c r="A1345">
        <v>35</v>
      </c>
      <c r="B1345" t="s">
        <v>14</v>
      </c>
      <c r="C1345">
        <v>9</v>
      </c>
      <c r="D1345">
        <v>6</v>
      </c>
      <c r="E1345">
        <v>89.8</v>
      </c>
      <c r="F1345">
        <v>11248</v>
      </c>
      <c r="G1345">
        <v>13596</v>
      </c>
      <c r="H1345">
        <v>951</v>
      </c>
      <c r="J1345" t="str">
        <f>VLOOKUP(Table3[[#This Row],[Faction ID]],Table4[],2)</f>
        <v>Corsairs of Umbar</v>
      </c>
    </row>
    <row r="1346" spans="1:10" x14ac:dyDescent="0.25">
      <c r="A1346">
        <v>35</v>
      </c>
      <c r="B1346" t="s">
        <v>25</v>
      </c>
      <c r="C1346">
        <v>5</v>
      </c>
      <c r="D1346">
        <v>3</v>
      </c>
      <c r="E1346">
        <v>43</v>
      </c>
      <c r="F1346">
        <v>17808</v>
      </c>
      <c r="G1346">
        <v>6284</v>
      </c>
      <c r="H1346">
        <v>0</v>
      </c>
      <c r="J1346" t="str">
        <f>VLOOKUP(Table3[[#This Row],[Faction ID]],Table4[],2)</f>
        <v>Mahud</v>
      </c>
    </row>
    <row r="1347" spans="1:10" x14ac:dyDescent="0.25">
      <c r="A1347">
        <v>35</v>
      </c>
      <c r="B1347" t="s">
        <v>11</v>
      </c>
      <c r="C1347">
        <v>67</v>
      </c>
      <c r="D1347">
        <v>4</v>
      </c>
      <c r="E1347">
        <v>73</v>
      </c>
      <c r="F1347">
        <v>10682</v>
      </c>
      <c r="G1347">
        <v>11099</v>
      </c>
      <c r="H1347">
        <v>0</v>
      </c>
      <c r="J1347" t="str">
        <f>VLOOKUP(Table3[[#This Row],[Faction ID]],Table4[],2)</f>
        <v>Haradrim</v>
      </c>
    </row>
    <row r="1348" spans="1:10" x14ac:dyDescent="0.25">
      <c r="A1348">
        <v>35</v>
      </c>
      <c r="B1348" t="s">
        <v>15</v>
      </c>
      <c r="C1348">
        <v>71</v>
      </c>
      <c r="D1348">
        <v>5</v>
      </c>
      <c r="E1348">
        <v>57.9</v>
      </c>
      <c r="F1348">
        <v>28629</v>
      </c>
      <c r="G1348">
        <v>11060</v>
      </c>
      <c r="H1348">
        <v>519</v>
      </c>
      <c r="J1348" t="str">
        <f>VLOOKUP(Table3[[#This Row],[Faction ID]],Table4[],2)</f>
        <v>Dunlendings</v>
      </c>
    </row>
    <row r="1349" spans="1:10" x14ac:dyDescent="0.25">
      <c r="A1349">
        <v>35</v>
      </c>
      <c r="B1349" t="s">
        <v>16</v>
      </c>
      <c r="C1349">
        <v>0</v>
      </c>
      <c r="D1349">
        <v>0</v>
      </c>
      <c r="E1349">
        <v>0</v>
      </c>
      <c r="F1349">
        <v>5352</v>
      </c>
      <c r="G1349">
        <v>1750</v>
      </c>
      <c r="H1349">
        <v>0</v>
      </c>
      <c r="J1349" t="str">
        <f>VLOOKUP(Table3[[#This Row],[Faction ID]],Table4[],2)</f>
        <v>Haerrim</v>
      </c>
    </row>
    <row r="1350" spans="1:10" x14ac:dyDescent="0.25">
      <c r="A1350">
        <v>35</v>
      </c>
      <c r="B1350" t="s">
        <v>13</v>
      </c>
      <c r="C1350">
        <v>112</v>
      </c>
      <c r="D1350">
        <v>11</v>
      </c>
      <c r="E1350">
        <v>140.4</v>
      </c>
      <c r="F1350">
        <v>24626</v>
      </c>
      <c r="G1350">
        <v>19644</v>
      </c>
      <c r="H1350">
        <v>1825</v>
      </c>
      <c r="J1350" t="str">
        <f>VLOOKUP(Table3[[#This Row],[Faction ID]],Table4[],2)</f>
        <v>Goblins</v>
      </c>
    </row>
    <row r="1351" spans="1:10" x14ac:dyDescent="0.25">
      <c r="A1351">
        <v>35</v>
      </c>
      <c r="B1351" t="s">
        <v>17</v>
      </c>
      <c r="C1351">
        <v>0</v>
      </c>
      <c r="D1351">
        <v>0</v>
      </c>
      <c r="E1351">
        <v>0</v>
      </c>
      <c r="F1351">
        <v>4872</v>
      </c>
      <c r="G1351">
        <v>1750</v>
      </c>
      <c r="H1351">
        <v>0</v>
      </c>
      <c r="J1351" t="str">
        <f>VLOOKUP(Table3[[#This Row],[Faction ID]],Table4[],2)</f>
        <v>Balchoth</v>
      </c>
    </row>
    <row r="1352" spans="1:10" x14ac:dyDescent="0.25">
      <c r="A1352">
        <v>35</v>
      </c>
      <c r="B1352" t="s">
        <v>18</v>
      </c>
      <c r="C1352">
        <v>115</v>
      </c>
      <c r="D1352">
        <v>31</v>
      </c>
      <c r="E1352">
        <v>396.29999999999899</v>
      </c>
      <c r="F1352">
        <v>20550</v>
      </c>
      <c r="G1352">
        <v>28501</v>
      </c>
      <c r="H1352">
        <v>1068</v>
      </c>
      <c r="J1352" t="str">
        <f>VLOOKUP(Table3[[#This Row],[Faction ID]],Table4[],2)</f>
        <v>Rhurim/Rhun</v>
      </c>
    </row>
    <row r="1353" spans="1:10" x14ac:dyDescent="0.25">
      <c r="A1353">
        <v>35</v>
      </c>
      <c r="B1353" t="s">
        <v>19</v>
      </c>
      <c r="C1353">
        <v>0</v>
      </c>
      <c r="D1353">
        <v>0</v>
      </c>
      <c r="E1353">
        <v>0</v>
      </c>
      <c r="F1353">
        <v>7360</v>
      </c>
      <c r="G1353">
        <v>1750</v>
      </c>
      <c r="H1353">
        <v>0</v>
      </c>
      <c r="J1353" t="str">
        <f>VLOOKUP(Table3[[#This Row],[Faction ID]],Table4[],2)</f>
        <v>Feredrim</v>
      </c>
    </row>
    <row r="1354" spans="1:10" x14ac:dyDescent="0.25">
      <c r="A1354">
        <v>35</v>
      </c>
      <c r="B1354" t="s">
        <v>26</v>
      </c>
      <c r="C1354">
        <v>0</v>
      </c>
      <c r="D1354">
        <v>0</v>
      </c>
      <c r="E1354">
        <v>0</v>
      </c>
      <c r="F1354">
        <v>6395</v>
      </c>
      <c r="G1354">
        <v>1750</v>
      </c>
      <c r="H1354">
        <v>0</v>
      </c>
      <c r="J1354" t="str">
        <f>VLOOKUP(Table3[[#This Row],[Faction ID]],Table4[],2)</f>
        <v>Rachrohir (Wainriders)</v>
      </c>
    </row>
    <row r="1355" spans="1:10" x14ac:dyDescent="0.25">
      <c r="A1355">
        <v>35</v>
      </c>
      <c r="B1355" t="s">
        <v>27</v>
      </c>
      <c r="C1355">
        <v>5</v>
      </c>
      <c r="D1355">
        <v>3</v>
      </c>
      <c r="E1355">
        <v>40</v>
      </c>
      <c r="F1355">
        <v>37994</v>
      </c>
      <c r="G1355">
        <v>9373</v>
      </c>
      <c r="H1355">
        <v>0</v>
      </c>
      <c r="J1355" t="str">
        <f>VLOOKUP(Table3[[#This Row],[Faction ID]],Table4[],2)</f>
        <v>Blacklock-Stonefoot League</v>
      </c>
    </row>
    <row r="1356" spans="1:10" x14ac:dyDescent="0.25">
      <c r="A1356">
        <v>35</v>
      </c>
      <c r="B1356" t="s">
        <v>28</v>
      </c>
      <c r="C1356">
        <v>4</v>
      </c>
      <c r="D1356">
        <v>2</v>
      </c>
      <c r="E1356">
        <v>31</v>
      </c>
      <c r="F1356">
        <v>31089</v>
      </c>
      <c r="G1356">
        <v>5761</v>
      </c>
      <c r="H1356">
        <v>0</v>
      </c>
      <c r="J1356" t="str">
        <f>VLOOKUP(Table3[[#This Row],[Faction ID]],Table4[],2)</f>
        <v>Ironfist-Stiffbeard Union</v>
      </c>
    </row>
    <row r="1357" spans="1:10" x14ac:dyDescent="0.25">
      <c r="A1357">
        <v>35</v>
      </c>
      <c r="B1357" t="s">
        <v>20</v>
      </c>
      <c r="C1357">
        <v>92</v>
      </c>
      <c r="D1357">
        <v>11</v>
      </c>
      <c r="E1357">
        <v>126.3</v>
      </c>
      <c r="F1357">
        <v>10815</v>
      </c>
      <c r="G1357">
        <v>15369</v>
      </c>
      <c r="H1357">
        <v>493</v>
      </c>
      <c r="J1357" t="str">
        <f>VLOOKUP(Table3[[#This Row],[Faction ID]],Table4[],2)</f>
        <v>Gundabad</v>
      </c>
    </row>
    <row r="1358" spans="1:10" x14ac:dyDescent="0.25">
      <c r="A1358">
        <v>35</v>
      </c>
      <c r="B1358" t="s">
        <v>34</v>
      </c>
      <c r="C1358">
        <v>0</v>
      </c>
      <c r="D1358">
        <v>0</v>
      </c>
      <c r="E1358">
        <v>3</v>
      </c>
      <c r="F1358">
        <v>42114</v>
      </c>
      <c r="G1358">
        <v>2379</v>
      </c>
      <c r="H1358">
        <v>0</v>
      </c>
      <c r="J1358" t="str">
        <f>VLOOKUP(Table3[[#This Row],[Faction ID]],Table4[],2)</f>
        <v>Scouts of Rohan</v>
      </c>
    </row>
    <row r="1359" spans="1:10" x14ac:dyDescent="0.25">
      <c r="A1359">
        <v>35</v>
      </c>
      <c r="B1359" t="s">
        <v>33</v>
      </c>
      <c r="C1359">
        <v>5</v>
      </c>
      <c r="D1359">
        <v>3</v>
      </c>
      <c r="E1359">
        <v>34</v>
      </c>
      <c r="F1359">
        <v>20641</v>
      </c>
      <c r="G1359">
        <v>6427</v>
      </c>
      <c r="H1359">
        <v>0</v>
      </c>
      <c r="J1359" t="str">
        <f>VLOOKUP(Table3[[#This Row],[Faction ID]],Table4[],2)</f>
        <v>Northern Enedwaith</v>
      </c>
    </row>
    <row r="1360" spans="1:10" x14ac:dyDescent="0.25">
      <c r="A1360">
        <v>35</v>
      </c>
      <c r="B1360" t="s">
        <v>29</v>
      </c>
      <c r="C1360">
        <v>3</v>
      </c>
      <c r="D1360">
        <v>2</v>
      </c>
      <c r="E1360">
        <v>14</v>
      </c>
      <c r="F1360">
        <v>33386</v>
      </c>
      <c r="G1360">
        <v>2809</v>
      </c>
      <c r="H1360">
        <v>0</v>
      </c>
      <c r="J1360" t="str">
        <f>VLOOKUP(Table3[[#This Row],[Faction ID]],Table4[],2)</f>
        <v>Southern Enedwaith</v>
      </c>
    </row>
    <row r="1361" spans="1:10" x14ac:dyDescent="0.25">
      <c r="A1361">
        <v>35</v>
      </c>
      <c r="B1361" t="s">
        <v>30</v>
      </c>
      <c r="C1361">
        <v>5</v>
      </c>
      <c r="D1361">
        <v>3</v>
      </c>
      <c r="E1361">
        <v>34</v>
      </c>
      <c r="F1361">
        <v>22315</v>
      </c>
      <c r="G1361">
        <v>5759</v>
      </c>
      <c r="H1361">
        <v>0</v>
      </c>
      <c r="J1361" t="str">
        <f>VLOOKUP(Table3[[#This Row],[Faction ID]],Table4[],2)</f>
        <v>Druedain</v>
      </c>
    </row>
    <row r="1362" spans="1:10" x14ac:dyDescent="0.25">
      <c r="A1362">
        <v>35</v>
      </c>
      <c r="B1362" t="s">
        <v>31</v>
      </c>
      <c r="C1362">
        <v>1</v>
      </c>
      <c r="D1362">
        <v>1</v>
      </c>
      <c r="E1362">
        <v>23</v>
      </c>
      <c r="F1362">
        <v>16228</v>
      </c>
      <c r="G1362">
        <v>3604</v>
      </c>
      <c r="H1362">
        <v>0</v>
      </c>
      <c r="J1362" t="str">
        <f>VLOOKUP(Table3[[#This Row],[Faction ID]],Table4[],2)</f>
        <v>Harondor</v>
      </c>
    </row>
    <row r="1363" spans="1:10" x14ac:dyDescent="0.25">
      <c r="A1363">
        <v>35</v>
      </c>
      <c r="B1363" t="s">
        <v>35</v>
      </c>
      <c r="C1363">
        <v>0</v>
      </c>
      <c r="D1363">
        <v>0</v>
      </c>
      <c r="E1363">
        <v>0</v>
      </c>
      <c r="F1363">
        <v>4000</v>
      </c>
      <c r="G1363">
        <v>1750</v>
      </c>
      <c r="H1363">
        <v>0</v>
      </c>
      <c r="J1363" t="str">
        <f>VLOOKUP(Table3[[#This Row],[Faction ID]],Table4[],2)</f>
        <v>Southron Nomads</v>
      </c>
    </row>
    <row r="1364" spans="1:10" x14ac:dyDescent="0.25">
      <c r="A1364">
        <v>35</v>
      </c>
      <c r="B1364" t="s">
        <v>36</v>
      </c>
      <c r="C1364">
        <v>0</v>
      </c>
      <c r="D1364">
        <v>0</v>
      </c>
      <c r="E1364">
        <v>0</v>
      </c>
      <c r="F1364">
        <v>4000</v>
      </c>
      <c r="G1364">
        <v>1750</v>
      </c>
      <c r="H1364">
        <v>0</v>
      </c>
      <c r="J1364" t="str">
        <f>VLOOKUP(Table3[[#This Row],[Faction ID]],Table4[],2)</f>
        <v>_</v>
      </c>
    </row>
    <row r="1365" spans="1:10" x14ac:dyDescent="0.25">
      <c r="A1365">
        <v>35</v>
      </c>
      <c r="B1365" t="s">
        <v>37</v>
      </c>
      <c r="C1365">
        <v>0</v>
      </c>
      <c r="D1365">
        <v>0</v>
      </c>
      <c r="E1365">
        <v>0</v>
      </c>
      <c r="F1365">
        <v>4000</v>
      </c>
      <c r="G1365">
        <v>1750</v>
      </c>
      <c r="H1365">
        <v>0</v>
      </c>
      <c r="J1365" t="str">
        <f>VLOOKUP(Table3[[#This Row],[Faction ID]],Table4[],2)</f>
        <v>_</v>
      </c>
    </row>
    <row r="1366" spans="1:10" x14ac:dyDescent="0.25">
      <c r="A1366">
        <v>35</v>
      </c>
      <c r="B1366" t="s">
        <v>38</v>
      </c>
      <c r="C1366">
        <v>0</v>
      </c>
      <c r="D1366">
        <v>0</v>
      </c>
      <c r="E1366">
        <v>0</v>
      </c>
      <c r="F1366">
        <v>4000</v>
      </c>
      <c r="G1366">
        <v>1750</v>
      </c>
      <c r="H1366">
        <v>0</v>
      </c>
      <c r="J1366" t="str">
        <f>VLOOKUP(Table3[[#This Row],[Faction ID]],Table4[],2)</f>
        <v>_</v>
      </c>
    </row>
    <row r="1367" spans="1:10" x14ac:dyDescent="0.25">
      <c r="A1367">
        <v>35</v>
      </c>
      <c r="B1367" t="s">
        <v>39</v>
      </c>
      <c r="C1367">
        <v>0</v>
      </c>
      <c r="D1367">
        <v>0</v>
      </c>
      <c r="E1367">
        <v>0</v>
      </c>
      <c r="F1367">
        <v>4000</v>
      </c>
      <c r="G1367">
        <v>1750</v>
      </c>
      <c r="H1367">
        <v>0</v>
      </c>
      <c r="J1367" t="str">
        <f>VLOOKUP(Table3[[#This Row],[Faction ID]],Table4[],2)</f>
        <v>_</v>
      </c>
    </row>
    <row r="1368" spans="1:10" x14ac:dyDescent="0.25">
      <c r="A1368">
        <v>35</v>
      </c>
      <c r="B1368" t="s">
        <v>40</v>
      </c>
      <c r="C1368">
        <v>0</v>
      </c>
      <c r="D1368">
        <v>0</v>
      </c>
      <c r="E1368">
        <v>0</v>
      </c>
      <c r="F1368">
        <v>4000</v>
      </c>
      <c r="G1368">
        <v>1750</v>
      </c>
      <c r="H1368">
        <v>0</v>
      </c>
      <c r="J1368" t="str">
        <f>VLOOKUP(Table3[[#This Row],[Faction ID]],Table4[],2)</f>
        <v>_</v>
      </c>
    </row>
    <row r="1369" spans="1:10" x14ac:dyDescent="0.25">
      <c r="A1369">
        <v>35</v>
      </c>
      <c r="B1369" t="s">
        <v>41</v>
      </c>
      <c r="C1369">
        <v>0</v>
      </c>
      <c r="D1369">
        <v>0</v>
      </c>
      <c r="E1369">
        <v>0</v>
      </c>
      <c r="F1369">
        <v>4000</v>
      </c>
      <c r="G1369">
        <v>1750</v>
      </c>
      <c r="H1369">
        <v>0</v>
      </c>
      <c r="J1369" t="str">
        <f>VLOOKUP(Table3[[#This Row],[Faction ID]],Table4[],2)</f>
        <v>_</v>
      </c>
    </row>
    <row r="1370" spans="1:10" x14ac:dyDescent="0.25">
      <c r="A1370">
        <v>35</v>
      </c>
      <c r="B1370" t="s">
        <v>42</v>
      </c>
      <c r="C1370">
        <v>0</v>
      </c>
      <c r="D1370">
        <v>0</v>
      </c>
      <c r="E1370">
        <v>0</v>
      </c>
      <c r="F1370">
        <v>4000</v>
      </c>
      <c r="G1370">
        <v>1750</v>
      </c>
      <c r="H1370">
        <v>0</v>
      </c>
      <c r="J1370" t="str">
        <f>VLOOKUP(Table3[[#This Row],[Faction ID]],Table4[],2)</f>
        <v>_</v>
      </c>
    </row>
    <row r="1371" spans="1:10" x14ac:dyDescent="0.25">
      <c r="A1371">
        <v>35</v>
      </c>
      <c r="B1371" t="s">
        <v>43</v>
      </c>
      <c r="C1371">
        <v>0</v>
      </c>
      <c r="D1371">
        <v>0</v>
      </c>
      <c r="E1371">
        <v>0</v>
      </c>
      <c r="F1371">
        <v>4000</v>
      </c>
      <c r="G1371">
        <v>1750</v>
      </c>
      <c r="H1371">
        <v>0</v>
      </c>
      <c r="J1371" t="str">
        <f>VLOOKUP(Table3[[#This Row],[Faction ID]],Table4[],2)</f>
        <v>_</v>
      </c>
    </row>
    <row r="1372" spans="1:10" x14ac:dyDescent="0.25">
      <c r="A1372">
        <v>35</v>
      </c>
      <c r="B1372" t="s">
        <v>44</v>
      </c>
      <c r="C1372">
        <v>0</v>
      </c>
      <c r="D1372">
        <v>0</v>
      </c>
      <c r="E1372">
        <v>0</v>
      </c>
      <c r="F1372">
        <v>4000</v>
      </c>
      <c r="G1372">
        <v>1750</v>
      </c>
      <c r="H1372">
        <v>0</v>
      </c>
      <c r="J1372" t="str">
        <f>VLOOKUP(Table3[[#This Row],[Faction ID]],Table4[],2)</f>
        <v>_</v>
      </c>
    </row>
    <row r="1373" spans="1:10" x14ac:dyDescent="0.25">
      <c r="A1373">
        <v>36</v>
      </c>
      <c r="B1373" t="s">
        <v>9</v>
      </c>
      <c r="C1373">
        <v>134</v>
      </c>
      <c r="D1373">
        <v>18</v>
      </c>
      <c r="E1373">
        <v>177.4</v>
      </c>
      <c r="F1373">
        <v>6891</v>
      </c>
      <c r="G1373">
        <v>20149</v>
      </c>
      <c r="H1373">
        <v>725</v>
      </c>
      <c r="J1373" t="str">
        <f>VLOOKUP(Table3[[#This Row],[Faction ID]],Table4[],2)</f>
        <v>Mordor</v>
      </c>
    </row>
    <row r="1374" spans="1:10" x14ac:dyDescent="0.25">
      <c r="A1374">
        <v>36</v>
      </c>
      <c r="B1374" t="s">
        <v>4</v>
      </c>
      <c r="C1374">
        <v>122</v>
      </c>
      <c r="D1374">
        <v>12</v>
      </c>
      <c r="E1374">
        <v>160</v>
      </c>
      <c r="F1374">
        <v>74619</v>
      </c>
      <c r="G1374">
        <v>21411</v>
      </c>
      <c r="H1374">
        <v>0</v>
      </c>
      <c r="J1374" t="str">
        <f>VLOOKUP(Table3[[#This Row],[Faction ID]],Table4[],2)</f>
        <v>Gondor</v>
      </c>
    </row>
    <row r="1375" spans="1:10" x14ac:dyDescent="0.25">
      <c r="A1375">
        <v>36</v>
      </c>
      <c r="B1375" t="s">
        <v>6</v>
      </c>
      <c r="C1375">
        <v>92</v>
      </c>
      <c r="D1375">
        <v>5</v>
      </c>
      <c r="E1375">
        <v>72.099999999999994</v>
      </c>
      <c r="F1375">
        <v>10344</v>
      </c>
      <c r="G1375">
        <v>13108</v>
      </c>
      <c r="H1375">
        <v>184</v>
      </c>
      <c r="J1375" t="str">
        <f>VLOOKUP(Table3[[#This Row],[Faction ID]],Table4[],2)</f>
        <v>Dale</v>
      </c>
    </row>
    <row r="1376" spans="1:10" x14ac:dyDescent="0.25">
      <c r="A1376">
        <v>36</v>
      </c>
      <c r="B1376" t="s">
        <v>21</v>
      </c>
      <c r="C1376">
        <v>89</v>
      </c>
      <c r="D1376">
        <v>4</v>
      </c>
      <c r="E1376">
        <v>75.099999999999994</v>
      </c>
      <c r="F1376">
        <v>49704</v>
      </c>
      <c r="G1376">
        <v>14884</v>
      </c>
      <c r="H1376">
        <v>425</v>
      </c>
      <c r="J1376" t="str">
        <f>VLOOKUP(Table3[[#This Row],[Faction ID]],Table4[],2)</f>
        <v>Erebor</v>
      </c>
    </row>
    <row r="1377" spans="1:10" x14ac:dyDescent="0.25">
      <c r="A1377">
        <v>36</v>
      </c>
      <c r="B1377" t="s">
        <v>5</v>
      </c>
      <c r="C1377">
        <v>102</v>
      </c>
      <c r="D1377">
        <v>10</v>
      </c>
      <c r="E1377">
        <v>77.099999999999994</v>
      </c>
      <c r="F1377">
        <v>30861</v>
      </c>
      <c r="G1377">
        <v>10449</v>
      </c>
      <c r="H1377">
        <v>0</v>
      </c>
      <c r="J1377" t="str">
        <f>VLOOKUP(Table3[[#This Row],[Faction ID]],Table4[],2)</f>
        <v>Rohan</v>
      </c>
    </row>
    <row r="1378" spans="1:10" x14ac:dyDescent="0.25">
      <c r="A1378">
        <v>36</v>
      </c>
      <c r="B1378" t="s">
        <v>12</v>
      </c>
      <c r="C1378">
        <v>119</v>
      </c>
      <c r="D1378">
        <v>12</v>
      </c>
      <c r="E1378">
        <v>158</v>
      </c>
      <c r="F1378">
        <v>12044</v>
      </c>
      <c r="G1378">
        <v>17656</v>
      </c>
      <c r="H1378">
        <v>1210</v>
      </c>
      <c r="J1378" t="str">
        <f>VLOOKUP(Table3[[#This Row],[Faction ID]],Table4[],2)</f>
        <v>Dol Guldur</v>
      </c>
    </row>
    <row r="1379" spans="1:10" x14ac:dyDescent="0.25">
      <c r="A1379">
        <v>36</v>
      </c>
      <c r="B1379" t="s">
        <v>10</v>
      </c>
      <c r="C1379">
        <v>56</v>
      </c>
      <c r="D1379">
        <v>2</v>
      </c>
      <c r="E1379">
        <v>30</v>
      </c>
      <c r="F1379">
        <v>6856</v>
      </c>
      <c r="G1379">
        <v>5704</v>
      </c>
      <c r="H1379">
        <v>0</v>
      </c>
      <c r="J1379" t="str">
        <f>VLOOKUP(Table3[[#This Row],[Faction ID]],Table4[],2)</f>
        <v>Anduin Vale</v>
      </c>
    </row>
    <row r="1380" spans="1:10" x14ac:dyDescent="0.25">
      <c r="A1380">
        <v>36</v>
      </c>
      <c r="B1380" t="s">
        <v>32</v>
      </c>
      <c r="C1380">
        <v>101</v>
      </c>
      <c r="D1380">
        <v>4</v>
      </c>
      <c r="E1380">
        <v>80.7</v>
      </c>
      <c r="F1380">
        <v>7602</v>
      </c>
      <c r="G1380">
        <v>12759</v>
      </c>
      <c r="H1380">
        <v>396</v>
      </c>
      <c r="J1380" t="str">
        <f>VLOOKUP(Table3[[#This Row],[Faction ID]],Table4[],2)</f>
        <v>Isengard</v>
      </c>
    </row>
    <row r="1381" spans="1:10" x14ac:dyDescent="0.25">
      <c r="A1381">
        <v>36</v>
      </c>
      <c r="B1381" t="s">
        <v>22</v>
      </c>
      <c r="C1381">
        <v>30</v>
      </c>
      <c r="D1381">
        <v>0</v>
      </c>
      <c r="E1381">
        <v>0</v>
      </c>
      <c r="F1381">
        <v>8475</v>
      </c>
      <c r="G1381">
        <v>2500</v>
      </c>
      <c r="H1381">
        <v>0</v>
      </c>
      <c r="J1381" t="str">
        <f>VLOOKUP(Table3[[#This Row],[Faction ID]],Table4[],2)</f>
        <v>Woodland Realm</v>
      </c>
    </row>
    <row r="1382" spans="1:10" x14ac:dyDescent="0.25">
      <c r="A1382">
        <v>36</v>
      </c>
      <c r="B1382" t="s">
        <v>23</v>
      </c>
      <c r="C1382">
        <v>55</v>
      </c>
      <c r="D1382">
        <v>1</v>
      </c>
      <c r="E1382">
        <v>18</v>
      </c>
      <c r="F1382">
        <v>2541</v>
      </c>
      <c r="G1382">
        <v>5753</v>
      </c>
      <c r="H1382">
        <v>0</v>
      </c>
      <c r="J1382" t="str">
        <f>VLOOKUP(Table3[[#This Row],[Faction ID]],Table4[],2)</f>
        <v>Lothlorien</v>
      </c>
    </row>
    <row r="1383" spans="1:10" x14ac:dyDescent="0.25">
      <c r="A1383">
        <v>36</v>
      </c>
      <c r="B1383" t="s">
        <v>24</v>
      </c>
      <c r="C1383">
        <v>0</v>
      </c>
      <c r="D1383">
        <v>0</v>
      </c>
      <c r="E1383">
        <v>0</v>
      </c>
      <c r="F1383">
        <v>4919</v>
      </c>
      <c r="G1383">
        <v>1750</v>
      </c>
      <c r="H1383">
        <v>0</v>
      </c>
      <c r="J1383" t="str">
        <f>VLOOKUP(Table3[[#This Row],[Faction ID]],Table4[],2)</f>
        <v>Variags (Khand)</v>
      </c>
    </row>
    <row r="1384" spans="1:10" x14ac:dyDescent="0.25">
      <c r="A1384">
        <v>36</v>
      </c>
      <c r="B1384" t="s">
        <v>14</v>
      </c>
      <c r="C1384">
        <v>9</v>
      </c>
      <c r="D1384">
        <v>6</v>
      </c>
      <c r="E1384">
        <v>89.8</v>
      </c>
      <c r="F1384">
        <v>10551</v>
      </c>
      <c r="G1384">
        <v>13546</v>
      </c>
      <c r="H1384">
        <v>953</v>
      </c>
      <c r="J1384" t="str">
        <f>VLOOKUP(Table3[[#This Row],[Faction ID]],Table4[],2)</f>
        <v>Corsairs of Umbar</v>
      </c>
    </row>
    <row r="1385" spans="1:10" x14ac:dyDescent="0.25">
      <c r="A1385">
        <v>36</v>
      </c>
      <c r="B1385" t="s">
        <v>25</v>
      </c>
      <c r="C1385">
        <v>5</v>
      </c>
      <c r="D1385">
        <v>3</v>
      </c>
      <c r="E1385">
        <v>43</v>
      </c>
      <c r="F1385">
        <v>18880</v>
      </c>
      <c r="G1385">
        <v>6284</v>
      </c>
      <c r="H1385">
        <v>0</v>
      </c>
      <c r="J1385" t="str">
        <f>VLOOKUP(Table3[[#This Row],[Faction ID]],Table4[],2)</f>
        <v>Mahud</v>
      </c>
    </row>
    <row r="1386" spans="1:10" x14ac:dyDescent="0.25">
      <c r="A1386">
        <v>36</v>
      </c>
      <c r="B1386" t="s">
        <v>11</v>
      </c>
      <c r="C1386">
        <v>67</v>
      </c>
      <c r="D1386">
        <v>4</v>
      </c>
      <c r="E1386">
        <v>73</v>
      </c>
      <c r="F1386">
        <v>12096</v>
      </c>
      <c r="G1386">
        <v>11674</v>
      </c>
      <c r="H1386">
        <v>0</v>
      </c>
      <c r="J1386" t="str">
        <f>VLOOKUP(Table3[[#This Row],[Faction ID]],Table4[],2)</f>
        <v>Haradrim</v>
      </c>
    </row>
    <row r="1387" spans="1:10" x14ac:dyDescent="0.25">
      <c r="A1387">
        <v>36</v>
      </c>
      <c r="B1387" t="s">
        <v>15</v>
      </c>
      <c r="C1387">
        <v>71</v>
      </c>
      <c r="D1387">
        <v>5</v>
      </c>
      <c r="E1387">
        <v>56.9</v>
      </c>
      <c r="F1387">
        <v>29280</v>
      </c>
      <c r="G1387">
        <v>11508</v>
      </c>
      <c r="H1387">
        <v>524</v>
      </c>
      <c r="J1387" t="str">
        <f>VLOOKUP(Table3[[#This Row],[Faction ID]],Table4[],2)</f>
        <v>Dunlendings</v>
      </c>
    </row>
    <row r="1388" spans="1:10" x14ac:dyDescent="0.25">
      <c r="A1388">
        <v>36</v>
      </c>
      <c r="B1388" t="s">
        <v>16</v>
      </c>
      <c r="C1388">
        <v>0</v>
      </c>
      <c r="D1388">
        <v>0</v>
      </c>
      <c r="E1388">
        <v>0</v>
      </c>
      <c r="F1388">
        <v>5352</v>
      </c>
      <c r="G1388">
        <v>1750</v>
      </c>
      <c r="H1388">
        <v>0</v>
      </c>
      <c r="J1388" t="str">
        <f>VLOOKUP(Table3[[#This Row],[Faction ID]],Table4[],2)</f>
        <v>Haerrim</v>
      </c>
    </row>
    <row r="1389" spans="1:10" x14ac:dyDescent="0.25">
      <c r="A1389">
        <v>36</v>
      </c>
      <c r="B1389" t="s">
        <v>13</v>
      </c>
      <c r="C1389">
        <v>114</v>
      </c>
      <c r="D1389">
        <v>12</v>
      </c>
      <c r="E1389">
        <v>140.4</v>
      </c>
      <c r="F1389">
        <v>19625</v>
      </c>
      <c r="G1389">
        <v>20054</v>
      </c>
      <c r="H1389">
        <v>2018</v>
      </c>
      <c r="J1389" t="str">
        <f>VLOOKUP(Table3[[#This Row],[Faction ID]],Table4[],2)</f>
        <v>Goblins</v>
      </c>
    </row>
    <row r="1390" spans="1:10" x14ac:dyDescent="0.25">
      <c r="A1390">
        <v>36</v>
      </c>
      <c r="B1390" t="s">
        <v>17</v>
      </c>
      <c r="C1390">
        <v>0</v>
      </c>
      <c r="D1390">
        <v>0</v>
      </c>
      <c r="E1390">
        <v>0</v>
      </c>
      <c r="F1390">
        <v>4872</v>
      </c>
      <c r="G1390">
        <v>1750</v>
      </c>
      <c r="H1390">
        <v>0</v>
      </c>
      <c r="J1390" t="str">
        <f>VLOOKUP(Table3[[#This Row],[Faction ID]],Table4[],2)</f>
        <v>Balchoth</v>
      </c>
    </row>
    <row r="1391" spans="1:10" x14ac:dyDescent="0.25">
      <c r="A1391">
        <v>36</v>
      </c>
      <c r="B1391" t="s">
        <v>18</v>
      </c>
      <c r="C1391">
        <v>119</v>
      </c>
      <c r="D1391">
        <v>31</v>
      </c>
      <c r="E1391">
        <v>403.1</v>
      </c>
      <c r="F1391">
        <v>22901</v>
      </c>
      <c r="G1391">
        <v>32340</v>
      </c>
      <c r="H1391">
        <v>1088</v>
      </c>
      <c r="J1391" t="str">
        <f>VLOOKUP(Table3[[#This Row],[Faction ID]],Table4[],2)</f>
        <v>Rhurim/Rhun</v>
      </c>
    </row>
    <row r="1392" spans="1:10" x14ac:dyDescent="0.25">
      <c r="A1392">
        <v>36</v>
      </c>
      <c r="B1392" t="s">
        <v>19</v>
      </c>
      <c r="C1392">
        <v>0</v>
      </c>
      <c r="D1392">
        <v>0</v>
      </c>
      <c r="E1392">
        <v>0</v>
      </c>
      <c r="F1392">
        <v>7360</v>
      </c>
      <c r="G1392">
        <v>1750</v>
      </c>
      <c r="H1392">
        <v>0</v>
      </c>
      <c r="J1392" t="str">
        <f>VLOOKUP(Table3[[#This Row],[Faction ID]],Table4[],2)</f>
        <v>Feredrim</v>
      </c>
    </row>
    <row r="1393" spans="1:10" x14ac:dyDescent="0.25">
      <c r="A1393">
        <v>36</v>
      </c>
      <c r="B1393" t="s">
        <v>26</v>
      </c>
      <c r="C1393">
        <v>0</v>
      </c>
      <c r="D1393">
        <v>0</v>
      </c>
      <c r="E1393">
        <v>0</v>
      </c>
      <c r="F1393">
        <v>6395</v>
      </c>
      <c r="G1393">
        <v>1750</v>
      </c>
      <c r="H1393">
        <v>0</v>
      </c>
      <c r="J1393" t="str">
        <f>VLOOKUP(Table3[[#This Row],[Faction ID]],Table4[],2)</f>
        <v>Rachrohir (Wainriders)</v>
      </c>
    </row>
    <row r="1394" spans="1:10" x14ac:dyDescent="0.25">
      <c r="A1394">
        <v>36</v>
      </c>
      <c r="B1394" t="s">
        <v>27</v>
      </c>
      <c r="C1394">
        <v>5</v>
      </c>
      <c r="D1394">
        <v>3</v>
      </c>
      <c r="E1394">
        <v>41</v>
      </c>
      <c r="F1394">
        <v>31967</v>
      </c>
      <c r="G1394">
        <v>9646</v>
      </c>
      <c r="H1394">
        <v>0</v>
      </c>
      <c r="J1394" t="str">
        <f>VLOOKUP(Table3[[#This Row],[Faction ID]],Table4[],2)</f>
        <v>Blacklock-Stonefoot League</v>
      </c>
    </row>
    <row r="1395" spans="1:10" x14ac:dyDescent="0.25">
      <c r="A1395">
        <v>36</v>
      </c>
      <c r="B1395" t="s">
        <v>28</v>
      </c>
      <c r="C1395">
        <v>4</v>
      </c>
      <c r="D1395">
        <v>2</v>
      </c>
      <c r="E1395">
        <v>31</v>
      </c>
      <c r="F1395">
        <v>30980</v>
      </c>
      <c r="G1395">
        <v>5604</v>
      </c>
      <c r="H1395">
        <v>0</v>
      </c>
      <c r="J1395" t="str">
        <f>VLOOKUP(Table3[[#This Row],[Faction ID]],Table4[],2)</f>
        <v>Ironfist-Stiffbeard Union</v>
      </c>
    </row>
    <row r="1396" spans="1:10" x14ac:dyDescent="0.25">
      <c r="A1396">
        <v>36</v>
      </c>
      <c r="B1396" t="s">
        <v>20</v>
      </c>
      <c r="C1396">
        <v>92</v>
      </c>
      <c r="D1396">
        <v>11</v>
      </c>
      <c r="E1396">
        <v>126.3</v>
      </c>
      <c r="F1396">
        <v>13834</v>
      </c>
      <c r="G1396">
        <v>16509</v>
      </c>
      <c r="H1396">
        <v>668</v>
      </c>
      <c r="J1396" t="str">
        <f>VLOOKUP(Table3[[#This Row],[Faction ID]],Table4[],2)</f>
        <v>Gundabad</v>
      </c>
    </row>
    <row r="1397" spans="1:10" x14ac:dyDescent="0.25">
      <c r="A1397">
        <v>36</v>
      </c>
      <c r="B1397" t="s">
        <v>34</v>
      </c>
      <c r="C1397">
        <v>0</v>
      </c>
      <c r="D1397">
        <v>0</v>
      </c>
      <c r="E1397">
        <v>3</v>
      </c>
      <c r="F1397">
        <v>43235</v>
      </c>
      <c r="G1397">
        <v>2379</v>
      </c>
      <c r="H1397">
        <v>0</v>
      </c>
      <c r="J1397" t="str">
        <f>VLOOKUP(Table3[[#This Row],[Faction ID]],Table4[],2)</f>
        <v>Scouts of Rohan</v>
      </c>
    </row>
    <row r="1398" spans="1:10" x14ac:dyDescent="0.25">
      <c r="A1398">
        <v>36</v>
      </c>
      <c r="B1398" t="s">
        <v>33</v>
      </c>
      <c r="C1398">
        <v>5</v>
      </c>
      <c r="D1398">
        <v>3</v>
      </c>
      <c r="E1398">
        <v>37</v>
      </c>
      <c r="F1398">
        <v>18019</v>
      </c>
      <c r="G1398">
        <v>6420</v>
      </c>
      <c r="H1398">
        <v>0</v>
      </c>
      <c r="J1398" t="str">
        <f>VLOOKUP(Table3[[#This Row],[Faction ID]],Table4[],2)</f>
        <v>Northern Enedwaith</v>
      </c>
    </row>
    <row r="1399" spans="1:10" x14ac:dyDescent="0.25">
      <c r="A1399">
        <v>36</v>
      </c>
      <c r="B1399" t="s">
        <v>29</v>
      </c>
      <c r="C1399">
        <v>3</v>
      </c>
      <c r="D1399">
        <v>2</v>
      </c>
      <c r="E1399">
        <v>14</v>
      </c>
      <c r="F1399">
        <v>35652</v>
      </c>
      <c r="G1399">
        <v>2806</v>
      </c>
      <c r="H1399">
        <v>0</v>
      </c>
      <c r="J1399" t="str">
        <f>VLOOKUP(Table3[[#This Row],[Faction ID]],Table4[],2)</f>
        <v>Southern Enedwaith</v>
      </c>
    </row>
    <row r="1400" spans="1:10" x14ac:dyDescent="0.25">
      <c r="A1400">
        <v>36</v>
      </c>
      <c r="B1400" t="s">
        <v>30</v>
      </c>
      <c r="C1400">
        <v>5</v>
      </c>
      <c r="D1400">
        <v>3</v>
      </c>
      <c r="E1400">
        <v>35</v>
      </c>
      <c r="F1400">
        <v>23718</v>
      </c>
      <c r="G1400">
        <v>5780</v>
      </c>
      <c r="H1400">
        <v>0</v>
      </c>
      <c r="J1400" t="str">
        <f>VLOOKUP(Table3[[#This Row],[Faction ID]],Table4[],2)</f>
        <v>Druedain</v>
      </c>
    </row>
    <row r="1401" spans="1:10" x14ac:dyDescent="0.25">
      <c r="A1401">
        <v>36</v>
      </c>
      <c r="B1401" t="s">
        <v>31</v>
      </c>
      <c r="C1401">
        <v>1</v>
      </c>
      <c r="D1401">
        <v>1</v>
      </c>
      <c r="E1401">
        <v>22</v>
      </c>
      <c r="F1401">
        <v>15146</v>
      </c>
      <c r="G1401">
        <v>4071</v>
      </c>
      <c r="H1401">
        <v>0</v>
      </c>
      <c r="J1401" t="str">
        <f>VLOOKUP(Table3[[#This Row],[Faction ID]],Table4[],2)</f>
        <v>Harondor</v>
      </c>
    </row>
    <row r="1402" spans="1:10" x14ac:dyDescent="0.25">
      <c r="A1402">
        <v>36</v>
      </c>
      <c r="B1402" t="s">
        <v>35</v>
      </c>
      <c r="C1402">
        <v>0</v>
      </c>
      <c r="D1402">
        <v>0</v>
      </c>
      <c r="E1402">
        <v>0</v>
      </c>
      <c r="F1402">
        <v>4000</v>
      </c>
      <c r="G1402">
        <v>1750</v>
      </c>
      <c r="H1402">
        <v>0</v>
      </c>
      <c r="J1402" t="str">
        <f>VLOOKUP(Table3[[#This Row],[Faction ID]],Table4[],2)</f>
        <v>Southron Nomads</v>
      </c>
    </row>
    <row r="1403" spans="1:10" x14ac:dyDescent="0.25">
      <c r="A1403">
        <v>36</v>
      </c>
      <c r="B1403" t="s">
        <v>36</v>
      </c>
      <c r="C1403">
        <v>0</v>
      </c>
      <c r="D1403">
        <v>0</v>
      </c>
      <c r="E1403">
        <v>0</v>
      </c>
      <c r="F1403">
        <v>4000</v>
      </c>
      <c r="G1403">
        <v>1750</v>
      </c>
      <c r="H1403">
        <v>0</v>
      </c>
      <c r="J1403" t="str">
        <f>VLOOKUP(Table3[[#This Row],[Faction ID]],Table4[],2)</f>
        <v>_</v>
      </c>
    </row>
    <row r="1404" spans="1:10" x14ac:dyDescent="0.25">
      <c r="A1404">
        <v>36</v>
      </c>
      <c r="B1404" t="s">
        <v>37</v>
      </c>
      <c r="C1404">
        <v>0</v>
      </c>
      <c r="D1404">
        <v>0</v>
      </c>
      <c r="E1404">
        <v>0</v>
      </c>
      <c r="F1404">
        <v>4000</v>
      </c>
      <c r="G1404">
        <v>1750</v>
      </c>
      <c r="H1404">
        <v>0</v>
      </c>
      <c r="J1404" t="str">
        <f>VLOOKUP(Table3[[#This Row],[Faction ID]],Table4[],2)</f>
        <v>_</v>
      </c>
    </row>
    <row r="1405" spans="1:10" x14ac:dyDescent="0.25">
      <c r="A1405">
        <v>36</v>
      </c>
      <c r="B1405" t="s">
        <v>38</v>
      </c>
      <c r="C1405">
        <v>0</v>
      </c>
      <c r="D1405">
        <v>0</v>
      </c>
      <c r="E1405">
        <v>0</v>
      </c>
      <c r="F1405">
        <v>4000</v>
      </c>
      <c r="G1405">
        <v>1750</v>
      </c>
      <c r="H1405">
        <v>0</v>
      </c>
      <c r="J1405" t="str">
        <f>VLOOKUP(Table3[[#This Row],[Faction ID]],Table4[],2)</f>
        <v>_</v>
      </c>
    </row>
    <row r="1406" spans="1:10" x14ac:dyDescent="0.25">
      <c r="A1406">
        <v>36</v>
      </c>
      <c r="B1406" t="s">
        <v>39</v>
      </c>
      <c r="C1406">
        <v>0</v>
      </c>
      <c r="D1406">
        <v>0</v>
      </c>
      <c r="E1406">
        <v>0</v>
      </c>
      <c r="F1406">
        <v>4000</v>
      </c>
      <c r="G1406">
        <v>1750</v>
      </c>
      <c r="H1406">
        <v>0</v>
      </c>
      <c r="J1406" t="str">
        <f>VLOOKUP(Table3[[#This Row],[Faction ID]],Table4[],2)</f>
        <v>_</v>
      </c>
    </row>
    <row r="1407" spans="1:10" x14ac:dyDescent="0.25">
      <c r="A1407">
        <v>36</v>
      </c>
      <c r="B1407" t="s">
        <v>40</v>
      </c>
      <c r="C1407">
        <v>0</v>
      </c>
      <c r="D1407">
        <v>0</v>
      </c>
      <c r="E1407">
        <v>0</v>
      </c>
      <c r="F1407">
        <v>4000</v>
      </c>
      <c r="G1407">
        <v>1750</v>
      </c>
      <c r="H1407">
        <v>0</v>
      </c>
      <c r="J1407" t="str">
        <f>VLOOKUP(Table3[[#This Row],[Faction ID]],Table4[],2)</f>
        <v>_</v>
      </c>
    </row>
    <row r="1408" spans="1:10" x14ac:dyDescent="0.25">
      <c r="A1408">
        <v>36</v>
      </c>
      <c r="B1408" t="s">
        <v>41</v>
      </c>
      <c r="C1408">
        <v>0</v>
      </c>
      <c r="D1408">
        <v>0</v>
      </c>
      <c r="E1408">
        <v>0</v>
      </c>
      <c r="F1408">
        <v>4000</v>
      </c>
      <c r="G1408">
        <v>1750</v>
      </c>
      <c r="H1408">
        <v>0</v>
      </c>
      <c r="J1408" t="str">
        <f>VLOOKUP(Table3[[#This Row],[Faction ID]],Table4[],2)</f>
        <v>_</v>
      </c>
    </row>
    <row r="1409" spans="1:10" x14ac:dyDescent="0.25">
      <c r="A1409">
        <v>36</v>
      </c>
      <c r="B1409" t="s">
        <v>42</v>
      </c>
      <c r="C1409">
        <v>0</v>
      </c>
      <c r="D1409">
        <v>0</v>
      </c>
      <c r="E1409">
        <v>0</v>
      </c>
      <c r="F1409">
        <v>4000</v>
      </c>
      <c r="G1409">
        <v>1750</v>
      </c>
      <c r="H1409">
        <v>0</v>
      </c>
      <c r="J1409" t="str">
        <f>VLOOKUP(Table3[[#This Row],[Faction ID]],Table4[],2)</f>
        <v>_</v>
      </c>
    </row>
    <row r="1410" spans="1:10" x14ac:dyDescent="0.25">
      <c r="A1410">
        <v>36</v>
      </c>
      <c r="B1410" t="s">
        <v>43</v>
      </c>
      <c r="C1410">
        <v>0</v>
      </c>
      <c r="D1410">
        <v>0</v>
      </c>
      <c r="E1410">
        <v>0</v>
      </c>
      <c r="F1410">
        <v>4000</v>
      </c>
      <c r="G1410">
        <v>1750</v>
      </c>
      <c r="H1410">
        <v>0</v>
      </c>
      <c r="J1410" t="str">
        <f>VLOOKUP(Table3[[#This Row],[Faction ID]],Table4[],2)</f>
        <v>_</v>
      </c>
    </row>
    <row r="1411" spans="1:10" x14ac:dyDescent="0.25">
      <c r="A1411">
        <v>36</v>
      </c>
      <c r="B1411" t="s">
        <v>44</v>
      </c>
      <c r="C1411">
        <v>0</v>
      </c>
      <c r="D1411">
        <v>0</v>
      </c>
      <c r="E1411">
        <v>0</v>
      </c>
      <c r="F1411">
        <v>4000</v>
      </c>
      <c r="G1411">
        <v>1750</v>
      </c>
      <c r="H1411">
        <v>0</v>
      </c>
      <c r="J1411" t="str">
        <f>VLOOKUP(Table3[[#This Row],[Faction ID]],Table4[],2)</f>
        <v>_</v>
      </c>
    </row>
    <row r="1412" spans="1:10" x14ac:dyDescent="0.25">
      <c r="A1412">
        <v>37</v>
      </c>
      <c r="B1412" t="s">
        <v>9</v>
      </c>
      <c r="C1412">
        <v>134</v>
      </c>
      <c r="D1412">
        <v>18</v>
      </c>
      <c r="E1412">
        <v>177.4</v>
      </c>
      <c r="F1412">
        <v>10931</v>
      </c>
      <c r="G1412">
        <v>20141</v>
      </c>
      <c r="H1412">
        <v>852</v>
      </c>
      <c r="J1412" t="str">
        <f>VLOOKUP(Table3[[#This Row],[Faction ID]],Table4[],2)</f>
        <v>Mordor</v>
      </c>
    </row>
    <row r="1413" spans="1:10" x14ac:dyDescent="0.25">
      <c r="A1413">
        <v>37</v>
      </c>
      <c r="B1413" t="s">
        <v>4</v>
      </c>
      <c r="C1413">
        <v>127</v>
      </c>
      <c r="D1413">
        <v>12</v>
      </c>
      <c r="E1413">
        <v>168</v>
      </c>
      <c r="F1413">
        <v>61856</v>
      </c>
      <c r="G1413">
        <v>23470</v>
      </c>
      <c r="H1413">
        <v>587</v>
      </c>
      <c r="J1413" t="str">
        <f>VLOOKUP(Table3[[#This Row],[Faction ID]],Table4[],2)</f>
        <v>Gondor</v>
      </c>
    </row>
    <row r="1414" spans="1:10" x14ac:dyDescent="0.25">
      <c r="A1414">
        <v>37</v>
      </c>
      <c r="B1414" t="s">
        <v>6</v>
      </c>
      <c r="C1414">
        <v>92</v>
      </c>
      <c r="D1414">
        <v>5</v>
      </c>
      <c r="E1414">
        <v>55.6</v>
      </c>
      <c r="F1414">
        <v>12542</v>
      </c>
      <c r="G1414">
        <v>11704</v>
      </c>
      <c r="H1414">
        <v>197</v>
      </c>
      <c r="J1414" t="str">
        <f>VLOOKUP(Table3[[#This Row],[Faction ID]],Table4[],2)</f>
        <v>Dale</v>
      </c>
    </row>
    <row r="1415" spans="1:10" x14ac:dyDescent="0.25">
      <c r="A1415">
        <v>37</v>
      </c>
      <c r="B1415" t="s">
        <v>21</v>
      </c>
      <c r="C1415">
        <v>89</v>
      </c>
      <c r="D1415">
        <v>4</v>
      </c>
      <c r="E1415">
        <v>78.099999999999994</v>
      </c>
      <c r="F1415">
        <v>42478</v>
      </c>
      <c r="G1415">
        <v>18122</v>
      </c>
      <c r="H1415">
        <v>435</v>
      </c>
      <c r="J1415" t="str">
        <f>VLOOKUP(Table3[[#This Row],[Faction ID]],Table4[],2)</f>
        <v>Erebor</v>
      </c>
    </row>
    <row r="1416" spans="1:10" x14ac:dyDescent="0.25">
      <c r="A1416">
        <v>37</v>
      </c>
      <c r="B1416" t="s">
        <v>5</v>
      </c>
      <c r="C1416">
        <v>100</v>
      </c>
      <c r="D1416">
        <v>8</v>
      </c>
      <c r="E1416">
        <v>64</v>
      </c>
      <c r="F1416">
        <v>39109</v>
      </c>
      <c r="G1416">
        <v>8925</v>
      </c>
      <c r="H1416">
        <v>514</v>
      </c>
      <c r="J1416" t="str">
        <f>VLOOKUP(Table3[[#This Row],[Faction ID]],Table4[],2)</f>
        <v>Rohan</v>
      </c>
    </row>
    <row r="1417" spans="1:10" x14ac:dyDescent="0.25">
      <c r="A1417">
        <v>37</v>
      </c>
      <c r="B1417" t="s">
        <v>12</v>
      </c>
      <c r="C1417">
        <v>120</v>
      </c>
      <c r="D1417">
        <v>13</v>
      </c>
      <c r="E1417">
        <v>160.69999999999999</v>
      </c>
      <c r="F1417">
        <v>11977</v>
      </c>
      <c r="G1417">
        <v>17851</v>
      </c>
      <c r="H1417">
        <v>1212</v>
      </c>
      <c r="J1417" t="str">
        <f>VLOOKUP(Table3[[#This Row],[Faction ID]],Table4[],2)</f>
        <v>Dol Guldur</v>
      </c>
    </row>
    <row r="1418" spans="1:10" x14ac:dyDescent="0.25">
      <c r="A1418">
        <v>37</v>
      </c>
      <c r="B1418" t="s">
        <v>10</v>
      </c>
      <c r="C1418">
        <v>61</v>
      </c>
      <c r="D1418">
        <v>2</v>
      </c>
      <c r="E1418">
        <v>35</v>
      </c>
      <c r="F1418">
        <v>5610</v>
      </c>
      <c r="G1418">
        <v>5392</v>
      </c>
      <c r="H1418">
        <v>0</v>
      </c>
      <c r="J1418" t="str">
        <f>VLOOKUP(Table3[[#This Row],[Faction ID]],Table4[],2)</f>
        <v>Anduin Vale</v>
      </c>
    </row>
    <row r="1419" spans="1:10" x14ac:dyDescent="0.25">
      <c r="A1419">
        <v>37</v>
      </c>
      <c r="B1419" t="s">
        <v>32</v>
      </c>
      <c r="C1419">
        <v>107</v>
      </c>
      <c r="D1419">
        <v>5</v>
      </c>
      <c r="E1419">
        <v>81.7</v>
      </c>
      <c r="F1419">
        <v>10035</v>
      </c>
      <c r="G1419">
        <v>13509</v>
      </c>
      <c r="H1419">
        <v>744</v>
      </c>
      <c r="J1419" t="str">
        <f>VLOOKUP(Table3[[#This Row],[Faction ID]],Table4[],2)</f>
        <v>Isengard</v>
      </c>
    </row>
    <row r="1420" spans="1:10" x14ac:dyDescent="0.25">
      <c r="A1420">
        <v>37</v>
      </c>
      <c r="B1420" t="s">
        <v>22</v>
      </c>
      <c r="C1420">
        <v>30</v>
      </c>
      <c r="D1420">
        <v>0</v>
      </c>
      <c r="E1420">
        <v>0</v>
      </c>
      <c r="F1420">
        <v>8475</v>
      </c>
      <c r="G1420">
        <v>2500</v>
      </c>
      <c r="H1420">
        <v>0</v>
      </c>
      <c r="J1420" t="str">
        <f>VLOOKUP(Table3[[#This Row],[Faction ID]],Table4[],2)</f>
        <v>Woodland Realm</v>
      </c>
    </row>
    <row r="1421" spans="1:10" x14ac:dyDescent="0.25">
      <c r="A1421">
        <v>37</v>
      </c>
      <c r="B1421" t="s">
        <v>23</v>
      </c>
      <c r="C1421">
        <v>61</v>
      </c>
      <c r="D1421">
        <v>2</v>
      </c>
      <c r="E1421">
        <v>22</v>
      </c>
      <c r="F1421">
        <v>3094</v>
      </c>
      <c r="G1421">
        <v>6727</v>
      </c>
      <c r="H1421">
        <v>0</v>
      </c>
      <c r="J1421" t="str">
        <f>VLOOKUP(Table3[[#This Row],[Faction ID]],Table4[],2)</f>
        <v>Lothlorien</v>
      </c>
    </row>
    <row r="1422" spans="1:10" x14ac:dyDescent="0.25">
      <c r="A1422">
        <v>37</v>
      </c>
      <c r="B1422" t="s">
        <v>24</v>
      </c>
      <c r="C1422">
        <v>0</v>
      </c>
      <c r="D1422">
        <v>0</v>
      </c>
      <c r="E1422">
        <v>0</v>
      </c>
      <c r="F1422">
        <v>4919</v>
      </c>
      <c r="G1422">
        <v>1750</v>
      </c>
      <c r="H1422">
        <v>0</v>
      </c>
      <c r="J1422" t="str">
        <f>VLOOKUP(Table3[[#This Row],[Faction ID]],Table4[],2)</f>
        <v>Variags (Khand)</v>
      </c>
    </row>
    <row r="1423" spans="1:10" x14ac:dyDescent="0.25">
      <c r="A1423">
        <v>37</v>
      </c>
      <c r="B1423" t="s">
        <v>14</v>
      </c>
      <c r="C1423">
        <v>10</v>
      </c>
      <c r="D1423">
        <v>7</v>
      </c>
      <c r="E1423">
        <v>91.8</v>
      </c>
      <c r="F1423">
        <v>15505</v>
      </c>
      <c r="G1423">
        <v>15378</v>
      </c>
      <c r="H1423">
        <v>963</v>
      </c>
      <c r="J1423" t="str">
        <f>VLOOKUP(Table3[[#This Row],[Faction ID]],Table4[],2)</f>
        <v>Corsairs of Umbar</v>
      </c>
    </row>
    <row r="1424" spans="1:10" x14ac:dyDescent="0.25">
      <c r="A1424">
        <v>37</v>
      </c>
      <c r="B1424" t="s">
        <v>25</v>
      </c>
      <c r="C1424">
        <v>5</v>
      </c>
      <c r="D1424">
        <v>3</v>
      </c>
      <c r="E1424">
        <v>24</v>
      </c>
      <c r="F1424">
        <v>22316</v>
      </c>
      <c r="G1424">
        <v>4007</v>
      </c>
      <c r="H1424">
        <v>0</v>
      </c>
      <c r="J1424" t="str">
        <f>VLOOKUP(Table3[[#This Row],[Faction ID]],Table4[],2)</f>
        <v>Mahud</v>
      </c>
    </row>
    <row r="1425" spans="1:10" x14ac:dyDescent="0.25">
      <c r="A1425">
        <v>37</v>
      </c>
      <c r="B1425" t="s">
        <v>11</v>
      </c>
      <c r="C1425">
        <v>73</v>
      </c>
      <c r="D1425">
        <v>5</v>
      </c>
      <c r="E1425">
        <v>74.900000000000006</v>
      </c>
      <c r="F1425">
        <v>11950</v>
      </c>
      <c r="G1425">
        <v>11473</v>
      </c>
      <c r="H1425">
        <v>0</v>
      </c>
      <c r="J1425" t="str">
        <f>VLOOKUP(Table3[[#This Row],[Faction ID]],Table4[],2)</f>
        <v>Haradrim</v>
      </c>
    </row>
    <row r="1426" spans="1:10" x14ac:dyDescent="0.25">
      <c r="A1426">
        <v>37</v>
      </c>
      <c r="B1426" t="s">
        <v>15</v>
      </c>
      <c r="C1426">
        <v>76</v>
      </c>
      <c r="D1426">
        <v>6</v>
      </c>
      <c r="E1426">
        <v>72.900000000000006</v>
      </c>
      <c r="F1426">
        <v>16746</v>
      </c>
      <c r="G1426">
        <v>13522</v>
      </c>
      <c r="H1426">
        <v>663</v>
      </c>
      <c r="J1426" t="str">
        <f>VLOOKUP(Table3[[#This Row],[Faction ID]],Table4[],2)</f>
        <v>Dunlendings</v>
      </c>
    </row>
    <row r="1427" spans="1:10" x14ac:dyDescent="0.25">
      <c r="A1427">
        <v>37</v>
      </c>
      <c r="B1427" t="s">
        <v>16</v>
      </c>
      <c r="C1427">
        <v>0</v>
      </c>
      <c r="D1427">
        <v>0</v>
      </c>
      <c r="E1427">
        <v>0</v>
      </c>
      <c r="F1427">
        <v>5352</v>
      </c>
      <c r="G1427">
        <v>1750</v>
      </c>
      <c r="H1427">
        <v>0</v>
      </c>
      <c r="J1427" t="str">
        <f>VLOOKUP(Table3[[#This Row],[Faction ID]],Table4[],2)</f>
        <v>Haerrim</v>
      </c>
    </row>
    <row r="1428" spans="1:10" x14ac:dyDescent="0.25">
      <c r="A1428">
        <v>37</v>
      </c>
      <c r="B1428" t="s">
        <v>13</v>
      </c>
      <c r="C1428">
        <v>113</v>
      </c>
      <c r="D1428">
        <v>11</v>
      </c>
      <c r="E1428">
        <v>143</v>
      </c>
      <c r="F1428">
        <v>21794</v>
      </c>
      <c r="G1428">
        <v>19132</v>
      </c>
      <c r="H1428">
        <v>2018</v>
      </c>
      <c r="J1428" t="str">
        <f>VLOOKUP(Table3[[#This Row],[Faction ID]],Table4[],2)</f>
        <v>Goblins</v>
      </c>
    </row>
    <row r="1429" spans="1:10" x14ac:dyDescent="0.25">
      <c r="A1429">
        <v>37</v>
      </c>
      <c r="B1429" t="s">
        <v>17</v>
      </c>
      <c r="C1429">
        <v>0</v>
      </c>
      <c r="D1429">
        <v>0</v>
      </c>
      <c r="E1429">
        <v>0</v>
      </c>
      <c r="F1429">
        <v>4872</v>
      </c>
      <c r="G1429">
        <v>1750</v>
      </c>
      <c r="H1429">
        <v>0</v>
      </c>
      <c r="J1429" t="str">
        <f>VLOOKUP(Table3[[#This Row],[Faction ID]],Table4[],2)</f>
        <v>Balchoth</v>
      </c>
    </row>
    <row r="1430" spans="1:10" x14ac:dyDescent="0.25">
      <c r="A1430">
        <v>37</v>
      </c>
      <c r="B1430" t="s">
        <v>18</v>
      </c>
      <c r="C1430">
        <v>118</v>
      </c>
      <c r="D1430">
        <v>30</v>
      </c>
      <c r="E1430">
        <v>416.1</v>
      </c>
      <c r="F1430">
        <v>22860</v>
      </c>
      <c r="G1430">
        <v>32887</v>
      </c>
      <c r="H1430">
        <v>1038</v>
      </c>
      <c r="J1430" t="str">
        <f>VLOOKUP(Table3[[#This Row],[Faction ID]],Table4[],2)</f>
        <v>Rhurim/Rhun</v>
      </c>
    </row>
    <row r="1431" spans="1:10" x14ac:dyDescent="0.25">
      <c r="A1431">
        <v>37</v>
      </c>
      <c r="B1431" t="s">
        <v>19</v>
      </c>
      <c r="C1431">
        <v>0</v>
      </c>
      <c r="D1431">
        <v>0</v>
      </c>
      <c r="E1431">
        <v>0</v>
      </c>
      <c r="F1431">
        <v>7360</v>
      </c>
      <c r="G1431">
        <v>1750</v>
      </c>
      <c r="H1431">
        <v>0</v>
      </c>
      <c r="J1431" t="str">
        <f>VLOOKUP(Table3[[#This Row],[Faction ID]],Table4[],2)</f>
        <v>Feredrim</v>
      </c>
    </row>
    <row r="1432" spans="1:10" x14ac:dyDescent="0.25">
      <c r="A1432">
        <v>37</v>
      </c>
      <c r="B1432" t="s">
        <v>26</v>
      </c>
      <c r="C1432">
        <v>0</v>
      </c>
      <c r="D1432">
        <v>0</v>
      </c>
      <c r="E1432">
        <v>0</v>
      </c>
      <c r="F1432">
        <v>6395</v>
      </c>
      <c r="G1432">
        <v>1750</v>
      </c>
      <c r="H1432">
        <v>0</v>
      </c>
      <c r="J1432" t="str">
        <f>VLOOKUP(Table3[[#This Row],[Faction ID]],Table4[],2)</f>
        <v>Rachrohir (Wainriders)</v>
      </c>
    </row>
    <row r="1433" spans="1:10" x14ac:dyDescent="0.25">
      <c r="A1433">
        <v>37</v>
      </c>
      <c r="B1433" t="s">
        <v>27</v>
      </c>
      <c r="C1433">
        <v>5</v>
      </c>
      <c r="D1433">
        <v>3</v>
      </c>
      <c r="E1433">
        <v>44</v>
      </c>
      <c r="F1433">
        <v>35684</v>
      </c>
      <c r="G1433">
        <v>10039</v>
      </c>
      <c r="H1433">
        <v>0</v>
      </c>
      <c r="J1433" t="str">
        <f>VLOOKUP(Table3[[#This Row],[Faction ID]],Table4[],2)</f>
        <v>Blacklock-Stonefoot League</v>
      </c>
    </row>
    <row r="1434" spans="1:10" x14ac:dyDescent="0.25">
      <c r="A1434">
        <v>37</v>
      </c>
      <c r="B1434" t="s">
        <v>28</v>
      </c>
      <c r="C1434">
        <v>4</v>
      </c>
      <c r="D1434">
        <v>2</v>
      </c>
      <c r="E1434">
        <v>32</v>
      </c>
      <c r="F1434">
        <v>32884</v>
      </c>
      <c r="G1434">
        <v>4512</v>
      </c>
      <c r="H1434">
        <v>0</v>
      </c>
      <c r="J1434" t="str">
        <f>VLOOKUP(Table3[[#This Row],[Faction ID]],Table4[],2)</f>
        <v>Ironfist-Stiffbeard Union</v>
      </c>
    </row>
    <row r="1435" spans="1:10" x14ac:dyDescent="0.25">
      <c r="A1435">
        <v>37</v>
      </c>
      <c r="B1435" t="s">
        <v>20</v>
      </c>
      <c r="C1435">
        <v>92</v>
      </c>
      <c r="D1435">
        <v>11</v>
      </c>
      <c r="E1435">
        <v>126.3</v>
      </c>
      <c r="F1435">
        <v>15582</v>
      </c>
      <c r="G1435">
        <v>16406</v>
      </c>
      <c r="H1435">
        <v>871</v>
      </c>
      <c r="J1435" t="str">
        <f>VLOOKUP(Table3[[#This Row],[Faction ID]],Table4[],2)</f>
        <v>Gundabad</v>
      </c>
    </row>
    <row r="1436" spans="1:10" x14ac:dyDescent="0.25">
      <c r="A1436">
        <v>37</v>
      </c>
      <c r="B1436" t="s">
        <v>34</v>
      </c>
      <c r="C1436">
        <v>0</v>
      </c>
      <c r="D1436">
        <v>0</v>
      </c>
      <c r="E1436">
        <v>3</v>
      </c>
      <c r="F1436">
        <v>44356</v>
      </c>
      <c r="G1436">
        <v>2379</v>
      </c>
      <c r="H1436">
        <v>0</v>
      </c>
      <c r="J1436" t="str">
        <f>VLOOKUP(Table3[[#This Row],[Faction ID]],Table4[],2)</f>
        <v>Scouts of Rohan</v>
      </c>
    </row>
    <row r="1437" spans="1:10" x14ac:dyDescent="0.25">
      <c r="A1437">
        <v>37</v>
      </c>
      <c r="B1437" t="s">
        <v>33</v>
      </c>
      <c r="C1437">
        <v>5</v>
      </c>
      <c r="D1437">
        <v>3</v>
      </c>
      <c r="E1437">
        <v>40</v>
      </c>
      <c r="F1437">
        <v>17654</v>
      </c>
      <c r="G1437">
        <v>6427</v>
      </c>
      <c r="H1437">
        <v>0</v>
      </c>
      <c r="J1437" t="str">
        <f>VLOOKUP(Table3[[#This Row],[Faction ID]],Table4[],2)</f>
        <v>Northern Enedwaith</v>
      </c>
    </row>
    <row r="1438" spans="1:10" x14ac:dyDescent="0.25">
      <c r="A1438">
        <v>37</v>
      </c>
      <c r="B1438" t="s">
        <v>29</v>
      </c>
      <c r="C1438">
        <v>1</v>
      </c>
      <c r="D1438">
        <v>1</v>
      </c>
      <c r="E1438">
        <v>8</v>
      </c>
      <c r="F1438">
        <v>37510</v>
      </c>
      <c r="G1438">
        <v>2398</v>
      </c>
      <c r="H1438">
        <v>0</v>
      </c>
      <c r="J1438" t="str">
        <f>VLOOKUP(Table3[[#This Row],[Faction ID]],Table4[],2)</f>
        <v>Southern Enedwaith</v>
      </c>
    </row>
    <row r="1439" spans="1:10" x14ac:dyDescent="0.25">
      <c r="A1439">
        <v>37</v>
      </c>
      <c r="B1439" t="s">
        <v>30</v>
      </c>
      <c r="C1439">
        <v>6</v>
      </c>
      <c r="D1439">
        <v>4</v>
      </c>
      <c r="E1439">
        <v>41</v>
      </c>
      <c r="F1439">
        <v>22097</v>
      </c>
      <c r="G1439">
        <v>6320</v>
      </c>
      <c r="H1439">
        <v>0</v>
      </c>
      <c r="J1439" t="str">
        <f>VLOOKUP(Table3[[#This Row],[Faction ID]],Table4[],2)</f>
        <v>Druedain</v>
      </c>
    </row>
    <row r="1440" spans="1:10" x14ac:dyDescent="0.25">
      <c r="A1440">
        <v>37</v>
      </c>
      <c r="B1440" t="s">
        <v>31</v>
      </c>
      <c r="C1440">
        <v>0</v>
      </c>
      <c r="D1440">
        <v>0</v>
      </c>
      <c r="E1440">
        <v>0</v>
      </c>
      <c r="F1440">
        <v>15146</v>
      </c>
      <c r="G1440">
        <v>1750</v>
      </c>
      <c r="H1440">
        <v>0</v>
      </c>
      <c r="J1440" t="str">
        <f>VLOOKUP(Table3[[#This Row],[Faction ID]],Table4[],2)</f>
        <v>Harondor</v>
      </c>
    </row>
    <row r="1441" spans="1:10" x14ac:dyDescent="0.25">
      <c r="A1441">
        <v>37</v>
      </c>
      <c r="B1441" t="s">
        <v>35</v>
      </c>
      <c r="C1441">
        <v>0</v>
      </c>
      <c r="D1441">
        <v>0</v>
      </c>
      <c r="E1441">
        <v>0</v>
      </c>
      <c r="F1441">
        <v>4000</v>
      </c>
      <c r="G1441">
        <v>1750</v>
      </c>
      <c r="H1441">
        <v>0</v>
      </c>
      <c r="J1441" t="str">
        <f>VLOOKUP(Table3[[#This Row],[Faction ID]],Table4[],2)</f>
        <v>Southron Nomads</v>
      </c>
    </row>
    <row r="1442" spans="1:10" x14ac:dyDescent="0.25">
      <c r="A1442">
        <v>37</v>
      </c>
      <c r="B1442" t="s">
        <v>36</v>
      </c>
      <c r="C1442">
        <v>0</v>
      </c>
      <c r="D1442">
        <v>0</v>
      </c>
      <c r="E1442">
        <v>0</v>
      </c>
      <c r="F1442">
        <v>4000</v>
      </c>
      <c r="G1442">
        <v>1750</v>
      </c>
      <c r="H1442">
        <v>0</v>
      </c>
      <c r="J1442" t="str">
        <f>VLOOKUP(Table3[[#This Row],[Faction ID]],Table4[],2)</f>
        <v>_</v>
      </c>
    </row>
    <row r="1443" spans="1:10" x14ac:dyDescent="0.25">
      <c r="A1443">
        <v>37</v>
      </c>
      <c r="B1443" t="s">
        <v>37</v>
      </c>
      <c r="C1443">
        <v>0</v>
      </c>
      <c r="D1443">
        <v>0</v>
      </c>
      <c r="E1443">
        <v>0</v>
      </c>
      <c r="F1443">
        <v>4000</v>
      </c>
      <c r="G1443">
        <v>1750</v>
      </c>
      <c r="H1443">
        <v>0</v>
      </c>
      <c r="J1443" t="str">
        <f>VLOOKUP(Table3[[#This Row],[Faction ID]],Table4[],2)</f>
        <v>_</v>
      </c>
    </row>
    <row r="1444" spans="1:10" x14ac:dyDescent="0.25">
      <c r="A1444">
        <v>37</v>
      </c>
      <c r="B1444" t="s">
        <v>38</v>
      </c>
      <c r="C1444">
        <v>0</v>
      </c>
      <c r="D1444">
        <v>0</v>
      </c>
      <c r="E1444">
        <v>0</v>
      </c>
      <c r="F1444">
        <v>4000</v>
      </c>
      <c r="G1444">
        <v>1750</v>
      </c>
      <c r="H1444">
        <v>0</v>
      </c>
      <c r="J1444" t="str">
        <f>VLOOKUP(Table3[[#This Row],[Faction ID]],Table4[],2)</f>
        <v>_</v>
      </c>
    </row>
    <row r="1445" spans="1:10" x14ac:dyDescent="0.25">
      <c r="A1445">
        <v>37</v>
      </c>
      <c r="B1445" t="s">
        <v>39</v>
      </c>
      <c r="C1445">
        <v>0</v>
      </c>
      <c r="D1445">
        <v>0</v>
      </c>
      <c r="E1445">
        <v>0</v>
      </c>
      <c r="F1445">
        <v>4000</v>
      </c>
      <c r="G1445">
        <v>1750</v>
      </c>
      <c r="H1445">
        <v>0</v>
      </c>
      <c r="J1445" t="str">
        <f>VLOOKUP(Table3[[#This Row],[Faction ID]],Table4[],2)</f>
        <v>_</v>
      </c>
    </row>
    <row r="1446" spans="1:10" x14ac:dyDescent="0.25">
      <c r="A1446">
        <v>37</v>
      </c>
      <c r="B1446" t="s">
        <v>40</v>
      </c>
      <c r="C1446">
        <v>0</v>
      </c>
      <c r="D1446">
        <v>0</v>
      </c>
      <c r="E1446">
        <v>0</v>
      </c>
      <c r="F1446">
        <v>4000</v>
      </c>
      <c r="G1446">
        <v>1750</v>
      </c>
      <c r="H1446">
        <v>0</v>
      </c>
      <c r="J1446" t="str">
        <f>VLOOKUP(Table3[[#This Row],[Faction ID]],Table4[],2)</f>
        <v>_</v>
      </c>
    </row>
    <row r="1447" spans="1:10" x14ac:dyDescent="0.25">
      <c r="A1447">
        <v>37</v>
      </c>
      <c r="B1447" t="s">
        <v>41</v>
      </c>
      <c r="C1447">
        <v>0</v>
      </c>
      <c r="D1447">
        <v>0</v>
      </c>
      <c r="E1447">
        <v>0</v>
      </c>
      <c r="F1447">
        <v>4000</v>
      </c>
      <c r="G1447">
        <v>1750</v>
      </c>
      <c r="H1447">
        <v>0</v>
      </c>
      <c r="J1447" t="str">
        <f>VLOOKUP(Table3[[#This Row],[Faction ID]],Table4[],2)</f>
        <v>_</v>
      </c>
    </row>
    <row r="1448" spans="1:10" x14ac:dyDescent="0.25">
      <c r="A1448">
        <v>37</v>
      </c>
      <c r="B1448" t="s">
        <v>42</v>
      </c>
      <c r="C1448">
        <v>0</v>
      </c>
      <c r="D1448">
        <v>0</v>
      </c>
      <c r="E1448">
        <v>0</v>
      </c>
      <c r="F1448">
        <v>4000</v>
      </c>
      <c r="G1448">
        <v>1750</v>
      </c>
      <c r="H1448">
        <v>0</v>
      </c>
      <c r="J1448" t="str">
        <f>VLOOKUP(Table3[[#This Row],[Faction ID]],Table4[],2)</f>
        <v>_</v>
      </c>
    </row>
    <row r="1449" spans="1:10" x14ac:dyDescent="0.25">
      <c r="A1449">
        <v>37</v>
      </c>
      <c r="B1449" t="s">
        <v>43</v>
      </c>
      <c r="C1449">
        <v>0</v>
      </c>
      <c r="D1449">
        <v>0</v>
      </c>
      <c r="E1449">
        <v>0</v>
      </c>
      <c r="F1449">
        <v>4000</v>
      </c>
      <c r="G1449">
        <v>1750</v>
      </c>
      <c r="H1449">
        <v>0</v>
      </c>
      <c r="J1449" t="str">
        <f>VLOOKUP(Table3[[#This Row],[Faction ID]],Table4[],2)</f>
        <v>_</v>
      </c>
    </row>
    <row r="1450" spans="1:10" x14ac:dyDescent="0.25">
      <c r="A1450">
        <v>37</v>
      </c>
      <c r="B1450" t="s">
        <v>44</v>
      </c>
      <c r="C1450">
        <v>0</v>
      </c>
      <c r="D1450">
        <v>0</v>
      </c>
      <c r="E1450">
        <v>0</v>
      </c>
      <c r="F1450">
        <v>4000</v>
      </c>
      <c r="G1450">
        <v>1750</v>
      </c>
      <c r="H1450">
        <v>0</v>
      </c>
      <c r="J1450" t="str">
        <f>VLOOKUP(Table3[[#This Row],[Faction ID]],Table4[],2)</f>
        <v>_</v>
      </c>
    </row>
    <row r="1451" spans="1:10" x14ac:dyDescent="0.25">
      <c r="A1451">
        <v>38</v>
      </c>
      <c r="B1451" t="s">
        <v>9</v>
      </c>
      <c r="C1451">
        <v>134</v>
      </c>
      <c r="D1451">
        <v>18</v>
      </c>
      <c r="E1451">
        <v>177.4</v>
      </c>
      <c r="F1451">
        <v>6051</v>
      </c>
      <c r="G1451">
        <v>20928</v>
      </c>
      <c r="H1451">
        <v>864</v>
      </c>
      <c r="J1451" t="str">
        <f>VLOOKUP(Table3[[#This Row],[Faction ID]],Table4[],2)</f>
        <v>Mordor</v>
      </c>
    </row>
    <row r="1452" spans="1:10" x14ac:dyDescent="0.25">
      <c r="A1452">
        <v>38</v>
      </c>
      <c r="B1452" t="s">
        <v>4</v>
      </c>
      <c r="C1452">
        <v>127</v>
      </c>
      <c r="D1452">
        <v>12</v>
      </c>
      <c r="E1452">
        <v>164</v>
      </c>
      <c r="F1452">
        <v>64844</v>
      </c>
      <c r="G1452">
        <v>23972</v>
      </c>
      <c r="H1452">
        <v>0</v>
      </c>
      <c r="J1452" t="str">
        <f>VLOOKUP(Table3[[#This Row],[Faction ID]],Table4[],2)</f>
        <v>Gondor</v>
      </c>
    </row>
    <row r="1453" spans="1:10" x14ac:dyDescent="0.25">
      <c r="A1453">
        <v>38</v>
      </c>
      <c r="B1453" t="s">
        <v>6</v>
      </c>
      <c r="C1453">
        <v>91</v>
      </c>
      <c r="D1453">
        <v>4</v>
      </c>
      <c r="E1453">
        <v>58.6</v>
      </c>
      <c r="F1453">
        <v>11765</v>
      </c>
      <c r="G1453">
        <v>10648</v>
      </c>
      <c r="H1453">
        <v>192</v>
      </c>
      <c r="J1453" t="str">
        <f>VLOOKUP(Table3[[#This Row],[Faction ID]],Table4[],2)</f>
        <v>Dale</v>
      </c>
    </row>
    <row r="1454" spans="1:10" x14ac:dyDescent="0.25">
      <c r="A1454">
        <v>38</v>
      </c>
      <c r="B1454" t="s">
        <v>21</v>
      </c>
      <c r="C1454">
        <v>89</v>
      </c>
      <c r="D1454">
        <v>4</v>
      </c>
      <c r="E1454">
        <v>78.099999999999994</v>
      </c>
      <c r="F1454">
        <v>33856</v>
      </c>
      <c r="G1454">
        <v>17993</v>
      </c>
      <c r="H1454">
        <v>431</v>
      </c>
      <c r="J1454" t="str">
        <f>VLOOKUP(Table3[[#This Row],[Faction ID]],Table4[],2)</f>
        <v>Erebor</v>
      </c>
    </row>
    <row r="1455" spans="1:10" x14ac:dyDescent="0.25">
      <c r="A1455">
        <v>38</v>
      </c>
      <c r="B1455" t="s">
        <v>5</v>
      </c>
      <c r="C1455">
        <v>100</v>
      </c>
      <c r="D1455">
        <v>8</v>
      </c>
      <c r="E1455">
        <v>55</v>
      </c>
      <c r="F1455">
        <v>40280</v>
      </c>
      <c r="G1455">
        <v>9398</v>
      </c>
      <c r="H1455">
        <v>517</v>
      </c>
      <c r="J1455" t="str">
        <f>VLOOKUP(Table3[[#This Row],[Faction ID]],Table4[],2)</f>
        <v>Rohan</v>
      </c>
    </row>
    <row r="1456" spans="1:10" x14ac:dyDescent="0.25">
      <c r="A1456">
        <v>38</v>
      </c>
      <c r="B1456" t="s">
        <v>12</v>
      </c>
      <c r="C1456">
        <v>129</v>
      </c>
      <c r="D1456">
        <v>13</v>
      </c>
      <c r="E1456">
        <v>161.69999999999999</v>
      </c>
      <c r="F1456">
        <v>14503</v>
      </c>
      <c r="G1456">
        <v>18430</v>
      </c>
      <c r="H1456">
        <v>1231</v>
      </c>
      <c r="J1456" t="str">
        <f>VLOOKUP(Table3[[#This Row],[Faction ID]],Table4[],2)</f>
        <v>Dol Guldur</v>
      </c>
    </row>
    <row r="1457" spans="1:10" x14ac:dyDescent="0.25">
      <c r="A1457">
        <v>38</v>
      </c>
      <c r="B1457" t="s">
        <v>10</v>
      </c>
      <c r="C1457">
        <v>61</v>
      </c>
      <c r="D1457">
        <v>2</v>
      </c>
      <c r="E1457">
        <v>21</v>
      </c>
      <c r="F1457">
        <v>7028</v>
      </c>
      <c r="G1457">
        <v>4163</v>
      </c>
      <c r="H1457">
        <v>0</v>
      </c>
      <c r="J1457" t="str">
        <f>VLOOKUP(Table3[[#This Row],[Faction ID]],Table4[],2)</f>
        <v>Anduin Vale</v>
      </c>
    </row>
    <row r="1458" spans="1:10" x14ac:dyDescent="0.25">
      <c r="A1458">
        <v>38</v>
      </c>
      <c r="B1458" t="s">
        <v>32</v>
      </c>
      <c r="C1458">
        <v>107</v>
      </c>
      <c r="D1458">
        <v>5</v>
      </c>
      <c r="E1458">
        <v>87.7</v>
      </c>
      <c r="F1458">
        <v>14323</v>
      </c>
      <c r="G1458">
        <v>13973</v>
      </c>
      <c r="H1458">
        <v>745</v>
      </c>
      <c r="J1458" t="str">
        <f>VLOOKUP(Table3[[#This Row],[Faction ID]],Table4[],2)</f>
        <v>Isengard</v>
      </c>
    </row>
    <row r="1459" spans="1:10" x14ac:dyDescent="0.25">
      <c r="A1459">
        <v>38</v>
      </c>
      <c r="B1459" t="s">
        <v>22</v>
      </c>
      <c r="C1459">
        <v>30</v>
      </c>
      <c r="D1459">
        <v>0</v>
      </c>
      <c r="E1459">
        <v>0</v>
      </c>
      <c r="F1459">
        <v>8475</v>
      </c>
      <c r="G1459">
        <v>2500</v>
      </c>
      <c r="H1459">
        <v>0</v>
      </c>
      <c r="J1459" t="str">
        <f>VLOOKUP(Table3[[#This Row],[Faction ID]],Table4[],2)</f>
        <v>Woodland Realm</v>
      </c>
    </row>
    <row r="1460" spans="1:10" x14ac:dyDescent="0.25">
      <c r="A1460">
        <v>38</v>
      </c>
      <c r="B1460" t="s">
        <v>23</v>
      </c>
      <c r="C1460">
        <v>61</v>
      </c>
      <c r="D1460">
        <v>2</v>
      </c>
      <c r="E1460">
        <v>20</v>
      </c>
      <c r="F1460">
        <v>4263</v>
      </c>
      <c r="G1460">
        <v>6441</v>
      </c>
      <c r="H1460">
        <v>0</v>
      </c>
      <c r="J1460" t="str">
        <f>VLOOKUP(Table3[[#This Row],[Faction ID]],Table4[],2)</f>
        <v>Lothlorien</v>
      </c>
    </row>
    <row r="1461" spans="1:10" x14ac:dyDescent="0.25">
      <c r="A1461">
        <v>38</v>
      </c>
      <c r="B1461" t="s">
        <v>24</v>
      </c>
      <c r="C1461">
        <v>0</v>
      </c>
      <c r="D1461">
        <v>0</v>
      </c>
      <c r="E1461">
        <v>0</v>
      </c>
      <c r="F1461">
        <v>4919</v>
      </c>
      <c r="G1461">
        <v>1750</v>
      </c>
      <c r="H1461">
        <v>0</v>
      </c>
      <c r="J1461" t="str">
        <f>VLOOKUP(Table3[[#This Row],[Faction ID]],Table4[],2)</f>
        <v>Variags (Khand)</v>
      </c>
    </row>
    <row r="1462" spans="1:10" x14ac:dyDescent="0.25">
      <c r="A1462">
        <v>38</v>
      </c>
      <c r="B1462" t="s">
        <v>14</v>
      </c>
      <c r="C1462">
        <v>10</v>
      </c>
      <c r="D1462">
        <v>7</v>
      </c>
      <c r="E1462">
        <v>92.8</v>
      </c>
      <c r="F1462">
        <v>15081</v>
      </c>
      <c r="G1462">
        <v>14870</v>
      </c>
      <c r="H1462">
        <v>969</v>
      </c>
      <c r="J1462" t="str">
        <f>VLOOKUP(Table3[[#This Row],[Faction ID]],Table4[],2)</f>
        <v>Corsairs of Umbar</v>
      </c>
    </row>
    <row r="1463" spans="1:10" x14ac:dyDescent="0.25">
      <c r="A1463">
        <v>38</v>
      </c>
      <c r="B1463" t="s">
        <v>25</v>
      </c>
      <c r="C1463">
        <v>5</v>
      </c>
      <c r="D1463">
        <v>3</v>
      </c>
      <c r="E1463">
        <v>25</v>
      </c>
      <c r="F1463">
        <v>21990</v>
      </c>
      <c r="G1463">
        <v>4317</v>
      </c>
      <c r="H1463">
        <v>0</v>
      </c>
      <c r="J1463" t="str">
        <f>VLOOKUP(Table3[[#This Row],[Faction ID]],Table4[],2)</f>
        <v>Mahud</v>
      </c>
    </row>
    <row r="1464" spans="1:10" x14ac:dyDescent="0.25">
      <c r="A1464">
        <v>38</v>
      </c>
      <c r="B1464" t="s">
        <v>11</v>
      </c>
      <c r="C1464">
        <v>73</v>
      </c>
      <c r="D1464">
        <v>5</v>
      </c>
      <c r="E1464">
        <v>77</v>
      </c>
      <c r="F1464">
        <v>8521</v>
      </c>
      <c r="G1464">
        <v>12596</v>
      </c>
      <c r="H1464">
        <v>0</v>
      </c>
      <c r="J1464" t="str">
        <f>VLOOKUP(Table3[[#This Row],[Faction ID]],Table4[],2)</f>
        <v>Haradrim</v>
      </c>
    </row>
    <row r="1465" spans="1:10" x14ac:dyDescent="0.25">
      <c r="A1465">
        <v>38</v>
      </c>
      <c r="B1465" t="s">
        <v>15</v>
      </c>
      <c r="C1465">
        <v>76</v>
      </c>
      <c r="D1465">
        <v>6</v>
      </c>
      <c r="E1465">
        <v>73.900000000000006</v>
      </c>
      <c r="F1465">
        <v>9709</v>
      </c>
      <c r="G1465">
        <v>14322</v>
      </c>
      <c r="H1465">
        <v>668</v>
      </c>
      <c r="J1465" t="str">
        <f>VLOOKUP(Table3[[#This Row],[Faction ID]],Table4[],2)</f>
        <v>Dunlendings</v>
      </c>
    </row>
    <row r="1466" spans="1:10" x14ac:dyDescent="0.25">
      <c r="A1466">
        <v>38</v>
      </c>
      <c r="B1466" t="s">
        <v>16</v>
      </c>
      <c r="C1466">
        <v>0</v>
      </c>
      <c r="D1466">
        <v>0</v>
      </c>
      <c r="E1466">
        <v>0</v>
      </c>
      <c r="F1466">
        <v>5352</v>
      </c>
      <c r="G1466">
        <v>1750</v>
      </c>
      <c r="H1466">
        <v>0</v>
      </c>
      <c r="J1466" t="str">
        <f>VLOOKUP(Table3[[#This Row],[Faction ID]],Table4[],2)</f>
        <v>Haerrim</v>
      </c>
    </row>
    <row r="1467" spans="1:10" x14ac:dyDescent="0.25">
      <c r="A1467">
        <v>38</v>
      </c>
      <c r="B1467" t="s">
        <v>13</v>
      </c>
      <c r="C1467">
        <v>133</v>
      </c>
      <c r="D1467">
        <v>11</v>
      </c>
      <c r="E1467">
        <v>146</v>
      </c>
      <c r="F1467">
        <v>24253</v>
      </c>
      <c r="G1467">
        <v>20927</v>
      </c>
      <c r="H1467">
        <v>2280</v>
      </c>
      <c r="J1467" t="str">
        <f>VLOOKUP(Table3[[#This Row],[Faction ID]],Table4[],2)</f>
        <v>Goblins</v>
      </c>
    </row>
    <row r="1468" spans="1:10" x14ac:dyDescent="0.25">
      <c r="A1468">
        <v>38</v>
      </c>
      <c r="B1468" t="s">
        <v>17</v>
      </c>
      <c r="C1468">
        <v>0</v>
      </c>
      <c r="D1468">
        <v>0</v>
      </c>
      <c r="E1468">
        <v>0</v>
      </c>
      <c r="F1468">
        <v>4872</v>
      </c>
      <c r="G1468">
        <v>1750</v>
      </c>
      <c r="H1468">
        <v>0</v>
      </c>
      <c r="J1468" t="str">
        <f>VLOOKUP(Table3[[#This Row],[Faction ID]],Table4[],2)</f>
        <v>Balchoth</v>
      </c>
    </row>
    <row r="1469" spans="1:10" x14ac:dyDescent="0.25">
      <c r="A1469">
        <v>38</v>
      </c>
      <c r="B1469" t="s">
        <v>18</v>
      </c>
      <c r="C1469">
        <v>124</v>
      </c>
      <c r="D1469">
        <v>31</v>
      </c>
      <c r="E1469">
        <v>425.1</v>
      </c>
      <c r="F1469">
        <v>26319</v>
      </c>
      <c r="G1469">
        <v>34681</v>
      </c>
      <c r="H1469">
        <v>1053</v>
      </c>
      <c r="J1469" t="str">
        <f>VLOOKUP(Table3[[#This Row],[Faction ID]],Table4[],2)</f>
        <v>Rhurim/Rhun</v>
      </c>
    </row>
    <row r="1470" spans="1:10" x14ac:dyDescent="0.25">
      <c r="A1470">
        <v>38</v>
      </c>
      <c r="B1470" t="s">
        <v>19</v>
      </c>
      <c r="C1470">
        <v>0</v>
      </c>
      <c r="D1470">
        <v>0</v>
      </c>
      <c r="E1470">
        <v>0</v>
      </c>
      <c r="F1470">
        <v>7360</v>
      </c>
      <c r="G1470">
        <v>1750</v>
      </c>
      <c r="H1470">
        <v>0</v>
      </c>
      <c r="J1470" t="str">
        <f>VLOOKUP(Table3[[#This Row],[Faction ID]],Table4[],2)</f>
        <v>Feredrim</v>
      </c>
    </row>
    <row r="1471" spans="1:10" x14ac:dyDescent="0.25">
      <c r="A1471">
        <v>38</v>
      </c>
      <c r="B1471" t="s">
        <v>26</v>
      </c>
      <c r="C1471">
        <v>0</v>
      </c>
      <c r="D1471">
        <v>0</v>
      </c>
      <c r="E1471">
        <v>0</v>
      </c>
      <c r="F1471">
        <v>6395</v>
      </c>
      <c r="G1471">
        <v>1750</v>
      </c>
      <c r="H1471">
        <v>0</v>
      </c>
      <c r="J1471" t="str">
        <f>VLOOKUP(Table3[[#This Row],[Faction ID]],Table4[],2)</f>
        <v>Rachrohir (Wainriders)</v>
      </c>
    </row>
    <row r="1472" spans="1:10" x14ac:dyDescent="0.25">
      <c r="A1472">
        <v>38</v>
      </c>
      <c r="B1472" t="s">
        <v>27</v>
      </c>
      <c r="C1472">
        <v>5</v>
      </c>
      <c r="D1472">
        <v>3</v>
      </c>
      <c r="E1472">
        <v>46</v>
      </c>
      <c r="F1472">
        <v>39146</v>
      </c>
      <c r="G1472">
        <v>10294</v>
      </c>
      <c r="H1472">
        <v>0</v>
      </c>
      <c r="J1472" t="str">
        <f>VLOOKUP(Table3[[#This Row],[Faction ID]],Table4[],2)</f>
        <v>Blacklock-Stonefoot League</v>
      </c>
    </row>
    <row r="1473" spans="1:10" x14ac:dyDescent="0.25">
      <c r="A1473">
        <v>38</v>
      </c>
      <c r="B1473" t="s">
        <v>28</v>
      </c>
      <c r="C1473">
        <v>4</v>
      </c>
      <c r="D1473">
        <v>2</v>
      </c>
      <c r="E1473">
        <v>31</v>
      </c>
      <c r="F1473">
        <v>34658</v>
      </c>
      <c r="G1473">
        <v>6778</v>
      </c>
      <c r="H1473">
        <v>0</v>
      </c>
      <c r="J1473" t="str">
        <f>VLOOKUP(Table3[[#This Row],[Faction ID]],Table4[],2)</f>
        <v>Ironfist-Stiffbeard Union</v>
      </c>
    </row>
    <row r="1474" spans="1:10" x14ac:dyDescent="0.25">
      <c r="A1474">
        <v>38</v>
      </c>
      <c r="B1474" t="s">
        <v>20</v>
      </c>
      <c r="C1474">
        <v>92</v>
      </c>
      <c r="D1474">
        <v>11</v>
      </c>
      <c r="E1474">
        <v>128</v>
      </c>
      <c r="F1474">
        <v>15177</v>
      </c>
      <c r="G1474">
        <v>17744</v>
      </c>
      <c r="H1474">
        <v>878</v>
      </c>
      <c r="J1474" t="str">
        <f>VLOOKUP(Table3[[#This Row],[Faction ID]],Table4[],2)</f>
        <v>Gundabad</v>
      </c>
    </row>
    <row r="1475" spans="1:10" x14ac:dyDescent="0.25">
      <c r="A1475">
        <v>38</v>
      </c>
      <c r="B1475" t="s">
        <v>34</v>
      </c>
      <c r="C1475">
        <v>0</v>
      </c>
      <c r="D1475">
        <v>0</v>
      </c>
      <c r="E1475">
        <v>3</v>
      </c>
      <c r="F1475">
        <v>45477</v>
      </c>
      <c r="G1475">
        <v>2379</v>
      </c>
      <c r="H1475">
        <v>0</v>
      </c>
      <c r="J1475" t="str">
        <f>VLOOKUP(Table3[[#This Row],[Faction ID]],Table4[],2)</f>
        <v>Scouts of Rohan</v>
      </c>
    </row>
    <row r="1476" spans="1:10" x14ac:dyDescent="0.25">
      <c r="A1476">
        <v>38</v>
      </c>
      <c r="B1476" t="s">
        <v>33</v>
      </c>
      <c r="C1476">
        <v>5</v>
      </c>
      <c r="D1476">
        <v>3</v>
      </c>
      <c r="E1476">
        <v>40</v>
      </c>
      <c r="F1476">
        <v>16532</v>
      </c>
      <c r="G1476">
        <v>6420</v>
      </c>
      <c r="H1476">
        <v>0</v>
      </c>
      <c r="J1476" t="str">
        <f>VLOOKUP(Table3[[#This Row],[Faction ID]],Table4[],2)</f>
        <v>Northern Enedwaith</v>
      </c>
    </row>
    <row r="1477" spans="1:10" x14ac:dyDescent="0.25">
      <c r="A1477">
        <v>38</v>
      </c>
      <c r="B1477" t="s">
        <v>29</v>
      </c>
      <c r="C1477">
        <v>1</v>
      </c>
      <c r="D1477">
        <v>1</v>
      </c>
      <c r="E1477">
        <v>8</v>
      </c>
      <c r="F1477">
        <v>39368</v>
      </c>
      <c r="G1477">
        <v>2385</v>
      </c>
      <c r="H1477">
        <v>0</v>
      </c>
      <c r="J1477" t="str">
        <f>VLOOKUP(Table3[[#This Row],[Faction ID]],Table4[],2)</f>
        <v>Southern Enedwaith</v>
      </c>
    </row>
    <row r="1478" spans="1:10" x14ac:dyDescent="0.25">
      <c r="A1478">
        <v>38</v>
      </c>
      <c r="B1478" t="s">
        <v>30</v>
      </c>
      <c r="C1478">
        <v>6</v>
      </c>
      <c r="D1478">
        <v>4</v>
      </c>
      <c r="E1478">
        <v>41</v>
      </c>
      <c r="F1478">
        <v>23422</v>
      </c>
      <c r="G1478">
        <v>6556</v>
      </c>
      <c r="H1478">
        <v>0</v>
      </c>
      <c r="J1478" t="str">
        <f>VLOOKUP(Table3[[#This Row],[Faction ID]],Table4[],2)</f>
        <v>Druedain</v>
      </c>
    </row>
    <row r="1479" spans="1:10" x14ac:dyDescent="0.25">
      <c r="A1479">
        <v>38</v>
      </c>
      <c r="B1479" t="s">
        <v>31</v>
      </c>
      <c r="C1479">
        <v>0</v>
      </c>
      <c r="D1479">
        <v>0</v>
      </c>
      <c r="E1479">
        <v>0</v>
      </c>
      <c r="F1479">
        <v>15146</v>
      </c>
      <c r="G1479">
        <v>1750</v>
      </c>
      <c r="H1479">
        <v>0</v>
      </c>
      <c r="J1479" t="str">
        <f>VLOOKUP(Table3[[#This Row],[Faction ID]],Table4[],2)</f>
        <v>Harondor</v>
      </c>
    </row>
    <row r="1480" spans="1:10" x14ac:dyDescent="0.25">
      <c r="A1480">
        <v>38</v>
      </c>
      <c r="B1480" t="s">
        <v>35</v>
      </c>
      <c r="C1480">
        <v>0</v>
      </c>
      <c r="D1480">
        <v>0</v>
      </c>
      <c r="E1480">
        <v>0</v>
      </c>
      <c r="F1480">
        <v>4000</v>
      </c>
      <c r="G1480">
        <v>1750</v>
      </c>
      <c r="H1480">
        <v>0</v>
      </c>
      <c r="J1480" t="str">
        <f>VLOOKUP(Table3[[#This Row],[Faction ID]],Table4[],2)</f>
        <v>Southron Nomads</v>
      </c>
    </row>
    <row r="1481" spans="1:10" x14ac:dyDescent="0.25">
      <c r="A1481">
        <v>38</v>
      </c>
      <c r="B1481" t="s">
        <v>36</v>
      </c>
      <c r="C1481">
        <v>0</v>
      </c>
      <c r="D1481">
        <v>0</v>
      </c>
      <c r="E1481">
        <v>0</v>
      </c>
      <c r="F1481">
        <v>4000</v>
      </c>
      <c r="G1481">
        <v>1750</v>
      </c>
      <c r="H1481">
        <v>0</v>
      </c>
      <c r="J1481" t="str">
        <f>VLOOKUP(Table3[[#This Row],[Faction ID]],Table4[],2)</f>
        <v>_</v>
      </c>
    </row>
    <row r="1482" spans="1:10" x14ac:dyDescent="0.25">
      <c r="A1482">
        <v>38</v>
      </c>
      <c r="B1482" t="s">
        <v>37</v>
      </c>
      <c r="C1482">
        <v>0</v>
      </c>
      <c r="D1482">
        <v>0</v>
      </c>
      <c r="E1482">
        <v>0</v>
      </c>
      <c r="F1482">
        <v>4000</v>
      </c>
      <c r="G1482">
        <v>1750</v>
      </c>
      <c r="H1482">
        <v>0</v>
      </c>
      <c r="J1482" t="str">
        <f>VLOOKUP(Table3[[#This Row],[Faction ID]],Table4[],2)</f>
        <v>_</v>
      </c>
    </row>
    <row r="1483" spans="1:10" x14ac:dyDescent="0.25">
      <c r="A1483">
        <v>38</v>
      </c>
      <c r="B1483" t="s">
        <v>38</v>
      </c>
      <c r="C1483">
        <v>0</v>
      </c>
      <c r="D1483">
        <v>0</v>
      </c>
      <c r="E1483">
        <v>0</v>
      </c>
      <c r="F1483">
        <v>4000</v>
      </c>
      <c r="G1483">
        <v>1750</v>
      </c>
      <c r="H1483">
        <v>0</v>
      </c>
      <c r="J1483" t="str">
        <f>VLOOKUP(Table3[[#This Row],[Faction ID]],Table4[],2)</f>
        <v>_</v>
      </c>
    </row>
    <row r="1484" spans="1:10" x14ac:dyDescent="0.25">
      <c r="A1484">
        <v>38</v>
      </c>
      <c r="B1484" t="s">
        <v>39</v>
      </c>
      <c r="C1484">
        <v>0</v>
      </c>
      <c r="D1484">
        <v>0</v>
      </c>
      <c r="E1484">
        <v>0</v>
      </c>
      <c r="F1484">
        <v>4000</v>
      </c>
      <c r="G1484">
        <v>1750</v>
      </c>
      <c r="H1484">
        <v>0</v>
      </c>
      <c r="J1484" t="str">
        <f>VLOOKUP(Table3[[#This Row],[Faction ID]],Table4[],2)</f>
        <v>_</v>
      </c>
    </row>
    <row r="1485" spans="1:10" x14ac:dyDescent="0.25">
      <c r="A1485">
        <v>38</v>
      </c>
      <c r="B1485" t="s">
        <v>40</v>
      </c>
      <c r="C1485">
        <v>0</v>
      </c>
      <c r="D1485">
        <v>0</v>
      </c>
      <c r="E1485">
        <v>0</v>
      </c>
      <c r="F1485">
        <v>4000</v>
      </c>
      <c r="G1485">
        <v>1750</v>
      </c>
      <c r="H1485">
        <v>0</v>
      </c>
      <c r="J1485" t="str">
        <f>VLOOKUP(Table3[[#This Row],[Faction ID]],Table4[],2)</f>
        <v>_</v>
      </c>
    </row>
    <row r="1486" spans="1:10" x14ac:dyDescent="0.25">
      <c r="A1486">
        <v>38</v>
      </c>
      <c r="B1486" t="s">
        <v>41</v>
      </c>
      <c r="C1486">
        <v>0</v>
      </c>
      <c r="D1486">
        <v>0</v>
      </c>
      <c r="E1486">
        <v>0</v>
      </c>
      <c r="F1486">
        <v>4000</v>
      </c>
      <c r="G1486">
        <v>1750</v>
      </c>
      <c r="H1486">
        <v>0</v>
      </c>
      <c r="J1486" t="str">
        <f>VLOOKUP(Table3[[#This Row],[Faction ID]],Table4[],2)</f>
        <v>_</v>
      </c>
    </row>
    <row r="1487" spans="1:10" x14ac:dyDescent="0.25">
      <c r="A1487">
        <v>38</v>
      </c>
      <c r="B1487" t="s">
        <v>42</v>
      </c>
      <c r="C1487">
        <v>0</v>
      </c>
      <c r="D1487">
        <v>0</v>
      </c>
      <c r="E1487">
        <v>0</v>
      </c>
      <c r="F1487">
        <v>4000</v>
      </c>
      <c r="G1487">
        <v>1750</v>
      </c>
      <c r="H1487">
        <v>0</v>
      </c>
      <c r="J1487" t="str">
        <f>VLOOKUP(Table3[[#This Row],[Faction ID]],Table4[],2)</f>
        <v>_</v>
      </c>
    </row>
    <row r="1488" spans="1:10" x14ac:dyDescent="0.25">
      <c r="A1488">
        <v>38</v>
      </c>
      <c r="B1488" t="s">
        <v>43</v>
      </c>
      <c r="C1488">
        <v>0</v>
      </c>
      <c r="D1488">
        <v>0</v>
      </c>
      <c r="E1488">
        <v>0</v>
      </c>
      <c r="F1488">
        <v>4000</v>
      </c>
      <c r="G1488">
        <v>1750</v>
      </c>
      <c r="H1488">
        <v>0</v>
      </c>
      <c r="J1488" t="str">
        <f>VLOOKUP(Table3[[#This Row],[Faction ID]],Table4[],2)</f>
        <v>_</v>
      </c>
    </row>
    <row r="1489" spans="1:10" x14ac:dyDescent="0.25">
      <c r="A1489">
        <v>38</v>
      </c>
      <c r="B1489" t="s">
        <v>44</v>
      </c>
      <c r="C1489">
        <v>0</v>
      </c>
      <c r="D1489">
        <v>0</v>
      </c>
      <c r="E1489">
        <v>0</v>
      </c>
      <c r="F1489">
        <v>4000</v>
      </c>
      <c r="G1489">
        <v>1750</v>
      </c>
      <c r="H1489">
        <v>0</v>
      </c>
      <c r="J1489" t="str">
        <f>VLOOKUP(Table3[[#This Row],[Faction ID]],Table4[],2)</f>
        <v>_</v>
      </c>
    </row>
    <row r="1490" spans="1:10" x14ac:dyDescent="0.25">
      <c r="A1490">
        <v>39</v>
      </c>
      <c r="B1490" t="s">
        <v>9</v>
      </c>
      <c r="C1490">
        <v>144</v>
      </c>
      <c r="D1490">
        <v>20</v>
      </c>
      <c r="E1490">
        <v>173</v>
      </c>
      <c r="F1490">
        <v>656</v>
      </c>
      <c r="G1490">
        <v>22046</v>
      </c>
      <c r="H1490">
        <v>878</v>
      </c>
      <c r="J1490" t="str">
        <f>VLOOKUP(Table3[[#This Row],[Faction ID]],Table4[],2)</f>
        <v>Mordor</v>
      </c>
    </row>
    <row r="1491" spans="1:10" x14ac:dyDescent="0.25">
      <c r="A1491">
        <v>39</v>
      </c>
      <c r="B1491" t="s">
        <v>4</v>
      </c>
      <c r="C1491">
        <v>124</v>
      </c>
      <c r="D1491">
        <v>10</v>
      </c>
      <c r="E1491">
        <v>138</v>
      </c>
      <c r="F1491">
        <v>66890</v>
      </c>
      <c r="G1491">
        <v>21169</v>
      </c>
      <c r="H1491">
        <v>576</v>
      </c>
      <c r="J1491" t="str">
        <f>VLOOKUP(Table3[[#This Row],[Faction ID]],Table4[],2)</f>
        <v>Gondor</v>
      </c>
    </row>
    <row r="1492" spans="1:10" x14ac:dyDescent="0.25">
      <c r="A1492">
        <v>39</v>
      </c>
      <c r="B1492" t="s">
        <v>6</v>
      </c>
      <c r="C1492">
        <v>95</v>
      </c>
      <c r="D1492">
        <v>3</v>
      </c>
      <c r="E1492">
        <v>58.6</v>
      </c>
      <c r="F1492">
        <v>13704</v>
      </c>
      <c r="G1492">
        <v>10369</v>
      </c>
      <c r="H1492">
        <v>190</v>
      </c>
      <c r="J1492" t="str">
        <f>VLOOKUP(Table3[[#This Row],[Faction ID]],Table4[],2)</f>
        <v>Dale</v>
      </c>
    </row>
    <row r="1493" spans="1:10" x14ac:dyDescent="0.25">
      <c r="A1493">
        <v>39</v>
      </c>
      <c r="B1493" t="s">
        <v>21</v>
      </c>
      <c r="C1493">
        <v>94</v>
      </c>
      <c r="D1493">
        <v>4</v>
      </c>
      <c r="E1493">
        <v>81.400000000000006</v>
      </c>
      <c r="F1493">
        <v>36741</v>
      </c>
      <c r="G1493">
        <v>18338</v>
      </c>
      <c r="H1493">
        <v>430</v>
      </c>
      <c r="J1493" t="str">
        <f>VLOOKUP(Table3[[#This Row],[Faction ID]],Table4[],2)</f>
        <v>Erebor</v>
      </c>
    </row>
    <row r="1494" spans="1:10" x14ac:dyDescent="0.25">
      <c r="A1494">
        <v>39</v>
      </c>
      <c r="B1494" t="s">
        <v>5</v>
      </c>
      <c r="C1494">
        <v>104</v>
      </c>
      <c r="D1494">
        <v>7</v>
      </c>
      <c r="E1494">
        <v>55</v>
      </c>
      <c r="F1494">
        <v>39445</v>
      </c>
      <c r="G1494">
        <v>8899</v>
      </c>
      <c r="H1494">
        <v>426</v>
      </c>
      <c r="J1494" t="str">
        <f>VLOOKUP(Table3[[#This Row],[Faction ID]],Table4[],2)</f>
        <v>Rohan</v>
      </c>
    </row>
    <row r="1495" spans="1:10" x14ac:dyDescent="0.25">
      <c r="A1495">
        <v>39</v>
      </c>
      <c r="B1495" t="s">
        <v>12</v>
      </c>
      <c r="C1495">
        <v>129</v>
      </c>
      <c r="D1495">
        <v>13</v>
      </c>
      <c r="E1495">
        <v>162.69999999999999</v>
      </c>
      <c r="F1495">
        <v>13318</v>
      </c>
      <c r="G1495">
        <v>18653</v>
      </c>
      <c r="H1495">
        <v>1238</v>
      </c>
      <c r="J1495" t="str">
        <f>VLOOKUP(Table3[[#This Row],[Faction ID]],Table4[],2)</f>
        <v>Dol Guldur</v>
      </c>
    </row>
    <row r="1496" spans="1:10" x14ac:dyDescent="0.25">
      <c r="A1496">
        <v>39</v>
      </c>
      <c r="B1496" t="s">
        <v>10</v>
      </c>
      <c r="C1496">
        <v>61</v>
      </c>
      <c r="D1496">
        <v>2</v>
      </c>
      <c r="E1496">
        <v>21</v>
      </c>
      <c r="F1496">
        <v>4272</v>
      </c>
      <c r="G1496">
        <v>4165</v>
      </c>
      <c r="H1496">
        <v>0</v>
      </c>
      <c r="J1496" t="str">
        <f>VLOOKUP(Table3[[#This Row],[Faction ID]],Table4[],2)</f>
        <v>Anduin Vale</v>
      </c>
    </row>
    <row r="1497" spans="1:10" x14ac:dyDescent="0.25">
      <c r="A1497">
        <v>39</v>
      </c>
      <c r="B1497" t="s">
        <v>32</v>
      </c>
      <c r="C1497">
        <v>128</v>
      </c>
      <c r="D1497">
        <v>6</v>
      </c>
      <c r="E1497">
        <v>104.69999999999899</v>
      </c>
      <c r="F1497">
        <v>11568</v>
      </c>
      <c r="G1497">
        <v>15159</v>
      </c>
      <c r="H1497">
        <v>670</v>
      </c>
      <c r="J1497" t="str">
        <f>VLOOKUP(Table3[[#This Row],[Faction ID]],Table4[],2)</f>
        <v>Isengard</v>
      </c>
    </row>
    <row r="1498" spans="1:10" x14ac:dyDescent="0.25">
      <c r="A1498">
        <v>39</v>
      </c>
      <c r="B1498" t="s">
        <v>22</v>
      </c>
      <c r="C1498">
        <v>30</v>
      </c>
      <c r="D1498">
        <v>0</v>
      </c>
      <c r="E1498">
        <v>0</v>
      </c>
      <c r="F1498">
        <v>8475</v>
      </c>
      <c r="G1498">
        <v>2500</v>
      </c>
      <c r="H1498">
        <v>0</v>
      </c>
      <c r="J1498" t="str">
        <f>VLOOKUP(Table3[[#This Row],[Faction ID]],Table4[],2)</f>
        <v>Woodland Realm</v>
      </c>
    </row>
    <row r="1499" spans="1:10" x14ac:dyDescent="0.25">
      <c r="A1499">
        <v>39</v>
      </c>
      <c r="B1499" t="s">
        <v>23</v>
      </c>
      <c r="C1499">
        <v>61</v>
      </c>
      <c r="D1499">
        <v>2</v>
      </c>
      <c r="E1499">
        <v>20</v>
      </c>
      <c r="F1499">
        <v>3216</v>
      </c>
      <c r="G1499">
        <v>6407</v>
      </c>
      <c r="H1499">
        <v>0</v>
      </c>
      <c r="J1499" t="str">
        <f>VLOOKUP(Table3[[#This Row],[Faction ID]],Table4[],2)</f>
        <v>Lothlorien</v>
      </c>
    </row>
    <row r="1500" spans="1:10" x14ac:dyDescent="0.25">
      <c r="A1500">
        <v>39</v>
      </c>
      <c r="B1500" t="s">
        <v>24</v>
      </c>
      <c r="C1500">
        <v>0</v>
      </c>
      <c r="D1500">
        <v>0</v>
      </c>
      <c r="E1500">
        <v>0</v>
      </c>
      <c r="F1500">
        <v>4919</v>
      </c>
      <c r="G1500">
        <v>1750</v>
      </c>
      <c r="H1500">
        <v>0</v>
      </c>
      <c r="J1500" t="str">
        <f>VLOOKUP(Table3[[#This Row],[Faction ID]],Table4[],2)</f>
        <v>Variags (Khand)</v>
      </c>
    </row>
    <row r="1501" spans="1:10" x14ac:dyDescent="0.25">
      <c r="A1501">
        <v>39</v>
      </c>
      <c r="B1501" t="s">
        <v>14</v>
      </c>
      <c r="C1501">
        <v>10</v>
      </c>
      <c r="D1501">
        <v>7</v>
      </c>
      <c r="E1501">
        <v>96.8</v>
      </c>
      <c r="F1501">
        <v>20790</v>
      </c>
      <c r="G1501">
        <v>15376</v>
      </c>
      <c r="H1501">
        <v>977</v>
      </c>
      <c r="J1501" t="str">
        <f>VLOOKUP(Table3[[#This Row],[Faction ID]],Table4[],2)</f>
        <v>Corsairs of Umbar</v>
      </c>
    </row>
    <row r="1502" spans="1:10" x14ac:dyDescent="0.25">
      <c r="A1502">
        <v>39</v>
      </c>
      <c r="B1502" t="s">
        <v>25</v>
      </c>
      <c r="C1502">
        <v>5</v>
      </c>
      <c r="D1502">
        <v>3</v>
      </c>
      <c r="E1502">
        <v>27</v>
      </c>
      <c r="F1502">
        <v>19846</v>
      </c>
      <c r="G1502">
        <v>4562</v>
      </c>
      <c r="H1502">
        <v>0</v>
      </c>
      <c r="J1502" t="str">
        <f>VLOOKUP(Table3[[#This Row],[Faction ID]],Table4[],2)</f>
        <v>Mahud</v>
      </c>
    </row>
    <row r="1503" spans="1:10" x14ac:dyDescent="0.25">
      <c r="A1503">
        <v>39</v>
      </c>
      <c r="B1503" t="s">
        <v>11</v>
      </c>
      <c r="C1503">
        <v>73</v>
      </c>
      <c r="D1503">
        <v>5</v>
      </c>
      <c r="E1503">
        <v>78</v>
      </c>
      <c r="F1503">
        <v>11050</v>
      </c>
      <c r="G1503">
        <v>12342</v>
      </c>
      <c r="H1503">
        <v>0</v>
      </c>
      <c r="J1503" t="str">
        <f>VLOOKUP(Table3[[#This Row],[Faction ID]],Table4[],2)</f>
        <v>Haradrim</v>
      </c>
    </row>
    <row r="1504" spans="1:10" x14ac:dyDescent="0.25">
      <c r="A1504">
        <v>39</v>
      </c>
      <c r="B1504" t="s">
        <v>15</v>
      </c>
      <c r="C1504">
        <v>85</v>
      </c>
      <c r="D1504">
        <v>6</v>
      </c>
      <c r="E1504">
        <v>82.9</v>
      </c>
      <c r="F1504">
        <v>10573</v>
      </c>
      <c r="G1504">
        <v>15217</v>
      </c>
      <c r="H1504">
        <v>821</v>
      </c>
      <c r="J1504" t="str">
        <f>VLOOKUP(Table3[[#This Row],[Faction ID]],Table4[],2)</f>
        <v>Dunlendings</v>
      </c>
    </row>
    <row r="1505" spans="1:10" x14ac:dyDescent="0.25">
      <c r="A1505">
        <v>39</v>
      </c>
      <c r="B1505" t="s">
        <v>16</v>
      </c>
      <c r="C1505">
        <v>0</v>
      </c>
      <c r="D1505">
        <v>0</v>
      </c>
      <c r="E1505">
        <v>0</v>
      </c>
      <c r="F1505">
        <v>5352</v>
      </c>
      <c r="G1505">
        <v>1750</v>
      </c>
      <c r="H1505">
        <v>0</v>
      </c>
      <c r="J1505" t="str">
        <f>VLOOKUP(Table3[[#This Row],[Faction ID]],Table4[],2)</f>
        <v>Haerrim</v>
      </c>
    </row>
    <row r="1506" spans="1:10" x14ac:dyDescent="0.25">
      <c r="A1506">
        <v>39</v>
      </c>
      <c r="B1506" t="s">
        <v>13</v>
      </c>
      <c r="C1506">
        <v>142</v>
      </c>
      <c r="D1506">
        <v>11</v>
      </c>
      <c r="E1506">
        <v>155</v>
      </c>
      <c r="F1506">
        <v>19207</v>
      </c>
      <c r="G1506">
        <v>20569</v>
      </c>
      <c r="H1506">
        <v>2286</v>
      </c>
      <c r="J1506" t="str">
        <f>VLOOKUP(Table3[[#This Row],[Faction ID]],Table4[],2)</f>
        <v>Goblins</v>
      </c>
    </row>
    <row r="1507" spans="1:10" x14ac:dyDescent="0.25">
      <c r="A1507">
        <v>39</v>
      </c>
      <c r="B1507" t="s">
        <v>17</v>
      </c>
      <c r="C1507">
        <v>0</v>
      </c>
      <c r="D1507">
        <v>0</v>
      </c>
      <c r="E1507">
        <v>0</v>
      </c>
      <c r="F1507">
        <v>4872</v>
      </c>
      <c r="G1507">
        <v>1750</v>
      </c>
      <c r="H1507">
        <v>0</v>
      </c>
      <c r="J1507" t="str">
        <f>VLOOKUP(Table3[[#This Row],[Faction ID]],Table4[],2)</f>
        <v>Balchoth</v>
      </c>
    </row>
    <row r="1508" spans="1:10" x14ac:dyDescent="0.25">
      <c r="A1508">
        <v>39</v>
      </c>
      <c r="B1508" t="s">
        <v>18</v>
      </c>
      <c r="C1508">
        <v>125</v>
      </c>
      <c r="D1508">
        <v>32</v>
      </c>
      <c r="E1508">
        <v>427.1</v>
      </c>
      <c r="F1508">
        <v>35304</v>
      </c>
      <c r="G1508">
        <v>34709</v>
      </c>
      <c r="H1508">
        <v>1061</v>
      </c>
      <c r="J1508" t="str">
        <f>VLOOKUP(Table3[[#This Row],[Faction ID]],Table4[],2)</f>
        <v>Rhurim/Rhun</v>
      </c>
    </row>
    <row r="1509" spans="1:10" x14ac:dyDescent="0.25">
      <c r="A1509">
        <v>39</v>
      </c>
      <c r="B1509" t="s">
        <v>19</v>
      </c>
      <c r="C1509">
        <v>0</v>
      </c>
      <c r="D1509">
        <v>0</v>
      </c>
      <c r="E1509">
        <v>0</v>
      </c>
      <c r="F1509">
        <v>7360</v>
      </c>
      <c r="G1509">
        <v>1750</v>
      </c>
      <c r="H1509">
        <v>0</v>
      </c>
      <c r="J1509" t="str">
        <f>VLOOKUP(Table3[[#This Row],[Faction ID]],Table4[],2)</f>
        <v>Feredrim</v>
      </c>
    </row>
    <row r="1510" spans="1:10" x14ac:dyDescent="0.25">
      <c r="A1510">
        <v>39</v>
      </c>
      <c r="B1510" t="s">
        <v>26</v>
      </c>
      <c r="C1510">
        <v>0</v>
      </c>
      <c r="D1510">
        <v>0</v>
      </c>
      <c r="E1510">
        <v>0</v>
      </c>
      <c r="F1510">
        <v>6395</v>
      </c>
      <c r="G1510">
        <v>1750</v>
      </c>
      <c r="H1510">
        <v>0</v>
      </c>
      <c r="J1510" t="str">
        <f>VLOOKUP(Table3[[#This Row],[Faction ID]],Table4[],2)</f>
        <v>Rachrohir (Wainriders)</v>
      </c>
    </row>
    <row r="1511" spans="1:10" x14ac:dyDescent="0.25">
      <c r="A1511">
        <v>39</v>
      </c>
      <c r="B1511" t="s">
        <v>27</v>
      </c>
      <c r="C1511">
        <v>5</v>
      </c>
      <c r="D1511">
        <v>3</v>
      </c>
      <c r="E1511">
        <v>46</v>
      </c>
      <c r="F1511">
        <v>42711</v>
      </c>
      <c r="G1511">
        <v>10191</v>
      </c>
      <c r="H1511">
        <v>0</v>
      </c>
      <c r="J1511" t="str">
        <f>VLOOKUP(Table3[[#This Row],[Faction ID]],Table4[],2)</f>
        <v>Blacklock-Stonefoot League</v>
      </c>
    </row>
    <row r="1512" spans="1:10" x14ac:dyDescent="0.25">
      <c r="A1512">
        <v>39</v>
      </c>
      <c r="B1512" t="s">
        <v>28</v>
      </c>
      <c r="C1512">
        <v>4</v>
      </c>
      <c r="D1512">
        <v>2</v>
      </c>
      <c r="E1512">
        <v>31</v>
      </c>
      <c r="F1512">
        <v>37011</v>
      </c>
      <c r="G1512">
        <v>5401</v>
      </c>
      <c r="H1512">
        <v>0</v>
      </c>
      <c r="J1512" t="str">
        <f>VLOOKUP(Table3[[#This Row],[Faction ID]],Table4[],2)</f>
        <v>Ironfist-Stiffbeard Union</v>
      </c>
    </row>
    <row r="1513" spans="1:10" x14ac:dyDescent="0.25">
      <c r="A1513">
        <v>39</v>
      </c>
      <c r="B1513" t="s">
        <v>20</v>
      </c>
      <c r="C1513">
        <v>101</v>
      </c>
      <c r="D1513">
        <v>11</v>
      </c>
      <c r="E1513">
        <v>131</v>
      </c>
      <c r="F1513">
        <v>16183</v>
      </c>
      <c r="G1513">
        <v>16469</v>
      </c>
      <c r="H1513">
        <v>877</v>
      </c>
      <c r="J1513" t="str">
        <f>VLOOKUP(Table3[[#This Row],[Faction ID]],Table4[],2)</f>
        <v>Gundabad</v>
      </c>
    </row>
    <row r="1514" spans="1:10" x14ac:dyDescent="0.25">
      <c r="A1514">
        <v>39</v>
      </c>
      <c r="B1514" t="s">
        <v>34</v>
      </c>
      <c r="C1514">
        <v>0</v>
      </c>
      <c r="D1514">
        <v>0</v>
      </c>
      <c r="E1514">
        <v>3</v>
      </c>
      <c r="F1514">
        <v>46598</v>
      </c>
      <c r="G1514">
        <v>2379</v>
      </c>
      <c r="H1514">
        <v>0</v>
      </c>
      <c r="J1514" t="str">
        <f>VLOOKUP(Table3[[#This Row],[Faction ID]],Table4[],2)</f>
        <v>Scouts of Rohan</v>
      </c>
    </row>
    <row r="1515" spans="1:10" x14ac:dyDescent="0.25">
      <c r="A1515">
        <v>39</v>
      </c>
      <c r="B1515" t="s">
        <v>33</v>
      </c>
      <c r="C1515">
        <v>5</v>
      </c>
      <c r="D1515">
        <v>3</v>
      </c>
      <c r="E1515">
        <v>41</v>
      </c>
      <c r="F1515">
        <v>12426</v>
      </c>
      <c r="G1515">
        <v>6647</v>
      </c>
      <c r="H1515">
        <v>227</v>
      </c>
      <c r="J1515" t="str">
        <f>VLOOKUP(Table3[[#This Row],[Faction ID]],Table4[],2)</f>
        <v>Northern Enedwaith</v>
      </c>
    </row>
    <row r="1516" spans="1:10" x14ac:dyDescent="0.25">
      <c r="A1516">
        <v>39</v>
      </c>
      <c r="B1516" t="s">
        <v>29</v>
      </c>
      <c r="C1516">
        <v>1</v>
      </c>
      <c r="D1516">
        <v>1</v>
      </c>
      <c r="E1516">
        <v>8</v>
      </c>
      <c r="F1516">
        <v>41213</v>
      </c>
      <c r="G1516">
        <v>2385</v>
      </c>
      <c r="H1516">
        <v>0</v>
      </c>
      <c r="J1516" t="str">
        <f>VLOOKUP(Table3[[#This Row],[Faction ID]],Table4[],2)</f>
        <v>Southern Enedwaith</v>
      </c>
    </row>
    <row r="1517" spans="1:10" x14ac:dyDescent="0.25">
      <c r="A1517">
        <v>39</v>
      </c>
      <c r="B1517" t="s">
        <v>30</v>
      </c>
      <c r="C1517">
        <v>6</v>
      </c>
      <c r="D1517">
        <v>4</v>
      </c>
      <c r="E1517">
        <v>43</v>
      </c>
      <c r="F1517">
        <v>25405</v>
      </c>
      <c r="G1517">
        <v>7109</v>
      </c>
      <c r="H1517">
        <v>0</v>
      </c>
      <c r="J1517" t="str">
        <f>VLOOKUP(Table3[[#This Row],[Faction ID]],Table4[],2)</f>
        <v>Druedain</v>
      </c>
    </row>
    <row r="1518" spans="1:10" x14ac:dyDescent="0.25">
      <c r="A1518">
        <v>39</v>
      </c>
      <c r="B1518" t="s">
        <v>31</v>
      </c>
      <c r="C1518">
        <v>0</v>
      </c>
      <c r="D1518">
        <v>0</v>
      </c>
      <c r="E1518">
        <v>0</v>
      </c>
      <c r="F1518">
        <v>15146</v>
      </c>
      <c r="G1518">
        <v>1750</v>
      </c>
      <c r="H1518">
        <v>0</v>
      </c>
      <c r="J1518" t="str">
        <f>VLOOKUP(Table3[[#This Row],[Faction ID]],Table4[],2)</f>
        <v>Harondor</v>
      </c>
    </row>
    <row r="1519" spans="1:10" x14ac:dyDescent="0.25">
      <c r="A1519">
        <v>39</v>
      </c>
      <c r="B1519" t="s">
        <v>35</v>
      </c>
      <c r="C1519">
        <v>0</v>
      </c>
      <c r="D1519">
        <v>0</v>
      </c>
      <c r="E1519">
        <v>0</v>
      </c>
      <c r="F1519">
        <v>4000</v>
      </c>
      <c r="G1519">
        <v>1750</v>
      </c>
      <c r="H1519">
        <v>0</v>
      </c>
      <c r="J1519" t="str">
        <f>VLOOKUP(Table3[[#This Row],[Faction ID]],Table4[],2)</f>
        <v>Southron Nomads</v>
      </c>
    </row>
    <row r="1520" spans="1:10" x14ac:dyDescent="0.25">
      <c r="A1520">
        <v>39</v>
      </c>
      <c r="B1520" t="s">
        <v>36</v>
      </c>
      <c r="C1520">
        <v>0</v>
      </c>
      <c r="D1520">
        <v>0</v>
      </c>
      <c r="E1520">
        <v>0</v>
      </c>
      <c r="F1520">
        <v>4000</v>
      </c>
      <c r="G1520">
        <v>1750</v>
      </c>
      <c r="H1520">
        <v>0</v>
      </c>
      <c r="J1520" t="str">
        <f>VLOOKUP(Table3[[#This Row],[Faction ID]],Table4[],2)</f>
        <v>_</v>
      </c>
    </row>
    <row r="1521" spans="1:10" x14ac:dyDescent="0.25">
      <c r="A1521">
        <v>39</v>
      </c>
      <c r="B1521" t="s">
        <v>37</v>
      </c>
      <c r="C1521">
        <v>0</v>
      </c>
      <c r="D1521">
        <v>0</v>
      </c>
      <c r="E1521">
        <v>0</v>
      </c>
      <c r="F1521">
        <v>4000</v>
      </c>
      <c r="G1521">
        <v>1750</v>
      </c>
      <c r="H1521">
        <v>0</v>
      </c>
      <c r="J1521" t="str">
        <f>VLOOKUP(Table3[[#This Row],[Faction ID]],Table4[],2)</f>
        <v>_</v>
      </c>
    </row>
    <row r="1522" spans="1:10" x14ac:dyDescent="0.25">
      <c r="A1522">
        <v>39</v>
      </c>
      <c r="B1522" t="s">
        <v>38</v>
      </c>
      <c r="C1522">
        <v>0</v>
      </c>
      <c r="D1522">
        <v>0</v>
      </c>
      <c r="E1522">
        <v>0</v>
      </c>
      <c r="F1522">
        <v>4000</v>
      </c>
      <c r="G1522">
        <v>1750</v>
      </c>
      <c r="H1522">
        <v>0</v>
      </c>
      <c r="J1522" t="str">
        <f>VLOOKUP(Table3[[#This Row],[Faction ID]],Table4[],2)</f>
        <v>_</v>
      </c>
    </row>
    <row r="1523" spans="1:10" x14ac:dyDescent="0.25">
      <c r="A1523">
        <v>39</v>
      </c>
      <c r="B1523" t="s">
        <v>39</v>
      </c>
      <c r="C1523">
        <v>0</v>
      </c>
      <c r="D1523">
        <v>0</v>
      </c>
      <c r="E1523">
        <v>0</v>
      </c>
      <c r="F1523">
        <v>4000</v>
      </c>
      <c r="G1523">
        <v>1750</v>
      </c>
      <c r="H1523">
        <v>0</v>
      </c>
      <c r="J1523" t="str">
        <f>VLOOKUP(Table3[[#This Row],[Faction ID]],Table4[],2)</f>
        <v>_</v>
      </c>
    </row>
    <row r="1524" spans="1:10" x14ac:dyDescent="0.25">
      <c r="A1524">
        <v>39</v>
      </c>
      <c r="B1524" t="s">
        <v>40</v>
      </c>
      <c r="C1524">
        <v>0</v>
      </c>
      <c r="D1524">
        <v>0</v>
      </c>
      <c r="E1524">
        <v>0</v>
      </c>
      <c r="F1524">
        <v>4000</v>
      </c>
      <c r="G1524">
        <v>1750</v>
      </c>
      <c r="H1524">
        <v>0</v>
      </c>
      <c r="J1524" t="str">
        <f>VLOOKUP(Table3[[#This Row],[Faction ID]],Table4[],2)</f>
        <v>_</v>
      </c>
    </row>
    <row r="1525" spans="1:10" x14ac:dyDescent="0.25">
      <c r="A1525">
        <v>39</v>
      </c>
      <c r="B1525" t="s">
        <v>41</v>
      </c>
      <c r="C1525">
        <v>0</v>
      </c>
      <c r="D1525">
        <v>0</v>
      </c>
      <c r="E1525">
        <v>0</v>
      </c>
      <c r="F1525">
        <v>4000</v>
      </c>
      <c r="G1525">
        <v>1750</v>
      </c>
      <c r="H1525">
        <v>0</v>
      </c>
      <c r="J1525" t="str">
        <f>VLOOKUP(Table3[[#This Row],[Faction ID]],Table4[],2)</f>
        <v>_</v>
      </c>
    </row>
    <row r="1526" spans="1:10" x14ac:dyDescent="0.25">
      <c r="A1526">
        <v>39</v>
      </c>
      <c r="B1526" t="s">
        <v>42</v>
      </c>
      <c r="C1526">
        <v>0</v>
      </c>
      <c r="D1526">
        <v>0</v>
      </c>
      <c r="E1526">
        <v>0</v>
      </c>
      <c r="F1526">
        <v>4000</v>
      </c>
      <c r="G1526">
        <v>1750</v>
      </c>
      <c r="H1526">
        <v>0</v>
      </c>
      <c r="J1526" t="str">
        <f>VLOOKUP(Table3[[#This Row],[Faction ID]],Table4[],2)</f>
        <v>_</v>
      </c>
    </row>
    <row r="1527" spans="1:10" x14ac:dyDescent="0.25">
      <c r="A1527">
        <v>39</v>
      </c>
      <c r="B1527" t="s">
        <v>43</v>
      </c>
      <c r="C1527">
        <v>0</v>
      </c>
      <c r="D1527">
        <v>0</v>
      </c>
      <c r="E1527">
        <v>0</v>
      </c>
      <c r="F1527">
        <v>4000</v>
      </c>
      <c r="G1527">
        <v>1750</v>
      </c>
      <c r="H1527">
        <v>0</v>
      </c>
      <c r="J1527" t="str">
        <f>VLOOKUP(Table3[[#This Row],[Faction ID]],Table4[],2)</f>
        <v>_</v>
      </c>
    </row>
    <row r="1528" spans="1:10" x14ac:dyDescent="0.25">
      <c r="A1528">
        <v>39</v>
      </c>
      <c r="B1528" t="s">
        <v>44</v>
      </c>
      <c r="C1528">
        <v>0</v>
      </c>
      <c r="D1528">
        <v>0</v>
      </c>
      <c r="E1528">
        <v>0</v>
      </c>
      <c r="F1528">
        <v>4000</v>
      </c>
      <c r="G1528">
        <v>1750</v>
      </c>
      <c r="H1528">
        <v>0</v>
      </c>
      <c r="J1528" t="str">
        <f>VLOOKUP(Table3[[#This Row],[Faction ID]],Table4[],2)</f>
        <v>_</v>
      </c>
    </row>
    <row r="1529" spans="1:10" x14ac:dyDescent="0.25">
      <c r="A1529">
        <v>40</v>
      </c>
      <c r="B1529" t="s">
        <v>9</v>
      </c>
      <c r="C1529">
        <v>149</v>
      </c>
      <c r="D1529">
        <v>20</v>
      </c>
      <c r="E1529">
        <v>178.4</v>
      </c>
      <c r="F1529">
        <v>94</v>
      </c>
      <c r="G1529">
        <v>21449</v>
      </c>
      <c r="H1529">
        <v>880</v>
      </c>
      <c r="J1529" t="str">
        <f>VLOOKUP(Table3[[#This Row],[Faction ID]],Table4[],2)</f>
        <v>Mordor</v>
      </c>
    </row>
    <row r="1530" spans="1:10" x14ac:dyDescent="0.25">
      <c r="A1530">
        <v>40</v>
      </c>
      <c r="B1530" t="s">
        <v>4</v>
      </c>
      <c r="C1530">
        <v>123</v>
      </c>
      <c r="D1530">
        <v>9</v>
      </c>
      <c r="E1530">
        <v>132</v>
      </c>
      <c r="F1530">
        <v>68584</v>
      </c>
      <c r="G1530">
        <v>21686</v>
      </c>
      <c r="H1530">
        <v>0</v>
      </c>
      <c r="J1530" t="str">
        <f>VLOOKUP(Table3[[#This Row],[Faction ID]],Table4[],2)</f>
        <v>Gondor</v>
      </c>
    </row>
    <row r="1531" spans="1:10" x14ac:dyDescent="0.25">
      <c r="A1531">
        <v>40</v>
      </c>
      <c r="B1531" t="s">
        <v>6</v>
      </c>
      <c r="C1531">
        <v>95</v>
      </c>
      <c r="D1531">
        <v>3</v>
      </c>
      <c r="E1531">
        <v>41</v>
      </c>
      <c r="F1531">
        <v>18188</v>
      </c>
      <c r="G1531">
        <v>8119</v>
      </c>
      <c r="H1531">
        <v>191</v>
      </c>
      <c r="J1531" t="str">
        <f>VLOOKUP(Table3[[#This Row],[Faction ID]],Table4[],2)</f>
        <v>Dale</v>
      </c>
    </row>
    <row r="1532" spans="1:10" x14ac:dyDescent="0.25">
      <c r="A1532">
        <v>40</v>
      </c>
      <c r="B1532" t="s">
        <v>21</v>
      </c>
      <c r="C1532">
        <v>94</v>
      </c>
      <c r="D1532">
        <v>4</v>
      </c>
      <c r="E1532">
        <v>83.7</v>
      </c>
      <c r="F1532">
        <v>41869</v>
      </c>
      <c r="G1532">
        <v>18787</v>
      </c>
      <c r="H1532">
        <v>430</v>
      </c>
      <c r="J1532" t="str">
        <f>VLOOKUP(Table3[[#This Row],[Faction ID]],Table4[],2)</f>
        <v>Erebor</v>
      </c>
    </row>
    <row r="1533" spans="1:10" x14ac:dyDescent="0.25">
      <c r="A1533">
        <v>40</v>
      </c>
      <c r="B1533" t="s">
        <v>5</v>
      </c>
      <c r="C1533">
        <v>104</v>
      </c>
      <c r="D1533">
        <v>7</v>
      </c>
      <c r="E1533">
        <v>55</v>
      </c>
      <c r="F1533">
        <v>41483</v>
      </c>
      <c r="G1533">
        <v>9119</v>
      </c>
      <c r="H1533">
        <v>0</v>
      </c>
      <c r="J1533" t="str">
        <f>VLOOKUP(Table3[[#This Row],[Faction ID]],Table4[],2)</f>
        <v>Rohan</v>
      </c>
    </row>
    <row r="1534" spans="1:10" x14ac:dyDescent="0.25">
      <c r="A1534">
        <v>40</v>
      </c>
      <c r="B1534" t="s">
        <v>12</v>
      </c>
      <c r="C1534">
        <v>130</v>
      </c>
      <c r="D1534">
        <v>14</v>
      </c>
      <c r="E1534">
        <v>168.7</v>
      </c>
      <c r="F1534">
        <v>14637</v>
      </c>
      <c r="G1534">
        <v>18310</v>
      </c>
      <c r="H1534">
        <v>1243</v>
      </c>
      <c r="J1534" t="str">
        <f>VLOOKUP(Table3[[#This Row],[Faction ID]],Table4[],2)</f>
        <v>Dol Guldur</v>
      </c>
    </row>
    <row r="1535" spans="1:10" x14ac:dyDescent="0.25">
      <c r="A1535">
        <v>40</v>
      </c>
      <c r="B1535" t="s">
        <v>10</v>
      </c>
      <c r="C1535">
        <v>58</v>
      </c>
      <c r="D1535">
        <v>0</v>
      </c>
      <c r="E1535">
        <v>9</v>
      </c>
      <c r="F1535">
        <v>5415</v>
      </c>
      <c r="G1535">
        <v>3929</v>
      </c>
      <c r="H1535">
        <v>0</v>
      </c>
      <c r="J1535" t="str">
        <f>VLOOKUP(Table3[[#This Row],[Faction ID]],Table4[],2)</f>
        <v>Anduin Vale</v>
      </c>
    </row>
    <row r="1536" spans="1:10" x14ac:dyDescent="0.25">
      <c r="A1536">
        <v>40</v>
      </c>
      <c r="B1536" t="s">
        <v>32</v>
      </c>
      <c r="C1536">
        <v>133</v>
      </c>
      <c r="D1536">
        <v>6</v>
      </c>
      <c r="E1536">
        <v>107.9</v>
      </c>
      <c r="F1536">
        <v>10676</v>
      </c>
      <c r="G1536">
        <v>15713</v>
      </c>
      <c r="H1536">
        <v>672</v>
      </c>
      <c r="J1536" t="str">
        <f>VLOOKUP(Table3[[#This Row],[Faction ID]],Table4[],2)</f>
        <v>Isengard</v>
      </c>
    </row>
    <row r="1537" spans="1:10" x14ac:dyDescent="0.25">
      <c r="A1537">
        <v>40</v>
      </c>
      <c r="B1537" t="s">
        <v>22</v>
      </c>
      <c r="C1537">
        <v>30</v>
      </c>
      <c r="D1537">
        <v>0</v>
      </c>
      <c r="E1537">
        <v>0</v>
      </c>
      <c r="F1537">
        <v>8475</v>
      </c>
      <c r="G1537">
        <v>2500</v>
      </c>
      <c r="H1537">
        <v>0</v>
      </c>
      <c r="J1537" t="str">
        <f>VLOOKUP(Table3[[#This Row],[Faction ID]],Table4[],2)</f>
        <v>Woodland Realm</v>
      </c>
    </row>
    <row r="1538" spans="1:10" x14ac:dyDescent="0.25">
      <c r="A1538">
        <v>40</v>
      </c>
      <c r="B1538" t="s">
        <v>23</v>
      </c>
      <c r="C1538">
        <v>60</v>
      </c>
      <c r="D1538">
        <v>1</v>
      </c>
      <c r="E1538">
        <v>1</v>
      </c>
      <c r="F1538">
        <v>5760</v>
      </c>
      <c r="G1538">
        <v>3135</v>
      </c>
      <c r="H1538">
        <v>0</v>
      </c>
      <c r="J1538" t="str">
        <f>VLOOKUP(Table3[[#This Row],[Faction ID]],Table4[],2)</f>
        <v>Lothlorien</v>
      </c>
    </row>
    <row r="1539" spans="1:10" x14ac:dyDescent="0.25">
      <c r="A1539">
        <v>40</v>
      </c>
      <c r="B1539" t="s">
        <v>24</v>
      </c>
      <c r="C1539">
        <v>0</v>
      </c>
      <c r="D1539">
        <v>0</v>
      </c>
      <c r="E1539">
        <v>0</v>
      </c>
      <c r="F1539">
        <v>4919</v>
      </c>
      <c r="G1539">
        <v>1750</v>
      </c>
      <c r="H1539">
        <v>0</v>
      </c>
      <c r="J1539" t="str">
        <f>VLOOKUP(Table3[[#This Row],[Faction ID]],Table4[],2)</f>
        <v>Variags (Khand)</v>
      </c>
    </row>
    <row r="1540" spans="1:10" x14ac:dyDescent="0.25">
      <c r="A1540">
        <v>40</v>
      </c>
      <c r="B1540" t="s">
        <v>14</v>
      </c>
      <c r="C1540">
        <v>10</v>
      </c>
      <c r="D1540">
        <v>7</v>
      </c>
      <c r="E1540">
        <v>98.8</v>
      </c>
      <c r="F1540">
        <v>16736</v>
      </c>
      <c r="G1540">
        <v>15400</v>
      </c>
      <c r="H1540">
        <v>981</v>
      </c>
      <c r="J1540" t="str">
        <f>VLOOKUP(Table3[[#This Row],[Faction ID]],Table4[],2)</f>
        <v>Corsairs of Umbar</v>
      </c>
    </row>
    <row r="1541" spans="1:10" x14ac:dyDescent="0.25">
      <c r="A1541">
        <v>40</v>
      </c>
      <c r="B1541" t="s">
        <v>25</v>
      </c>
      <c r="C1541">
        <v>5</v>
      </c>
      <c r="D1541">
        <v>3</v>
      </c>
      <c r="E1541">
        <v>33</v>
      </c>
      <c r="F1541">
        <v>16154</v>
      </c>
      <c r="G1541">
        <v>5094</v>
      </c>
      <c r="H1541">
        <v>0</v>
      </c>
      <c r="J1541" t="str">
        <f>VLOOKUP(Table3[[#This Row],[Faction ID]],Table4[],2)</f>
        <v>Mahud</v>
      </c>
    </row>
    <row r="1542" spans="1:10" x14ac:dyDescent="0.25">
      <c r="A1542">
        <v>40</v>
      </c>
      <c r="B1542" t="s">
        <v>11</v>
      </c>
      <c r="C1542">
        <v>73</v>
      </c>
      <c r="D1542">
        <v>5</v>
      </c>
      <c r="E1542">
        <v>78</v>
      </c>
      <c r="F1542">
        <v>8897</v>
      </c>
      <c r="G1542">
        <v>12047</v>
      </c>
      <c r="H1542">
        <v>0</v>
      </c>
      <c r="J1542" t="str">
        <f>VLOOKUP(Table3[[#This Row],[Faction ID]],Table4[],2)</f>
        <v>Haradrim</v>
      </c>
    </row>
    <row r="1543" spans="1:10" x14ac:dyDescent="0.25">
      <c r="A1543">
        <v>40</v>
      </c>
      <c r="B1543" t="s">
        <v>15</v>
      </c>
      <c r="C1543">
        <v>85</v>
      </c>
      <c r="D1543">
        <v>6</v>
      </c>
      <c r="E1543">
        <v>88.9</v>
      </c>
      <c r="F1543">
        <v>9601</v>
      </c>
      <c r="G1543">
        <v>15357</v>
      </c>
      <c r="H1543">
        <v>830</v>
      </c>
      <c r="J1543" t="str">
        <f>VLOOKUP(Table3[[#This Row],[Faction ID]],Table4[],2)</f>
        <v>Dunlendings</v>
      </c>
    </row>
    <row r="1544" spans="1:10" x14ac:dyDescent="0.25">
      <c r="A1544">
        <v>40</v>
      </c>
      <c r="B1544" t="s">
        <v>16</v>
      </c>
      <c r="C1544">
        <v>0</v>
      </c>
      <c r="D1544">
        <v>0</v>
      </c>
      <c r="E1544">
        <v>0</v>
      </c>
      <c r="F1544">
        <v>5352</v>
      </c>
      <c r="G1544">
        <v>1750</v>
      </c>
      <c r="H1544">
        <v>0</v>
      </c>
      <c r="J1544" t="str">
        <f>VLOOKUP(Table3[[#This Row],[Faction ID]],Table4[],2)</f>
        <v>Haerrim</v>
      </c>
    </row>
    <row r="1545" spans="1:10" x14ac:dyDescent="0.25">
      <c r="A1545">
        <v>40</v>
      </c>
      <c r="B1545" t="s">
        <v>13</v>
      </c>
      <c r="C1545">
        <v>145</v>
      </c>
      <c r="D1545">
        <v>13</v>
      </c>
      <c r="E1545">
        <v>151.19999999999999</v>
      </c>
      <c r="F1545">
        <v>21602</v>
      </c>
      <c r="G1545">
        <v>20703</v>
      </c>
      <c r="H1545">
        <v>2402</v>
      </c>
      <c r="J1545" t="str">
        <f>VLOOKUP(Table3[[#This Row],[Faction ID]],Table4[],2)</f>
        <v>Goblins</v>
      </c>
    </row>
    <row r="1546" spans="1:10" x14ac:dyDescent="0.25">
      <c r="A1546">
        <v>40</v>
      </c>
      <c r="B1546" t="s">
        <v>17</v>
      </c>
      <c r="C1546">
        <v>0</v>
      </c>
      <c r="D1546">
        <v>0</v>
      </c>
      <c r="E1546">
        <v>0</v>
      </c>
      <c r="F1546">
        <v>4872</v>
      </c>
      <c r="G1546">
        <v>1750</v>
      </c>
      <c r="H1546">
        <v>0</v>
      </c>
      <c r="J1546" t="str">
        <f>VLOOKUP(Table3[[#This Row],[Faction ID]],Table4[],2)</f>
        <v>Balchoth</v>
      </c>
    </row>
    <row r="1547" spans="1:10" x14ac:dyDescent="0.25">
      <c r="A1547">
        <v>40</v>
      </c>
      <c r="B1547" t="s">
        <v>18</v>
      </c>
      <c r="C1547">
        <v>130</v>
      </c>
      <c r="D1547">
        <v>33</v>
      </c>
      <c r="E1547">
        <v>429.2</v>
      </c>
      <c r="F1547">
        <v>37663</v>
      </c>
      <c r="G1547">
        <v>35371</v>
      </c>
      <c r="H1547">
        <v>1115</v>
      </c>
      <c r="J1547" t="str">
        <f>VLOOKUP(Table3[[#This Row],[Faction ID]],Table4[],2)</f>
        <v>Rhurim/Rhun</v>
      </c>
    </row>
    <row r="1548" spans="1:10" x14ac:dyDescent="0.25">
      <c r="A1548">
        <v>40</v>
      </c>
      <c r="B1548" t="s">
        <v>19</v>
      </c>
      <c r="C1548">
        <v>0</v>
      </c>
      <c r="D1548">
        <v>0</v>
      </c>
      <c r="E1548">
        <v>0</v>
      </c>
      <c r="F1548">
        <v>7360</v>
      </c>
      <c r="G1548">
        <v>1750</v>
      </c>
      <c r="H1548">
        <v>0</v>
      </c>
      <c r="J1548" t="str">
        <f>VLOOKUP(Table3[[#This Row],[Faction ID]],Table4[],2)</f>
        <v>Feredrim</v>
      </c>
    </row>
    <row r="1549" spans="1:10" x14ac:dyDescent="0.25">
      <c r="A1549">
        <v>40</v>
      </c>
      <c r="B1549" t="s">
        <v>26</v>
      </c>
      <c r="C1549">
        <v>0</v>
      </c>
      <c r="D1549">
        <v>0</v>
      </c>
      <c r="E1549">
        <v>0</v>
      </c>
      <c r="F1549">
        <v>6395</v>
      </c>
      <c r="G1549">
        <v>1750</v>
      </c>
      <c r="H1549">
        <v>0</v>
      </c>
      <c r="J1549" t="str">
        <f>VLOOKUP(Table3[[#This Row],[Faction ID]],Table4[],2)</f>
        <v>Rachrohir (Wainriders)</v>
      </c>
    </row>
    <row r="1550" spans="1:10" x14ac:dyDescent="0.25">
      <c r="A1550">
        <v>40</v>
      </c>
      <c r="B1550" t="s">
        <v>27</v>
      </c>
      <c r="C1550">
        <v>5</v>
      </c>
      <c r="D1550">
        <v>3</v>
      </c>
      <c r="E1550">
        <v>46</v>
      </c>
      <c r="F1550">
        <v>45824</v>
      </c>
      <c r="G1550">
        <v>10539</v>
      </c>
      <c r="H1550">
        <v>0</v>
      </c>
      <c r="J1550" t="str">
        <f>VLOOKUP(Table3[[#This Row],[Faction ID]],Table4[],2)</f>
        <v>Blacklock-Stonefoot League</v>
      </c>
    </row>
    <row r="1551" spans="1:10" x14ac:dyDescent="0.25">
      <c r="A1551">
        <v>40</v>
      </c>
      <c r="B1551" t="s">
        <v>28</v>
      </c>
      <c r="C1551">
        <v>4</v>
      </c>
      <c r="D1551">
        <v>2</v>
      </c>
      <c r="E1551">
        <v>32</v>
      </c>
      <c r="F1551">
        <v>38614</v>
      </c>
      <c r="G1551">
        <v>6151</v>
      </c>
      <c r="H1551">
        <v>0</v>
      </c>
      <c r="J1551" t="str">
        <f>VLOOKUP(Table3[[#This Row],[Faction ID]],Table4[],2)</f>
        <v>Ironfist-Stiffbeard Union</v>
      </c>
    </row>
    <row r="1552" spans="1:10" x14ac:dyDescent="0.25">
      <c r="A1552">
        <v>40</v>
      </c>
      <c r="B1552" t="s">
        <v>20</v>
      </c>
      <c r="C1552">
        <v>102</v>
      </c>
      <c r="D1552">
        <v>12</v>
      </c>
      <c r="E1552">
        <v>134</v>
      </c>
      <c r="F1552">
        <v>15449</v>
      </c>
      <c r="G1552">
        <v>16823</v>
      </c>
      <c r="H1552">
        <v>881</v>
      </c>
      <c r="J1552" t="str">
        <f>VLOOKUP(Table3[[#This Row],[Faction ID]],Table4[],2)</f>
        <v>Gundabad</v>
      </c>
    </row>
    <row r="1553" spans="1:10" x14ac:dyDescent="0.25">
      <c r="A1553">
        <v>40</v>
      </c>
      <c r="B1553" t="s">
        <v>34</v>
      </c>
      <c r="C1553">
        <v>0</v>
      </c>
      <c r="D1553">
        <v>0</v>
      </c>
      <c r="E1553">
        <v>3</v>
      </c>
      <c r="F1553">
        <v>47719</v>
      </c>
      <c r="G1553">
        <v>2379</v>
      </c>
      <c r="H1553">
        <v>0</v>
      </c>
      <c r="J1553" t="str">
        <f>VLOOKUP(Table3[[#This Row],[Faction ID]],Table4[],2)</f>
        <v>Scouts of Rohan</v>
      </c>
    </row>
    <row r="1554" spans="1:10" x14ac:dyDescent="0.25">
      <c r="A1554">
        <v>40</v>
      </c>
      <c r="B1554" t="s">
        <v>33</v>
      </c>
      <c r="C1554">
        <v>5</v>
      </c>
      <c r="D1554">
        <v>3</v>
      </c>
      <c r="E1554">
        <v>41</v>
      </c>
      <c r="F1554">
        <v>15532</v>
      </c>
      <c r="G1554">
        <v>6879</v>
      </c>
      <c r="H1554">
        <v>230</v>
      </c>
      <c r="J1554" t="str">
        <f>VLOOKUP(Table3[[#This Row],[Faction ID]],Table4[],2)</f>
        <v>Northern Enedwaith</v>
      </c>
    </row>
    <row r="1555" spans="1:10" x14ac:dyDescent="0.25">
      <c r="A1555">
        <v>40</v>
      </c>
      <c r="B1555" t="s">
        <v>29</v>
      </c>
      <c r="C1555">
        <v>1</v>
      </c>
      <c r="D1555">
        <v>1</v>
      </c>
      <c r="E1555">
        <v>8</v>
      </c>
      <c r="F1555">
        <v>43056</v>
      </c>
      <c r="G1555">
        <v>2383</v>
      </c>
      <c r="H1555">
        <v>0</v>
      </c>
      <c r="J1555" t="str">
        <f>VLOOKUP(Table3[[#This Row],[Faction ID]],Table4[],2)</f>
        <v>Southern Enedwaith</v>
      </c>
    </row>
    <row r="1556" spans="1:10" x14ac:dyDescent="0.25">
      <c r="A1556">
        <v>40</v>
      </c>
      <c r="B1556" t="s">
        <v>30</v>
      </c>
      <c r="C1556">
        <v>6</v>
      </c>
      <c r="D1556">
        <v>4</v>
      </c>
      <c r="E1556">
        <v>43</v>
      </c>
      <c r="F1556">
        <v>27486</v>
      </c>
      <c r="G1556">
        <v>6864</v>
      </c>
      <c r="H1556">
        <v>0</v>
      </c>
      <c r="J1556" t="str">
        <f>VLOOKUP(Table3[[#This Row],[Faction ID]],Table4[],2)</f>
        <v>Druedain</v>
      </c>
    </row>
    <row r="1557" spans="1:10" x14ac:dyDescent="0.25">
      <c r="A1557">
        <v>40</v>
      </c>
      <c r="B1557" t="s">
        <v>31</v>
      </c>
      <c r="C1557">
        <v>0</v>
      </c>
      <c r="D1557">
        <v>0</v>
      </c>
      <c r="E1557">
        <v>0</v>
      </c>
      <c r="F1557">
        <v>15146</v>
      </c>
      <c r="G1557">
        <v>1750</v>
      </c>
      <c r="H1557">
        <v>0</v>
      </c>
      <c r="J1557" t="str">
        <f>VLOOKUP(Table3[[#This Row],[Faction ID]],Table4[],2)</f>
        <v>Harondor</v>
      </c>
    </row>
    <row r="1558" spans="1:10" x14ac:dyDescent="0.25">
      <c r="A1558">
        <v>40</v>
      </c>
      <c r="B1558" t="s">
        <v>35</v>
      </c>
      <c r="C1558">
        <v>0</v>
      </c>
      <c r="D1558">
        <v>0</v>
      </c>
      <c r="E1558">
        <v>0</v>
      </c>
      <c r="F1558">
        <v>4000</v>
      </c>
      <c r="G1558">
        <v>1750</v>
      </c>
      <c r="H1558">
        <v>0</v>
      </c>
      <c r="J1558" t="str">
        <f>VLOOKUP(Table3[[#This Row],[Faction ID]],Table4[],2)</f>
        <v>Southron Nomads</v>
      </c>
    </row>
    <row r="1559" spans="1:10" x14ac:dyDescent="0.25">
      <c r="A1559">
        <v>40</v>
      </c>
      <c r="B1559" t="s">
        <v>36</v>
      </c>
      <c r="C1559">
        <v>0</v>
      </c>
      <c r="D1559">
        <v>0</v>
      </c>
      <c r="E1559">
        <v>0</v>
      </c>
      <c r="F1559">
        <v>4000</v>
      </c>
      <c r="G1559">
        <v>1750</v>
      </c>
      <c r="H1559">
        <v>0</v>
      </c>
      <c r="J1559" t="str">
        <f>VLOOKUP(Table3[[#This Row],[Faction ID]],Table4[],2)</f>
        <v>_</v>
      </c>
    </row>
    <row r="1560" spans="1:10" x14ac:dyDescent="0.25">
      <c r="A1560">
        <v>40</v>
      </c>
      <c r="B1560" t="s">
        <v>37</v>
      </c>
      <c r="C1560">
        <v>0</v>
      </c>
      <c r="D1560">
        <v>0</v>
      </c>
      <c r="E1560">
        <v>0</v>
      </c>
      <c r="F1560">
        <v>4000</v>
      </c>
      <c r="G1560">
        <v>1750</v>
      </c>
      <c r="H1560">
        <v>0</v>
      </c>
      <c r="J1560" t="str">
        <f>VLOOKUP(Table3[[#This Row],[Faction ID]],Table4[],2)</f>
        <v>_</v>
      </c>
    </row>
    <row r="1561" spans="1:10" x14ac:dyDescent="0.25">
      <c r="A1561">
        <v>40</v>
      </c>
      <c r="B1561" t="s">
        <v>38</v>
      </c>
      <c r="C1561">
        <v>0</v>
      </c>
      <c r="D1561">
        <v>0</v>
      </c>
      <c r="E1561">
        <v>0</v>
      </c>
      <c r="F1561">
        <v>4000</v>
      </c>
      <c r="G1561">
        <v>1750</v>
      </c>
      <c r="H1561">
        <v>0</v>
      </c>
      <c r="J1561" t="str">
        <f>VLOOKUP(Table3[[#This Row],[Faction ID]],Table4[],2)</f>
        <v>_</v>
      </c>
    </row>
    <row r="1562" spans="1:10" x14ac:dyDescent="0.25">
      <c r="A1562">
        <v>40</v>
      </c>
      <c r="B1562" t="s">
        <v>39</v>
      </c>
      <c r="C1562">
        <v>0</v>
      </c>
      <c r="D1562">
        <v>0</v>
      </c>
      <c r="E1562">
        <v>0</v>
      </c>
      <c r="F1562">
        <v>4000</v>
      </c>
      <c r="G1562">
        <v>1750</v>
      </c>
      <c r="H1562">
        <v>0</v>
      </c>
      <c r="J1562" t="str">
        <f>VLOOKUP(Table3[[#This Row],[Faction ID]],Table4[],2)</f>
        <v>_</v>
      </c>
    </row>
    <row r="1563" spans="1:10" x14ac:dyDescent="0.25">
      <c r="A1563">
        <v>40</v>
      </c>
      <c r="B1563" t="s">
        <v>40</v>
      </c>
      <c r="C1563">
        <v>0</v>
      </c>
      <c r="D1563">
        <v>0</v>
      </c>
      <c r="E1563">
        <v>0</v>
      </c>
      <c r="F1563">
        <v>4000</v>
      </c>
      <c r="G1563">
        <v>1750</v>
      </c>
      <c r="H1563">
        <v>0</v>
      </c>
      <c r="J1563" t="str">
        <f>VLOOKUP(Table3[[#This Row],[Faction ID]],Table4[],2)</f>
        <v>_</v>
      </c>
    </row>
    <row r="1564" spans="1:10" x14ac:dyDescent="0.25">
      <c r="A1564">
        <v>40</v>
      </c>
      <c r="B1564" t="s">
        <v>41</v>
      </c>
      <c r="C1564">
        <v>0</v>
      </c>
      <c r="D1564">
        <v>0</v>
      </c>
      <c r="E1564">
        <v>0</v>
      </c>
      <c r="F1564">
        <v>4000</v>
      </c>
      <c r="G1564">
        <v>1750</v>
      </c>
      <c r="H1564">
        <v>0</v>
      </c>
      <c r="J1564" t="str">
        <f>VLOOKUP(Table3[[#This Row],[Faction ID]],Table4[],2)</f>
        <v>_</v>
      </c>
    </row>
    <row r="1565" spans="1:10" x14ac:dyDescent="0.25">
      <c r="A1565">
        <v>40</v>
      </c>
      <c r="B1565" t="s">
        <v>42</v>
      </c>
      <c r="C1565">
        <v>0</v>
      </c>
      <c r="D1565">
        <v>0</v>
      </c>
      <c r="E1565">
        <v>0</v>
      </c>
      <c r="F1565">
        <v>4000</v>
      </c>
      <c r="G1565">
        <v>1750</v>
      </c>
      <c r="H1565">
        <v>0</v>
      </c>
      <c r="J1565" t="str">
        <f>VLOOKUP(Table3[[#This Row],[Faction ID]],Table4[],2)</f>
        <v>_</v>
      </c>
    </row>
    <row r="1566" spans="1:10" x14ac:dyDescent="0.25">
      <c r="A1566">
        <v>40</v>
      </c>
      <c r="B1566" t="s">
        <v>43</v>
      </c>
      <c r="C1566">
        <v>0</v>
      </c>
      <c r="D1566">
        <v>0</v>
      </c>
      <c r="E1566">
        <v>0</v>
      </c>
      <c r="F1566">
        <v>4000</v>
      </c>
      <c r="G1566">
        <v>1750</v>
      </c>
      <c r="H1566">
        <v>0</v>
      </c>
      <c r="J1566" t="str">
        <f>VLOOKUP(Table3[[#This Row],[Faction ID]],Table4[],2)</f>
        <v>_</v>
      </c>
    </row>
    <row r="1567" spans="1:10" x14ac:dyDescent="0.25">
      <c r="A1567">
        <v>40</v>
      </c>
      <c r="B1567" t="s">
        <v>44</v>
      </c>
      <c r="C1567">
        <v>0</v>
      </c>
      <c r="D1567">
        <v>0</v>
      </c>
      <c r="E1567">
        <v>0</v>
      </c>
      <c r="F1567">
        <v>4000</v>
      </c>
      <c r="G1567">
        <v>1750</v>
      </c>
      <c r="H1567">
        <v>0</v>
      </c>
      <c r="J1567" t="str">
        <f>VLOOKUP(Table3[[#This Row],[Faction ID]],Table4[],2)</f>
        <v>_</v>
      </c>
    </row>
    <row r="1568" spans="1:10" x14ac:dyDescent="0.25">
      <c r="A1568">
        <v>41</v>
      </c>
      <c r="B1568" t="s">
        <v>9</v>
      </c>
      <c r="C1568">
        <v>149</v>
      </c>
      <c r="D1568">
        <v>20</v>
      </c>
      <c r="E1568">
        <v>179.4</v>
      </c>
      <c r="F1568">
        <v>4360</v>
      </c>
      <c r="G1568">
        <v>21340</v>
      </c>
      <c r="H1568">
        <v>883</v>
      </c>
      <c r="J1568" t="str">
        <f>VLOOKUP(Table3[[#This Row],[Faction ID]],Table4[],2)</f>
        <v>Mordor</v>
      </c>
    </row>
    <row r="1569" spans="1:10" x14ac:dyDescent="0.25">
      <c r="A1569">
        <v>41</v>
      </c>
      <c r="B1569" t="s">
        <v>4</v>
      </c>
      <c r="C1569">
        <v>128</v>
      </c>
      <c r="D1569">
        <v>9</v>
      </c>
      <c r="E1569">
        <v>132</v>
      </c>
      <c r="F1569">
        <v>64391</v>
      </c>
      <c r="G1569">
        <v>21177</v>
      </c>
      <c r="H1569">
        <v>0</v>
      </c>
      <c r="J1569" t="str">
        <f>VLOOKUP(Table3[[#This Row],[Faction ID]],Table4[],2)</f>
        <v>Gondor</v>
      </c>
    </row>
    <row r="1570" spans="1:10" x14ac:dyDescent="0.25">
      <c r="A1570">
        <v>41</v>
      </c>
      <c r="B1570" t="s">
        <v>6</v>
      </c>
      <c r="C1570">
        <v>95</v>
      </c>
      <c r="D1570">
        <v>3</v>
      </c>
      <c r="E1570">
        <v>44</v>
      </c>
      <c r="F1570">
        <v>21282</v>
      </c>
      <c r="G1570">
        <v>8733</v>
      </c>
      <c r="H1570">
        <v>193</v>
      </c>
      <c r="J1570" t="str">
        <f>VLOOKUP(Table3[[#This Row],[Faction ID]],Table4[],2)</f>
        <v>Dale</v>
      </c>
    </row>
    <row r="1571" spans="1:10" x14ac:dyDescent="0.25">
      <c r="A1571">
        <v>41</v>
      </c>
      <c r="B1571" t="s">
        <v>21</v>
      </c>
      <c r="C1571">
        <v>94</v>
      </c>
      <c r="D1571">
        <v>4</v>
      </c>
      <c r="E1571">
        <v>83.7</v>
      </c>
      <c r="F1571">
        <v>47397</v>
      </c>
      <c r="G1571">
        <v>19397</v>
      </c>
      <c r="H1571">
        <v>432</v>
      </c>
      <c r="J1571" t="str">
        <f>VLOOKUP(Table3[[#This Row],[Faction ID]],Table4[],2)</f>
        <v>Erebor</v>
      </c>
    </row>
    <row r="1572" spans="1:10" x14ac:dyDescent="0.25">
      <c r="A1572">
        <v>41</v>
      </c>
      <c r="B1572" t="s">
        <v>5</v>
      </c>
      <c r="C1572">
        <v>104</v>
      </c>
      <c r="D1572">
        <v>7</v>
      </c>
      <c r="E1572">
        <v>70.8</v>
      </c>
      <c r="F1572">
        <v>37588</v>
      </c>
      <c r="G1572">
        <v>10362</v>
      </c>
      <c r="H1572">
        <v>0</v>
      </c>
      <c r="J1572" t="str">
        <f>VLOOKUP(Table3[[#This Row],[Faction ID]],Table4[],2)</f>
        <v>Rohan</v>
      </c>
    </row>
    <row r="1573" spans="1:10" x14ac:dyDescent="0.25">
      <c r="A1573">
        <v>41</v>
      </c>
      <c r="B1573" t="s">
        <v>12</v>
      </c>
      <c r="C1573">
        <v>135</v>
      </c>
      <c r="D1573">
        <v>14</v>
      </c>
      <c r="E1573">
        <v>167.7</v>
      </c>
      <c r="F1573">
        <v>12467</v>
      </c>
      <c r="G1573">
        <v>18604</v>
      </c>
      <c r="H1573">
        <v>1246</v>
      </c>
      <c r="J1573" t="str">
        <f>VLOOKUP(Table3[[#This Row],[Faction ID]],Table4[],2)</f>
        <v>Dol Guldur</v>
      </c>
    </row>
    <row r="1574" spans="1:10" x14ac:dyDescent="0.25">
      <c r="A1574">
        <v>41</v>
      </c>
      <c r="B1574" t="s">
        <v>10</v>
      </c>
      <c r="C1574">
        <v>58</v>
      </c>
      <c r="D1574">
        <v>0</v>
      </c>
      <c r="E1574">
        <v>0</v>
      </c>
      <c r="F1574">
        <v>4515</v>
      </c>
      <c r="G1574">
        <v>2500</v>
      </c>
      <c r="H1574">
        <v>0</v>
      </c>
      <c r="J1574" t="str">
        <f>VLOOKUP(Table3[[#This Row],[Faction ID]],Table4[],2)</f>
        <v>Anduin Vale</v>
      </c>
    </row>
    <row r="1575" spans="1:10" x14ac:dyDescent="0.25">
      <c r="A1575">
        <v>41</v>
      </c>
      <c r="B1575" t="s">
        <v>32</v>
      </c>
      <c r="C1575">
        <v>133</v>
      </c>
      <c r="D1575">
        <v>6</v>
      </c>
      <c r="E1575">
        <v>95.6</v>
      </c>
      <c r="F1575">
        <v>14367</v>
      </c>
      <c r="G1575">
        <v>14627</v>
      </c>
      <c r="H1575">
        <v>673</v>
      </c>
      <c r="J1575" t="str">
        <f>VLOOKUP(Table3[[#This Row],[Faction ID]],Table4[],2)</f>
        <v>Isengard</v>
      </c>
    </row>
    <row r="1576" spans="1:10" x14ac:dyDescent="0.25">
      <c r="A1576">
        <v>41</v>
      </c>
      <c r="B1576" t="s">
        <v>22</v>
      </c>
      <c r="C1576">
        <v>30</v>
      </c>
      <c r="D1576">
        <v>0</v>
      </c>
      <c r="E1576">
        <v>0</v>
      </c>
      <c r="F1576">
        <v>8475</v>
      </c>
      <c r="G1576">
        <v>2500</v>
      </c>
      <c r="H1576">
        <v>0</v>
      </c>
      <c r="J1576" t="str">
        <f>VLOOKUP(Table3[[#This Row],[Faction ID]],Table4[],2)</f>
        <v>Woodland Realm</v>
      </c>
    </row>
    <row r="1577" spans="1:10" x14ac:dyDescent="0.25">
      <c r="A1577">
        <v>41</v>
      </c>
      <c r="B1577" t="s">
        <v>23</v>
      </c>
      <c r="C1577">
        <v>65</v>
      </c>
      <c r="D1577">
        <v>1</v>
      </c>
      <c r="E1577">
        <v>1</v>
      </c>
      <c r="F1577">
        <v>8307</v>
      </c>
      <c r="G1577">
        <v>3135</v>
      </c>
      <c r="H1577">
        <v>0</v>
      </c>
      <c r="J1577" t="str">
        <f>VLOOKUP(Table3[[#This Row],[Faction ID]],Table4[],2)</f>
        <v>Lothlorien</v>
      </c>
    </row>
    <row r="1578" spans="1:10" x14ac:dyDescent="0.25">
      <c r="A1578">
        <v>41</v>
      </c>
      <c r="B1578" t="s">
        <v>24</v>
      </c>
      <c r="C1578">
        <v>0</v>
      </c>
      <c r="D1578">
        <v>0</v>
      </c>
      <c r="E1578">
        <v>0</v>
      </c>
      <c r="F1578">
        <v>4919</v>
      </c>
      <c r="G1578">
        <v>1750</v>
      </c>
      <c r="H1578">
        <v>0</v>
      </c>
      <c r="J1578" t="str">
        <f>VLOOKUP(Table3[[#This Row],[Faction ID]],Table4[],2)</f>
        <v>Variags (Khand)</v>
      </c>
    </row>
    <row r="1579" spans="1:10" x14ac:dyDescent="0.25">
      <c r="A1579">
        <v>41</v>
      </c>
      <c r="B1579" t="s">
        <v>14</v>
      </c>
      <c r="C1579">
        <v>10</v>
      </c>
      <c r="D1579">
        <v>7</v>
      </c>
      <c r="E1579">
        <v>102.6</v>
      </c>
      <c r="F1579">
        <v>15549</v>
      </c>
      <c r="G1579">
        <v>14962</v>
      </c>
      <c r="H1579">
        <v>984</v>
      </c>
      <c r="J1579" t="str">
        <f>VLOOKUP(Table3[[#This Row],[Faction ID]],Table4[],2)</f>
        <v>Corsairs of Umbar</v>
      </c>
    </row>
    <row r="1580" spans="1:10" x14ac:dyDescent="0.25">
      <c r="A1580">
        <v>41</v>
      </c>
      <c r="B1580" t="s">
        <v>25</v>
      </c>
      <c r="C1580">
        <v>5</v>
      </c>
      <c r="D1580">
        <v>3</v>
      </c>
      <c r="E1580">
        <v>38</v>
      </c>
      <c r="F1580">
        <v>15027</v>
      </c>
      <c r="G1580">
        <v>5724</v>
      </c>
      <c r="H1580">
        <v>0</v>
      </c>
      <c r="J1580" t="str">
        <f>VLOOKUP(Table3[[#This Row],[Faction ID]],Table4[],2)</f>
        <v>Mahud</v>
      </c>
    </row>
    <row r="1581" spans="1:10" x14ac:dyDescent="0.25">
      <c r="A1581">
        <v>41</v>
      </c>
      <c r="B1581" t="s">
        <v>11</v>
      </c>
      <c r="C1581">
        <v>73</v>
      </c>
      <c r="D1581">
        <v>5</v>
      </c>
      <c r="E1581">
        <v>78</v>
      </c>
      <c r="F1581">
        <v>9371</v>
      </c>
      <c r="G1581">
        <v>11711</v>
      </c>
      <c r="H1581">
        <v>0</v>
      </c>
      <c r="J1581" t="str">
        <f>VLOOKUP(Table3[[#This Row],[Faction ID]],Table4[],2)</f>
        <v>Haradrim</v>
      </c>
    </row>
    <row r="1582" spans="1:10" x14ac:dyDescent="0.25">
      <c r="A1582">
        <v>41</v>
      </c>
      <c r="B1582" t="s">
        <v>15</v>
      </c>
      <c r="C1582">
        <v>89</v>
      </c>
      <c r="D1582">
        <v>6</v>
      </c>
      <c r="E1582">
        <v>97.9</v>
      </c>
      <c r="F1582">
        <v>11176</v>
      </c>
      <c r="G1582">
        <v>15722</v>
      </c>
      <c r="H1582">
        <v>832</v>
      </c>
      <c r="J1582" t="str">
        <f>VLOOKUP(Table3[[#This Row],[Faction ID]],Table4[],2)</f>
        <v>Dunlendings</v>
      </c>
    </row>
    <row r="1583" spans="1:10" x14ac:dyDescent="0.25">
      <c r="A1583">
        <v>41</v>
      </c>
      <c r="B1583" t="s">
        <v>16</v>
      </c>
      <c r="C1583">
        <v>0</v>
      </c>
      <c r="D1583">
        <v>0</v>
      </c>
      <c r="E1583">
        <v>0</v>
      </c>
      <c r="F1583">
        <v>5352</v>
      </c>
      <c r="G1583">
        <v>1750</v>
      </c>
      <c r="H1583">
        <v>0</v>
      </c>
      <c r="J1583" t="str">
        <f>VLOOKUP(Table3[[#This Row],[Faction ID]],Table4[],2)</f>
        <v>Haerrim</v>
      </c>
    </row>
    <row r="1584" spans="1:10" x14ac:dyDescent="0.25">
      <c r="A1584">
        <v>41</v>
      </c>
      <c r="B1584" t="s">
        <v>13</v>
      </c>
      <c r="C1584">
        <v>165</v>
      </c>
      <c r="D1584">
        <v>13</v>
      </c>
      <c r="E1584">
        <v>153.80000000000001</v>
      </c>
      <c r="F1584">
        <v>21990</v>
      </c>
      <c r="G1584">
        <v>21671</v>
      </c>
      <c r="H1584">
        <v>2509</v>
      </c>
      <c r="J1584" t="str">
        <f>VLOOKUP(Table3[[#This Row],[Faction ID]],Table4[],2)</f>
        <v>Goblins</v>
      </c>
    </row>
    <row r="1585" spans="1:10" x14ac:dyDescent="0.25">
      <c r="A1585">
        <v>41</v>
      </c>
      <c r="B1585" t="s">
        <v>17</v>
      </c>
      <c r="C1585">
        <v>0</v>
      </c>
      <c r="D1585">
        <v>0</v>
      </c>
      <c r="E1585">
        <v>0</v>
      </c>
      <c r="F1585">
        <v>4872</v>
      </c>
      <c r="G1585">
        <v>1750</v>
      </c>
      <c r="H1585">
        <v>0</v>
      </c>
      <c r="J1585" t="str">
        <f>VLOOKUP(Table3[[#This Row],[Faction ID]],Table4[],2)</f>
        <v>Balchoth</v>
      </c>
    </row>
    <row r="1586" spans="1:10" x14ac:dyDescent="0.25">
      <c r="A1586">
        <v>41</v>
      </c>
      <c r="B1586" t="s">
        <v>18</v>
      </c>
      <c r="C1586">
        <v>135</v>
      </c>
      <c r="D1586">
        <v>33</v>
      </c>
      <c r="E1586">
        <v>421.2</v>
      </c>
      <c r="F1586">
        <v>33983</v>
      </c>
      <c r="G1586">
        <v>35728</v>
      </c>
      <c r="H1586">
        <v>1121</v>
      </c>
      <c r="J1586" t="str">
        <f>VLOOKUP(Table3[[#This Row],[Faction ID]],Table4[],2)</f>
        <v>Rhurim/Rhun</v>
      </c>
    </row>
    <row r="1587" spans="1:10" x14ac:dyDescent="0.25">
      <c r="A1587">
        <v>41</v>
      </c>
      <c r="B1587" t="s">
        <v>19</v>
      </c>
      <c r="C1587">
        <v>0</v>
      </c>
      <c r="D1587">
        <v>0</v>
      </c>
      <c r="E1587">
        <v>0</v>
      </c>
      <c r="F1587">
        <v>7360</v>
      </c>
      <c r="G1587">
        <v>1750</v>
      </c>
      <c r="H1587">
        <v>0</v>
      </c>
      <c r="J1587" t="str">
        <f>VLOOKUP(Table3[[#This Row],[Faction ID]],Table4[],2)</f>
        <v>Feredrim</v>
      </c>
    </row>
    <row r="1588" spans="1:10" x14ac:dyDescent="0.25">
      <c r="A1588">
        <v>41</v>
      </c>
      <c r="B1588" t="s">
        <v>26</v>
      </c>
      <c r="C1588">
        <v>0</v>
      </c>
      <c r="D1588">
        <v>0</v>
      </c>
      <c r="E1588">
        <v>0</v>
      </c>
      <c r="F1588">
        <v>6395</v>
      </c>
      <c r="G1588">
        <v>1750</v>
      </c>
      <c r="H1588">
        <v>0</v>
      </c>
      <c r="J1588" t="str">
        <f>VLOOKUP(Table3[[#This Row],[Faction ID]],Table4[],2)</f>
        <v>Rachrohir (Wainriders)</v>
      </c>
    </row>
    <row r="1589" spans="1:10" x14ac:dyDescent="0.25">
      <c r="A1589">
        <v>41</v>
      </c>
      <c r="B1589" t="s">
        <v>27</v>
      </c>
      <c r="C1589">
        <v>5</v>
      </c>
      <c r="D1589">
        <v>3</v>
      </c>
      <c r="E1589">
        <v>47</v>
      </c>
      <c r="F1589">
        <v>49174</v>
      </c>
      <c r="G1589">
        <v>10650</v>
      </c>
      <c r="H1589">
        <v>0</v>
      </c>
      <c r="J1589" t="str">
        <f>VLOOKUP(Table3[[#This Row],[Faction ID]],Table4[],2)</f>
        <v>Blacklock-Stonefoot League</v>
      </c>
    </row>
    <row r="1590" spans="1:10" x14ac:dyDescent="0.25">
      <c r="A1590">
        <v>41</v>
      </c>
      <c r="B1590" t="s">
        <v>28</v>
      </c>
      <c r="C1590">
        <v>4</v>
      </c>
      <c r="D1590">
        <v>2</v>
      </c>
      <c r="E1590">
        <v>32</v>
      </c>
      <c r="F1590">
        <v>40911</v>
      </c>
      <c r="G1590">
        <v>5457</v>
      </c>
      <c r="H1590">
        <v>0</v>
      </c>
      <c r="J1590" t="str">
        <f>VLOOKUP(Table3[[#This Row],[Faction ID]],Table4[],2)</f>
        <v>Ironfist-Stiffbeard Union</v>
      </c>
    </row>
    <row r="1591" spans="1:10" x14ac:dyDescent="0.25">
      <c r="A1591">
        <v>41</v>
      </c>
      <c r="B1591" t="s">
        <v>20</v>
      </c>
      <c r="C1591">
        <v>106</v>
      </c>
      <c r="D1591">
        <v>12</v>
      </c>
      <c r="E1591">
        <v>140</v>
      </c>
      <c r="F1591">
        <v>14885</v>
      </c>
      <c r="G1591">
        <v>17027</v>
      </c>
      <c r="H1591">
        <v>883</v>
      </c>
      <c r="J1591" t="str">
        <f>VLOOKUP(Table3[[#This Row],[Faction ID]],Table4[],2)</f>
        <v>Gundabad</v>
      </c>
    </row>
    <row r="1592" spans="1:10" x14ac:dyDescent="0.25">
      <c r="A1592">
        <v>41</v>
      </c>
      <c r="B1592" t="s">
        <v>34</v>
      </c>
      <c r="C1592">
        <v>0</v>
      </c>
      <c r="D1592">
        <v>0</v>
      </c>
      <c r="E1592">
        <v>3</v>
      </c>
      <c r="F1592">
        <v>48840</v>
      </c>
      <c r="G1592">
        <v>2379</v>
      </c>
      <c r="H1592">
        <v>0</v>
      </c>
      <c r="J1592" t="str">
        <f>VLOOKUP(Table3[[#This Row],[Faction ID]],Table4[],2)</f>
        <v>Scouts of Rohan</v>
      </c>
    </row>
    <row r="1593" spans="1:10" x14ac:dyDescent="0.25">
      <c r="A1593">
        <v>41</v>
      </c>
      <c r="B1593" t="s">
        <v>33</v>
      </c>
      <c r="C1593">
        <v>5</v>
      </c>
      <c r="D1593">
        <v>3</v>
      </c>
      <c r="E1593">
        <v>42</v>
      </c>
      <c r="F1593">
        <v>18869</v>
      </c>
      <c r="G1593">
        <v>6879</v>
      </c>
      <c r="H1593">
        <v>230</v>
      </c>
      <c r="J1593" t="str">
        <f>VLOOKUP(Table3[[#This Row],[Faction ID]],Table4[],2)</f>
        <v>Northern Enedwaith</v>
      </c>
    </row>
    <row r="1594" spans="1:10" x14ac:dyDescent="0.25">
      <c r="A1594">
        <v>41</v>
      </c>
      <c r="B1594" t="s">
        <v>29</v>
      </c>
      <c r="C1594">
        <v>1</v>
      </c>
      <c r="D1594">
        <v>1</v>
      </c>
      <c r="E1594">
        <v>8</v>
      </c>
      <c r="F1594">
        <v>44899</v>
      </c>
      <c r="G1594">
        <v>2383</v>
      </c>
      <c r="H1594">
        <v>0</v>
      </c>
      <c r="J1594" t="str">
        <f>VLOOKUP(Table3[[#This Row],[Faction ID]],Table4[],2)</f>
        <v>Southern Enedwaith</v>
      </c>
    </row>
    <row r="1595" spans="1:10" x14ac:dyDescent="0.25">
      <c r="A1595">
        <v>41</v>
      </c>
      <c r="B1595" t="s">
        <v>30</v>
      </c>
      <c r="C1595">
        <v>6</v>
      </c>
      <c r="D1595">
        <v>4</v>
      </c>
      <c r="E1595">
        <v>43</v>
      </c>
      <c r="F1595">
        <v>29653</v>
      </c>
      <c r="G1595">
        <v>6853</v>
      </c>
      <c r="H1595">
        <v>0</v>
      </c>
      <c r="J1595" t="str">
        <f>VLOOKUP(Table3[[#This Row],[Faction ID]],Table4[],2)</f>
        <v>Druedain</v>
      </c>
    </row>
    <row r="1596" spans="1:10" x14ac:dyDescent="0.25">
      <c r="A1596">
        <v>41</v>
      </c>
      <c r="B1596" t="s">
        <v>31</v>
      </c>
      <c r="C1596">
        <v>0</v>
      </c>
      <c r="D1596">
        <v>0</v>
      </c>
      <c r="E1596">
        <v>0</v>
      </c>
      <c r="F1596">
        <v>15146</v>
      </c>
      <c r="G1596">
        <v>1750</v>
      </c>
      <c r="H1596">
        <v>0</v>
      </c>
      <c r="J1596" t="str">
        <f>VLOOKUP(Table3[[#This Row],[Faction ID]],Table4[],2)</f>
        <v>Harondor</v>
      </c>
    </row>
    <row r="1597" spans="1:10" x14ac:dyDescent="0.25">
      <c r="A1597">
        <v>41</v>
      </c>
      <c r="B1597" t="s">
        <v>35</v>
      </c>
      <c r="C1597">
        <v>0</v>
      </c>
      <c r="D1597">
        <v>0</v>
      </c>
      <c r="E1597">
        <v>0</v>
      </c>
      <c r="F1597">
        <v>4000</v>
      </c>
      <c r="G1597">
        <v>1750</v>
      </c>
      <c r="H1597">
        <v>0</v>
      </c>
      <c r="J1597" t="str">
        <f>VLOOKUP(Table3[[#This Row],[Faction ID]],Table4[],2)</f>
        <v>Southron Nomads</v>
      </c>
    </row>
    <row r="1598" spans="1:10" x14ac:dyDescent="0.25">
      <c r="A1598">
        <v>41</v>
      </c>
      <c r="B1598" t="s">
        <v>36</v>
      </c>
      <c r="C1598">
        <v>0</v>
      </c>
      <c r="D1598">
        <v>0</v>
      </c>
      <c r="E1598">
        <v>0</v>
      </c>
      <c r="F1598">
        <v>4000</v>
      </c>
      <c r="G1598">
        <v>1750</v>
      </c>
      <c r="H1598">
        <v>0</v>
      </c>
      <c r="J1598" t="str">
        <f>VLOOKUP(Table3[[#This Row],[Faction ID]],Table4[],2)</f>
        <v>_</v>
      </c>
    </row>
    <row r="1599" spans="1:10" x14ac:dyDescent="0.25">
      <c r="A1599">
        <v>41</v>
      </c>
      <c r="B1599" t="s">
        <v>37</v>
      </c>
      <c r="C1599">
        <v>0</v>
      </c>
      <c r="D1599">
        <v>0</v>
      </c>
      <c r="E1599">
        <v>0</v>
      </c>
      <c r="F1599">
        <v>4000</v>
      </c>
      <c r="G1599">
        <v>1750</v>
      </c>
      <c r="H1599">
        <v>0</v>
      </c>
      <c r="J1599" t="str">
        <f>VLOOKUP(Table3[[#This Row],[Faction ID]],Table4[],2)</f>
        <v>_</v>
      </c>
    </row>
    <row r="1600" spans="1:10" x14ac:dyDescent="0.25">
      <c r="A1600">
        <v>41</v>
      </c>
      <c r="B1600" t="s">
        <v>38</v>
      </c>
      <c r="C1600">
        <v>0</v>
      </c>
      <c r="D1600">
        <v>0</v>
      </c>
      <c r="E1600">
        <v>0</v>
      </c>
      <c r="F1600">
        <v>4000</v>
      </c>
      <c r="G1600">
        <v>1750</v>
      </c>
      <c r="H1600">
        <v>0</v>
      </c>
      <c r="J1600" t="str">
        <f>VLOOKUP(Table3[[#This Row],[Faction ID]],Table4[],2)</f>
        <v>_</v>
      </c>
    </row>
    <row r="1601" spans="1:10" x14ac:dyDescent="0.25">
      <c r="A1601">
        <v>41</v>
      </c>
      <c r="B1601" t="s">
        <v>39</v>
      </c>
      <c r="C1601">
        <v>0</v>
      </c>
      <c r="D1601">
        <v>0</v>
      </c>
      <c r="E1601">
        <v>0</v>
      </c>
      <c r="F1601">
        <v>4000</v>
      </c>
      <c r="G1601">
        <v>1750</v>
      </c>
      <c r="H1601">
        <v>0</v>
      </c>
      <c r="J1601" t="str">
        <f>VLOOKUP(Table3[[#This Row],[Faction ID]],Table4[],2)</f>
        <v>_</v>
      </c>
    </row>
    <row r="1602" spans="1:10" x14ac:dyDescent="0.25">
      <c r="A1602">
        <v>41</v>
      </c>
      <c r="B1602" t="s">
        <v>40</v>
      </c>
      <c r="C1602">
        <v>0</v>
      </c>
      <c r="D1602">
        <v>0</v>
      </c>
      <c r="E1602">
        <v>0</v>
      </c>
      <c r="F1602">
        <v>4000</v>
      </c>
      <c r="G1602">
        <v>1750</v>
      </c>
      <c r="H1602">
        <v>0</v>
      </c>
      <c r="J1602" t="str">
        <f>VLOOKUP(Table3[[#This Row],[Faction ID]],Table4[],2)</f>
        <v>_</v>
      </c>
    </row>
    <row r="1603" spans="1:10" x14ac:dyDescent="0.25">
      <c r="A1603">
        <v>41</v>
      </c>
      <c r="B1603" t="s">
        <v>41</v>
      </c>
      <c r="C1603">
        <v>0</v>
      </c>
      <c r="D1603">
        <v>0</v>
      </c>
      <c r="E1603">
        <v>0</v>
      </c>
      <c r="F1603">
        <v>4000</v>
      </c>
      <c r="G1603">
        <v>1750</v>
      </c>
      <c r="H1603">
        <v>0</v>
      </c>
      <c r="J1603" t="str">
        <f>VLOOKUP(Table3[[#This Row],[Faction ID]],Table4[],2)</f>
        <v>_</v>
      </c>
    </row>
    <row r="1604" spans="1:10" x14ac:dyDescent="0.25">
      <c r="A1604">
        <v>41</v>
      </c>
      <c r="B1604" t="s">
        <v>42</v>
      </c>
      <c r="C1604">
        <v>0</v>
      </c>
      <c r="D1604">
        <v>0</v>
      </c>
      <c r="E1604">
        <v>0</v>
      </c>
      <c r="F1604">
        <v>4000</v>
      </c>
      <c r="G1604">
        <v>1750</v>
      </c>
      <c r="H1604">
        <v>0</v>
      </c>
      <c r="J1604" t="str">
        <f>VLOOKUP(Table3[[#This Row],[Faction ID]],Table4[],2)</f>
        <v>_</v>
      </c>
    </row>
    <row r="1605" spans="1:10" x14ac:dyDescent="0.25">
      <c r="A1605">
        <v>41</v>
      </c>
      <c r="B1605" t="s">
        <v>43</v>
      </c>
      <c r="C1605">
        <v>0</v>
      </c>
      <c r="D1605">
        <v>0</v>
      </c>
      <c r="E1605">
        <v>0</v>
      </c>
      <c r="F1605">
        <v>4000</v>
      </c>
      <c r="G1605">
        <v>1750</v>
      </c>
      <c r="H1605">
        <v>0</v>
      </c>
      <c r="J1605" t="str">
        <f>VLOOKUP(Table3[[#This Row],[Faction ID]],Table4[],2)</f>
        <v>_</v>
      </c>
    </row>
    <row r="1606" spans="1:10" x14ac:dyDescent="0.25">
      <c r="A1606">
        <v>41</v>
      </c>
      <c r="B1606" t="s">
        <v>44</v>
      </c>
      <c r="C1606">
        <v>0</v>
      </c>
      <c r="D1606">
        <v>0</v>
      </c>
      <c r="E1606">
        <v>0</v>
      </c>
      <c r="F1606">
        <v>4000</v>
      </c>
      <c r="G1606">
        <v>1750</v>
      </c>
      <c r="H1606">
        <v>0</v>
      </c>
      <c r="J1606" t="str">
        <f>VLOOKUP(Table3[[#This Row],[Faction ID]],Table4[],2)</f>
        <v>_</v>
      </c>
    </row>
    <row r="1607" spans="1:10" x14ac:dyDescent="0.25">
      <c r="A1607">
        <v>42</v>
      </c>
      <c r="B1607" t="s">
        <v>9</v>
      </c>
      <c r="C1607">
        <v>153</v>
      </c>
      <c r="D1607">
        <v>20</v>
      </c>
      <c r="E1607">
        <v>191.8</v>
      </c>
      <c r="F1607">
        <v>4476</v>
      </c>
      <c r="G1607">
        <v>21614</v>
      </c>
      <c r="H1607">
        <v>885</v>
      </c>
      <c r="J1607" t="str">
        <f>VLOOKUP(Table3[[#This Row],[Faction ID]],Table4[],2)</f>
        <v>Mordor</v>
      </c>
    </row>
    <row r="1608" spans="1:10" x14ac:dyDescent="0.25">
      <c r="A1608">
        <v>42</v>
      </c>
      <c r="B1608" t="s">
        <v>4</v>
      </c>
      <c r="C1608">
        <v>128</v>
      </c>
      <c r="D1608">
        <v>9</v>
      </c>
      <c r="E1608">
        <v>137</v>
      </c>
      <c r="F1608">
        <v>59294</v>
      </c>
      <c r="G1608">
        <v>21386</v>
      </c>
      <c r="H1608">
        <v>0</v>
      </c>
      <c r="J1608" t="str">
        <f>VLOOKUP(Table3[[#This Row],[Faction ID]],Table4[],2)</f>
        <v>Gondor</v>
      </c>
    </row>
    <row r="1609" spans="1:10" x14ac:dyDescent="0.25">
      <c r="A1609">
        <v>42</v>
      </c>
      <c r="B1609" t="s">
        <v>6</v>
      </c>
      <c r="C1609">
        <v>100</v>
      </c>
      <c r="D1609">
        <v>3</v>
      </c>
      <c r="E1609">
        <v>47</v>
      </c>
      <c r="F1609">
        <v>25853</v>
      </c>
      <c r="G1609">
        <v>8878</v>
      </c>
      <c r="H1609">
        <v>193</v>
      </c>
      <c r="J1609" t="str">
        <f>VLOOKUP(Table3[[#This Row],[Faction ID]],Table4[],2)</f>
        <v>Dale</v>
      </c>
    </row>
    <row r="1610" spans="1:10" x14ac:dyDescent="0.25">
      <c r="A1610">
        <v>42</v>
      </c>
      <c r="B1610" t="s">
        <v>21</v>
      </c>
      <c r="C1610">
        <v>99</v>
      </c>
      <c r="D1610">
        <v>4</v>
      </c>
      <c r="E1610">
        <v>75.7</v>
      </c>
      <c r="F1610">
        <v>43724</v>
      </c>
      <c r="G1610">
        <v>17939</v>
      </c>
      <c r="H1610">
        <v>432</v>
      </c>
      <c r="J1610" t="str">
        <f>VLOOKUP(Table3[[#This Row],[Faction ID]],Table4[],2)</f>
        <v>Erebor</v>
      </c>
    </row>
    <row r="1611" spans="1:10" x14ac:dyDescent="0.25">
      <c r="A1611">
        <v>42</v>
      </c>
      <c r="B1611" t="s">
        <v>5</v>
      </c>
      <c r="C1611">
        <v>109</v>
      </c>
      <c r="D1611">
        <v>7</v>
      </c>
      <c r="E1611">
        <v>69.2</v>
      </c>
      <c r="F1611">
        <v>33890</v>
      </c>
      <c r="G1611">
        <v>9806</v>
      </c>
      <c r="H1611">
        <v>0</v>
      </c>
      <c r="J1611" t="str">
        <f>VLOOKUP(Table3[[#This Row],[Faction ID]],Table4[],2)</f>
        <v>Rohan</v>
      </c>
    </row>
    <row r="1612" spans="1:10" x14ac:dyDescent="0.25">
      <c r="A1612">
        <v>42</v>
      </c>
      <c r="B1612" t="s">
        <v>12</v>
      </c>
      <c r="C1612">
        <v>135</v>
      </c>
      <c r="D1612">
        <v>14</v>
      </c>
      <c r="E1612">
        <v>177.5</v>
      </c>
      <c r="F1612">
        <v>12644</v>
      </c>
      <c r="G1612">
        <v>19849</v>
      </c>
      <c r="H1612">
        <v>1258</v>
      </c>
      <c r="J1612" t="str">
        <f>VLOOKUP(Table3[[#This Row],[Faction ID]],Table4[],2)</f>
        <v>Dol Guldur</v>
      </c>
    </row>
    <row r="1613" spans="1:10" x14ac:dyDescent="0.25">
      <c r="A1613">
        <v>42</v>
      </c>
      <c r="B1613" t="s">
        <v>10</v>
      </c>
      <c r="C1613">
        <v>58</v>
      </c>
      <c r="D1613">
        <v>0</v>
      </c>
      <c r="E1613">
        <v>0</v>
      </c>
      <c r="F1613">
        <v>4515</v>
      </c>
      <c r="G1613">
        <v>2500</v>
      </c>
      <c r="H1613">
        <v>0</v>
      </c>
      <c r="J1613" t="str">
        <f>VLOOKUP(Table3[[#This Row],[Faction ID]],Table4[],2)</f>
        <v>Anduin Vale</v>
      </c>
    </row>
    <row r="1614" spans="1:10" x14ac:dyDescent="0.25">
      <c r="A1614">
        <v>42</v>
      </c>
      <c r="B1614" t="s">
        <v>32</v>
      </c>
      <c r="C1614">
        <v>133</v>
      </c>
      <c r="D1614">
        <v>6</v>
      </c>
      <c r="E1614">
        <v>86.3</v>
      </c>
      <c r="F1614">
        <v>18549</v>
      </c>
      <c r="G1614">
        <v>13397</v>
      </c>
      <c r="H1614">
        <v>672</v>
      </c>
      <c r="J1614" t="str">
        <f>VLOOKUP(Table3[[#This Row],[Faction ID]],Table4[],2)</f>
        <v>Isengard</v>
      </c>
    </row>
    <row r="1615" spans="1:10" x14ac:dyDescent="0.25">
      <c r="A1615">
        <v>42</v>
      </c>
      <c r="B1615" t="s">
        <v>22</v>
      </c>
      <c r="C1615">
        <v>30</v>
      </c>
      <c r="D1615">
        <v>0</v>
      </c>
      <c r="E1615">
        <v>0</v>
      </c>
      <c r="F1615">
        <v>8475</v>
      </c>
      <c r="G1615">
        <v>2500</v>
      </c>
      <c r="H1615">
        <v>0</v>
      </c>
      <c r="J1615" t="str">
        <f>VLOOKUP(Table3[[#This Row],[Faction ID]],Table4[],2)</f>
        <v>Woodland Realm</v>
      </c>
    </row>
    <row r="1616" spans="1:10" x14ac:dyDescent="0.25">
      <c r="A1616">
        <v>42</v>
      </c>
      <c r="B1616" t="s">
        <v>23</v>
      </c>
      <c r="C1616">
        <v>64</v>
      </c>
      <c r="D1616">
        <v>0</v>
      </c>
      <c r="E1616">
        <v>1</v>
      </c>
      <c r="F1616">
        <v>6365</v>
      </c>
      <c r="G1616">
        <v>2828</v>
      </c>
      <c r="H1616">
        <v>0</v>
      </c>
      <c r="J1616" t="str">
        <f>VLOOKUP(Table3[[#This Row],[Faction ID]],Table4[],2)</f>
        <v>Lothlorien</v>
      </c>
    </row>
    <row r="1617" spans="1:10" x14ac:dyDescent="0.25">
      <c r="A1617">
        <v>42</v>
      </c>
      <c r="B1617" t="s">
        <v>24</v>
      </c>
      <c r="C1617">
        <v>0</v>
      </c>
      <c r="D1617">
        <v>0</v>
      </c>
      <c r="E1617">
        <v>0</v>
      </c>
      <c r="F1617">
        <v>4919</v>
      </c>
      <c r="G1617">
        <v>1750</v>
      </c>
      <c r="H1617">
        <v>0</v>
      </c>
      <c r="J1617" t="str">
        <f>VLOOKUP(Table3[[#This Row],[Faction ID]],Table4[],2)</f>
        <v>Variags (Khand)</v>
      </c>
    </row>
    <row r="1618" spans="1:10" x14ac:dyDescent="0.25">
      <c r="A1618">
        <v>42</v>
      </c>
      <c r="B1618" t="s">
        <v>14</v>
      </c>
      <c r="C1618">
        <v>10</v>
      </c>
      <c r="D1618">
        <v>7</v>
      </c>
      <c r="E1618">
        <v>106.6</v>
      </c>
      <c r="F1618">
        <v>16943</v>
      </c>
      <c r="G1618">
        <v>15892</v>
      </c>
      <c r="H1618">
        <v>987</v>
      </c>
      <c r="J1618" t="str">
        <f>VLOOKUP(Table3[[#This Row],[Faction ID]],Table4[],2)</f>
        <v>Corsairs of Umbar</v>
      </c>
    </row>
    <row r="1619" spans="1:10" x14ac:dyDescent="0.25">
      <c r="A1619">
        <v>42</v>
      </c>
      <c r="B1619" t="s">
        <v>25</v>
      </c>
      <c r="C1619">
        <v>5</v>
      </c>
      <c r="D1619">
        <v>3</v>
      </c>
      <c r="E1619">
        <v>42</v>
      </c>
      <c r="F1619">
        <v>15527</v>
      </c>
      <c r="G1619">
        <v>6093</v>
      </c>
      <c r="H1619">
        <v>0</v>
      </c>
      <c r="J1619" t="str">
        <f>VLOOKUP(Table3[[#This Row],[Faction ID]],Table4[],2)</f>
        <v>Mahud</v>
      </c>
    </row>
    <row r="1620" spans="1:10" x14ac:dyDescent="0.25">
      <c r="A1620">
        <v>42</v>
      </c>
      <c r="B1620" t="s">
        <v>11</v>
      </c>
      <c r="C1620">
        <v>82</v>
      </c>
      <c r="D1620">
        <v>5</v>
      </c>
      <c r="E1620">
        <v>84</v>
      </c>
      <c r="F1620">
        <v>8082</v>
      </c>
      <c r="G1620">
        <v>12003</v>
      </c>
      <c r="H1620">
        <v>0</v>
      </c>
      <c r="J1620" t="str">
        <f>VLOOKUP(Table3[[#This Row],[Faction ID]],Table4[],2)</f>
        <v>Haradrim</v>
      </c>
    </row>
    <row r="1621" spans="1:10" x14ac:dyDescent="0.25">
      <c r="A1621">
        <v>42</v>
      </c>
      <c r="B1621" t="s">
        <v>15</v>
      </c>
      <c r="C1621">
        <v>89</v>
      </c>
      <c r="D1621">
        <v>6</v>
      </c>
      <c r="E1621">
        <v>101.6</v>
      </c>
      <c r="F1621">
        <v>13312</v>
      </c>
      <c r="G1621">
        <v>16323</v>
      </c>
      <c r="H1621">
        <v>836</v>
      </c>
      <c r="J1621" t="str">
        <f>VLOOKUP(Table3[[#This Row],[Faction ID]],Table4[],2)</f>
        <v>Dunlendings</v>
      </c>
    </row>
    <row r="1622" spans="1:10" x14ac:dyDescent="0.25">
      <c r="A1622">
        <v>42</v>
      </c>
      <c r="B1622" t="s">
        <v>16</v>
      </c>
      <c r="C1622">
        <v>0</v>
      </c>
      <c r="D1622">
        <v>0</v>
      </c>
      <c r="E1622">
        <v>0</v>
      </c>
      <c r="F1622">
        <v>5352</v>
      </c>
      <c r="G1622">
        <v>1750</v>
      </c>
      <c r="H1622">
        <v>0</v>
      </c>
      <c r="J1622" t="str">
        <f>VLOOKUP(Table3[[#This Row],[Faction ID]],Table4[],2)</f>
        <v>Haerrim</v>
      </c>
    </row>
    <row r="1623" spans="1:10" x14ac:dyDescent="0.25">
      <c r="A1623">
        <v>42</v>
      </c>
      <c r="B1623" t="s">
        <v>13</v>
      </c>
      <c r="C1623">
        <v>170</v>
      </c>
      <c r="D1623">
        <v>14</v>
      </c>
      <c r="E1623">
        <v>160.80000000000001</v>
      </c>
      <c r="F1623">
        <v>22177</v>
      </c>
      <c r="G1623">
        <v>22009</v>
      </c>
      <c r="H1623">
        <v>2524</v>
      </c>
      <c r="J1623" t="str">
        <f>VLOOKUP(Table3[[#This Row],[Faction ID]],Table4[],2)</f>
        <v>Goblins</v>
      </c>
    </row>
    <row r="1624" spans="1:10" x14ac:dyDescent="0.25">
      <c r="A1624">
        <v>42</v>
      </c>
      <c r="B1624" t="s">
        <v>17</v>
      </c>
      <c r="C1624">
        <v>0</v>
      </c>
      <c r="D1624">
        <v>0</v>
      </c>
      <c r="E1624">
        <v>0</v>
      </c>
      <c r="F1624">
        <v>4872</v>
      </c>
      <c r="G1624">
        <v>1750</v>
      </c>
      <c r="H1624">
        <v>0</v>
      </c>
      <c r="J1624" t="str">
        <f>VLOOKUP(Table3[[#This Row],[Faction ID]],Table4[],2)</f>
        <v>Balchoth</v>
      </c>
    </row>
    <row r="1625" spans="1:10" x14ac:dyDescent="0.25">
      <c r="A1625">
        <v>42</v>
      </c>
      <c r="B1625" t="s">
        <v>18</v>
      </c>
      <c r="C1625">
        <v>135</v>
      </c>
      <c r="D1625">
        <v>33</v>
      </c>
      <c r="E1625">
        <v>426.2</v>
      </c>
      <c r="F1625">
        <v>37030</v>
      </c>
      <c r="G1625">
        <v>35997</v>
      </c>
      <c r="H1625">
        <v>1122</v>
      </c>
      <c r="J1625" t="str">
        <f>VLOOKUP(Table3[[#This Row],[Faction ID]],Table4[],2)</f>
        <v>Rhurim/Rhun</v>
      </c>
    </row>
    <row r="1626" spans="1:10" x14ac:dyDescent="0.25">
      <c r="A1626">
        <v>42</v>
      </c>
      <c r="B1626" t="s">
        <v>19</v>
      </c>
      <c r="C1626">
        <v>0</v>
      </c>
      <c r="D1626">
        <v>0</v>
      </c>
      <c r="E1626">
        <v>0</v>
      </c>
      <c r="F1626">
        <v>7360</v>
      </c>
      <c r="G1626">
        <v>1750</v>
      </c>
      <c r="H1626">
        <v>0</v>
      </c>
      <c r="J1626" t="str">
        <f>VLOOKUP(Table3[[#This Row],[Faction ID]],Table4[],2)</f>
        <v>Feredrim</v>
      </c>
    </row>
    <row r="1627" spans="1:10" x14ac:dyDescent="0.25">
      <c r="A1627">
        <v>42</v>
      </c>
      <c r="B1627" t="s">
        <v>26</v>
      </c>
      <c r="C1627">
        <v>0</v>
      </c>
      <c r="D1627">
        <v>0</v>
      </c>
      <c r="E1627">
        <v>0</v>
      </c>
      <c r="F1627">
        <v>6395</v>
      </c>
      <c r="G1627">
        <v>1750</v>
      </c>
      <c r="H1627">
        <v>0</v>
      </c>
      <c r="J1627" t="str">
        <f>VLOOKUP(Table3[[#This Row],[Faction ID]],Table4[],2)</f>
        <v>Rachrohir (Wainriders)</v>
      </c>
    </row>
    <row r="1628" spans="1:10" x14ac:dyDescent="0.25">
      <c r="A1628">
        <v>42</v>
      </c>
      <c r="B1628" t="s">
        <v>27</v>
      </c>
      <c r="C1628">
        <v>5</v>
      </c>
      <c r="D1628">
        <v>3</v>
      </c>
      <c r="E1628">
        <v>48</v>
      </c>
      <c r="F1628">
        <v>52736</v>
      </c>
      <c r="G1628">
        <v>10890</v>
      </c>
      <c r="H1628">
        <v>0</v>
      </c>
      <c r="J1628" t="str">
        <f>VLOOKUP(Table3[[#This Row],[Faction ID]],Table4[],2)</f>
        <v>Blacklock-Stonefoot League</v>
      </c>
    </row>
    <row r="1629" spans="1:10" x14ac:dyDescent="0.25">
      <c r="A1629">
        <v>42</v>
      </c>
      <c r="B1629" t="s">
        <v>28</v>
      </c>
      <c r="C1629">
        <v>4</v>
      </c>
      <c r="D1629">
        <v>2</v>
      </c>
      <c r="E1629">
        <v>32</v>
      </c>
      <c r="F1629">
        <v>41573</v>
      </c>
      <c r="G1629">
        <v>5457</v>
      </c>
      <c r="H1629">
        <v>0</v>
      </c>
      <c r="J1629" t="str">
        <f>VLOOKUP(Table3[[#This Row],[Faction ID]],Table4[],2)</f>
        <v>Ironfist-Stiffbeard Union</v>
      </c>
    </row>
    <row r="1630" spans="1:10" x14ac:dyDescent="0.25">
      <c r="A1630">
        <v>42</v>
      </c>
      <c r="B1630" t="s">
        <v>20</v>
      </c>
      <c r="C1630">
        <v>111</v>
      </c>
      <c r="D1630">
        <v>12</v>
      </c>
      <c r="E1630">
        <v>143.30000000000001</v>
      </c>
      <c r="F1630">
        <v>11574</v>
      </c>
      <c r="G1630">
        <v>18147</v>
      </c>
      <c r="H1630">
        <v>895</v>
      </c>
      <c r="J1630" t="str">
        <f>VLOOKUP(Table3[[#This Row],[Faction ID]],Table4[],2)</f>
        <v>Gundabad</v>
      </c>
    </row>
    <row r="1631" spans="1:10" x14ac:dyDescent="0.25">
      <c r="A1631">
        <v>42</v>
      </c>
      <c r="B1631" t="s">
        <v>34</v>
      </c>
      <c r="C1631">
        <v>0</v>
      </c>
      <c r="D1631">
        <v>0</v>
      </c>
      <c r="E1631">
        <v>3</v>
      </c>
      <c r="F1631">
        <v>49961</v>
      </c>
      <c r="G1631">
        <v>2379</v>
      </c>
      <c r="H1631">
        <v>0</v>
      </c>
      <c r="J1631" t="str">
        <f>VLOOKUP(Table3[[#This Row],[Faction ID]],Table4[],2)</f>
        <v>Scouts of Rohan</v>
      </c>
    </row>
    <row r="1632" spans="1:10" x14ac:dyDescent="0.25">
      <c r="A1632">
        <v>42</v>
      </c>
      <c r="B1632" t="s">
        <v>33</v>
      </c>
      <c r="C1632">
        <v>5</v>
      </c>
      <c r="D1632">
        <v>3</v>
      </c>
      <c r="E1632">
        <v>42</v>
      </c>
      <c r="F1632">
        <v>22214</v>
      </c>
      <c r="G1632">
        <v>6999</v>
      </c>
      <c r="H1632">
        <v>231</v>
      </c>
      <c r="J1632" t="str">
        <f>VLOOKUP(Table3[[#This Row],[Faction ID]],Table4[],2)</f>
        <v>Northern Enedwaith</v>
      </c>
    </row>
    <row r="1633" spans="1:10" x14ac:dyDescent="0.25">
      <c r="A1633">
        <v>42</v>
      </c>
      <c r="B1633" t="s">
        <v>29</v>
      </c>
      <c r="C1633">
        <v>1</v>
      </c>
      <c r="D1633">
        <v>1</v>
      </c>
      <c r="E1633">
        <v>8</v>
      </c>
      <c r="F1633">
        <v>46718</v>
      </c>
      <c r="G1633">
        <v>2407</v>
      </c>
      <c r="H1633">
        <v>0</v>
      </c>
      <c r="J1633" t="str">
        <f>VLOOKUP(Table3[[#This Row],[Faction ID]],Table4[],2)</f>
        <v>Southern Enedwaith</v>
      </c>
    </row>
    <row r="1634" spans="1:10" x14ac:dyDescent="0.25">
      <c r="A1634">
        <v>42</v>
      </c>
      <c r="B1634" t="s">
        <v>30</v>
      </c>
      <c r="C1634">
        <v>6</v>
      </c>
      <c r="D1634">
        <v>4</v>
      </c>
      <c r="E1634">
        <v>40</v>
      </c>
      <c r="F1634">
        <v>31297</v>
      </c>
      <c r="G1634">
        <v>6483</v>
      </c>
      <c r="H1634">
        <v>0</v>
      </c>
      <c r="J1634" t="str">
        <f>VLOOKUP(Table3[[#This Row],[Faction ID]],Table4[],2)</f>
        <v>Druedain</v>
      </c>
    </row>
    <row r="1635" spans="1:10" x14ac:dyDescent="0.25">
      <c r="A1635">
        <v>42</v>
      </c>
      <c r="B1635" t="s">
        <v>31</v>
      </c>
      <c r="C1635">
        <v>0</v>
      </c>
      <c r="D1635">
        <v>0</v>
      </c>
      <c r="E1635">
        <v>0</v>
      </c>
      <c r="F1635">
        <v>15146</v>
      </c>
      <c r="G1635">
        <v>1750</v>
      </c>
      <c r="H1635">
        <v>0</v>
      </c>
      <c r="J1635" t="str">
        <f>VLOOKUP(Table3[[#This Row],[Faction ID]],Table4[],2)</f>
        <v>Harondor</v>
      </c>
    </row>
    <row r="1636" spans="1:10" x14ac:dyDescent="0.25">
      <c r="A1636">
        <v>42</v>
      </c>
      <c r="B1636" t="s">
        <v>35</v>
      </c>
      <c r="C1636">
        <v>0</v>
      </c>
      <c r="D1636">
        <v>0</v>
      </c>
      <c r="E1636">
        <v>0</v>
      </c>
      <c r="F1636">
        <v>4000</v>
      </c>
      <c r="G1636">
        <v>1750</v>
      </c>
      <c r="H1636">
        <v>0</v>
      </c>
      <c r="J1636" t="str">
        <f>VLOOKUP(Table3[[#This Row],[Faction ID]],Table4[],2)</f>
        <v>Southron Nomads</v>
      </c>
    </row>
    <row r="1637" spans="1:10" x14ac:dyDescent="0.25">
      <c r="A1637">
        <v>42</v>
      </c>
      <c r="B1637" t="s">
        <v>36</v>
      </c>
      <c r="C1637">
        <v>0</v>
      </c>
      <c r="D1637">
        <v>0</v>
      </c>
      <c r="E1637">
        <v>0</v>
      </c>
      <c r="F1637">
        <v>4000</v>
      </c>
      <c r="G1637">
        <v>1750</v>
      </c>
      <c r="H1637">
        <v>0</v>
      </c>
      <c r="J1637" t="str">
        <f>VLOOKUP(Table3[[#This Row],[Faction ID]],Table4[],2)</f>
        <v>_</v>
      </c>
    </row>
    <row r="1638" spans="1:10" x14ac:dyDescent="0.25">
      <c r="A1638">
        <v>42</v>
      </c>
      <c r="B1638" t="s">
        <v>37</v>
      </c>
      <c r="C1638">
        <v>0</v>
      </c>
      <c r="D1638">
        <v>0</v>
      </c>
      <c r="E1638">
        <v>0</v>
      </c>
      <c r="F1638">
        <v>4000</v>
      </c>
      <c r="G1638">
        <v>1750</v>
      </c>
      <c r="H1638">
        <v>0</v>
      </c>
      <c r="J1638" t="str">
        <f>VLOOKUP(Table3[[#This Row],[Faction ID]],Table4[],2)</f>
        <v>_</v>
      </c>
    </row>
    <row r="1639" spans="1:10" x14ac:dyDescent="0.25">
      <c r="A1639">
        <v>42</v>
      </c>
      <c r="B1639" t="s">
        <v>38</v>
      </c>
      <c r="C1639">
        <v>0</v>
      </c>
      <c r="D1639">
        <v>0</v>
      </c>
      <c r="E1639">
        <v>0</v>
      </c>
      <c r="F1639">
        <v>4000</v>
      </c>
      <c r="G1639">
        <v>1750</v>
      </c>
      <c r="H1639">
        <v>0</v>
      </c>
      <c r="J1639" t="str">
        <f>VLOOKUP(Table3[[#This Row],[Faction ID]],Table4[],2)</f>
        <v>_</v>
      </c>
    </row>
    <row r="1640" spans="1:10" x14ac:dyDescent="0.25">
      <c r="A1640">
        <v>42</v>
      </c>
      <c r="B1640" t="s">
        <v>39</v>
      </c>
      <c r="C1640">
        <v>0</v>
      </c>
      <c r="D1640">
        <v>0</v>
      </c>
      <c r="E1640">
        <v>0</v>
      </c>
      <c r="F1640">
        <v>4000</v>
      </c>
      <c r="G1640">
        <v>1750</v>
      </c>
      <c r="H1640">
        <v>0</v>
      </c>
      <c r="J1640" t="str">
        <f>VLOOKUP(Table3[[#This Row],[Faction ID]],Table4[],2)</f>
        <v>_</v>
      </c>
    </row>
    <row r="1641" spans="1:10" x14ac:dyDescent="0.25">
      <c r="A1641">
        <v>42</v>
      </c>
      <c r="B1641" t="s">
        <v>40</v>
      </c>
      <c r="C1641">
        <v>0</v>
      </c>
      <c r="D1641">
        <v>0</v>
      </c>
      <c r="E1641">
        <v>0</v>
      </c>
      <c r="F1641">
        <v>4000</v>
      </c>
      <c r="G1641">
        <v>1750</v>
      </c>
      <c r="H1641">
        <v>0</v>
      </c>
      <c r="J1641" t="str">
        <f>VLOOKUP(Table3[[#This Row],[Faction ID]],Table4[],2)</f>
        <v>_</v>
      </c>
    </row>
    <row r="1642" spans="1:10" x14ac:dyDescent="0.25">
      <c r="A1642">
        <v>42</v>
      </c>
      <c r="B1642" t="s">
        <v>41</v>
      </c>
      <c r="C1642">
        <v>0</v>
      </c>
      <c r="D1642">
        <v>0</v>
      </c>
      <c r="E1642">
        <v>0</v>
      </c>
      <c r="F1642">
        <v>4000</v>
      </c>
      <c r="G1642">
        <v>1750</v>
      </c>
      <c r="H1642">
        <v>0</v>
      </c>
      <c r="J1642" t="str">
        <f>VLOOKUP(Table3[[#This Row],[Faction ID]],Table4[],2)</f>
        <v>_</v>
      </c>
    </row>
    <row r="1643" spans="1:10" x14ac:dyDescent="0.25">
      <c r="A1643">
        <v>42</v>
      </c>
      <c r="B1643" t="s">
        <v>42</v>
      </c>
      <c r="C1643">
        <v>0</v>
      </c>
      <c r="D1643">
        <v>0</v>
      </c>
      <c r="E1643">
        <v>0</v>
      </c>
      <c r="F1643">
        <v>4000</v>
      </c>
      <c r="G1643">
        <v>1750</v>
      </c>
      <c r="H1643">
        <v>0</v>
      </c>
      <c r="J1643" t="str">
        <f>VLOOKUP(Table3[[#This Row],[Faction ID]],Table4[],2)</f>
        <v>_</v>
      </c>
    </row>
    <row r="1644" spans="1:10" x14ac:dyDescent="0.25">
      <c r="A1644">
        <v>42</v>
      </c>
      <c r="B1644" t="s">
        <v>43</v>
      </c>
      <c r="C1644">
        <v>0</v>
      </c>
      <c r="D1644">
        <v>0</v>
      </c>
      <c r="E1644">
        <v>0</v>
      </c>
      <c r="F1644">
        <v>4000</v>
      </c>
      <c r="G1644">
        <v>1750</v>
      </c>
      <c r="H1644">
        <v>0</v>
      </c>
      <c r="J1644" t="str">
        <f>VLOOKUP(Table3[[#This Row],[Faction ID]],Table4[],2)</f>
        <v>_</v>
      </c>
    </row>
    <row r="1645" spans="1:10" x14ac:dyDescent="0.25">
      <c r="A1645">
        <v>42</v>
      </c>
      <c r="B1645" t="s">
        <v>44</v>
      </c>
      <c r="C1645">
        <v>0</v>
      </c>
      <c r="D1645">
        <v>0</v>
      </c>
      <c r="E1645">
        <v>0</v>
      </c>
      <c r="F1645">
        <v>4000</v>
      </c>
      <c r="G1645">
        <v>1750</v>
      </c>
      <c r="H1645">
        <v>0</v>
      </c>
      <c r="J1645" t="str">
        <f>VLOOKUP(Table3[[#This Row],[Faction ID]],Table4[],2)</f>
        <v>_</v>
      </c>
    </row>
    <row r="1646" spans="1:10" x14ac:dyDescent="0.25">
      <c r="A1646">
        <v>43</v>
      </c>
      <c r="B1646" t="s">
        <v>9</v>
      </c>
      <c r="C1646">
        <v>158</v>
      </c>
      <c r="D1646">
        <v>21</v>
      </c>
      <c r="E1646">
        <v>202.5</v>
      </c>
      <c r="F1646">
        <v>4623</v>
      </c>
      <c r="G1646">
        <v>22533</v>
      </c>
      <c r="H1646">
        <v>1094</v>
      </c>
      <c r="J1646" t="str">
        <f>VLOOKUP(Table3[[#This Row],[Faction ID]],Table4[],2)</f>
        <v>Mordor</v>
      </c>
    </row>
    <row r="1647" spans="1:10" x14ac:dyDescent="0.25">
      <c r="A1647">
        <v>43</v>
      </c>
      <c r="B1647" t="s">
        <v>4</v>
      </c>
      <c r="C1647">
        <v>127</v>
      </c>
      <c r="D1647">
        <v>8</v>
      </c>
      <c r="E1647">
        <v>129</v>
      </c>
      <c r="F1647">
        <v>50813</v>
      </c>
      <c r="G1647">
        <v>20545</v>
      </c>
      <c r="H1647">
        <v>525</v>
      </c>
      <c r="J1647" t="str">
        <f>VLOOKUP(Table3[[#This Row],[Faction ID]],Table4[],2)</f>
        <v>Gondor</v>
      </c>
    </row>
    <row r="1648" spans="1:10" x14ac:dyDescent="0.25">
      <c r="A1648">
        <v>43</v>
      </c>
      <c r="B1648" t="s">
        <v>6</v>
      </c>
      <c r="C1648">
        <v>100</v>
      </c>
      <c r="D1648">
        <v>3</v>
      </c>
      <c r="E1648">
        <v>48</v>
      </c>
      <c r="F1648">
        <v>24581</v>
      </c>
      <c r="G1648">
        <v>9001</v>
      </c>
      <c r="H1648">
        <v>0</v>
      </c>
      <c r="J1648" t="str">
        <f>VLOOKUP(Table3[[#This Row],[Faction ID]],Table4[],2)</f>
        <v>Dale</v>
      </c>
    </row>
    <row r="1649" spans="1:10" x14ac:dyDescent="0.25">
      <c r="A1649">
        <v>43</v>
      </c>
      <c r="B1649" t="s">
        <v>21</v>
      </c>
      <c r="C1649">
        <v>99</v>
      </c>
      <c r="D1649">
        <v>4</v>
      </c>
      <c r="E1649">
        <v>57.7</v>
      </c>
      <c r="F1649">
        <v>51172</v>
      </c>
      <c r="G1649">
        <v>16043</v>
      </c>
      <c r="H1649">
        <v>0</v>
      </c>
      <c r="J1649" t="str">
        <f>VLOOKUP(Table3[[#This Row],[Faction ID]],Table4[],2)</f>
        <v>Erebor</v>
      </c>
    </row>
    <row r="1650" spans="1:10" x14ac:dyDescent="0.25">
      <c r="A1650">
        <v>43</v>
      </c>
      <c r="B1650" t="s">
        <v>5</v>
      </c>
      <c r="C1650">
        <v>110</v>
      </c>
      <c r="D1650">
        <v>8</v>
      </c>
      <c r="E1650">
        <v>70.2</v>
      </c>
      <c r="F1650">
        <v>33087</v>
      </c>
      <c r="G1650">
        <v>10431</v>
      </c>
      <c r="H1650">
        <v>425</v>
      </c>
      <c r="J1650" t="str">
        <f>VLOOKUP(Table3[[#This Row],[Faction ID]],Table4[],2)</f>
        <v>Rohan</v>
      </c>
    </row>
    <row r="1651" spans="1:10" x14ac:dyDescent="0.25">
      <c r="A1651">
        <v>43</v>
      </c>
      <c r="B1651" t="s">
        <v>12</v>
      </c>
      <c r="C1651">
        <v>135</v>
      </c>
      <c r="D1651">
        <v>14</v>
      </c>
      <c r="E1651">
        <v>179.6</v>
      </c>
      <c r="F1651">
        <v>12277</v>
      </c>
      <c r="G1651">
        <v>20769</v>
      </c>
      <c r="H1651">
        <v>1267</v>
      </c>
      <c r="J1651" t="str">
        <f>VLOOKUP(Table3[[#This Row],[Faction ID]],Table4[],2)</f>
        <v>Dol Guldur</v>
      </c>
    </row>
    <row r="1652" spans="1:10" x14ac:dyDescent="0.25">
      <c r="A1652">
        <v>43</v>
      </c>
      <c r="B1652" t="s">
        <v>10</v>
      </c>
      <c r="C1652">
        <v>58</v>
      </c>
      <c r="D1652">
        <v>0</v>
      </c>
      <c r="E1652">
        <v>0</v>
      </c>
      <c r="F1652">
        <v>4515</v>
      </c>
      <c r="G1652">
        <v>2500</v>
      </c>
      <c r="H1652">
        <v>0</v>
      </c>
      <c r="J1652" t="str">
        <f>VLOOKUP(Table3[[#This Row],[Faction ID]],Table4[],2)</f>
        <v>Anduin Vale</v>
      </c>
    </row>
    <row r="1653" spans="1:10" x14ac:dyDescent="0.25">
      <c r="A1653">
        <v>43</v>
      </c>
      <c r="B1653" t="s">
        <v>32</v>
      </c>
      <c r="C1653">
        <v>137</v>
      </c>
      <c r="D1653">
        <v>5</v>
      </c>
      <c r="E1653">
        <v>92.8</v>
      </c>
      <c r="F1653">
        <v>13760</v>
      </c>
      <c r="G1653">
        <v>14570</v>
      </c>
      <c r="H1653">
        <v>673</v>
      </c>
      <c r="J1653" t="str">
        <f>VLOOKUP(Table3[[#This Row],[Faction ID]],Table4[],2)</f>
        <v>Isengard</v>
      </c>
    </row>
    <row r="1654" spans="1:10" x14ac:dyDescent="0.25">
      <c r="A1654">
        <v>43</v>
      </c>
      <c r="B1654" t="s">
        <v>22</v>
      </c>
      <c r="C1654">
        <v>30</v>
      </c>
      <c r="D1654">
        <v>0</v>
      </c>
      <c r="E1654">
        <v>0</v>
      </c>
      <c r="F1654">
        <v>8475</v>
      </c>
      <c r="G1654">
        <v>2500</v>
      </c>
      <c r="H1654">
        <v>0</v>
      </c>
      <c r="J1654" t="str">
        <f>VLOOKUP(Table3[[#This Row],[Faction ID]],Table4[],2)</f>
        <v>Woodland Realm</v>
      </c>
    </row>
    <row r="1655" spans="1:10" x14ac:dyDescent="0.25">
      <c r="A1655">
        <v>43</v>
      </c>
      <c r="B1655" t="s">
        <v>23</v>
      </c>
      <c r="C1655">
        <v>64</v>
      </c>
      <c r="D1655">
        <v>0</v>
      </c>
      <c r="E1655">
        <v>3</v>
      </c>
      <c r="F1655">
        <v>6297</v>
      </c>
      <c r="G1655">
        <v>3240</v>
      </c>
      <c r="H1655">
        <v>0</v>
      </c>
      <c r="J1655" t="str">
        <f>VLOOKUP(Table3[[#This Row],[Faction ID]],Table4[],2)</f>
        <v>Lothlorien</v>
      </c>
    </row>
    <row r="1656" spans="1:10" x14ac:dyDescent="0.25">
      <c r="A1656">
        <v>43</v>
      </c>
      <c r="B1656" t="s">
        <v>24</v>
      </c>
      <c r="C1656">
        <v>0</v>
      </c>
      <c r="D1656">
        <v>0</v>
      </c>
      <c r="E1656">
        <v>0</v>
      </c>
      <c r="F1656">
        <v>4919</v>
      </c>
      <c r="G1656">
        <v>1750</v>
      </c>
      <c r="H1656">
        <v>0</v>
      </c>
      <c r="J1656" t="str">
        <f>VLOOKUP(Table3[[#This Row],[Faction ID]],Table4[],2)</f>
        <v>Variags (Khand)</v>
      </c>
    </row>
    <row r="1657" spans="1:10" x14ac:dyDescent="0.25">
      <c r="A1657">
        <v>43</v>
      </c>
      <c r="B1657" t="s">
        <v>14</v>
      </c>
      <c r="C1657">
        <v>10</v>
      </c>
      <c r="D1657">
        <v>7</v>
      </c>
      <c r="E1657">
        <v>109.6</v>
      </c>
      <c r="F1657">
        <v>21458</v>
      </c>
      <c r="G1657">
        <v>15865</v>
      </c>
      <c r="H1657">
        <v>992</v>
      </c>
      <c r="J1657" t="str">
        <f>VLOOKUP(Table3[[#This Row],[Faction ID]],Table4[],2)</f>
        <v>Corsairs of Umbar</v>
      </c>
    </row>
    <row r="1658" spans="1:10" x14ac:dyDescent="0.25">
      <c r="A1658">
        <v>43</v>
      </c>
      <c r="B1658" t="s">
        <v>25</v>
      </c>
      <c r="C1658">
        <v>5</v>
      </c>
      <c r="D1658">
        <v>3</v>
      </c>
      <c r="E1658">
        <v>45</v>
      </c>
      <c r="F1658">
        <v>16297</v>
      </c>
      <c r="G1658">
        <v>6680</v>
      </c>
      <c r="H1658">
        <v>0</v>
      </c>
      <c r="J1658" t="str">
        <f>VLOOKUP(Table3[[#This Row],[Faction ID]],Table4[],2)</f>
        <v>Mahud</v>
      </c>
    </row>
    <row r="1659" spans="1:10" x14ac:dyDescent="0.25">
      <c r="A1659">
        <v>43</v>
      </c>
      <c r="B1659" t="s">
        <v>11</v>
      </c>
      <c r="C1659">
        <v>82</v>
      </c>
      <c r="D1659">
        <v>5</v>
      </c>
      <c r="E1659">
        <v>85</v>
      </c>
      <c r="F1659">
        <v>7796</v>
      </c>
      <c r="G1659">
        <v>13053</v>
      </c>
      <c r="H1659">
        <v>0</v>
      </c>
      <c r="J1659" t="str">
        <f>VLOOKUP(Table3[[#This Row],[Faction ID]],Table4[],2)</f>
        <v>Haradrim</v>
      </c>
    </row>
    <row r="1660" spans="1:10" x14ac:dyDescent="0.25">
      <c r="A1660">
        <v>43</v>
      </c>
      <c r="B1660" t="s">
        <v>15</v>
      </c>
      <c r="C1660">
        <v>94</v>
      </c>
      <c r="D1660">
        <v>6</v>
      </c>
      <c r="E1660">
        <v>103.6</v>
      </c>
      <c r="F1660">
        <v>13603</v>
      </c>
      <c r="G1660">
        <v>17215</v>
      </c>
      <c r="H1660">
        <v>839</v>
      </c>
      <c r="J1660" t="str">
        <f>VLOOKUP(Table3[[#This Row],[Faction ID]],Table4[],2)</f>
        <v>Dunlendings</v>
      </c>
    </row>
    <row r="1661" spans="1:10" x14ac:dyDescent="0.25">
      <c r="A1661">
        <v>43</v>
      </c>
      <c r="B1661" t="s">
        <v>16</v>
      </c>
      <c r="C1661">
        <v>0</v>
      </c>
      <c r="D1661">
        <v>0</v>
      </c>
      <c r="E1661">
        <v>0</v>
      </c>
      <c r="F1661">
        <v>5352</v>
      </c>
      <c r="G1661">
        <v>1750</v>
      </c>
      <c r="H1661">
        <v>0</v>
      </c>
      <c r="J1661" t="str">
        <f>VLOOKUP(Table3[[#This Row],[Faction ID]],Table4[],2)</f>
        <v>Haerrim</v>
      </c>
    </row>
    <row r="1662" spans="1:10" x14ac:dyDescent="0.25">
      <c r="A1662">
        <v>43</v>
      </c>
      <c r="B1662" t="s">
        <v>13</v>
      </c>
      <c r="C1662">
        <v>175</v>
      </c>
      <c r="D1662">
        <v>14</v>
      </c>
      <c r="E1662">
        <v>161.80000000000001</v>
      </c>
      <c r="F1662">
        <v>30321</v>
      </c>
      <c r="G1662">
        <v>22880</v>
      </c>
      <c r="H1662">
        <v>2531</v>
      </c>
      <c r="J1662" t="str">
        <f>VLOOKUP(Table3[[#This Row],[Faction ID]],Table4[],2)</f>
        <v>Goblins</v>
      </c>
    </row>
    <row r="1663" spans="1:10" x14ac:dyDescent="0.25">
      <c r="A1663">
        <v>43</v>
      </c>
      <c r="B1663" t="s">
        <v>17</v>
      </c>
      <c r="C1663">
        <v>0</v>
      </c>
      <c r="D1663">
        <v>0</v>
      </c>
      <c r="E1663">
        <v>0</v>
      </c>
      <c r="F1663">
        <v>4872</v>
      </c>
      <c r="G1663">
        <v>1750</v>
      </c>
      <c r="H1663">
        <v>0</v>
      </c>
      <c r="J1663" t="str">
        <f>VLOOKUP(Table3[[#This Row],[Faction ID]],Table4[],2)</f>
        <v>Balchoth</v>
      </c>
    </row>
    <row r="1664" spans="1:10" x14ac:dyDescent="0.25">
      <c r="A1664">
        <v>43</v>
      </c>
      <c r="B1664" t="s">
        <v>18</v>
      </c>
      <c r="C1664">
        <v>135</v>
      </c>
      <c r="D1664">
        <v>33</v>
      </c>
      <c r="E1664">
        <v>430.4</v>
      </c>
      <c r="F1664">
        <v>41496</v>
      </c>
      <c r="G1664">
        <v>36246</v>
      </c>
      <c r="H1664">
        <v>1207</v>
      </c>
      <c r="J1664" t="str">
        <f>VLOOKUP(Table3[[#This Row],[Faction ID]],Table4[],2)</f>
        <v>Rhurim/Rhun</v>
      </c>
    </row>
    <row r="1665" spans="1:10" x14ac:dyDescent="0.25">
      <c r="A1665">
        <v>43</v>
      </c>
      <c r="B1665" t="s">
        <v>19</v>
      </c>
      <c r="C1665">
        <v>0</v>
      </c>
      <c r="D1665">
        <v>0</v>
      </c>
      <c r="E1665">
        <v>0</v>
      </c>
      <c r="F1665">
        <v>7360</v>
      </c>
      <c r="G1665">
        <v>1750</v>
      </c>
      <c r="H1665">
        <v>0</v>
      </c>
      <c r="J1665" t="str">
        <f>VLOOKUP(Table3[[#This Row],[Faction ID]],Table4[],2)</f>
        <v>Feredrim</v>
      </c>
    </row>
    <row r="1666" spans="1:10" x14ac:dyDescent="0.25">
      <c r="A1666">
        <v>43</v>
      </c>
      <c r="B1666" t="s">
        <v>26</v>
      </c>
      <c r="C1666">
        <v>0</v>
      </c>
      <c r="D1666">
        <v>0</v>
      </c>
      <c r="E1666">
        <v>0</v>
      </c>
      <c r="F1666">
        <v>6395</v>
      </c>
      <c r="G1666">
        <v>1750</v>
      </c>
      <c r="H1666">
        <v>0</v>
      </c>
      <c r="J1666" t="str">
        <f>VLOOKUP(Table3[[#This Row],[Faction ID]],Table4[],2)</f>
        <v>Rachrohir (Wainriders)</v>
      </c>
    </row>
    <row r="1667" spans="1:10" x14ac:dyDescent="0.25">
      <c r="A1667">
        <v>43</v>
      </c>
      <c r="B1667" t="s">
        <v>27</v>
      </c>
      <c r="C1667">
        <v>5</v>
      </c>
      <c r="D1667">
        <v>3</v>
      </c>
      <c r="E1667">
        <v>48</v>
      </c>
      <c r="F1667">
        <v>56298</v>
      </c>
      <c r="G1667">
        <v>10890</v>
      </c>
      <c r="H1667">
        <v>0</v>
      </c>
      <c r="J1667" t="str">
        <f>VLOOKUP(Table3[[#This Row],[Faction ID]],Table4[],2)</f>
        <v>Blacklock-Stonefoot League</v>
      </c>
    </row>
    <row r="1668" spans="1:10" x14ac:dyDescent="0.25">
      <c r="A1668">
        <v>43</v>
      </c>
      <c r="B1668" t="s">
        <v>28</v>
      </c>
      <c r="C1668">
        <v>4</v>
      </c>
      <c r="D1668">
        <v>2</v>
      </c>
      <c r="E1668">
        <v>35</v>
      </c>
      <c r="F1668">
        <v>39150</v>
      </c>
      <c r="G1668">
        <v>6952</v>
      </c>
      <c r="H1668">
        <v>0</v>
      </c>
      <c r="J1668" t="str">
        <f>VLOOKUP(Table3[[#This Row],[Faction ID]],Table4[],2)</f>
        <v>Ironfist-Stiffbeard Union</v>
      </c>
    </row>
    <row r="1669" spans="1:10" x14ac:dyDescent="0.25">
      <c r="A1669">
        <v>43</v>
      </c>
      <c r="B1669" t="s">
        <v>20</v>
      </c>
      <c r="C1669">
        <v>111</v>
      </c>
      <c r="D1669">
        <v>12</v>
      </c>
      <c r="E1669">
        <v>149.69999999999999</v>
      </c>
      <c r="F1669">
        <v>19119</v>
      </c>
      <c r="G1669">
        <v>18144</v>
      </c>
      <c r="H1669">
        <v>899</v>
      </c>
      <c r="J1669" t="str">
        <f>VLOOKUP(Table3[[#This Row],[Faction ID]],Table4[],2)</f>
        <v>Gundabad</v>
      </c>
    </row>
    <row r="1670" spans="1:10" x14ac:dyDescent="0.25">
      <c r="A1670">
        <v>43</v>
      </c>
      <c r="B1670" t="s">
        <v>34</v>
      </c>
      <c r="C1670">
        <v>0</v>
      </c>
      <c r="D1670">
        <v>0</v>
      </c>
      <c r="E1670">
        <v>3</v>
      </c>
      <c r="F1670">
        <v>51082</v>
      </c>
      <c r="G1670">
        <v>2379</v>
      </c>
      <c r="H1670">
        <v>0</v>
      </c>
      <c r="J1670" t="str">
        <f>VLOOKUP(Table3[[#This Row],[Faction ID]],Table4[],2)</f>
        <v>Scouts of Rohan</v>
      </c>
    </row>
    <row r="1671" spans="1:10" x14ac:dyDescent="0.25">
      <c r="A1671">
        <v>43</v>
      </c>
      <c r="B1671" t="s">
        <v>33</v>
      </c>
      <c r="C1671">
        <v>5</v>
      </c>
      <c r="D1671">
        <v>3</v>
      </c>
      <c r="E1671">
        <v>42</v>
      </c>
      <c r="F1671">
        <v>25672</v>
      </c>
      <c r="G1671">
        <v>7076</v>
      </c>
      <c r="H1671">
        <v>232</v>
      </c>
      <c r="J1671" t="str">
        <f>VLOOKUP(Table3[[#This Row],[Faction ID]],Table4[],2)</f>
        <v>Northern Enedwaith</v>
      </c>
    </row>
    <row r="1672" spans="1:10" x14ac:dyDescent="0.25">
      <c r="A1672">
        <v>43</v>
      </c>
      <c r="B1672" t="s">
        <v>29</v>
      </c>
      <c r="C1672">
        <v>1</v>
      </c>
      <c r="D1672">
        <v>1</v>
      </c>
      <c r="E1672">
        <v>8</v>
      </c>
      <c r="F1672">
        <v>48566</v>
      </c>
      <c r="G1672">
        <v>2388</v>
      </c>
      <c r="H1672">
        <v>0</v>
      </c>
      <c r="J1672" t="str">
        <f>VLOOKUP(Table3[[#This Row],[Faction ID]],Table4[],2)</f>
        <v>Southern Enedwaith</v>
      </c>
    </row>
    <row r="1673" spans="1:10" x14ac:dyDescent="0.25">
      <c r="A1673">
        <v>43</v>
      </c>
      <c r="B1673" t="s">
        <v>30</v>
      </c>
      <c r="C1673">
        <v>6</v>
      </c>
      <c r="D1673">
        <v>4</v>
      </c>
      <c r="E1673">
        <v>40</v>
      </c>
      <c r="F1673">
        <v>32114</v>
      </c>
      <c r="G1673">
        <v>6427</v>
      </c>
      <c r="H1673">
        <v>0</v>
      </c>
      <c r="J1673" t="str">
        <f>VLOOKUP(Table3[[#This Row],[Faction ID]],Table4[],2)</f>
        <v>Druedain</v>
      </c>
    </row>
    <row r="1674" spans="1:10" x14ac:dyDescent="0.25">
      <c r="A1674">
        <v>43</v>
      </c>
      <c r="B1674" t="s">
        <v>31</v>
      </c>
      <c r="C1674">
        <v>0</v>
      </c>
      <c r="D1674">
        <v>0</v>
      </c>
      <c r="E1674">
        <v>0</v>
      </c>
      <c r="F1674">
        <v>15146</v>
      </c>
      <c r="G1674">
        <v>1750</v>
      </c>
      <c r="H1674">
        <v>0</v>
      </c>
      <c r="J1674" t="str">
        <f>VLOOKUP(Table3[[#This Row],[Faction ID]],Table4[],2)</f>
        <v>Harondor</v>
      </c>
    </row>
    <row r="1675" spans="1:10" x14ac:dyDescent="0.25">
      <c r="A1675">
        <v>43</v>
      </c>
      <c r="B1675" t="s">
        <v>35</v>
      </c>
      <c r="C1675">
        <v>0</v>
      </c>
      <c r="D1675">
        <v>0</v>
      </c>
      <c r="E1675">
        <v>0</v>
      </c>
      <c r="F1675">
        <v>4000</v>
      </c>
      <c r="G1675">
        <v>1750</v>
      </c>
      <c r="H1675">
        <v>0</v>
      </c>
      <c r="J1675" t="str">
        <f>VLOOKUP(Table3[[#This Row],[Faction ID]],Table4[],2)</f>
        <v>Southron Nomads</v>
      </c>
    </row>
    <row r="1676" spans="1:10" x14ac:dyDescent="0.25">
      <c r="A1676">
        <v>43</v>
      </c>
      <c r="B1676" t="s">
        <v>36</v>
      </c>
      <c r="C1676">
        <v>0</v>
      </c>
      <c r="D1676">
        <v>0</v>
      </c>
      <c r="E1676">
        <v>0</v>
      </c>
      <c r="F1676">
        <v>4000</v>
      </c>
      <c r="G1676">
        <v>1750</v>
      </c>
      <c r="H1676">
        <v>0</v>
      </c>
      <c r="J1676" t="str">
        <f>VLOOKUP(Table3[[#This Row],[Faction ID]],Table4[],2)</f>
        <v>_</v>
      </c>
    </row>
    <row r="1677" spans="1:10" x14ac:dyDescent="0.25">
      <c r="A1677">
        <v>43</v>
      </c>
      <c r="B1677" t="s">
        <v>37</v>
      </c>
      <c r="C1677">
        <v>0</v>
      </c>
      <c r="D1677">
        <v>0</v>
      </c>
      <c r="E1677">
        <v>0</v>
      </c>
      <c r="F1677">
        <v>4000</v>
      </c>
      <c r="G1677">
        <v>1750</v>
      </c>
      <c r="H1677">
        <v>0</v>
      </c>
      <c r="J1677" t="str">
        <f>VLOOKUP(Table3[[#This Row],[Faction ID]],Table4[],2)</f>
        <v>_</v>
      </c>
    </row>
    <row r="1678" spans="1:10" x14ac:dyDescent="0.25">
      <c r="A1678">
        <v>43</v>
      </c>
      <c r="B1678" t="s">
        <v>38</v>
      </c>
      <c r="C1678">
        <v>0</v>
      </c>
      <c r="D1678">
        <v>0</v>
      </c>
      <c r="E1678">
        <v>0</v>
      </c>
      <c r="F1678">
        <v>4000</v>
      </c>
      <c r="G1678">
        <v>1750</v>
      </c>
      <c r="H1678">
        <v>0</v>
      </c>
      <c r="J1678" t="str">
        <f>VLOOKUP(Table3[[#This Row],[Faction ID]],Table4[],2)</f>
        <v>_</v>
      </c>
    </row>
    <row r="1679" spans="1:10" x14ac:dyDescent="0.25">
      <c r="A1679">
        <v>43</v>
      </c>
      <c r="B1679" t="s">
        <v>39</v>
      </c>
      <c r="C1679">
        <v>0</v>
      </c>
      <c r="D1679">
        <v>0</v>
      </c>
      <c r="E1679">
        <v>0</v>
      </c>
      <c r="F1679">
        <v>4000</v>
      </c>
      <c r="G1679">
        <v>1750</v>
      </c>
      <c r="H1679">
        <v>0</v>
      </c>
      <c r="J1679" t="str">
        <f>VLOOKUP(Table3[[#This Row],[Faction ID]],Table4[],2)</f>
        <v>_</v>
      </c>
    </row>
    <row r="1680" spans="1:10" x14ac:dyDescent="0.25">
      <c r="A1680">
        <v>43</v>
      </c>
      <c r="B1680" t="s">
        <v>40</v>
      </c>
      <c r="C1680">
        <v>0</v>
      </c>
      <c r="D1680">
        <v>0</v>
      </c>
      <c r="E1680">
        <v>0</v>
      </c>
      <c r="F1680">
        <v>4000</v>
      </c>
      <c r="G1680">
        <v>1750</v>
      </c>
      <c r="H1680">
        <v>0</v>
      </c>
      <c r="J1680" t="str">
        <f>VLOOKUP(Table3[[#This Row],[Faction ID]],Table4[],2)</f>
        <v>_</v>
      </c>
    </row>
    <row r="1681" spans="1:10" x14ac:dyDescent="0.25">
      <c r="A1681">
        <v>43</v>
      </c>
      <c r="B1681" t="s">
        <v>41</v>
      </c>
      <c r="C1681">
        <v>0</v>
      </c>
      <c r="D1681">
        <v>0</v>
      </c>
      <c r="E1681">
        <v>0</v>
      </c>
      <c r="F1681">
        <v>4000</v>
      </c>
      <c r="G1681">
        <v>1750</v>
      </c>
      <c r="H1681">
        <v>0</v>
      </c>
      <c r="J1681" t="str">
        <f>VLOOKUP(Table3[[#This Row],[Faction ID]],Table4[],2)</f>
        <v>_</v>
      </c>
    </row>
    <row r="1682" spans="1:10" x14ac:dyDescent="0.25">
      <c r="A1682">
        <v>43</v>
      </c>
      <c r="B1682" t="s">
        <v>42</v>
      </c>
      <c r="C1682">
        <v>0</v>
      </c>
      <c r="D1682">
        <v>0</v>
      </c>
      <c r="E1682">
        <v>0</v>
      </c>
      <c r="F1682">
        <v>4000</v>
      </c>
      <c r="G1682">
        <v>1750</v>
      </c>
      <c r="H1682">
        <v>0</v>
      </c>
      <c r="J1682" t="str">
        <f>VLOOKUP(Table3[[#This Row],[Faction ID]],Table4[],2)</f>
        <v>_</v>
      </c>
    </row>
    <row r="1683" spans="1:10" x14ac:dyDescent="0.25">
      <c r="A1683">
        <v>43</v>
      </c>
      <c r="B1683" t="s">
        <v>43</v>
      </c>
      <c r="C1683">
        <v>0</v>
      </c>
      <c r="D1683">
        <v>0</v>
      </c>
      <c r="E1683">
        <v>0</v>
      </c>
      <c r="F1683">
        <v>4000</v>
      </c>
      <c r="G1683">
        <v>1750</v>
      </c>
      <c r="H1683">
        <v>0</v>
      </c>
      <c r="J1683" t="str">
        <f>VLOOKUP(Table3[[#This Row],[Faction ID]],Table4[],2)</f>
        <v>_</v>
      </c>
    </row>
    <row r="1684" spans="1:10" x14ac:dyDescent="0.25">
      <c r="A1684">
        <v>43</v>
      </c>
      <c r="B1684" t="s">
        <v>44</v>
      </c>
      <c r="C1684">
        <v>0</v>
      </c>
      <c r="D1684">
        <v>0</v>
      </c>
      <c r="E1684">
        <v>0</v>
      </c>
      <c r="F1684">
        <v>4000</v>
      </c>
      <c r="G1684">
        <v>1750</v>
      </c>
      <c r="H1684">
        <v>0</v>
      </c>
      <c r="J1684" t="str">
        <f>VLOOKUP(Table3[[#This Row],[Faction ID]],Table4[],2)</f>
        <v>_</v>
      </c>
    </row>
    <row r="1685" spans="1:10" x14ac:dyDescent="0.25">
      <c r="A1685">
        <v>44</v>
      </c>
      <c r="B1685" t="s">
        <v>9</v>
      </c>
      <c r="C1685">
        <v>164</v>
      </c>
      <c r="D1685">
        <v>22</v>
      </c>
      <c r="E1685">
        <v>204.3</v>
      </c>
      <c r="F1685">
        <v>1478</v>
      </c>
      <c r="G1685">
        <v>22691</v>
      </c>
      <c r="H1685">
        <v>1217</v>
      </c>
      <c r="J1685" t="str">
        <f>VLOOKUP(Table3[[#This Row],[Faction ID]],Table4[],2)</f>
        <v>Mordor</v>
      </c>
    </row>
    <row r="1686" spans="1:10" x14ac:dyDescent="0.25">
      <c r="A1686">
        <v>44</v>
      </c>
      <c r="B1686" t="s">
        <v>4</v>
      </c>
      <c r="C1686">
        <v>126</v>
      </c>
      <c r="D1686">
        <v>7</v>
      </c>
      <c r="E1686">
        <v>118</v>
      </c>
      <c r="F1686">
        <v>49821</v>
      </c>
      <c r="G1686">
        <v>20471</v>
      </c>
      <c r="H1686">
        <v>404</v>
      </c>
      <c r="J1686" t="str">
        <f>VLOOKUP(Table3[[#This Row],[Faction ID]],Table4[],2)</f>
        <v>Gondor</v>
      </c>
    </row>
    <row r="1687" spans="1:10" x14ac:dyDescent="0.25">
      <c r="A1687">
        <v>44</v>
      </c>
      <c r="B1687" t="s">
        <v>6</v>
      </c>
      <c r="C1687">
        <v>100</v>
      </c>
      <c r="D1687">
        <v>3</v>
      </c>
      <c r="E1687">
        <v>50.6</v>
      </c>
      <c r="F1687">
        <v>16338</v>
      </c>
      <c r="G1687">
        <v>9837</v>
      </c>
      <c r="H1687">
        <v>192</v>
      </c>
      <c r="J1687" t="str">
        <f>VLOOKUP(Table3[[#This Row],[Faction ID]],Table4[],2)</f>
        <v>Dale</v>
      </c>
    </row>
    <row r="1688" spans="1:10" x14ac:dyDescent="0.25">
      <c r="A1688">
        <v>44</v>
      </c>
      <c r="B1688" t="s">
        <v>21</v>
      </c>
      <c r="C1688">
        <v>119</v>
      </c>
      <c r="D1688">
        <v>4</v>
      </c>
      <c r="E1688">
        <v>60.8</v>
      </c>
      <c r="F1688">
        <v>50604</v>
      </c>
      <c r="G1688">
        <v>16724</v>
      </c>
      <c r="H1688">
        <v>431</v>
      </c>
      <c r="J1688" t="str">
        <f>VLOOKUP(Table3[[#This Row],[Faction ID]],Table4[],2)</f>
        <v>Erebor</v>
      </c>
    </row>
    <row r="1689" spans="1:10" x14ac:dyDescent="0.25">
      <c r="A1689">
        <v>44</v>
      </c>
      <c r="B1689" t="s">
        <v>5</v>
      </c>
      <c r="C1689">
        <v>125</v>
      </c>
      <c r="D1689">
        <v>8</v>
      </c>
      <c r="E1689">
        <v>70.2</v>
      </c>
      <c r="F1689">
        <v>28846</v>
      </c>
      <c r="G1689">
        <v>9521</v>
      </c>
      <c r="H1689">
        <v>344</v>
      </c>
      <c r="J1689" t="str">
        <f>VLOOKUP(Table3[[#This Row],[Faction ID]],Table4[],2)</f>
        <v>Rohan</v>
      </c>
    </row>
    <row r="1690" spans="1:10" x14ac:dyDescent="0.25">
      <c r="A1690">
        <v>44</v>
      </c>
      <c r="B1690" t="s">
        <v>12</v>
      </c>
      <c r="C1690">
        <v>135</v>
      </c>
      <c r="D1690">
        <v>14</v>
      </c>
      <c r="E1690">
        <v>180.7</v>
      </c>
      <c r="F1690">
        <v>10426</v>
      </c>
      <c r="G1690">
        <v>20679</v>
      </c>
      <c r="H1690">
        <v>1260</v>
      </c>
      <c r="J1690" t="str">
        <f>VLOOKUP(Table3[[#This Row],[Faction ID]],Table4[],2)</f>
        <v>Dol Guldur</v>
      </c>
    </row>
    <row r="1691" spans="1:10" x14ac:dyDescent="0.25">
      <c r="A1691">
        <v>44</v>
      </c>
      <c r="B1691" t="s">
        <v>10</v>
      </c>
      <c r="C1691">
        <v>58</v>
      </c>
      <c r="D1691">
        <v>0</v>
      </c>
      <c r="E1691">
        <v>0</v>
      </c>
      <c r="F1691">
        <v>4515</v>
      </c>
      <c r="G1691">
        <v>2500</v>
      </c>
      <c r="H1691">
        <v>0</v>
      </c>
      <c r="J1691" t="str">
        <f>VLOOKUP(Table3[[#This Row],[Faction ID]],Table4[],2)</f>
        <v>Anduin Vale</v>
      </c>
    </row>
    <row r="1692" spans="1:10" x14ac:dyDescent="0.25">
      <c r="A1692">
        <v>44</v>
      </c>
      <c r="B1692" t="s">
        <v>32</v>
      </c>
      <c r="C1692">
        <v>137</v>
      </c>
      <c r="D1692">
        <v>5</v>
      </c>
      <c r="E1692">
        <v>104.1</v>
      </c>
      <c r="F1692">
        <v>14998</v>
      </c>
      <c r="G1692">
        <v>15218</v>
      </c>
      <c r="H1692">
        <v>671</v>
      </c>
      <c r="J1692" t="str">
        <f>VLOOKUP(Table3[[#This Row],[Faction ID]],Table4[],2)</f>
        <v>Isengard</v>
      </c>
    </row>
    <row r="1693" spans="1:10" x14ac:dyDescent="0.25">
      <c r="A1693">
        <v>44</v>
      </c>
      <c r="B1693" t="s">
        <v>22</v>
      </c>
      <c r="C1693">
        <v>30</v>
      </c>
      <c r="D1693">
        <v>0</v>
      </c>
      <c r="E1693">
        <v>0</v>
      </c>
      <c r="F1693">
        <v>8475</v>
      </c>
      <c r="G1693">
        <v>2500</v>
      </c>
      <c r="H1693">
        <v>0</v>
      </c>
      <c r="J1693" t="str">
        <f>VLOOKUP(Table3[[#This Row],[Faction ID]],Table4[],2)</f>
        <v>Woodland Realm</v>
      </c>
    </row>
    <row r="1694" spans="1:10" x14ac:dyDescent="0.25">
      <c r="A1694">
        <v>44</v>
      </c>
      <c r="B1694" t="s">
        <v>23</v>
      </c>
      <c r="C1694">
        <v>64</v>
      </c>
      <c r="D1694">
        <v>0</v>
      </c>
      <c r="E1694">
        <v>0</v>
      </c>
      <c r="F1694">
        <v>4721</v>
      </c>
      <c r="G1694">
        <v>2500</v>
      </c>
      <c r="H1694">
        <v>0</v>
      </c>
      <c r="J1694" t="str">
        <f>VLOOKUP(Table3[[#This Row],[Faction ID]],Table4[],2)</f>
        <v>Lothlorien</v>
      </c>
    </row>
    <row r="1695" spans="1:10" x14ac:dyDescent="0.25">
      <c r="A1695">
        <v>44</v>
      </c>
      <c r="B1695" t="s">
        <v>24</v>
      </c>
      <c r="C1695">
        <v>0</v>
      </c>
      <c r="D1695">
        <v>0</v>
      </c>
      <c r="E1695">
        <v>0</v>
      </c>
      <c r="F1695">
        <v>4919</v>
      </c>
      <c r="G1695">
        <v>1750</v>
      </c>
      <c r="H1695">
        <v>0</v>
      </c>
      <c r="J1695" t="str">
        <f>VLOOKUP(Table3[[#This Row],[Faction ID]],Table4[],2)</f>
        <v>Variags (Khand)</v>
      </c>
    </row>
    <row r="1696" spans="1:10" x14ac:dyDescent="0.25">
      <c r="A1696">
        <v>44</v>
      </c>
      <c r="B1696" t="s">
        <v>14</v>
      </c>
      <c r="C1696">
        <v>10</v>
      </c>
      <c r="D1696">
        <v>7</v>
      </c>
      <c r="E1696">
        <v>113.6</v>
      </c>
      <c r="F1696">
        <v>13861</v>
      </c>
      <c r="G1696">
        <v>16850</v>
      </c>
      <c r="H1696">
        <v>998</v>
      </c>
      <c r="J1696" t="str">
        <f>VLOOKUP(Table3[[#This Row],[Faction ID]],Table4[],2)</f>
        <v>Corsairs of Umbar</v>
      </c>
    </row>
    <row r="1697" spans="1:10" x14ac:dyDescent="0.25">
      <c r="A1697">
        <v>44</v>
      </c>
      <c r="B1697" t="s">
        <v>25</v>
      </c>
      <c r="C1697">
        <v>5</v>
      </c>
      <c r="D1697">
        <v>3</v>
      </c>
      <c r="E1697">
        <v>48</v>
      </c>
      <c r="F1697">
        <v>12345</v>
      </c>
      <c r="G1697">
        <v>7066</v>
      </c>
      <c r="H1697">
        <v>0</v>
      </c>
      <c r="J1697" t="str">
        <f>VLOOKUP(Table3[[#This Row],[Faction ID]],Table4[],2)</f>
        <v>Mahud</v>
      </c>
    </row>
    <row r="1698" spans="1:10" x14ac:dyDescent="0.25">
      <c r="A1698">
        <v>44</v>
      </c>
      <c r="B1698" t="s">
        <v>11</v>
      </c>
      <c r="C1698">
        <v>82</v>
      </c>
      <c r="D1698">
        <v>5</v>
      </c>
      <c r="E1698">
        <v>85</v>
      </c>
      <c r="F1698">
        <v>11111</v>
      </c>
      <c r="G1698">
        <v>12949</v>
      </c>
      <c r="H1698">
        <v>0</v>
      </c>
      <c r="J1698" t="str">
        <f>VLOOKUP(Table3[[#This Row],[Faction ID]],Table4[],2)</f>
        <v>Haradrim</v>
      </c>
    </row>
    <row r="1699" spans="1:10" x14ac:dyDescent="0.25">
      <c r="A1699">
        <v>44</v>
      </c>
      <c r="B1699" t="s">
        <v>15</v>
      </c>
      <c r="C1699">
        <v>94</v>
      </c>
      <c r="D1699">
        <v>6</v>
      </c>
      <c r="E1699">
        <v>104.6</v>
      </c>
      <c r="F1699">
        <v>14021</v>
      </c>
      <c r="G1699">
        <v>16816</v>
      </c>
      <c r="H1699">
        <v>831</v>
      </c>
      <c r="J1699" t="str">
        <f>VLOOKUP(Table3[[#This Row],[Faction ID]],Table4[],2)</f>
        <v>Dunlendings</v>
      </c>
    </row>
    <row r="1700" spans="1:10" x14ac:dyDescent="0.25">
      <c r="A1700">
        <v>44</v>
      </c>
      <c r="B1700" t="s">
        <v>16</v>
      </c>
      <c r="C1700">
        <v>0</v>
      </c>
      <c r="D1700">
        <v>0</v>
      </c>
      <c r="E1700">
        <v>0</v>
      </c>
      <c r="F1700">
        <v>5352</v>
      </c>
      <c r="G1700">
        <v>1750</v>
      </c>
      <c r="H1700">
        <v>0</v>
      </c>
      <c r="J1700" t="str">
        <f>VLOOKUP(Table3[[#This Row],[Faction ID]],Table4[],2)</f>
        <v>Haerrim</v>
      </c>
    </row>
    <row r="1701" spans="1:10" x14ac:dyDescent="0.25">
      <c r="A1701">
        <v>44</v>
      </c>
      <c r="B1701" t="s">
        <v>13</v>
      </c>
      <c r="C1701">
        <v>175</v>
      </c>
      <c r="D1701">
        <v>14</v>
      </c>
      <c r="E1701">
        <v>173.8</v>
      </c>
      <c r="F1701">
        <v>24413</v>
      </c>
      <c r="G1701">
        <v>21667</v>
      </c>
      <c r="H1701">
        <v>2521</v>
      </c>
      <c r="J1701" t="str">
        <f>VLOOKUP(Table3[[#This Row],[Faction ID]],Table4[],2)</f>
        <v>Goblins</v>
      </c>
    </row>
    <row r="1702" spans="1:10" x14ac:dyDescent="0.25">
      <c r="A1702">
        <v>44</v>
      </c>
      <c r="B1702" t="s">
        <v>17</v>
      </c>
      <c r="C1702">
        <v>0</v>
      </c>
      <c r="D1702">
        <v>0</v>
      </c>
      <c r="E1702">
        <v>0</v>
      </c>
      <c r="F1702">
        <v>4872</v>
      </c>
      <c r="G1702">
        <v>1750</v>
      </c>
      <c r="H1702">
        <v>0</v>
      </c>
      <c r="J1702" t="str">
        <f>VLOOKUP(Table3[[#This Row],[Faction ID]],Table4[],2)</f>
        <v>Balchoth</v>
      </c>
    </row>
    <row r="1703" spans="1:10" x14ac:dyDescent="0.25">
      <c r="A1703">
        <v>44</v>
      </c>
      <c r="B1703" t="s">
        <v>18</v>
      </c>
      <c r="C1703">
        <v>144</v>
      </c>
      <c r="D1703">
        <v>33</v>
      </c>
      <c r="E1703">
        <v>416.1</v>
      </c>
      <c r="F1703">
        <v>37549</v>
      </c>
      <c r="G1703">
        <v>34516</v>
      </c>
      <c r="H1703">
        <v>1204</v>
      </c>
      <c r="J1703" t="str">
        <f>VLOOKUP(Table3[[#This Row],[Faction ID]],Table4[],2)</f>
        <v>Rhurim/Rhun</v>
      </c>
    </row>
    <row r="1704" spans="1:10" x14ac:dyDescent="0.25">
      <c r="A1704">
        <v>44</v>
      </c>
      <c r="B1704" t="s">
        <v>19</v>
      </c>
      <c r="C1704">
        <v>0</v>
      </c>
      <c r="D1704">
        <v>0</v>
      </c>
      <c r="E1704">
        <v>0</v>
      </c>
      <c r="F1704">
        <v>7360</v>
      </c>
      <c r="G1704">
        <v>1750</v>
      </c>
      <c r="H1704">
        <v>0</v>
      </c>
      <c r="J1704" t="str">
        <f>VLOOKUP(Table3[[#This Row],[Faction ID]],Table4[],2)</f>
        <v>Feredrim</v>
      </c>
    </row>
    <row r="1705" spans="1:10" x14ac:dyDescent="0.25">
      <c r="A1705">
        <v>44</v>
      </c>
      <c r="B1705" t="s">
        <v>26</v>
      </c>
      <c r="C1705">
        <v>0</v>
      </c>
      <c r="D1705">
        <v>0</v>
      </c>
      <c r="E1705">
        <v>0</v>
      </c>
      <c r="F1705">
        <v>6395</v>
      </c>
      <c r="G1705">
        <v>1750</v>
      </c>
      <c r="H1705">
        <v>0</v>
      </c>
      <c r="J1705" t="str">
        <f>VLOOKUP(Table3[[#This Row],[Faction ID]],Table4[],2)</f>
        <v>Rachrohir (Wainriders)</v>
      </c>
    </row>
    <row r="1706" spans="1:10" x14ac:dyDescent="0.25">
      <c r="A1706">
        <v>44</v>
      </c>
      <c r="B1706" t="s">
        <v>27</v>
      </c>
      <c r="C1706">
        <v>5</v>
      </c>
      <c r="D1706">
        <v>3</v>
      </c>
      <c r="E1706">
        <v>48</v>
      </c>
      <c r="F1706">
        <v>59860</v>
      </c>
      <c r="G1706">
        <v>10890</v>
      </c>
      <c r="H1706">
        <v>0</v>
      </c>
      <c r="J1706" t="str">
        <f>VLOOKUP(Table3[[#This Row],[Faction ID]],Table4[],2)</f>
        <v>Blacklock-Stonefoot League</v>
      </c>
    </row>
    <row r="1707" spans="1:10" x14ac:dyDescent="0.25">
      <c r="A1707">
        <v>44</v>
      </c>
      <c r="B1707" t="s">
        <v>28</v>
      </c>
      <c r="C1707">
        <v>4</v>
      </c>
      <c r="D1707">
        <v>2</v>
      </c>
      <c r="E1707">
        <v>38</v>
      </c>
      <c r="F1707">
        <v>39576</v>
      </c>
      <c r="G1707">
        <v>7290</v>
      </c>
      <c r="H1707">
        <v>0</v>
      </c>
      <c r="J1707" t="str">
        <f>VLOOKUP(Table3[[#This Row],[Faction ID]],Table4[],2)</f>
        <v>Ironfist-Stiffbeard Union</v>
      </c>
    </row>
    <row r="1708" spans="1:10" x14ac:dyDescent="0.25">
      <c r="A1708">
        <v>44</v>
      </c>
      <c r="B1708" t="s">
        <v>20</v>
      </c>
      <c r="C1708">
        <v>111</v>
      </c>
      <c r="D1708">
        <v>12</v>
      </c>
      <c r="E1708">
        <v>152.69999999999999</v>
      </c>
      <c r="F1708">
        <v>17967</v>
      </c>
      <c r="G1708">
        <v>17674</v>
      </c>
      <c r="H1708">
        <v>892</v>
      </c>
      <c r="J1708" t="str">
        <f>VLOOKUP(Table3[[#This Row],[Faction ID]],Table4[],2)</f>
        <v>Gundabad</v>
      </c>
    </row>
    <row r="1709" spans="1:10" x14ac:dyDescent="0.25">
      <c r="A1709">
        <v>44</v>
      </c>
      <c r="B1709" t="s">
        <v>34</v>
      </c>
      <c r="C1709">
        <v>0</v>
      </c>
      <c r="D1709">
        <v>0</v>
      </c>
      <c r="E1709">
        <v>3</v>
      </c>
      <c r="F1709">
        <v>52203</v>
      </c>
      <c r="G1709">
        <v>2379</v>
      </c>
      <c r="H1709">
        <v>0</v>
      </c>
      <c r="J1709" t="str">
        <f>VLOOKUP(Table3[[#This Row],[Faction ID]],Table4[],2)</f>
        <v>Scouts of Rohan</v>
      </c>
    </row>
    <row r="1710" spans="1:10" x14ac:dyDescent="0.25">
      <c r="A1710">
        <v>44</v>
      </c>
      <c r="B1710" t="s">
        <v>33</v>
      </c>
      <c r="C1710">
        <v>5</v>
      </c>
      <c r="D1710">
        <v>3</v>
      </c>
      <c r="E1710">
        <v>42</v>
      </c>
      <c r="F1710">
        <v>29100</v>
      </c>
      <c r="G1710">
        <v>7154</v>
      </c>
      <c r="H1710">
        <v>231</v>
      </c>
      <c r="J1710" t="str">
        <f>VLOOKUP(Table3[[#This Row],[Faction ID]],Table4[],2)</f>
        <v>Northern Enedwaith</v>
      </c>
    </row>
    <row r="1711" spans="1:10" x14ac:dyDescent="0.25">
      <c r="A1711">
        <v>44</v>
      </c>
      <c r="B1711" t="s">
        <v>29</v>
      </c>
      <c r="C1711">
        <v>1</v>
      </c>
      <c r="D1711">
        <v>1</v>
      </c>
      <c r="E1711">
        <v>8</v>
      </c>
      <c r="F1711">
        <v>50385</v>
      </c>
      <c r="G1711">
        <v>2407</v>
      </c>
      <c r="H1711">
        <v>0</v>
      </c>
      <c r="J1711" t="str">
        <f>VLOOKUP(Table3[[#This Row],[Faction ID]],Table4[],2)</f>
        <v>Southern Enedwaith</v>
      </c>
    </row>
    <row r="1712" spans="1:10" x14ac:dyDescent="0.25">
      <c r="A1712">
        <v>44</v>
      </c>
      <c r="B1712" t="s">
        <v>30</v>
      </c>
      <c r="C1712">
        <v>6</v>
      </c>
      <c r="D1712">
        <v>4</v>
      </c>
      <c r="E1712">
        <v>37</v>
      </c>
      <c r="F1712">
        <v>30287</v>
      </c>
      <c r="G1712">
        <v>6094</v>
      </c>
      <c r="H1712">
        <v>0</v>
      </c>
      <c r="J1712" t="str">
        <f>VLOOKUP(Table3[[#This Row],[Faction ID]],Table4[],2)</f>
        <v>Druedain</v>
      </c>
    </row>
    <row r="1713" spans="1:10" x14ac:dyDescent="0.25">
      <c r="A1713">
        <v>44</v>
      </c>
      <c r="B1713" t="s">
        <v>31</v>
      </c>
      <c r="C1713">
        <v>0</v>
      </c>
      <c r="D1713">
        <v>0</v>
      </c>
      <c r="E1713">
        <v>0</v>
      </c>
      <c r="F1713">
        <v>15146</v>
      </c>
      <c r="G1713">
        <v>1750</v>
      </c>
      <c r="H1713">
        <v>0</v>
      </c>
      <c r="J1713" t="str">
        <f>VLOOKUP(Table3[[#This Row],[Faction ID]],Table4[],2)</f>
        <v>Harondor</v>
      </c>
    </row>
    <row r="1714" spans="1:10" x14ac:dyDescent="0.25">
      <c r="A1714">
        <v>44</v>
      </c>
      <c r="B1714" t="s">
        <v>35</v>
      </c>
      <c r="C1714">
        <v>0</v>
      </c>
      <c r="D1714">
        <v>0</v>
      </c>
      <c r="E1714">
        <v>0</v>
      </c>
      <c r="F1714">
        <v>4000</v>
      </c>
      <c r="G1714">
        <v>1750</v>
      </c>
      <c r="H1714">
        <v>0</v>
      </c>
      <c r="J1714" t="str">
        <f>VLOOKUP(Table3[[#This Row],[Faction ID]],Table4[],2)</f>
        <v>Southron Nomads</v>
      </c>
    </row>
    <row r="1715" spans="1:10" x14ac:dyDescent="0.25">
      <c r="A1715">
        <v>44</v>
      </c>
      <c r="B1715" t="s">
        <v>36</v>
      </c>
      <c r="C1715">
        <v>0</v>
      </c>
      <c r="D1715">
        <v>0</v>
      </c>
      <c r="E1715">
        <v>0</v>
      </c>
      <c r="F1715">
        <v>4000</v>
      </c>
      <c r="G1715">
        <v>1750</v>
      </c>
      <c r="H1715">
        <v>0</v>
      </c>
      <c r="J1715" t="str">
        <f>VLOOKUP(Table3[[#This Row],[Faction ID]],Table4[],2)</f>
        <v>_</v>
      </c>
    </row>
    <row r="1716" spans="1:10" x14ac:dyDescent="0.25">
      <c r="A1716">
        <v>44</v>
      </c>
      <c r="B1716" t="s">
        <v>37</v>
      </c>
      <c r="C1716">
        <v>0</v>
      </c>
      <c r="D1716">
        <v>0</v>
      </c>
      <c r="E1716">
        <v>0</v>
      </c>
      <c r="F1716">
        <v>4000</v>
      </c>
      <c r="G1716">
        <v>1750</v>
      </c>
      <c r="H1716">
        <v>0</v>
      </c>
      <c r="J1716" t="str">
        <f>VLOOKUP(Table3[[#This Row],[Faction ID]],Table4[],2)</f>
        <v>_</v>
      </c>
    </row>
    <row r="1717" spans="1:10" x14ac:dyDescent="0.25">
      <c r="A1717">
        <v>44</v>
      </c>
      <c r="B1717" t="s">
        <v>38</v>
      </c>
      <c r="C1717">
        <v>0</v>
      </c>
      <c r="D1717">
        <v>0</v>
      </c>
      <c r="E1717">
        <v>0</v>
      </c>
      <c r="F1717">
        <v>4000</v>
      </c>
      <c r="G1717">
        <v>1750</v>
      </c>
      <c r="H1717">
        <v>0</v>
      </c>
      <c r="J1717" t="str">
        <f>VLOOKUP(Table3[[#This Row],[Faction ID]],Table4[],2)</f>
        <v>_</v>
      </c>
    </row>
    <row r="1718" spans="1:10" x14ac:dyDescent="0.25">
      <c r="A1718">
        <v>44</v>
      </c>
      <c r="B1718" t="s">
        <v>39</v>
      </c>
      <c r="C1718">
        <v>0</v>
      </c>
      <c r="D1718">
        <v>0</v>
      </c>
      <c r="E1718">
        <v>0</v>
      </c>
      <c r="F1718">
        <v>4000</v>
      </c>
      <c r="G1718">
        <v>1750</v>
      </c>
      <c r="H1718">
        <v>0</v>
      </c>
      <c r="J1718" t="str">
        <f>VLOOKUP(Table3[[#This Row],[Faction ID]],Table4[],2)</f>
        <v>_</v>
      </c>
    </row>
    <row r="1719" spans="1:10" x14ac:dyDescent="0.25">
      <c r="A1719">
        <v>44</v>
      </c>
      <c r="B1719" t="s">
        <v>40</v>
      </c>
      <c r="C1719">
        <v>0</v>
      </c>
      <c r="D1719">
        <v>0</v>
      </c>
      <c r="E1719">
        <v>0</v>
      </c>
      <c r="F1719">
        <v>4000</v>
      </c>
      <c r="G1719">
        <v>1750</v>
      </c>
      <c r="H1719">
        <v>0</v>
      </c>
      <c r="J1719" t="str">
        <f>VLOOKUP(Table3[[#This Row],[Faction ID]],Table4[],2)</f>
        <v>_</v>
      </c>
    </row>
    <row r="1720" spans="1:10" x14ac:dyDescent="0.25">
      <c r="A1720">
        <v>44</v>
      </c>
      <c r="B1720" t="s">
        <v>41</v>
      </c>
      <c r="C1720">
        <v>0</v>
      </c>
      <c r="D1720">
        <v>0</v>
      </c>
      <c r="E1720">
        <v>0</v>
      </c>
      <c r="F1720">
        <v>4000</v>
      </c>
      <c r="G1720">
        <v>1750</v>
      </c>
      <c r="H1720">
        <v>0</v>
      </c>
      <c r="J1720" t="str">
        <f>VLOOKUP(Table3[[#This Row],[Faction ID]],Table4[],2)</f>
        <v>_</v>
      </c>
    </row>
    <row r="1721" spans="1:10" x14ac:dyDescent="0.25">
      <c r="A1721">
        <v>44</v>
      </c>
      <c r="B1721" t="s">
        <v>42</v>
      </c>
      <c r="C1721">
        <v>0</v>
      </c>
      <c r="D1721">
        <v>0</v>
      </c>
      <c r="E1721">
        <v>0</v>
      </c>
      <c r="F1721">
        <v>4000</v>
      </c>
      <c r="G1721">
        <v>1750</v>
      </c>
      <c r="H1721">
        <v>0</v>
      </c>
      <c r="J1721" t="str">
        <f>VLOOKUP(Table3[[#This Row],[Faction ID]],Table4[],2)</f>
        <v>_</v>
      </c>
    </row>
    <row r="1722" spans="1:10" x14ac:dyDescent="0.25">
      <c r="A1722">
        <v>44</v>
      </c>
      <c r="B1722" t="s">
        <v>43</v>
      </c>
      <c r="C1722">
        <v>0</v>
      </c>
      <c r="D1722">
        <v>0</v>
      </c>
      <c r="E1722">
        <v>0</v>
      </c>
      <c r="F1722">
        <v>4000</v>
      </c>
      <c r="G1722">
        <v>1750</v>
      </c>
      <c r="H1722">
        <v>0</v>
      </c>
      <c r="J1722" t="str">
        <f>VLOOKUP(Table3[[#This Row],[Faction ID]],Table4[],2)</f>
        <v>_</v>
      </c>
    </row>
    <row r="1723" spans="1:10" x14ac:dyDescent="0.25">
      <c r="A1723">
        <v>44</v>
      </c>
      <c r="B1723" t="s">
        <v>44</v>
      </c>
      <c r="C1723">
        <v>0</v>
      </c>
      <c r="D1723">
        <v>0</v>
      </c>
      <c r="E1723">
        <v>0</v>
      </c>
      <c r="F1723">
        <v>4000</v>
      </c>
      <c r="G1723">
        <v>1750</v>
      </c>
      <c r="H1723">
        <v>0</v>
      </c>
      <c r="J1723" t="str">
        <f>VLOOKUP(Table3[[#This Row],[Faction ID]],Table4[],2)</f>
        <v>_</v>
      </c>
    </row>
    <row r="1724" spans="1:10" x14ac:dyDescent="0.25">
      <c r="A1724">
        <v>45</v>
      </c>
      <c r="B1724" t="s">
        <v>9</v>
      </c>
      <c r="C1724">
        <v>163</v>
      </c>
      <c r="D1724">
        <v>21</v>
      </c>
      <c r="E1724">
        <v>202.4</v>
      </c>
      <c r="F1724">
        <v>10688</v>
      </c>
      <c r="G1724">
        <v>21895</v>
      </c>
      <c r="H1724">
        <v>1207</v>
      </c>
      <c r="J1724" t="str">
        <f>VLOOKUP(Table3[[#This Row],[Faction ID]],Table4[],2)</f>
        <v>Mordor</v>
      </c>
    </row>
    <row r="1725" spans="1:10" x14ac:dyDescent="0.25">
      <c r="A1725">
        <v>45</v>
      </c>
      <c r="B1725" t="s">
        <v>4</v>
      </c>
      <c r="C1725">
        <v>131</v>
      </c>
      <c r="D1725">
        <v>7</v>
      </c>
      <c r="E1725">
        <v>125</v>
      </c>
      <c r="F1725">
        <v>55215</v>
      </c>
      <c r="G1725">
        <v>21837</v>
      </c>
      <c r="H1725">
        <v>404</v>
      </c>
      <c r="J1725" t="str">
        <f>VLOOKUP(Table3[[#This Row],[Faction ID]],Table4[],2)</f>
        <v>Gondor</v>
      </c>
    </row>
    <row r="1726" spans="1:10" x14ac:dyDescent="0.25">
      <c r="A1726">
        <v>45</v>
      </c>
      <c r="B1726" t="s">
        <v>6</v>
      </c>
      <c r="C1726">
        <v>105</v>
      </c>
      <c r="D1726">
        <v>3</v>
      </c>
      <c r="E1726">
        <v>49.6</v>
      </c>
      <c r="F1726">
        <v>18607</v>
      </c>
      <c r="G1726">
        <v>9953</v>
      </c>
      <c r="H1726">
        <v>193</v>
      </c>
      <c r="J1726" t="str">
        <f>VLOOKUP(Table3[[#This Row],[Faction ID]],Table4[],2)</f>
        <v>Dale</v>
      </c>
    </row>
    <row r="1727" spans="1:10" x14ac:dyDescent="0.25">
      <c r="A1727">
        <v>45</v>
      </c>
      <c r="B1727" t="s">
        <v>21</v>
      </c>
      <c r="C1727">
        <v>124</v>
      </c>
      <c r="D1727">
        <v>4</v>
      </c>
      <c r="E1727">
        <v>72.8</v>
      </c>
      <c r="F1727">
        <v>51460</v>
      </c>
      <c r="G1727">
        <v>17619</v>
      </c>
      <c r="H1727">
        <v>432</v>
      </c>
      <c r="J1727" t="str">
        <f>VLOOKUP(Table3[[#This Row],[Faction ID]],Table4[],2)</f>
        <v>Erebor</v>
      </c>
    </row>
    <row r="1728" spans="1:10" x14ac:dyDescent="0.25">
      <c r="A1728">
        <v>45</v>
      </c>
      <c r="B1728" t="s">
        <v>5</v>
      </c>
      <c r="C1728">
        <v>134</v>
      </c>
      <c r="D1728">
        <v>8</v>
      </c>
      <c r="E1728">
        <v>78.2</v>
      </c>
      <c r="F1728">
        <v>27973</v>
      </c>
      <c r="G1728">
        <v>9477</v>
      </c>
      <c r="H1728">
        <v>344</v>
      </c>
      <c r="J1728" t="str">
        <f>VLOOKUP(Table3[[#This Row],[Faction ID]],Table4[],2)</f>
        <v>Rohan</v>
      </c>
    </row>
    <row r="1729" spans="1:10" x14ac:dyDescent="0.25">
      <c r="A1729">
        <v>45</v>
      </c>
      <c r="B1729" t="s">
        <v>12</v>
      </c>
      <c r="C1729">
        <v>140</v>
      </c>
      <c r="D1729">
        <v>14</v>
      </c>
      <c r="E1729">
        <v>179.7</v>
      </c>
      <c r="F1729">
        <v>10652</v>
      </c>
      <c r="G1729">
        <v>21131</v>
      </c>
      <c r="H1729">
        <v>1263</v>
      </c>
      <c r="J1729" t="str">
        <f>VLOOKUP(Table3[[#This Row],[Faction ID]],Table4[],2)</f>
        <v>Dol Guldur</v>
      </c>
    </row>
    <row r="1730" spans="1:10" x14ac:dyDescent="0.25">
      <c r="A1730">
        <v>45</v>
      </c>
      <c r="B1730" t="s">
        <v>10</v>
      </c>
      <c r="C1730">
        <v>58</v>
      </c>
      <c r="D1730">
        <v>0</v>
      </c>
      <c r="E1730">
        <v>0</v>
      </c>
      <c r="F1730">
        <v>4515</v>
      </c>
      <c r="G1730">
        <v>2500</v>
      </c>
      <c r="H1730">
        <v>0</v>
      </c>
      <c r="J1730" t="str">
        <f>VLOOKUP(Table3[[#This Row],[Faction ID]],Table4[],2)</f>
        <v>Anduin Vale</v>
      </c>
    </row>
    <row r="1731" spans="1:10" x14ac:dyDescent="0.25">
      <c r="A1731">
        <v>45</v>
      </c>
      <c r="B1731" t="s">
        <v>32</v>
      </c>
      <c r="C1731">
        <v>147</v>
      </c>
      <c r="D1731">
        <v>5</v>
      </c>
      <c r="E1731">
        <v>111.8</v>
      </c>
      <c r="F1731">
        <v>17714</v>
      </c>
      <c r="G1731">
        <v>17211</v>
      </c>
      <c r="H1731">
        <v>675</v>
      </c>
      <c r="J1731" t="str">
        <f>VLOOKUP(Table3[[#This Row],[Faction ID]],Table4[],2)</f>
        <v>Isengard</v>
      </c>
    </row>
    <row r="1732" spans="1:10" x14ac:dyDescent="0.25">
      <c r="A1732">
        <v>45</v>
      </c>
      <c r="B1732" t="s">
        <v>22</v>
      </c>
      <c r="C1732">
        <v>30</v>
      </c>
      <c r="D1732">
        <v>0</v>
      </c>
      <c r="E1732">
        <v>0</v>
      </c>
      <c r="F1732">
        <v>8475</v>
      </c>
      <c r="G1732">
        <v>2500</v>
      </c>
      <c r="H1732">
        <v>0</v>
      </c>
      <c r="J1732" t="str">
        <f>VLOOKUP(Table3[[#This Row],[Faction ID]],Table4[],2)</f>
        <v>Woodland Realm</v>
      </c>
    </row>
    <row r="1733" spans="1:10" x14ac:dyDescent="0.25">
      <c r="A1733">
        <v>45</v>
      </c>
      <c r="B1733" t="s">
        <v>23</v>
      </c>
      <c r="C1733">
        <v>64</v>
      </c>
      <c r="D1733">
        <v>0</v>
      </c>
      <c r="E1733">
        <v>0</v>
      </c>
      <c r="F1733">
        <v>4721</v>
      </c>
      <c r="G1733">
        <v>2500</v>
      </c>
      <c r="H1733">
        <v>0</v>
      </c>
      <c r="J1733" t="str">
        <f>VLOOKUP(Table3[[#This Row],[Faction ID]],Table4[],2)</f>
        <v>Lothlorien</v>
      </c>
    </row>
    <row r="1734" spans="1:10" x14ac:dyDescent="0.25">
      <c r="A1734">
        <v>45</v>
      </c>
      <c r="B1734" t="s">
        <v>24</v>
      </c>
      <c r="C1734">
        <v>0</v>
      </c>
      <c r="D1734">
        <v>0</v>
      </c>
      <c r="E1734">
        <v>0</v>
      </c>
      <c r="F1734">
        <v>4919</v>
      </c>
      <c r="G1734">
        <v>1750</v>
      </c>
      <c r="H1734">
        <v>0</v>
      </c>
      <c r="J1734" t="str">
        <f>VLOOKUP(Table3[[#This Row],[Faction ID]],Table4[],2)</f>
        <v>Variags (Khand)</v>
      </c>
    </row>
    <row r="1735" spans="1:10" x14ac:dyDescent="0.25">
      <c r="A1735">
        <v>45</v>
      </c>
      <c r="B1735" t="s">
        <v>14</v>
      </c>
      <c r="C1735">
        <v>10</v>
      </c>
      <c r="D1735">
        <v>7</v>
      </c>
      <c r="E1735">
        <v>91.6</v>
      </c>
      <c r="F1735">
        <v>14594</v>
      </c>
      <c r="G1735">
        <v>15047</v>
      </c>
      <c r="H1735">
        <v>998</v>
      </c>
      <c r="J1735" t="str">
        <f>VLOOKUP(Table3[[#This Row],[Faction ID]],Table4[],2)</f>
        <v>Corsairs of Umbar</v>
      </c>
    </row>
    <row r="1736" spans="1:10" x14ac:dyDescent="0.25">
      <c r="A1736">
        <v>45</v>
      </c>
      <c r="B1736" t="s">
        <v>25</v>
      </c>
      <c r="C1736">
        <v>5</v>
      </c>
      <c r="D1736">
        <v>3</v>
      </c>
      <c r="E1736">
        <v>48</v>
      </c>
      <c r="F1736">
        <v>13148</v>
      </c>
      <c r="G1736">
        <v>6775</v>
      </c>
      <c r="H1736">
        <v>0</v>
      </c>
      <c r="J1736" t="str">
        <f>VLOOKUP(Table3[[#This Row],[Faction ID]],Table4[],2)</f>
        <v>Mahud</v>
      </c>
    </row>
    <row r="1737" spans="1:10" x14ac:dyDescent="0.25">
      <c r="A1737">
        <v>45</v>
      </c>
      <c r="B1737" t="s">
        <v>11</v>
      </c>
      <c r="C1737">
        <v>87</v>
      </c>
      <c r="D1737">
        <v>5</v>
      </c>
      <c r="E1737">
        <v>84</v>
      </c>
      <c r="F1737">
        <v>14213</v>
      </c>
      <c r="G1737">
        <v>12466</v>
      </c>
      <c r="H1737">
        <v>0</v>
      </c>
      <c r="J1737" t="str">
        <f>VLOOKUP(Table3[[#This Row],[Faction ID]],Table4[],2)</f>
        <v>Haradrim</v>
      </c>
    </row>
    <row r="1738" spans="1:10" x14ac:dyDescent="0.25">
      <c r="A1738">
        <v>45</v>
      </c>
      <c r="B1738" t="s">
        <v>15</v>
      </c>
      <c r="C1738">
        <v>94</v>
      </c>
      <c r="D1738">
        <v>6</v>
      </c>
      <c r="E1738">
        <v>104.6</v>
      </c>
      <c r="F1738">
        <v>14255</v>
      </c>
      <c r="G1738">
        <v>17350</v>
      </c>
      <c r="H1738">
        <v>839</v>
      </c>
      <c r="J1738" t="str">
        <f>VLOOKUP(Table3[[#This Row],[Faction ID]],Table4[],2)</f>
        <v>Dunlendings</v>
      </c>
    </row>
    <row r="1739" spans="1:10" x14ac:dyDescent="0.25">
      <c r="A1739">
        <v>45</v>
      </c>
      <c r="B1739" t="s">
        <v>16</v>
      </c>
      <c r="C1739">
        <v>0</v>
      </c>
      <c r="D1739">
        <v>0</v>
      </c>
      <c r="E1739">
        <v>0</v>
      </c>
      <c r="F1739">
        <v>5352</v>
      </c>
      <c r="G1739">
        <v>1750</v>
      </c>
      <c r="H1739">
        <v>0</v>
      </c>
      <c r="J1739" t="str">
        <f>VLOOKUP(Table3[[#This Row],[Faction ID]],Table4[],2)</f>
        <v>Haerrim</v>
      </c>
    </row>
    <row r="1740" spans="1:10" x14ac:dyDescent="0.25">
      <c r="A1740">
        <v>45</v>
      </c>
      <c r="B1740" t="s">
        <v>13</v>
      </c>
      <c r="C1740">
        <v>185</v>
      </c>
      <c r="D1740">
        <v>14</v>
      </c>
      <c r="E1740">
        <v>173.8</v>
      </c>
      <c r="F1740">
        <v>21097</v>
      </c>
      <c r="G1740">
        <v>22478</v>
      </c>
      <c r="H1740">
        <v>2535</v>
      </c>
      <c r="J1740" t="str">
        <f>VLOOKUP(Table3[[#This Row],[Faction ID]],Table4[],2)</f>
        <v>Goblins</v>
      </c>
    </row>
    <row r="1741" spans="1:10" x14ac:dyDescent="0.25">
      <c r="A1741">
        <v>45</v>
      </c>
      <c r="B1741" t="s">
        <v>17</v>
      </c>
      <c r="C1741">
        <v>0</v>
      </c>
      <c r="D1741">
        <v>0</v>
      </c>
      <c r="E1741">
        <v>0</v>
      </c>
      <c r="F1741">
        <v>4872</v>
      </c>
      <c r="G1741">
        <v>1750</v>
      </c>
      <c r="H1741">
        <v>0</v>
      </c>
      <c r="J1741" t="str">
        <f>VLOOKUP(Table3[[#This Row],[Faction ID]],Table4[],2)</f>
        <v>Balchoth</v>
      </c>
    </row>
    <row r="1742" spans="1:10" x14ac:dyDescent="0.25">
      <c r="A1742">
        <v>45</v>
      </c>
      <c r="B1742" t="s">
        <v>18</v>
      </c>
      <c r="C1742">
        <v>144</v>
      </c>
      <c r="D1742">
        <v>33</v>
      </c>
      <c r="E1742">
        <v>425.5</v>
      </c>
      <c r="F1742">
        <v>37786</v>
      </c>
      <c r="G1742">
        <v>34215</v>
      </c>
      <c r="H1742">
        <v>1200</v>
      </c>
      <c r="J1742" t="str">
        <f>VLOOKUP(Table3[[#This Row],[Faction ID]],Table4[],2)</f>
        <v>Rhurim/Rhun</v>
      </c>
    </row>
    <row r="1743" spans="1:10" x14ac:dyDescent="0.25">
      <c r="A1743">
        <v>45</v>
      </c>
      <c r="B1743" t="s">
        <v>19</v>
      </c>
      <c r="C1743">
        <v>0</v>
      </c>
      <c r="D1743">
        <v>0</v>
      </c>
      <c r="E1743">
        <v>0</v>
      </c>
      <c r="F1743">
        <v>7360</v>
      </c>
      <c r="G1743">
        <v>1750</v>
      </c>
      <c r="H1743">
        <v>0</v>
      </c>
      <c r="J1743" t="str">
        <f>VLOOKUP(Table3[[#This Row],[Faction ID]],Table4[],2)</f>
        <v>Feredrim</v>
      </c>
    </row>
    <row r="1744" spans="1:10" x14ac:dyDescent="0.25">
      <c r="A1744">
        <v>45</v>
      </c>
      <c r="B1744" t="s">
        <v>26</v>
      </c>
      <c r="C1744">
        <v>0</v>
      </c>
      <c r="D1744">
        <v>0</v>
      </c>
      <c r="E1744">
        <v>0</v>
      </c>
      <c r="F1744">
        <v>6395</v>
      </c>
      <c r="G1744">
        <v>1750</v>
      </c>
      <c r="H1744">
        <v>0</v>
      </c>
      <c r="J1744" t="str">
        <f>VLOOKUP(Table3[[#This Row],[Faction ID]],Table4[],2)</f>
        <v>Rachrohir (Wainriders)</v>
      </c>
    </row>
    <row r="1745" spans="1:10" x14ac:dyDescent="0.25">
      <c r="A1745">
        <v>45</v>
      </c>
      <c r="B1745" t="s">
        <v>27</v>
      </c>
      <c r="C1745">
        <v>5</v>
      </c>
      <c r="D1745">
        <v>3</v>
      </c>
      <c r="E1745">
        <v>48</v>
      </c>
      <c r="F1745">
        <v>63422</v>
      </c>
      <c r="G1745">
        <v>10890</v>
      </c>
      <c r="H1745">
        <v>0</v>
      </c>
      <c r="J1745" t="str">
        <f>VLOOKUP(Table3[[#This Row],[Faction ID]],Table4[],2)</f>
        <v>Blacklock-Stonefoot League</v>
      </c>
    </row>
    <row r="1746" spans="1:10" x14ac:dyDescent="0.25">
      <c r="A1746">
        <v>45</v>
      </c>
      <c r="B1746" t="s">
        <v>28</v>
      </c>
      <c r="C1746">
        <v>4</v>
      </c>
      <c r="D1746">
        <v>2</v>
      </c>
      <c r="E1746">
        <v>41</v>
      </c>
      <c r="F1746">
        <v>40098</v>
      </c>
      <c r="G1746">
        <v>7194</v>
      </c>
      <c r="H1746">
        <v>0</v>
      </c>
      <c r="J1746" t="str">
        <f>VLOOKUP(Table3[[#This Row],[Faction ID]],Table4[],2)</f>
        <v>Ironfist-Stiffbeard Union</v>
      </c>
    </row>
    <row r="1747" spans="1:10" x14ac:dyDescent="0.25">
      <c r="A1747">
        <v>45</v>
      </c>
      <c r="B1747" t="s">
        <v>20</v>
      </c>
      <c r="C1747">
        <v>111</v>
      </c>
      <c r="D1747">
        <v>12</v>
      </c>
      <c r="E1747">
        <v>161</v>
      </c>
      <c r="F1747">
        <v>14624</v>
      </c>
      <c r="G1747">
        <v>18944</v>
      </c>
      <c r="H1747">
        <v>897</v>
      </c>
      <c r="J1747" t="str">
        <f>VLOOKUP(Table3[[#This Row],[Faction ID]],Table4[],2)</f>
        <v>Gundabad</v>
      </c>
    </row>
    <row r="1748" spans="1:10" x14ac:dyDescent="0.25">
      <c r="A1748">
        <v>45</v>
      </c>
      <c r="B1748" t="s">
        <v>34</v>
      </c>
      <c r="C1748">
        <v>0</v>
      </c>
      <c r="D1748">
        <v>0</v>
      </c>
      <c r="E1748">
        <v>3</v>
      </c>
      <c r="F1748">
        <v>53324</v>
      </c>
      <c r="G1748">
        <v>2379</v>
      </c>
      <c r="H1748">
        <v>0</v>
      </c>
      <c r="J1748" t="str">
        <f>VLOOKUP(Table3[[#This Row],[Faction ID]],Table4[],2)</f>
        <v>Scouts of Rohan</v>
      </c>
    </row>
    <row r="1749" spans="1:10" x14ac:dyDescent="0.25">
      <c r="A1749">
        <v>45</v>
      </c>
      <c r="B1749" t="s">
        <v>33</v>
      </c>
      <c r="C1749">
        <v>5</v>
      </c>
      <c r="D1749">
        <v>3</v>
      </c>
      <c r="E1749">
        <v>43</v>
      </c>
      <c r="F1749">
        <v>32453</v>
      </c>
      <c r="G1749">
        <v>6995</v>
      </c>
      <c r="H1749">
        <v>231</v>
      </c>
      <c r="J1749" t="str">
        <f>VLOOKUP(Table3[[#This Row],[Faction ID]],Table4[],2)</f>
        <v>Northern Enedwaith</v>
      </c>
    </row>
    <row r="1750" spans="1:10" x14ac:dyDescent="0.25">
      <c r="A1750">
        <v>45</v>
      </c>
      <c r="B1750" t="s">
        <v>29</v>
      </c>
      <c r="C1750">
        <v>1</v>
      </c>
      <c r="D1750">
        <v>1</v>
      </c>
      <c r="E1750">
        <v>8</v>
      </c>
      <c r="F1750">
        <v>52204</v>
      </c>
      <c r="G1750">
        <v>2407</v>
      </c>
      <c r="H1750">
        <v>0</v>
      </c>
      <c r="J1750" t="str">
        <f>VLOOKUP(Table3[[#This Row],[Faction ID]],Table4[],2)</f>
        <v>Southern Enedwaith</v>
      </c>
    </row>
    <row r="1751" spans="1:10" x14ac:dyDescent="0.25">
      <c r="A1751">
        <v>45</v>
      </c>
      <c r="B1751" t="s">
        <v>30</v>
      </c>
      <c r="C1751">
        <v>6</v>
      </c>
      <c r="D1751">
        <v>4</v>
      </c>
      <c r="E1751">
        <v>37</v>
      </c>
      <c r="F1751">
        <v>31981</v>
      </c>
      <c r="G1751">
        <v>6080</v>
      </c>
      <c r="H1751">
        <v>0</v>
      </c>
      <c r="J1751" t="str">
        <f>VLOOKUP(Table3[[#This Row],[Faction ID]],Table4[],2)</f>
        <v>Druedain</v>
      </c>
    </row>
    <row r="1752" spans="1:10" x14ac:dyDescent="0.25">
      <c r="A1752">
        <v>45</v>
      </c>
      <c r="B1752" t="s">
        <v>31</v>
      </c>
      <c r="C1752">
        <v>0</v>
      </c>
      <c r="D1752">
        <v>0</v>
      </c>
      <c r="E1752">
        <v>0</v>
      </c>
      <c r="F1752">
        <v>15146</v>
      </c>
      <c r="G1752">
        <v>1750</v>
      </c>
      <c r="H1752">
        <v>0</v>
      </c>
      <c r="J1752" t="str">
        <f>VLOOKUP(Table3[[#This Row],[Faction ID]],Table4[],2)</f>
        <v>Harondor</v>
      </c>
    </row>
    <row r="1753" spans="1:10" x14ac:dyDescent="0.25">
      <c r="A1753">
        <v>45</v>
      </c>
      <c r="B1753" t="s">
        <v>35</v>
      </c>
      <c r="C1753">
        <v>0</v>
      </c>
      <c r="D1753">
        <v>0</v>
      </c>
      <c r="E1753">
        <v>0</v>
      </c>
      <c r="F1753">
        <v>4000</v>
      </c>
      <c r="G1753">
        <v>1750</v>
      </c>
      <c r="H1753">
        <v>0</v>
      </c>
      <c r="J1753" t="str">
        <f>VLOOKUP(Table3[[#This Row],[Faction ID]],Table4[],2)</f>
        <v>Southron Nomads</v>
      </c>
    </row>
    <row r="1754" spans="1:10" x14ac:dyDescent="0.25">
      <c r="A1754">
        <v>45</v>
      </c>
      <c r="B1754" t="s">
        <v>36</v>
      </c>
      <c r="C1754">
        <v>0</v>
      </c>
      <c r="D1754">
        <v>0</v>
      </c>
      <c r="E1754">
        <v>0</v>
      </c>
      <c r="F1754">
        <v>4000</v>
      </c>
      <c r="G1754">
        <v>1750</v>
      </c>
      <c r="H1754">
        <v>0</v>
      </c>
      <c r="J1754" t="str">
        <f>VLOOKUP(Table3[[#This Row],[Faction ID]],Table4[],2)</f>
        <v>_</v>
      </c>
    </row>
    <row r="1755" spans="1:10" x14ac:dyDescent="0.25">
      <c r="A1755">
        <v>45</v>
      </c>
      <c r="B1755" t="s">
        <v>37</v>
      </c>
      <c r="C1755">
        <v>0</v>
      </c>
      <c r="D1755">
        <v>0</v>
      </c>
      <c r="E1755">
        <v>0</v>
      </c>
      <c r="F1755">
        <v>4000</v>
      </c>
      <c r="G1755">
        <v>1750</v>
      </c>
      <c r="H1755">
        <v>0</v>
      </c>
      <c r="J1755" t="str">
        <f>VLOOKUP(Table3[[#This Row],[Faction ID]],Table4[],2)</f>
        <v>_</v>
      </c>
    </row>
    <row r="1756" spans="1:10" x14ac:dyDescent="0.25">
      <c r="A1756">
        <v>45</v>
      </c>
      <c r="B1756" t="s">
        <v>38</v>
      </c>
      <c r="C1756">
        <v>0</v>
      </c>
      <c r="D1756">
        <v>0</v>
      </c>
      <c r="E1756">
        <v>0</v>
      </c>
      <c r="F1756">
        <v>4000</v>
      </c>
      <c r="G1756">
        <v>1750</v>
      </c>
      <c r="H1756">
        <v>0</v>
      </c>
      <c r="J1756" t="str">
        <f>VLOOKUP(Table3[[#This Row],[Faction ID]],Table4[],2)</f>
        <v>_</v>
      </c>
    </row>
    <row r="1757" spans="1:10" x14ac:dyDescent="0.25">
      <c r="A1757">
        <v>45</v>
      </c>
      <c r="B1757" t="s">
        <v>39</v>
      </c>
      <c r="C1757">
        <v>0</v>
      </c>
      <c r="D1757">
        <v>0</v>
      </c>
      <c r="E1757">
        <v>0</v>
      </c>
      <c r="F1757">
        <v>4000</v>
      </c>
      <c r="G1757">
        <v>1750</v>
      </c>
      <c r="H1757">
        <v>0</v>
      </c>
      <c r="J1757" t="str">
        <f>VLOOKUP(Table3[[#This Row],[Faction ID]],Table4[],2)</f>
        <v>_</v>
      </c>
    </row>
    <row r="1758" spans="1:10" x14ac:dyDescent="0.25">
      <c r="A1758">
        <v>45</v>
      </c>
      <c r="B1758" t="s">
        <v>40</v>
      </c>
      <c r="C1758">
        <v>0</v>
      </c>
      <c r="D1758">
        <v>0</v>
      </c>
      <c r="E1758">
        <v>0</v>
      </c>
      <c r="F1758">
        <v>4000</v>
      </c>
      <c r="G1758">
        <v>1750</v>
      </c>
      <c r="H1758">
        <v>0</v>
      </c>
      <c r="J1758" t="str">
        <f>VLOOKUP(Table3[[#This Row],[Faction ID]],Table4[],2)</f>
        <v>_</v>
      </c>
    </row>
    <row r="1759" spans="1:10" x14ac:dyDescent="0.25">
      <c r="A1759">
        <v>45</v>
      </c>
      <c r="B1759" t="s">
        <v>41</v>
      </c>
      <c r="C1759">
        <v>0</v>
      </c>
      <c r="D1759">
        <v>0</v>
      </c>
      <c r="E1759">
        <v>0</v>
      </c>
      <c r="F1759">
        <v>4000</v>
      </c>
      <c r="G1759">
        <v>1750</v>
      </c>
      <c r="H1759">
        <v>0</v>
      </c>
      <c r="J1759" t="str">
        <f>VLOOKUP(Table3[[#This Row],[Faction ID]],Table4[],2)</f>
        <v>_</v>
      </c>
    </row>
    <row r="1760" spans="1:10" x14ac:dyDescent="0.25">
      <c r="A1760">
        <v>45</v>
      </c>
      <c r="B1760" t="s">
        <v>42</v>
      </c>
      <c r="C1760">
        <v>0</v>
      </c>
      <c r="D1760">
        <v>0</v>
      </c>
      <c r="E1760">
        <v>0</v>
      </c>
      <c r="F1760">
        <v>4000</v>
      </c>
      <c r="G1760">
        <v>1750</v>
      </c>
      <c r="H1760">
        <v>0</v>
      </c>
      <c r="J1760" t="str">
        <f>VLOOKUP(Table3[[#This Row],[Faction ID]],Table4[],2)</f>
        <v>_</v>
      </c>
    </row>
    <row r="1761" spans="1:10" x14ac:dyDescent="0.25">
      <c r="A1761">
        <v>45</v>
      </c>
      <c r="B1761" t="s">
        <v>43</v>
      </c>
      <c r="C1761">
        <v>0</v>
      </c>
      <c r="D1761">
        <v>0</v>
      </c>
      <c r="E1761">
        <v>0</v>
      </c>
      <c r="F1761">
        <v>4000</v>
      </c>
      <c r="G1761">
        <v>1750</v>
      </c>
      <c r="H1761">
        <v>0</v>
      </c>
      <c r="J1761" t="str">
        <f>VLOOKUP(Table3[[#This Row],[Faction ID]],Table4[],2)</f>
        <v>_</v>
      </c>
    </row>
    <row r="1762" spans="1:10" x14ac:dyDescent="0.25">
      <c r="A1762">
        <v>45</v>
      </c>
      <c r="B1762" t="s">
        <v>44</v>
      </c>
      <c r="C1762">
        <v>0</v>
      </c>
      <c r="D1762">
        <v>0</v>
      </c>
      <c r="E1762">
        <v>0</v>
      </c>
      <c r="F1762">
        <v>4000</v>
      </c>
      <c r="G1762">
        <v>1750</v>
      </c>
      <c r="H1762">
        <v>0</v>
      </c>
      <c r="J1762" t="str">
        <f>VLOOKUP(Table3[[#This Row],[Faction ID]],Table4[],2)</f>
        <v>_</v>
      </c>
    </row>
    <row r="1763" spans="1:10" x14ac:dyDescent="0.25">
      <c r="A1763">
        <v>46</v>
      </c>
      <c r="B1763" t="s">
        <v>9</v>
      </c>
      <c r="C1763">
        <v>163</v>
      </c>
      <c r="D1763">
        <v>21</v>
      </c>
      <c r="E1763">
        <v>207.3</v>
      </c>
      <c r="F1763">
        <v>657</v>
      </c>
      <c r="G1763">
        <v>22122</v>
      </c>
      <c r="H1763">
        <v>1208</v>
      </c>
      <c r="J1763" t="str">
        <f>VLOOKUP(Table3[[#This Row],[Faction ID]],Table4[],2)</f>
        <v>Mordor</v>
      </c>
    </row>
    <row r="1764" spans="1:10" x14ac:dyDescent="0.25">
      <c r="A1764">
        <v>46</v>
      </c>
      <c r="B1764" t="s">
        <v>4</v>
      </c>
      <c r="C1764">
        <v>131</v>
      </c>
      <c r="D1764">
        <v>7</v>
      </c>
      <c r="E1764">
        <v>123</v>
      </c>
      <c r="F1764">
        <v>54777</v>
      </c>
      <c r="G1764">
        <v>21611</v>
      </c>
      <c r="H1764">
        <v>409</v>
      </c>
      <c r="J1764" t="str">
        <f>VLOOKUP(Table3[[#This Row],[Faction ID]],Table4[],2)</f>
        <v>Gondor</v>
      </c>
    </row>
    <row r="1765" spans="1:10" x14ac:dyDescent="0.25">
      <c r="A1765">
        <v>46</v>
      </c>
      <c r="B1765" t="s">
        <v>6</v>
      </c>
      <c r="C1765">
        <v>105</v>
      </c>
      <c r="D1765">
        <v>3</v>
      </c>
      <c r="E1765">
        <v>37.700000000000003</v>
      </c>
      <c r="F1765">
        <v>14635</v>
      </c>
      <c r="G1765">
        <v>9809</v>
      </c>
      <c r="H1765">
        <v>191</v>
      </c>
      <c r="J1765" t="str">
        <f>VLOOKUP(Table3[[#This Row],[Faction ID]],Table4[],2)</f>
        <v>Dale</v>
      </c>
    </row>
    <row r="1766" spans="1:10" x14ac:dyDescent="0.25">
      <c r="A1766">
        <v>46</v>
      </c>
      <c r="B1766" t="s">
        <v>21</v>
      </c>
      <c r="C1766">
        <v>124</v>
      </c>
      <c r="D1766">
        <v>4</v>
      </c>
      <c r="E1766">
        <v>75.8</v>
      </c>
      <c r="F1766">
        <v>48947</v>
      </c>
      <c r="G1766">
        <v>17537</v>
      </c>
      <c r="H1766">
        <v>430</v>
      </c>
      <c r="J1766" t="str">
        <f>VLOOKUP(Table3[[#This Row],[Faction ID]],Table4[],2)</f>
        <v>Erebor</v>
      </c>
    </row>
    <row r="1767" spans="1:10" x14ac:dyDescent="0.25">
      <c r="A1767">
        <v>46</v>
      </c>
      <c r="B1767" t="s">
        <v>5</v>
      </c>
      <c r="C1767">
        <v>134</v>
      </c>
      <c r="D1767">
        <v>8</v>
      </c>
      <c r="E1767">
        <v>72.2</v>
      </c>
      <c r="F1767">
        <v>26485</v>
      </c>
      <c r="G1767">
        <v>10416</v>
      </c>
      <c r="H1767">
        <v>510</v>
      </c>
      <c r="J1767" t="str">
        <f>VLOOKUP(Table3[[#This Row],[Faction ID]],Table4[],2)</f>
        <v>Rohan</v>
      </c>
    </row>
    <row r="1768" spans="1:10" x14ac:dyDescent="0.25">
      <c r="A1768">
        <v>46</v>
      </c>
      <c r="B1768" t="s">
        <v>12</v>
      </c>
      <c r="C1768">
        <v>144</v>
      </c>
      <c r="D1768">
        <v>14</v>
      </c>
      <c r="E1768">
        <v>180.7</v>
      </c>
      <c r="F1768">
        <v>12488</v>
      </c>
      <c r="G1768">
        <v>21223</v>
      </c>
      <c r="H1768">
        <v>1271</v>
      </c>
      <c r="J1768" t="str">
        <f>VLOOKUP(Table3[[#This Row],[Faction ID]],Table4[],2)</f>
        <v>Dol Guldur</v>
      </c>
    </row>
    <row r="1769" spans="1:10" x14ac:dyDescent="0.25">
      <c r="A1769">
        <v>46</v>
      </c>
      <c r="B1769" t="s">
        <v>10</v>
      </c>
      <c r="C1769">
        <v>58</v>
      </c>
      <c r="D1769">
        <v>0</v>
      </c>
      <c r="E1769">
        <v>0</v>
      </c>
      <c r="F1769">
        <v>4515</v>
      </c>
      <c r="G1769">
        <v>2500</v>
      </c>
      <c r="H1769">
        <v>0</v>
      </c>
      <c r="J1769" t="str">
        <f>VLOOKUP(Table3[[#This Row],[Faction ID]],Table4[],2)</f>
        <v>Anduin Vale</v>
      </c>
    </row>
    <row r="1770" spans="1:10" x14ac:dyDescent="0.25">
      <c r="A1770">
        <v>46</v>
      </c>
      <c r="B1770" t="s">
        <v>32</v>
      </c>
      <c r="C1770">
        <v>152</v>
      </c>
      <c r="D1770">
        <v>5</v>
      </c>
      <c r="E1770">
        <v>118.1</v>
      </c>
      <c r="F1770">
        <v>16364</v>
      </c>
      <c r="G1770">
        <v>16785</v>
      </c>
      <c r="H1770">
        <v>677</v>
      </c>
      <c r="J1770" t="str">
        <f>VLOOKUP(Table3[[#This Row],[Faction ID]],Table4[],2)</f>
        <v>Isengard</v>
      </c>
    </row>
    <row r="1771" spans="1:10" x14ac:dyDescent="0.25">
      <c r="A1771">
        <v>46</v>
      </c>
      <c r="B1771" t="s">
        <v>22</v>
      </c>
      <c r="C1771">
        <v>30</v>
      </c>
      <c r="D1771">
        <v>0</v>
      </c>
      <c r="E1771">
        <v>0</v>
      </c>
      <c r="F1771">
        <v>8475</v>
      </c>
      <c r="G1771">
        <v>2500</v>
      </c>
      <c r="H1771">
        <v>0</v>
      </c>
      <c r="J1771" t="str">
        <f>VLOOKUP(Table3[[#This Row],[Faction ID]],Table4[],2)</f>
        <v>Woodland Realm</v>
      </c>
    </row>
    <row r="1772" spans="1:10" x14ac:dyDescent="0.25">
      <c r="A1772">
        <v>46</v>
      </c>
      <c r="B1772" t="s">
        <v>23</v>
      </c>
      <c r="C1772">
        <v>64</v>
      </c>
      <c r="D1772">
        <v>0</v>
      </c>
      <c r="E1772">
        <v>0</v>
      </c>
      <c r="F1772">
        <v>4721</v>
      </c>
      <c r="G1772">
        <v>2500</v>
      </c>
      <c r="H1772">
        <v>0</v>
      </c>
      <c r="J1772" t="str">
        <f>VLOOKUP(Table3[[#This Row],[Faction ID]],Table4[],2)</f>
        <v>Lothlorien</v>
      </c>
    </row>
    <row r="1773" spans="1:10" x14ac:dyDescent="0.25">
      <c r="A1773">
        <v>46</v>
      </c>
      <c r="B1773" t="s">
        <v>24</v>
      </c>
      <c r="C1773">
        <v>0</v>
      </c>
      <c r="D1773">
        <v>0</v>
      </c>
      <c r="E1773">
        <v>0</v>
      </c>
      <c r="F1773">
        <v>4919</v>
      </c>
      <c r="G1773">
        <v>1750</v>
      </c>
      <c r="H1773">
        <v>0</v>
      </c>
      <c r="J1773" t="str">
        <f>VLOOKUP(Table3[[#This Row],[Faction ID]],Table4[],2)</f>
        <v>Variags (Khand)</v>
      </c>
    </row>
    <row r="1774" spans="1:10" x14ac:dyDescent="0.25">
      <c r="A1774">
        <v>46</v>
      </c>
      <c r="B1774" t="s">
        <v>14</v>
      </c>
      <c r="C1774">
        <v>10</v>
      </c>
      <c r="D1774">
        <v>7</v>
      </c>
      <c r="E1774">
        <v>91.6</v>
      </c>
      <c r="F1774">
        <v>17316</v>
      </c>
      <c r="G1774">
        <v>14606</v>
      </c>
      <c r="H1774">
        <v>1001</v>
      </c>
      <c r="J1774" t="str">
        <f>VLOOKUP(Table3[[#This Row],[Faction ID]],Table4[],2)</f>
        <v>Corsairs of Umbar</v>
      </c>
    </row>
    <row r="1775" spans="1:10" x14ac:dyDescent="0.25">
      <c r="A1775">
        <v>46</v>
      </c>
      <c r="B1775" t="s">
        <v>25</v>
      </c>
      <c r="C1775">
        <v>5</v>
      </c>
      <c r="D1775">
        <v>3</v>
      </c>
      <c r="E1775">
        <v>48</v>
      </c>
      <c r="F1775">
        <v>13996</v>
      </c>
      <c r="G1775">
        <v>6730</v>
      </c>
      <c r="H1775">
        <v>0</v>
      </c>
      <c r="J1775" t="str">
        <f>VLOOKUP(Table3[[#This Row],[Faction ID]],Table4[],2)</f>
        <v>Mahud</v>
      </c>
    </row>
    <row r="1776" spans="1:10" x14ac:dyDescent="0.25">
      <c r="A1776">
        <v>46</v>
      </c>
      <c r="B1776" t="s">
        <v>11</v>
      </c>
      <c r="C1776">
        <v>87</v>
      </c>
      <c r="D1776">
        <v>5</v>
      </c>
      <c r="E1776">
        <v>85</v>
      </c>
      <c r="F1776">
        <v>15884</v>
      </c>
      <c r="G1776">
        <v>12089</v>
      </c>
      <c r="H1776">
        <v>0</v>
      </c>
      <c r="J1776" t="str">
        <f>VLOOKUP(Table3[[#This Row],[Faction ID]],Table4[],2)</f>
        <v>Haradrim</v>
      </c>
    </row>
    <row r="1777" spans="1:10" x14ac:dyDescent="0.25">
      <c r="A1777">
        <v>46</v>
      </c>
      <c r="B1777" t="s">
        <v>15</v>
      </c>
      <c r="C1777">
        <v>96</v>
      </c>
      <c r="D1777">
        <v>8</v>
      </c>
      <c r="E1777">
        <v>122.6</v>
      </c>
      <c r="F1777">
        <v>11812</v>
      </c>
      <c r="G1777">
        <v>18219</v>
      </c>
      <c r="H1777">
        <v>1015</v>
      </c>
      <c r="J1777" t="str">
        <f>VLOOKUP(Table3[[#This Row],[Faction ID]],Table4[],2)</f>
        <v>Dunlendings</v>
      </c>
    </row>
    <row r="1778" spans="1:10" x14ac:dyDescent="0.25">
      <c r="A1778">
        <v>46</v>
      </c>
      <c r="B1778" t="s">
        <v>16</v>
      </c>
      <c r="C1778">
        <v>0</v>
      </c>
      <c r="D1778">
        <v>0</v>
      </c>
      <c r="E1778">
        <v>0</v>
      </c>
      <c r="F1778">
        <v>5352</v>
      </c>
      <c r="G1778">
        <v>1750</v>
      </c>
      <c r="H1778">
        <v>0</v>
      </c>
      <c r="J1778" t="str">
        <f>VLOOKUP(Table3[[#This Row],[Faction ID]],Table4[],2)</f>
        <v>Haerrim</v>
      </c>
    </row>
    <row r="1779" spans="1:10" x14ac:dyDescent="0.25">
      <c r="A1779">
        <v>46</v>
      </c>
      <c r="B1779" t="s">
        <v>13</v>
      </c>
      <c r="C1779">
        <v>189</v>
      </c>
      <c r="D1779">
        <v>14</v>
      </c>
      <c r="E1779">
        <v>189.8</v>
      </c>
      <c r="F1779">
        <v>24440</v>
      </c>
      <c r="G1779">
        <v>25276</v>
      </c>
      <c r="H1779">
        <v>2558</v>
      </c>
      <c r="J1779" t="str">
        <f>VLOOKUP(Table3[[#This Row],[Faction ID]],Table4[],2)</f>
        <v>Goblins</v>
      </c>
    </row>
    <row r="1780" spans="1:10" x14ac:dyDescent="0.25">
      <c r="A1780">
        <v>46</v>
      </c>
      <c r="B1780" t="s">
        <v>17</v>
      </c>
      <c r="C1780">
        <v>0</v>
      </c>
      <c r="D1780">
        <v>0</v>
      </c>
      <c r="E1780">
        <v>0</v>
      </c>
      <c r="F1780">
        <v>4872</v>
      </c>
      <c r="G1780">
        <v>1750</v>
      </c>
      <c r="H1780">
        <v>0</v>
      </c>
      <c r="J1780" t="str">
        <f>VLOOKUP(Table3[[#This Row],[Faction ID]],Table4[],2)</f>
        <v>Balchoth</v>
      </c>
    </row>
    <row r="1781" spans="1:10" x14ac:dyDescent="0.25">
      <c r="A1781">
        <v>46</v>
      </c>
      <c r="B1781" t="s">
        <v>18</v>
      </c>
      <c r="C1781">
        <v>144</v>
      </c>
      <c r="D1781">
        <v>33</v>
      </c>
      <c r="E1781">
        <v>409.29999999999899</v>
      </c>
      <c r="F1781">
        <v>43832</v>
      </c>
      <c r="G1781">
        <v>33469</v>
      </c>
      <c r="H1781">
        <v>1198</v>
      </c>
      <c r="J1781" t="str">
        <f>VLOOKUP(Table3[[#This Row],[Faction ID]],Table4[],2)</f>
        <v>Rhurim/Rhun</v>
      </c>
    </row>
    <row r="1782" spans="1:10" x14ac:dyDescent="0.25">
      <c r="A1782">
        <v>46</v>
      </c>
      <c r="B1782" t="s">
        <v>19</v>
      </c>
      <c r="C1782">
        <v>0</v>
      </c>
      <c r="D1782">
        <v>0</v>
      </c>
      <c r="E1782">
        <v>0</v>
      </c>
      <c r="F1782">
        <v>7360</v>
      </c>
      <c r="G1782">
        <v>1750</v>
      </c>
      <c r="H1782">
        <v>0</v>
      </c>
      <c r="J1782" t="str">
        <f>VLOOKUP(Table3[[#This Row],[Faction ID]],Table4[],2)</f>
        <v>Feredrim</v>
      </c>
    </row>
    <row r="1783" spans="1:10" x14ac:dyDescent="0.25">
      <c r="A1783">
        <v>46</v>
      </c>
      <c r="B1783" t="s">
        <v>26</v>
      </c>
      <c r="C1783">
        <v>0</v>
      </c>
      <c r="D1783">
        <v>0</v>
      </c>
      <c r="E1783">
        <v>0</v>
      </c>
      <c r="F1783">
        <v>6395</v>
      </c>
      <c r="G1783">
        <v>1750</v>
      </c>
      <c r="H1783">
        <v>0</v>
      </c>
      <c r="J1783" t="str">
        <f>VLOOKUP(Table3[[#This Row],[Faction ID]],Table4[],2)</f>
        <v>Rachrohir (Wainriders)</v>
      </c>
    </row>
    <row r="1784" spans="1:10" x14ac:dyDescent="0.25">
      <c r="A1784">
        <v>46</v>
      </c>
      <c r="B1784" t="s">
        <v>27</v>
      </c>
      <c r="C1784">
        <v>5</v>
      </c>
      <c r="D1784">
        <v>3</v>
      </c>
      <c r="E1784">
        <v>48</v>
      </c>
      <c r="F1784">
        <v>66984</v>
      </c>
      <c r="G1784">
        <v>10890</v>
      </c>
      <c r="H1784">
        <v>0</v>
      </c>
      <c r="J1784" t="str">
        <f>VLOOKUP(Table3[[#This Row],[Faction ID]],Table4[],2)</f>
        <v>Blacklock-Stonefoot League</v>
      </c>
    </row>
    <row r="1785" spans="1:10" x14ac:dyDescent="0.25">
      <c r="A1785">
        <v>46</v>
      </c>
      <c r="B1785" t="s">
        <v>28</v>
      </c>
      <c r="C1785">
        <v>4</v>
      </c>
      <c r="D1785">
        <v>2</v>
      </c>
      <c r="E1785">
        <v>41</v>
      </c>
      <c r="F1785">
        <v>38667</v>
      </c>
      <c r="G1785">
        <v>7323</v>
      </c>
      <c r="H1785">
        <v>0</v>
      </c>
      <c r="J1785" t="str">
        <f>VLOOKUP(Table3[[#This Row],[Faction ID]],Table4[],2)</f>
        <v>Ironfist-Stiffbeard Union</v>
      </c>
    </row>
    <row r="1786" spans="1:10" x14ac:dyDescent="0.25">
      <c r="A1786">
        <v>46</v>
      </c>
      <c r="B1786" t="s">
        <v>20</v>
      </c>
      <c r="C1786">
        <v>120</v>
      </c>
      <c r="D1786">
        <v>12</v>
      </c>
      <c r="E1786">
        <v>162</v>
      </c>
      <c r="F1786">
        <v>12821</v>
      </c>
      <c r="G1786">
        <v>19084</v>
      </c>
      <c r="H1786">
        <v>904</v>
      </c>
      <c r="J1786" t="str">
        <f>VLOOKUP(Table3[[#This Row],[Faction ID]],Table4[],2)</f>
        <v>Gundabad</v>
      </c>
    </row>
    <row r="1787" spans="1:10" x14ac:dyDescent="0.25">
      <c r="A1787">
        <v>46</v>
      </c>
      <c r="B1787" t="s">
        <v>34</v>
      </c>
      <c r="C1787">
        <v>0</v>
      </c>
      <c r="D1787">
        <v>0</v>
      </c>
      <c r="E1787">
        <v>3</v>
      </c>
      <c r="F1787">
        <v>54445</v>
      </c>
      <c r="G1787">
        <v>2379</v>
      </c>
      <c r="H1787">
        <v>0</v>
      </c>
      <c r="J1787" t="str">
        <f>VLOOKUP(Table3[[#This Row],[Faction ID]],Table4[],2)</f>
        <v>Scouts of Rohan</v>
      </c>
    </row>
    <row r="1788" spans="1:10" x14ac:dyDescent="0.25">
      <c r="A1788">
        <v>46</v>
      </c>
      <c r="B1788" t="s">
        <v>33</v>
      </c>
      <c r="C1788">
        <v>5</v>
      </c>
      <c r="D1788">
        <v>3</v>
      </c>
      <c r="E1788">
        <v>43</v>
      </c>
      <c r="F1788">
        <v>31237</v>
      </c>
      <c r="G1788">
        <v>7346</v>
      </c>
      <c r="H1788">
        <v>235</v>
      </c>
      <c r="J1788" t="str">
        <f>VLOOKUP(Table3[[#This Row],[Faction ID]],Table4[],2)</f>
        <v>Northern Enedwaith</v>
      </c>
    </row>
    <row r="1789" spans="1:10" x14ac:dyDescent="0.25">
      <c r="A1789">
        <v>46</v>
      </c>
      <c r="B1789" t="s">
        <v>29</v>
      </c>
      <c r="C1789">
        <v>1</v>
      </c>
      <c r="D1789">
        <v>1</v>
      </c>
      <c r="E1789">
        <v>8</v>
      </c>
      <c r="F1789">
        <v>54023</v>
      </c>
      <c r="G1789">
        <v>2407</v>
      </c>
      <c r="H1789">
        <v>0</v>
      </c>
      <c r="J1789" t="str">
        <f>VLOOKUP(Table3[[#This Row],[Faction ID]],Table4[],2)</f>
        <v>Southern Enedwaith</v>
      </c>
    </row>
    <row r="1790" spans="1:10" x14ac:dyDescent="0.25">
      <c r="A1790">
        <v>46</v>
      </c>
      <c r="B1790" t="s">
        <v>30</v>
      </c>
      <c r="C1790">
        <v>4</v>
      </c>
      <c r="D1790">
        <v>2</v>
      </c>
      <c r="E1790">
        <v>30</v>
      </c>
      <c r="F1790">
        <v>33402</v>
      </c>
      <c r="G1790">
        <v>5807</v>
      </c>
      <c r="H1790">
        <v>0</v>
      </c>
      <c r="J1790" t="str">
        <f>VLOOKUP(Table3[[#This Row],[Faction ID]],Table4[],2)</f>
        <v>Druedain</v>
      </c>
    </row>
    <row r="1791" spans="1:10" x14ac:dyDescent="0.25">
      <c r="A1791">
        <v>46</v>
      </c>
      <c r="B1791" t="s">
        <v>31</v>
      </c>
      <c r="C1791">
        <v>0</v>
      </c>
      <c r="D1791">
        <v>0</v>
      </c>
      <c r="E1791">
        <v>0</v>
      </c>
      <c r="F1791">
        <v>15146</v>
      </c>
      <c r="G1791">
        <v>1750</v>
      </c>
      <c r="H1791">
        <v>0</v>
      </c>
      <c r="J1791" t="str">
        <f>VLOOKUP(Table3[[#This Row],[Faction ID]],Table4[],2)</f>
        <v>Harondor</v>
      </c>
    </row>
    <row r="1792" spans="1:10" x14ac:dyDescent="0.25">
      <c r="A1792">
        <v>46</v>
      </c>
      <c r="B1792" t="s">
        <v>35</v>
      </c>
      <c r="C1792">
        <v>0</v>
      </c>
      <c r="D1792">
        <v>0</v>
      </c>
      <c r="E1792">
        <v>0</v>
      </c>
      <c r="F1792">
        <v>4000</v>
      </c>
      <c r="G1792">
        <v>1750</v>
      </c>
      <c r="H1792">
        <v>0</v>
      </c>
      <c r="J1792" t="str">
        <f>VLOOKUP(Table3[[#This Row],[Faction ID]],Table4[],2)</f>
        <v>Southron Nomads</v>
      </c>
    </row>
    <row r="1793" spans="1:10" x14ac:dyDescent="0.25">
      <c r="A1793">
        <v>46</v>
      </c>
      <c r="B1793" t="s">
        <v>36</v>
      </c>
      <c r="C1793">
        <v>0</v>
      </c>
      <c r="D1793">
        <v>0</v>
      </c>
      <c r="E1793">
        <v>0</v>
      </c>
      <c r="F1793">
        <v>4000</v>
      </c>
      <c r="G1793">
        <v>1750</v>
      </c>
      <c r="H1793">
        <v>0</v>
      </c>
      <c r="J1793" t="str">
        <f>VLOOKUP(Table3[[#This Row],[Faction ID]],Table4[],2)</f>
        <v>_</v>
      </c>
    </row>
    <row r="1794" spans="1:10" x14ac:dyDescent="0.25">
      <c r="A1794">
        <v>46</v>
      </c>
      <c r="B1794" t="s">
        <v>37</v>
      </c>
      <c r="C1794">
        <v>0</v>
      </c>
      <c r="D1794">
        <v>0</v>
      </c>
      <c r="E1794">
        <v>0</v>
      </c>
      <c r="F1794">
        <v>4000</v>
      </c>
      <c r="G1794">
        <v>1750</v>
      </c>
      <c r="H1794">
        <v>0</v>
      </c>
      <c r="J1794" t="str">
        <f>VLOOKUP(Table3[[#This Row],[Faction ID]],Table4[],2)</f>
        <v>_</v>
      </c>
    </row>
    <row r="1795" spans="1:10" x14ac:dyDescent="0.25">
      <c r="A1795">
        <v>46</v>
      </c>
      <c r="B1795" t="s">
        <v>38</v>
      </c>
      <c r="C1795">
        <v>0</v>
      </c>
      <c r="D1795">
        <v>0</v>
      </c>
      <c r="E1795">
        <v>0</v>
      </c>
      <c r="F1795">
        <v>4000</v>
      </c>
      <c r="G1795">
        <v>1750</v>
      </c>
      <c r="H1795">
        <v>0</v>
      </c>
      <c r="J1795" t="str">
        <f>VLOOKUP(Table3[[#This Row],[Faction ID]],Table4[],2)</f>
        <v>_</v>
      </c>
    </row>
    <row r="1796" spans="1:10" x14ac:dyDescent="0.25">
      <c r="A1796">
        <v>46</v>
      </c>
      <c r="B1796" t="s">
        <v>39</v>
      </c>
      <c r="C1796">
        <v>0</v>
      </c>
      <c r="D1796">
        <v>0</v>
      </c>
      <c r="E1796">
        <v>0</v>
      </c>
      <c r="F1796">
        <v>4000</v>
      </c>
      <c r="G1796">
        <v>1750</v>
      </c>
      <c r="H1796">
        <v>0</v>
      </c>
      <c r="J1796" t="str">
        <f>VLOOKUP(Table3[[#This Row],[Faction ID]],Table4[],2)</f>
        <v>_</v>
      </c>
    </row>
    <row r="1797" spans="1:10" x14ac:dyDescent="0.25">
      <c r="A1797">
        <v>46</v>
      </c>
      <c r="B1797" t="s">
        <v>40</v>
      </c>
      <c r="C1797">
        <v>0</v>
      </c>
      <c r="D1797">
        <v>0</v>
      </c>
      <c r="E1797">
        <v>0</v>
      </c>
      <c r="F1797">
        <v>4000</v>
      </c>
      <c r="G1797">
        <v>1750</v>
      </c>
      <c r="H1797">
        <v>0</v>
      </c>
      <c r="J1797" t="str">
        <f>VLOOKUP(Table3[[#This Row],[Faction ID]],Table4[],2)</f>
        <v>_</v>
      </c>
    </row>
    <row r="1798" spans="1:10" x14ac:dyDescent="0.25">
      <c r="A1798">
        <v>46</v>
      </c>
      <c r="B1798" t="s">
        <v>41</v>
      </c>
      <c r="C1798">
        <v>0</v>
      </c>
      <c r="D1798">
        <v>0</v>
      </c>
      <c r="E1798">
        <v>0</v>
      </c>
      <c r="F1798">
        <v>4000</v>
      </c>
      <c r="G1798">
        <v>1750</v>
      </c>
      <c r="H1798">
        <v>0</v>
      </c>
      <c r="J1798" t="str">
        <f>VLOOKUP(Table3[[#This Row],[Faction ID]],Table4[],2)</f>
        <v>_</v>
      </c>
    </row>
    <row r="1799" spans="1:10" x14ac:dyDescent="0.25">
      <c r="A1799">
        <v>46</v>
      </c>
      <c r="B1799" t="s">
        <v>42</v>
      </c>
      <c r="C1799">
        <v>0</v>
      </c>
      <c r="D1799">
        <v>0</v>
      </c>
      <c r="E1799">
        <v>0</v>
      </c>
      <c r="F1799">
        <v>4000</v>
      </c>
      <c r="G1799">
        <v>1750</v>
      </c>
      <c r="H1799">
        <v>0</v>
      </c>
      <c r="J1799" t="str">
        <f>VLOOKUP(Table3[[#This Row],[Faction ID]],Table4[],2)</f>
        <v>_</v>
      </c>
    </row>
    <row r="1800" spans="1:10" x14ac:dyDescent="0.25">
      <c r="A1800">
        <v>46</v>
      </c>
      <c r="B1800" t="s">
        <v>43</v>
      </c>
      <c r="C1800">
        <v>0</v>
      </c>
      <c r="D1800">
        <v>0</v>
      </c>
      <c r="E1800">
        <v>0</v>
      </c>
      <c r="F1800">
        <v>4000</v>
      </c>
      <c r="G1800">
        <v>1750</v>
      </c>
      <c r="H1800">
        <v>0</v>
      </c>
      <c r="J1800" t="str">
        <f>VLOOKUP(Table3[[#This Row],[Faction ID]],Table4[],2)</f>
        <v>_</v>
      </c>
    </row>
    <row r="1801" spans="1:10" x14ac:dyDescent="0.25">
      <c r="A1801">
        <v>46</v>
      </c>
      <c r="B1801" t="s">
        <v>44</v>
      </c>
      <c r="C1801">
        <v>0</v>
      </c>
      <c r="D1801">
        <v>0</v>
      </c>
      <c r="E1801">
        <v>0</v>
      </c>
      <c r="F1801">
        <v>4000</v>
      </c>
      <c r="G1801">
        <v>1750</v>
      </c>
      <c r="H1801">
        <v>0</v>
      </c>
      <c r="J1801" t="str">
        <f>VLOOKUP(Table3[[#This Row],[Faction ID]],Table4[],2)</f>
        <v>_</v>
      </c>
    </row>
    <row r="1802" spans="1:10" x14ac:dyDescent="0.25">
      <c r="A1802">
        <v>47</v>
      </c>
      <c r="B1802" t="s">
        <v>9</v>
      </c>
      <c r="C1802">
        <v>163</v>
      </c>
      <c r="D1802">
        <v>21</v>
      </c>
      <c r="E1802">
        <v>213.7</v>
      </c>
      <c r="F1802">
        <v>3238</v>
      </c>
      <c r="G1802">
        <v>21805</v>
      </c>
      <c r="H1802">
        <v>1213</v>
      </c>
      <c r="J1802" t="str">
        <f>VLOOKUP(Table3[[#This Row],[Faction ID]],Table4[],2)</f>
        <v>Mordor</v>
      </c>
    </row>
    <row r="1803" spans="1:10" x14ac:dyDescent="0.25">
      <c r="A1803">
        <v>47</v>
      </c>
      <c r="B1803" t="s">
        <v>4</v>
      </c>
      <c r="C1803">
        <v>131</v>
      </c>
      <c r="D1803">
        <v>7</v>
      </c>
      <c r="E1803">
        <v>125</v>
      </c>
      <c r="F1803">
        <v>53777</v>
      </c>
      <c r="G1803">
        <v>21799</v>
      </c>
      <c r="H1803">
        <v>405</v>
      </c>
      <c r="J1803" t="str">
        <f>VLOOKUP(Table3[[#This Row],[Faction ID]],Table4[],2)</f>
        <v>Gondor</v>
      </c>
    </row>
    <row r="1804" spans="1:10" x14ac:dyDescent="0.25">
      <c r="A1804">
        <v>47</v>
      </c>
      <c r="B1804" t="s">
        <v>6</v>
      </c>
      <c r="C1804">
        <v>105</v>
      </c>
      <c r="D1804">
        <v>3</v>
      </c>
      <c r="E1804">
        <v>49.8</v>
      </c>
      <c r="F1804">
        <v>17791</v>
      </c>
      <c r="G1804">
        <v>9856</v>
      </c>
      <c r="H1804">
        <v>194</v>
      </c>
      <c r="J1804" t="str">
        <f>VLOOKUP(Table3[[#This Row],[Faction ID]],Table4[],2)</f>
        <v>Dale</v>
      </c>
    </row>
    <row r="1805" spans="1:10" x14ac:dyDescent="0.25">
      <c r="A1805">
        <v>47</v>
      </c>
      <c r="B1805" t="s">
        <v>21</v>
      </c>
      <c r="C1805">
        <v>124</v>
      </c>
      <c r="D1805">
        <v>4</v>
      </c>
      <c r="E1805">
        <v>77.8</v>
      </c>
      <c r="F1805">
        <v>54043</v>
      </c>
      <c r="G1805">
        <v>18371</v>
      </c>
      <c r="H1805">
        <v>433</v>
      </c>
      <c r="J1805" t="str">
        <f>VLOOKUP(Table3[[#This Row],[Faction ID]],Table4[],2)</f>
        <v>Erebor</v>
      </c>
    </row>
    <row r="1806" spans="1:10" x14ac:dyDescent="0.25">
      <c r="A1806">
        <v>47</v>
      </c>
      <c r="B1806" t="s">
        <v>5</v>
      </c>
      <c r="C1806">
        <v>134</v>
      </c>
      <c r="D1806">
        <v>8</v>
      </c>
      <c r="E1806">
        <v>74.2</v>
      </c>
      <c r="F1806">
        <v>27298</v>
      </c>
      <c r="G1806">
        <v>9059</v>
      </c>
      <c r="H1806">
        <v>426</v>
      </c>
      <c r="J1806" t="str">
        <f>VLOOKUP(Table3[[#This Row],[Faction ID]],Table4[],2)</f>
        <v>Rohan</v>
      </c>
    </row>
    <row r="1807" spans="1:10" x14ac:dyDescent="0.25">
      <c r="A1807">
        <v>47</v>
      </c>
      <c r="B1807" t="s">
        <v>12</v>
      </c>
      <c r="C1807">
        <v>144</v>
      </c>
      <c r="D1807">
        <v>14</v>
      </c>
      <c r="E1807">
        <v>180.7</v>
      </c>
      <c r="F1807">
        <v>16586</v>
      </c>
      <c r="G1807">
        <v>21334</v>
      </c>
      <c r="H1807">
        <v>1268</v>
      </c>
      <c r="J1807" t="str">
        <f>VLOOKUP(Table3[[#This Row],[Faction ID]],Table4[],2)</f>
        <v>Dol Guldur</v>
      </c>
    </row>
    <row r="1808" spans="1:10" x14ac:dyDescent="0.25">
      <c r="A1808">
        <v>47</v>
      </c>
      <c r="B1808" t="s">
        <v>10</v>
      </c>
      <c r="C1808">
        <v>58</v>
      </c>
      <c r="D1808">
        <v>0</v>
      </c>
      <c r="E1808">
        <v>0</v>
      </c>
      <c r="F1808">
        <v>4515</v>
      </c>
      <c r="G1808">
        <v>2500</v>
      </c>
      <c r="H1808">
        <v>0</v>
      </c>
      <c r="J1808" t="str">
        <f>VLOOKUP(Table3[[#This Row],[Faction ID]],Table4[],2)</f>
        <v>Anduin Vale</v>
      </c>
    </row>
    <row r="1809" spans="1:10" x14ac:dyDescent="0.25">
      <c r="A1809">
        <v>47</v>
      </c>
      <c r="B1809" t="s">
        <v>32</v>
      </c>
      <c r="C1809">
        <v>152</v>
      </c>
      <c r="D1809">
        <v>5</v>
      </c>
      <c r="E1809">
        <v>118.4</v>
      </c>
      <c r="F1809">
        <v>11701</v>
      </c>
      <c r="G1809">
        <v>17714</v>
      </c>
      <c r="H1809">
        <v>679</v>
      </c>
      <c r="J1809" t="str">
        <f>VLOOKUP(Table3[[#This Row],[Faction ID]],Table4[],2)</f>
        <v>Isengard</v>
      </c>
    </row>
    <row r="1810" spans="1:10" x14ac:dyDescent="0.25">
      <c r="A1810">
        <v>47</v>
      </c>
      <c r="B1810" t="s">
        <v>22</v>
      </c>
      <c r="C1810">
        <v>30</v>
      </c>
      <c r="D1810">
        <v>0</v>
      </c>
      <c r="E1810">
        <v>0</v>
      </c>
      <c r="F1810">
        <v>8475</v>
      </c>
      <c r="G1810">
        <v>2500</v>
      </c>
      <c r="H1810">
        <v>0</v>
      </c>
      <c r="J1810" t="str">
        <f>VLOOKUP(Table3[[#This Row],[Faction ID]],Table4[],2)</f>
        <v>Woodland Realm</v>
      </c>
    </row>
    <row r="1811" spans="1:10" x14ac:dyDescent="0.25">
      <c r="A1811">
        <v>47</v>
      </c>
      <c r="B1811" t="s">
        <v>23</v>
      </c>
      <c r="C1811">
        <v>64</v>
      </c>
      <c r="D1811">
        <v>0</v>
      </c>
      <c r="E1811">
        <v>0</v>
      </c>
      <c r="F1811">
        <v>4721</v>
      </c>
      <c r="G1811">
        <v>2500</v>
      </c>
      <c r="H1811">
        <v>0</v>
      </c>
      <c r="J1811" t="str">
        <f>VLOOKUP(Table3[[#This Row],[Faction ID]],Table4[],2)</f>
        <v>Lothlorien</v>
      </c>
    </row>
    <row r="1812" spans="1:10" x14ac:dyDescent="0.25">
      <c r="A1812">
        <v>47</v>
      </c>
      <c r="B1812" t="s">
        <v>24</v>
      </c>
      <c r="C1812">
        <v>0</v>
      </c>
      <c r="D1812">
        <v>0</v>
      </c>
      <c r="E1812">
        <v>0</v>
      </c>
      <c r="F1812">
        <v>4919</v>
      </c>
      <c r="G1812">
        <v>1750</v>
      </c>
      <c r="H1812">
        <v>0</v>
      </c>
      <c r="J1812" t="str">
        <f>VLOOKUP(Table3[[#This Row],[Faction ID]],Table4[],2)</f>
        <v>Variags (Khand)</v>
      </c>
    </row>
    <row r="1813" spans="1:10" x14ac:dyDescent="0.25">
      <c r="A1813">
        <v>47</v>
      </c>
      <c r="B1813" t="s">
        <v>14</v>
      </c>
      <c r="C1813">
        <v>10</v>
      </c>
      <c r="D1813">
        <v>7</v>
      </c>
      <c r="E1813">
        <v>90.6</v>
      </c>
      <c r="F1813">
        <v>15845</v>
      </c>
      <c r="G1813">
        <v>15673</v>
      </c>
      <c r="H1813">
        <v>1007</v>
      </c>
      <c r="J1813" t="str">
        <f>VLOOKUP(Table3[[#This Row],[Faction ID]],Table4[],2)</f>
        <v>Corsairs of Umbar</v>
      </c>
    </row>
    <row r="1814" spans="1:10" x14ac:dyDescent="0.25">
      <c r="A1814">
        <v>47</v>
      </c>
      <c r="B1814" t="s">
        <v>25</v>
      </c>
      <c r="C1814">
        <v>5</v>
      </c>
      <c r="D1814">
        <v>3</v>
      </c>
      <c r="E1814">
        <v>48</v>
      </c>
      <c r="F1814">
        <v>14859</v>
      </c>
      <c r="G1814">
        <v>6745</v>
      </c>
      <c r="H1814">
        <v>0</v>
      </c>
      <c r="J1814" t="str">
        <f>VLOOKUP(Table3[[#This Row],[Faction ID]],Table4[],2)</f>
        <v>Mahud</v>
      </c>
    </row>
    <row r="1815" spans="1:10" x14ac:dyDescent="0.25">
      <c r="A1815">
        <v>47</v>
      </c>
      <c r="B1815" t="s">
        <v>11</v>
      </c>
      <c r="C1815">
        <v>87</v>
      </c>
      <c r="D1815">
        <v>5</v>
      </c>
      <c r="E1815">
        <v>85</v>
      </c>
      <c r="F1815">
        <v>17140</v>
      </c>
      <c r="G1815">
        <v>12924</v>
      </c>
      <c r="H1815">
        <v>0</v>
      </c>
      <c r="J1815" t="str">
        <f>VLOOKUP(Table3[[#This Row],[Faction ID]],Table4[],2)</f>
        <v>Haradrim</v>
      </c>
    </row>
    <row r="1816" spans="1:10" x14ac:dyDescent="0.25">
      <c r="A1816">
        <v>47</v>
      </c>
      <c r="B1816" t="s">
        <v>15</v>
      </c>
      <c r="C1816">
        <v>101</v>
      </c>
      <c r="D1816">
        <v>8</v>
      </c>
      <c r="E1816">
        <v>122.8</v>
      </c>
      <c r="F1816">
        <v>10345</v>
      </c>
      <c r="G1816">
        <v>19681</v>
      </c>
      <c r="H1816">
        <v>1015</v>
      </c>
      <c r="J1816" t="str">
        <f>VLOOKUP(Table3[[#This Row],[Faction ID]],Table4[],2)</f>
        <v>Dunlendings</v>
      </c>
    </row>
    <row r="1817" spans="1:10" x14ac:dyDescent="0.25">
      <c r="A1817">
        <v>47</v>
      </c>
      <c r="B1817" t="s">
        <v>16</v>
      </c>
      <c r="C1817">
        <v>0</v>
      </c>
      <c r="D1817">
        <v>0</v>
      </c>
      <c r="E1817">
        <v>0</v>
      </c>
      <c r="F1817">
        <v>5352</v>
      </c>
      <c r="G1817">
        <v>1750</v>
      </c>
      <c r="H1817">
        <v>0</v>
      </c>
      <c r="J1817" t="str">
        <f>VLOOKUP(Table3[[#This Row],[Faction ID]],Table4[],2)</f>
        <v>Haerrim</v>
      </c>
    </row>
    <row r="1818" spans="1:10" x14ac:dyDescent="0.25">
      <c r="A1818">
        <v>47</v>
      </c>
      <c r="B1818" t="s">
        <v>13</v>
      </c>
      <c r="C1818">
        <v>189</v>
      </c>
      <c r="D1818">
        <v>14</v>
      </c>
      <c r="E1818">
        <v>199.6</v>
      </c>
      <c r="F1818">
        <v>31602</v>
      </c>
      <c r="G1818">
        <v>23801</v>
      </c>
      <c r="H1818">
        <v>2543</v>
      </c>
      <c r="J1818" t="str">
        <f>VLOOKUP(Table3[[#This Row],[Faction ID]],Table4[],2)</f>
        <v>Goblins</v>
      </c>
    </row>
    <row r="1819" spans="1:10" x14ac:dyDescent="0.25">
      <c r="A1819">
        <v>47</v>
      </c>
      <c r="B1819" t="s">
        <v>17</v>
      </c>
      <c r="C1819">
        <v>0</v>
      </c>
      <c r="D1819">
        <v>0</v>
      </c>
      <c r="E1819">
        <v>0</v>
      </c>
      <c r="F1819">
        <v>4872</v>
      </c>
      <c r="G1819">
        <v>1750</v>
      </c>
      <c r="H1819">
        <v>0</v>
      </c>
      <c r="J1819" t="str">
        <f>VLOOKUP(Table3[[#This Row],[Faction ID]],Table4[],2)</f>
        <v>Balchoth</v>
      </c>
    </row>
    <row r="1820" spans="1:10" x14ac:dyDescent="0.25">
      <c r="A1820">
        <v>47</v>
      </c>
      <c r="B1820" t="s">
        <v>18</v>
      </c>
      <c r="C1820">
        <v>153</v>
      </c>
      <c r="D1820">
        <v>33</v>
      </c>
      <c r="E1820">
        <v>371.3</v>
      </c>
      <c r="F1820">
        <v>43632</v>
      </c>
      <c r="G1820">
        <v>35683</v>
      </c>
      <c r="H1820">
        <v>1204</v>
      </c>
      <c r="J1820" t="str">
        <f>VLOOKUP(Table3[[#This Row],[Faction ID]],Table4[],2)</f>
        <v>Rhurim/Rhun</v>
      </c>
    </row>
    <row r="1821" spans="1:10" x14ac:dyDescent="0.25">
      <c r="A1821">
        <v>47</v>
      </c>
      <c r="B1821" t="s">
        <v>19</v>
      </c>
      <c r="C1821">
        <v>0</v>
      </c>
      <c r="D1821">
        <v>0</v>
      </c>
      <c r="E1821">
        <v>0</v>
      </c>
      <c r="F1821">
        <v>7360</v>
      </c>
      <c r="G1821">
        <v>1750</v>
      </c>
      <c r="H1821">
        <v>0</v>
      </c>
      <c r="J1821" t="str">
        <f>VLOOKUP(Table3[[#This Row],[Faction ID]],Table4[],2)</f>
        <v>Feredrim</v>
      </c>
    </row>
    <row r="1822" spans="1:10" x14ac:dyDescent="0.25">
      <c r="A1822">
        <v>47</v>
      </c>
      <c r="B1822" t="s">
        <v>26</v>
      </c>
      <c r="C1822">
        <v>0</v>
      </c>
      <c r="D1822">
        <v>0</v>
      </c>
      <c r="E1822">
        <v>0</v>
      </c>
      <c r="F1822">
        <v>6395</v>
      </c>
      <c r="G1822">
        <v>1750</v>
      </c>
      <c r="H1822">
        <v>0</v>
      </c>
      <c r="J1822" t="str">
        <f>VLOOKUP(Table3[[#This Row],[Faction ID]],Table4[],2)</f>
        <v>Rachrohir (Wainriders)</v>
      </c>
    </row>
    <row r="1823" spans="1:10" x14ac:dyDescent="0.25">
      <c r="A1823">
        <v>47</v>
      </c>
      <c r="B1823" t="s">
        <v>27</v>
      </c>
      <c r="C1823">
        <v>5</v>
      </c>
      <c r="D1823">
        <v>3</v>
      </c>
      <c r="E1823">
        <v>48</v>
      </c>
      <c r="F1823">
        <v>70546</v>
      </c>
      <c r="G1823">
        <v>10890</v>
      </c>
      <c r="H1823">
        <v>0</v>
      </c>
      <c r="J1823" t="str">
        <f>VLOOKUP(Table3[[#This Row],[Faction ID]],Table4[],2)</f>
        <v>Blacklock-Stonefoot League</v>
      </c>
    </row>
    <row r="1824" spans="1:10" x14ac:dyDescent="0.25">
      <c r="A1824">
        <v>47</v>
      </c>
      <c r="B1824" t="s">
        <v>28</v>
      </c>
      <c r="C1824">
        <v>4</v>
      </c>
      <c r="D1824">
        <v>2</v>
      </c>
      <c r="E1824">
        <v>41</v>
      </c>
      <c r="F1824">
        <v>37293</v>
      </c>
      <c r="G1824">
        <v>7323</v>
      </c>
      <c r="H1824">
        <v>0</v>
      </c>
      <c r="J1824" t="str">
        <f>VLOOKUP(Table3[[#This Row],[Faction ID]],Table4[],2)</f>
        <v>Ironfist-Stiffbeard Union</v>
      </c>
    </row>
    <row r="1825" spans="1:10" x14ac:dyDescent="0.25">
      <c r="A1825">
        <v>47</v>
      </c>
      <c r="B1825" t="s">
        <v>20</v>
      </c>
      <c r="C1825">
        <v>120</v>
      </c>
      <c r="D1825">
        <v>12</v>
      </c>
      <c r="E1825">
        <v>165.6</v>
      </c>
      <c r="F1825">
        <v>11199</v>
      </c>
      <c r="G1825">
        <v>19645</v>
      </c>
      <c r="H1825">
        <v>900</v>
      </c>
      <c r="J1825" t="str">
        <f>VLOOKUP(Table3[[#This Row],[Faction ID]],Table4[],2)</f>
        <v>Gundabad</v>
      </c>
    </row>
    <row r="1826" spans="1:10" x14ac:dyDescent="0.25">
      <c r="A1826">
        <v>47</v>
      </c>
      <c r="B1826" t="s">
        <v>34</v>
      </c>
      <c r="C1826">
        <v>0</v>
      </c>
      <c r="D1826">
        <v>0</v>
      </c>
      <c r="E1826">
        <v>3</v>
      </c>
      <c r="F1826">
        <v>55566</v>
      </c>
      <c r="G1826">
        <v>2379</v>
      </c>
      <c r="H1826">
        <v>0</v>
      </c>
      <c r="J1826" t="str">
        <f>VLOOKUP(Table3[[#This Row],[Faction ID]],Table4[],2)</f>
        <v>Scouts of Rohan</v>
      </c>
    </row>
    <row r="1827" spans="1:10" x14ac:dyDescent="0.25">
      <c r="A1827">
        <v>47</v>
      </c>
      <c r="B1827" t="s">
        <v>33</v>
      </c>
      <c r="C1827">
        <v>6</v>
      </c>
      <c r="D1827">
        <v>4</v>
      </c>
      <c r="E1827">
        <v>49</v>
      </c>
      <c r="F1827">
        <v>35842</v>
      </c>
      <c r="G1827">
        <v>8158</v>
      </c>
      <c r="H1827">
        <v>289</v>
      </c>
      <c r="J1827" t="str">
        <f>VLOOKUP(Table3[[#This Row],[Faction ID]],Table4[],2)</f>
        <v>Northern Enedwaith</v>
      </c>
    </row>
    <row r="1828" spans="1:10" x14ac:dyDescent="0.25">
      <c r="A1828">
        <v>47</v>
      </c>
      <c r="B1828" t="s">
        <v>29</v>
      </c>
      <c r="C1828">
        <v>0</v>
      </c>
      <c r="D1828">
        <v>0</v>
      </c>
      <c r="E1828">
        <v>0</v>
      </c>
      <c r="F1828">
        <v>54023</v>
      </c>
      <c r="G1828">
        <v>2044</v>
      </c>
      <c r="H1828">
        <v>0</v>
      </c>
      <c r="J1828" t="str">
        <f>VLOOKUP(Table3[[#This Row],[Faction ID]],Table4[],2)</f>
        <v>Southern Enedwaith</v>
      </c>
    </row>
    <row r="1829" spans="1:10" x14ac:dyDescent="0.25">
      <c r="A1829">
        <v>47</v>
      </c>
      <c r="B1829" t="s">
        <v>30</v>
      </c>
      <c r="C1829">
        <v>4</v>
      </c>
      <c r="D1829">
        <v>2</v>
      </c>
      <c r="E1829">
        <v>30</v>
      </c>
      <c r="F1829">
        <v>30825</v>
      </c>
      <c r="G1829">
        <v>5809</v>
      </c>
      <c r="H1829">
        <v>0</v>
      </c>
      <c r="J1829" t="str">
        <f>VLOOKUP(Table3[[#This Row],[Faction ID]],Table4[],2)</f>
        <v>Druedain</v>
      </c>
    </row>
    <row r="1830" spans="1:10" x14ac:dyDescent="0.25">
      <c r="A1830">
        <v>47</v>
      </c>
      <c r="B1830" t="s">
        <v>31</v>
      </c>
      <c r="C1830">
        <v>0</v>
      </c>
      <c r="D1830">
        <v>0</v>
      </c>
      <c r="E1830">
        <v>0</v>
      </c>
      <c r="F1830">
        <v>15146</v>
      </c>
      <c r="G1830">
        <v>1750</v>
      </c>
      <c r="H1830">
        <v>0</v>
      </c>
      <c r="J1830" t="str">
        <f>VLOOKUP(Table3[[#This Row],[Faction ID]],Table4[],2)</f>
        <v>Harondor</v>
      </c>
    </row>
    <row r="1831" spans="1:10" x14ac:dyDescent="0.25">
      <c r="A1831">
        <v>47</v>
      </c>
      <c r="B1831" t="s">
        <v>35</v>
      </c>
      <c r="C1831">
        <v>0</v>
      </c>
      <c r="D1831">
        <v>0</v>
      </c>
      <c r="E1831">
        <v>0</v>
      </c>
      <c r="F1831">
        <v>4000</v>
      </c>
      <c r="G1831">
        <v>1750</v>
      </c>
      <c r="H1831">
        <v>0</v>
      </c>
      <c r="J1831" t="str">
        <f>VLOOKUP(Table3[[#This Row],[Faction ID]],Table4[],2)</f>
        <v>Southron Nomads</v>
      </c>
    </row>
    <row r="1832" spans="1:10" x14ac:dyDescent="0.25">
      <c r="A1832">
        <v>47</v>
      </c>
      <c r="B1832" t="s">
        <v>36</v>
      </c>
      <c r="C1832">
        <v>0</v>
      </c>
      <c r="D1832">
        <v>0</v>
      </c>
      <c r="E1832">
        <v>0</v>
      </c>
      <c r="F1832">
        <v>4000</v>
      </c>
      <c r="G1832">
        <v>1750</v>
      </c>
      <c r="H1832">
        <v>0</v>
      </c>
      <c r="J1832" t="str">
        <f>VLOOKUP(Table3[[#This Row],[Faction ID]],Table4[],2)</f>
        <v>_</v>
      </c>
    </row>
    <row r="1833" spans="1:10" x14ac:dyDescent="0.25">
      <c r="A1833">
        <v>47</v>
      </c>
      <c r="B1833" t="s">
        <v>37</v>
      </c>
      <c r="C1833">
        <v>0</v>
      </c>
      <c r="D1833">
        <v>0</v>
      </c>
      <c r="E1833">
        <v>0</v>
      </c>
      <c r="F1833">
        <v>4000</v>
      </c>
      <c r="G1833">
        <v>1750</v>
      </c>
      <c r="H1833">
        <v>0</v>
      </c>
      <c r="J1833" t="str">
        <f>VLOOKUP(Table3[[#This Row],[Faction ID]],Table4[],2)</f>
        <v>_</v>
      </c>
    </row>
    <row r="1834" spans="1:10" x14ac:dyDescent="0.25">
      <c r="A1834">
        <v>47</v>
      </c>
      <c r="B1834" t="s">
        <v>38</v>
      </c>
      <c r="C1834">
        <v>0</v>
      </c>
      <c r="D1834">
        <v>0</v>
      </c>
      <c r="E1834">
        <v>0</v>
      </c>
      <c r="F1834">
        <v>4000</v>
      </c>
      <c r="G1834">
        <v>1750</v>
      </c>
      <c r="H1834">
        <v>0</v>
      </c>
      <c r="J1834" t="str">
        <f>VLOOKUP(Table3[[#This Row],[Faction ID]],Table4[],2)</f>
        <v>_</v>
      </c>
    </row>
    <row r="1835" spans="1:10" x14ac:dyDescent="0.25">
      <c r="A1835">
        <v>47</v>
      </c>
      <c r="B1835" t="s">
        <v>39</v>
      </c>
      <c r="C1835">
        <v>0</v>
      </c>
      <c r="D1835">
        <v>0</v>
      </c>
      <c r="E1835">
        <v>0</v>
      </c>
      <c r="F1835">
        <v>4000</v>
      </c>
      <c r="G1835">
        <v>1750</v>
      </c>
      <c r="H1835">
        <v>0</v>
      </c>
      <c r="J1835" t="str">
        <f>VLOOKUP(Table3[[#This Row],[Faction ID]],Table4[],2)</f>
        <v>_</v>
      </c>
    </row>
    <row r="1836" spans="1:10" x14ac:dyDescent="0.25">
      <c r="A1836">
        <v>47</v>
      </c>
      <c r="B1836" t="s">
        <v>40</v>
      </c>
      <c r="C1836">
        <v>0</v>
      </c>
      <c r="D1836">
        <v>0</v>
      </c>
      <c r="E1836">
        <v>0</v>
      </c>
      <c r="F1836">
        <v>4000</v>
      </c>
      <c r="G1836">
        <v>1750</v>
      </c>
      <c r="H1836">
        <v>0</v>
      </c>
      <c r="J1836" t="str">
        <f>VLOOKUP(Table3[[#This Row],[Faction ID]],Table4[],2)</f>
        <v>_</v>
      </c>
    </row>
    <row r="1837" spans="1:10" x14ac:dyDescent="0.25">
      <c r="A1837">
        <v>47</v>
      </c>
      <c r="B1837" t="s">
        <v>41</v>
      </c>
      <c r="C1837">
        <v>0</v>
      </c>
      <c r="D1837">
        <v>0</v>
      </c>
      <c r="E1837">
        <v>0</v>
      </c>
      <c r="F1837">
        <v>4000</v>
      </c>
      <c r="G1837">
        <v>1750</v>
      </c>
      <c r="H1837">
        <v>0</v>
      </c>
      <c r="J1837" t="str">
        <f>VLOOKUP(Table3[[#This Row],[Faction ID]],Table4[],2)</f>
        <v>_</v>
      </c>
    </row>
    <row r="1838" spans="1:10" x14ac:dyDescent="0.25">
      <c r="A1838">
        <v>47</v>
      </c>
      <c r="B1838" t="s">
        <v>42</v>
      </c>
      <c r="C1838">
        <v>0</v>
      </c>
      <c r="D1838">
        <v>0</v>
      </c>
      <c r="E1838">
        <v>0</v>
      </c>
      <c r="F1838">
        <v>4000</v>
      </c>
      <c r="G1838">
        <v>1750</v>
      </c>
      <c r="H1838">
        <v>0</v>
      </c>
      <c r="J1838" t="str">
        <f>VLOOKUP(Table3[[#This Row],[Faction ID]],Table4[],2)</f>
        <v>_</v>
      </c>
    </row>
    <row r="1839" spans="1:10" x14ac:dyDescent="0.25">
      <c r="A1839">
        <v>47</v>
      </c>
      <c r="B1839" t="s">
        <v>43</v>
      </c>
      <c r="C1839">
        <v>0</v>
      </c>
      <c r="D1839">
        <v>0</v>
      </c>
      <c r="E1839">
        <v>0</v>
      </c>
      <c r="F1839">
        <v>4000</v>
      </c>
      <c r="G1839">
        <v>1750</v>
      </c>
      <c r="H1839">
        <v>0</v>
      </c>
      <c r="J1839" t="str">
        <f>VLOOKUP(Table3[[#This Row],[Faction ID]],Table4[],2)</f>
        <v>_</v>
      </c>
    </row>
    <row r="1840" spans="1:10" x14ac:dyDescent="0.25">
      <c r="A1840">
        <v>47</v>
      </c>
      <c r="B1840" t="s">
        <v>44</v>
      </c>
      <c r="C1840">
        <v>0</v>
      </c>
      <c r="D1840">
        <v>0</v>
      </c>
      <c r="E1840">
        <v>0</v>
      </c>
      <c r="F1840">
        <v>4000</v>
      </c>
      <c r="G1840">
        <v>1750</v>
      </c>
      <c r="H1840">
        <v>0</v>
      </c>
      <c r="J1840" t="str">
        <f>VLOOKUP(Table3[[#This Row],[Faction ID]],Table4[],2)</f>
        <v>_</v>
      </c>
    </row>
    <row r="1841" spans="1:10" x14ac:dyDescent="0.25">
      <c r="A1841">
        <v>48</v>
      </c>
      <c r="B1841" t="s">
        <v>9</v>
      </c>
      <c r="C1841">
        <v>168</v>
      </c>
      <c r="D1841">
        <v>21</v>
      </c>
      <c r="E1841">
        <v>212.3</v>
      </c>
      <c r="F1841">
        <v>4452</v>
      </c>
      <c r="G1841">
        <v>21087</v>
      </c>
      <c r="H1841">
        <v>1011</v>
      </c>
      <c r="J1841" t="str">
        <f>VLOOKUP(Table3[[#This Row],[Faction ID]],Table4[],2)</f>
        <v>Mordor</v>
      </c>
    </row>
    <row r="1842" spans="1:10" x14ac:dyDescent="0.25">
      <c r="A1842">
        <v>48</v>
      </c>
      <c r="B1842" t="s">
        <v>4</v>
      </c>
      <c r="C1842">
        <v>131</v>
      </c>
      <c r="D1842">
        <v>7</v>
      </c>
      <c r="E1842">
        <v>108</v>
      </c>
      <c r="F1842">
        <v>55938</v>
      </c>
      <c r="G1842">
        <v>18752</v>
      </c>
      <c r="H1842">
        <v>412</v>
      </c>
      <c r="J1842" t="str">
        <f>VLOOKUP(Table3[[#This Row],[Faction ID]],Table4[],2)</f>
        <v>Gondor</v>
      </c>
    </row>
    <row r="1843" spans="1:10" x14ac:dyDescent="0.25">
      <c r="A1843">
        <v>48</v>
      </c>
      <c r="B1843" t="s">
        <v>6</v>
      </c>
      <c r="C1843">
        <v>105</v>
      </c>
      <c r="D1843">
        <v>3</v>
      </c>
      <c r="E1843">
        <v>49.6</v>
      </c>
      <c r="F1843">
        <v>22857</v>
      </c>
      <c r="G1843">
        <v>9784</v>
      </c>
      <c r="H1843">
        <v>193</v>
      </c>
      <c r="J1843" t="str">
        <f>VLOOKUP(Table3[[#This Row],[Faction ID]],Table4[],2)</f>
        <v>Dale</v>
      </c>
    </row>
    <row r="1844" spans="1:10" x14ac:dyDescent="0.25">
      <c r="A1844">
        <v>48</v>
      </c>
      <c r="B1844" t="s">
        <v>21</v>
      </c>
      <c r="C1844">
        <v>133</v>
      </c>
      <c r="D1844">
        <v>4</v>
      </c>
      <c r="E1844">
        <v>82.8</v>
      </c>
      <c r="F1844">
        <v>57753</v>
      </c>
      <c r="G1844">
        <v>18371</v>
      </c>
      <c r="H1844">
        <v>432</v>
      </c>
      <c r="J1844" t="str">
        <f>VLOOKUP(Table3[[#This Row],[Faction ID]],Table4[],2)</f>
        <v>Erebor</v>
      </c>
    </row>
    <row r="1845" spans="1:10" x14ac:dyDescent="0.25">
      <c r="A1845">
        <v>48</v>
      </c>
      <c r="B1845" t="s">
        <v>5</v>
      </c>
      <c r="C1845">
        <v>138</v>
      </c>
      <c r="D1845">
        <v>7</v>
      </c>
      <c r="E1845">
        <v>62</v>
      </c>
      <c r="F1845">
        <v>28959</v>
      </c>
      <c r="G1845">
        <v>9380</v>
      </c>
      <c r="H1845">
        <v>353</v>
      </c>
      <c r="J1845" t="str">
        <f>VLOOKUP(Table3[[#This Row],[Faction ID]],Table4[],2)</f>
        <v>Rohan</v>
      </c>
    </row>
    <row r="1846" spans="1:10" x14ac:dyDescent="0.25">
      <c r="A1846">
        <v>48</v>
      </c>
      <c r="B1846" t="s">
        <v>12</v>
      </c>
      <c r="C1846">
        <v>144</v>
      </c>
      <c r="D1846">
        <v>14</v>
      </c>
      <c r="E1846">
        <v>180.7</v>
      </c>
      <c r="F1846">
        <v>13332</v>
      </c>
      <c r="G1846">
        <v>21839</v>
      </c>
      <c r="H1846">
        <v>1276</v>
      </c>
      <c r="J1846" t="str">
        <f>VLOOKUP(Table3[[#This Row],[Faction ID]],Table4[],2)</f>
        <v>Dol Guldur</v>
      </c>
    </row>
    <row r="1847" spans="1:10" x14ac:dyDescent="0.25">
      <c r="A1847">
        <v>48</v>
      </c>
      <c r="B1847" t="s">
        <v>10</v>
      </c>
      <c r="C1847">
        <v>58</v>
      </c>
      <c r="D1847">
        <v>0</v>
      </c>
      <c r="E1847">
        <v>0</v>
      </c>
      <c r="F1847">
        <v>4515</v>
      </c>
      <c r="G1847">
        <v>2500</v>
      </c>
      <c r="H1847">
        <v>0</v>
      </c>
      <c r="J1847" t="str">
        <f>VLOOKUP(Table3[[#This Row],[Faction ID]],Table4[],2)</f>
        <v>Anduin Vale</v>
      </c>
    </row>
    <row r="1848" spans="1:10" x14ac:dyDescent="0.25">
      <c r="A1848">
        <v>48</v>
      </c>
      <c r="B1848" t="s">
        <v>32</v>
      </c>
      <c r="C1848">
        <v>152</v>
      </c>
      <c r="D1848">
        <v>5</v>
      </c>
      <c r="E1848">
        <v>120.8</v>
      </c>
      <c r="F1848">
        <v>9944</v>
      </c>
      <c r="G1848">
        <v>17656</v>
      </c>
      <c r="H1848">
        <v>681</v>
      </c>
      <c r="J1848" t="str">
        <f>VLOOKUP(Table3[[#This Row],[Faction ID]],Table4[],2)</f>
        <v>Isengard</v>
      </c>
    </row>
    <row r="1849" spans="1:10" x14ac:dyDescent="0.25">
      <c r="A1849">
        <v>48</v>
      </c>
      <c r="B1849" t="s">
        <v>22</v>
      </c>
      <c r="C1849">
        <v>30</v>
      </c>
      <c r="D1849">
        <v>0</v>
      </c>
      <c r="E1849">
        <v>0</v>
      </c>
      <c r="F1849">
        <v>8475</v>
      </c>
      <c r="G1849">
        <v>2500</v>
      </c>
      <c r="H1849">
        <v>0</v>
      </c>
      <c r="J1849" t="str">
        <f>VLOOKUP(Table3[[#This Row],[Faction ID]],Table4[],2)</f>
        <v>Woodland Realm</v>
      </c>
    </row>
    <row r="1850" spans="1:10" x14ac:dyDescent="0.25">
      <c r="A1850">
        <v>48</v>
      </c>
      <c r="B1850" t="s">
        <v>23</v>
      </c>
      <c r="C1850">
        <v>64</v>
      </c>
      <c r="D1850">
        <v>0</v>
      </c>
      <c r="E1850">
        <v>0</v>
      </c>
      <c r="F1850">
        <v>4721</v>
      </c>
      <c r="G1850">
        <v>2500</v>
      </c>
      <c r="H1850">
        <v>0</v>
      </c>
      <c r="J1850" t="str">
        <f>VLOOKUP(Table3[[#This Row],[Faction ID]],Table4[],2)</f>
        <v>Lothlorien</v>
      </c>
    </row>
    <row r="1851" spans="1:10" x14ac:dyDescent="0.25">
      <c r="A1851">
        <v>48</v>
      </c>
      <c r="B1851" t="s">
        <v>24</v>
      </c>
      <c r="C1851">
        <v>0</v>
      </c>
      <c r="D1851">
        <v>0</v>
      </c>
      <c r="E1851">
        <v>0</v>
      </c>
      <c r="F1851">
        <v>4919</v>
      </c>
      <c r="G1851">
        <v>1750</v>
      </c>
      <c r="H1851">
        <v>0</v>
      </c>
      <c r="J1851" t="str">
        <f>VLOOKUP(Table3[[#This Row],[Faction ID]],Table4[],2)</f>
        <v>Variags (Khand)</v>
      </c>
    </row>
    <row r="1852" spans="1:10" x14ac:dyDescent="0.25">
      <c r="A1852">
        <v>48</v>
      </c>
      <c r="B1852" t="s">
        <v>14</v>
      </c>
      <c r="C1852">
        <v>10</v>
      </c>
      <c r="D1852">
        <v>7</v>
      </c>
      <c r="E1852">
        <v>91.6</v>
      </c>
      <c r="F1852">
        <v>22714</v>
      </c>
      <c r="G1852">
        <v>16318</v>
      </c>
      <c r="H1852">
        <v>1011</v>
      </c>
      <c r="J1852" t="str">
        <f>VLOOKUP(Table3[[#This Row],[Faction ID]],Table4[],2)</f>
        <v>Corsairs of Umbar</v>
      </c>
    </row>
    <row r="1853" spans="1:10" x14ac:dyDescent="0.25">
      <c r="A1853">
        <v>48</v>
      </c>
      <c r="B1853" t="s">
        <v>25</v>
      </c>
      <c r="C1853">
        <v>5</v>
      </c>
      <c r="D1853">
        <v>3</v>
      </c>
      <c r="E1853">
        <v>48</v>
      </c>
      <c r="F1853">
        <v>11258</v>
      </c>
      <c r="G1853">
        <v>6782</v>
      </c>
      <c r="H1853">
        <v>0</v>
      </c>
      <c r="J1853" t="str">
        <f>VLOOKUP(Table3[[#This Row],[Faction ID]],Table4[],2)</f>
        <v>Mahud</v>
      </c>
    </row>
    <row r="1854" spans="1:10" x14ac:dyDescent="0.25">
      <c r="A1854">
        <v>48</v>
      </c>
      <c r="B1854" t="s">
        <v>11</v>
      </c>
      <c r="C1854">
        <v>90</v>
      </c>
      <c r="D1854">
        <v>6</v>
      </c>
      <c r="E1854">
        <v>85</v>
      </c>
      <c r="F1854">
        <v>14960</v>
      </c>
      <c r="G1854">
        <v>14351</v>
      </c>
      <c r="H1854">
        <v>0</v>
      </c>
      <c r="J1854" t="str">
        <f>VLOOKUP(Table3[[#This Row],[Faction ID]],Table4[],2)</f>
        <v>Haradrim</v>
      </c>
    </row>
    <row r="1855" spans="1:10" x14ac:dyDescent="0.25">
      <c r="A1855">
        <v>48</v>
      </c>
      <c r="B1855" t="s">
        <v>15</v>
      </c>
      <c r="C1855">
        <v>103</v>
      </c>
      <c r="D1855">
        <v>9</v>
      </c>
      <c r="E1855">
        <v>142.4</v>
      </c>
      <c r="F1855">
        <v>15881</v>
      </c>
      <c r="G1855">
        <v>20314</v>
      </c>
      <c r="H1855">
        <v>1032</v>
      </c>
      <c r="J1855" t="str">
        <f>VLOOKUP(Table3[[#This Row],[Faction ID]],Table4[],2)</f>
        <v>Dunlendings</v>
      </c>
    </row>
    <row r="1856" spans="1:10" x14ac:dyDescent="0.25">
      <c r="A1856">
        <v>48</v>
      </c>
      <c r="B1856" t="s">
        <v>16</v>
      </c>
      <c r="C1856">
        <v>0</v>
      </c>
      <c r="D1856">
        <v>0</v>
      </c>
      <c r="E1856">
        <v>0</v>
      </c>
      <c r="F1856">
        <v>5352</v>
      </c>
      <c r="G1856">
        <v>1750</v>
      </c>
      <c r="H1856">
        <v>0</v>
      </c>
      <c r="J1856" t="str">
        <f>VLOOKUP(Table3[[#This Row],[Faction ID]],Table4[],2)</f>
        <v>Haerrim</v>
      </c>
    </row>
    <row r="1857" spans="1:10" x14ac:dyDescent="0.25">
      <c r="A1857">
        <v>48</v>
      </c>
      <c r="B1857" t="s">
        <v>13</v>
      </c>
      <c r="C1857">
        <v>195</v>
      </c>
      <c r="D1857">
        <v>15</v>
      </c>
      <c r="E1857">
        <v>200.6</v>
      </c>
      <c r="F1857">
        <v>21919</v>
      </c>
      <c r="G1857">
        <v>26622</v>
      </c>
      <c r="H1857">
        <v>2731</v>
      </c>
      <c r="J1857" t="str">
        <f>VLOOKUP(Table3[[#This Row],[Faction ID]],Table4[],2)</f>
        <v>Goblins</v>
      </c>
    </row>
    <row r="1858" spans="1:10" x14ac:dyDescent="0.25">
      <c r="A1858">
        <v>48</v>
      </c>
      <c r="B1858" t="s">
        <v>17</v>
      </c>
      <c r="C1858">
        <v>0</v>
      </c>
      <c r="D1858">
        <v>0</v>
      </c>
      <c r="E1858">
        <v>0</v>
      </c>
      <c r="F1858">
        <v>4872</v>
      </c>
      <c r="G1858">
        <v>1750</v>
      </c>
      <c r="H1858">
        <v>0</v>
      </c>
      <c r="J1858" t="str">
        <f>VLOOKUP(Table3[[#This Row],[Faction ID]],Table4[],2)</f>
        <v>Balchoth</v>
      </c>
    </row>
    <row r="1859" spans="1:10" x14ac:dyDescent="0.25">
      <c r="A1859">
        <v>48</v>
      </c>
      <c r="B1859" t="s">
        <v>18</v>
      </c>
      <c r="C1859">
        <v>155</v>
      </c>
      <c r="D1859">
        <v>32</v>
      </c>
      <c r="E1859">
        <v>362.7</v>
      </c>
      <c r="F1859">
        <v>44841</v>
      </c>
      <c r="G1859">
        <v>33897</v>
      </c>
      <c r="H1859">
        <v>1199</v>
      </c>
      <c r="J1859" t="str">
        <f>VLOOKUP(Table3[[#This Row],[Faction ID]],Table4[],2)</f>
        <v>Rhurim/Rhun</v>
      </c>
    </row>
    <row r="1860" spans="1:10" x14ac:dyDescent="0.25">
      <c r="A1860">
        <v>48</v>
      </c>
      <c r="B1860" t="s">
        <v>19</v>
      </c>
      <c r="C1860">
        <v>0</v>
      </c>
      <c r="D1860">
        <v>0</v>
      </c>
      <c r="E1860">
        <v>0</v>
      </c>
      <c r="F1860">
        <v>7360</v>
      </c>
      <c r="G1860">
        <v>1750</v>
      </c>
      <c r="H1860">
        <v>0</v>
      </c>
      <c r="J1860" t="str">
        <f>VLOOKUP(Table3[[#This Row],[Faction ID]],Table4[],2)</f>
        <v>Feredrim</v>
      </c>
    </row>
    <row r="1861" spans="1:10" x14ac:dyDescent="0.25">
      <c r="A1861">
        <v>48</v>
      </c>
      <c r="B1861" t="s">
        <v>26</v>
      </c>
      <c r="C1861">
        <v>0</v>
      </c>
      <c r="D1861">
        <v>0</v>
      </c>
      <c r="E1861">
        <v>0</v>
      </c>
      <c r="F1861">
        <v>6395</v>
      </c>
      <c r="G1861">
        <v>1750</v>
      </c>
      <c r="H1861">
        <v>0</v>
      </c>
      <c r="J1861" t="str">
        <f>VLOOKUP(Table3[[#This Row],[Faction ID]],Table4[],2)</f>
        <v>Rachrohir (Wainriders)</v>
      </c>
    </row>
    <row r="1862" spans="1:10" x14ac:dyDescent="0.25">
      <c r="A1862">
        <v>48</v>
      </c>
      <c r="B1862" t="s">
        <v>27</v>
      </c>
      <c r="C1862">
        <v>5</v>
      </c>
      <c r="D1862">
        <v>3</v>
      </c>
      <c r="E1862">
        <v>48</v>
      </c>
      <c r="F1862">
        <v>74108</v>
      </c>
      <c r="G1862">
        <v>10890</v>
      </c>
      <c r="H1862">
        <v>0</v>
      </c>
      <c r="J1862" t="str">
        <f>VLOOKUP(Table3[[#This Row],[Faction ID]],Table4[],2)</f>
        <v>Blacklock-Stonefoot League</v>
      </c>
    </row>
    <row r="1863" spans="1:10" x14ac:dyDescent="0.25">
      <c r="A1863">
        <v>48</v>
      </c>
      <c r="B1863" t="s">
        <v>28</v>
      </c>
      <c r="C1863">
        <v>4</v>
      </c>
      <c r="D1863">
        <v>2</v>
      </c>
      <c r="E1863">
        <v>41</v>
      </c>
      <c r="F1863">
        <v>34344</v>
      </c>
      <c r="G1863">
        <v>7549</v>
      </c>
      <c r="H1863">
        <v>0</v>
      </c>
      <c r="J1863" t="str">
        <f>VLOOKUP(Table3[[#This Row],[Faction ID]],Table4[],2)</f>
        <v>Ironfist-Stiffbeard Union</v>
      </c>
    </row>
    <row r="1864" spans="1:10" x14ac:dyDescent="0.25">
      <c r="A1864">
        <v>48</v>
      </c>
      <c r="B1864" t="s">
        <v>20</v>
      </c>
      <c r="C1864">
        <v>124</v>
      </c>
      <c r="D1864">
        <v>12</v>
      </c>
      <c r="E1864">
        <v>178.3</v>
      </c>
      <c r="F1864">
        <v>7714</v>
      </c>
      <c r="G1864">
        <v>21308</v>
      </c>
      <c r="H1864">
        <v>910</v>
      </c>
      <c r="J1864" t="str">
        <f>VLOOKUP(Table3[[#This Row],[Faction ID]],Table4[],2)</f>
        <v>Gundabad</v>
      </c>
    </row>
    <row r="1865" spans="1:10" x14ac:dyDescent="0.25">
      <c r="A1865">
        <v>48</v>
      </c>
      <c r="B1865" t="s">
        <v>34</v>
      </c>
      <c r="C1865">
        <v>0</v>
      </c>
      <c r="D1865">
        <v>0</v>
      </c>
      <c r="E1865">
        <v>3</v>
      </c>
      <c r="F1865">
        <v>56687</v>
      </c>
      <c r="G1865">
        <v>2379</v>
      </c>
      <c r="H1865">
        <v>0</v>
      </c>
      <c r="J1865" t="str">
        <f>VLOOKUP(Table3[[#This Row],[Faction ID]],Table4[],2)</f>
        <v>Scouts of Rohan</v>
      </c>
    </row>
    <row r="1866" spans="1:10" x14ac:dyDescent="0.25">
      <c r="A1866">
        <v>48</v>
      </c>
      <c r="B1866" t="s">
        <v>33</v>
      </c>
      <c r="C1866">
        <v>6</v>
      </c>
      <c r="D1866">
        <v>4</v>
      </c>
      <c r="E1866">
        <v>49</v>
      </c>
      <c r="F1866">
        <v>32097</v>
      </c>
      <c r="G1866">
        <v>8731</v>
      </c>
      <c r="H1866">
        <v>344</v>
      </c>
      <c r="J1866" t="str">
        <f>VLOOKUP(Table3[[#This Row],[Faction ID]],Table4[],2)</f>
        <v>Northern Enedwaith</v>
      </c>
    </row>
    <row r="1867" spans="1:10" x14ac:dyDescent="0.25">
      <c r="A1867">
        <v>48</v>
      </c>
      <c r="B1867" t="s">
        <v>29</v>
      </c>
      <c r="C1867">
        <v>0</v>
      </c>
      <c r="D1867">
        <v>0</v>
      </c>
      <c r="E1867">
        <v>0</v>
      </c>
      <c r="F1867">
        <v>54023</v>
      </c>
      <c r="G1867">
        <v>1750</v>
      </c>
      <c r="H1867">
        <v>0</v>
      </c>
      <c r="J1867" t="str">
        <f>VLOOKUP(Table3[[#This Row],[Faction ID]],Table4[],2)</f>
        <v>Southern Enedwaith</v>
      </c>
    </row>
    <row r="1868" spans="1:10" x14ac:dyDescent="0.25">
      <c r="A1868">
        <v>48</v>
      </c>
      <c r="B1868" t="s">
        <v>30</v>
      </c>
      <c r="C1868">
        <v>2</v>
      </c>
      <c r="D1868">
        <v>1</v>
      </c>
      <c r="E1868">
        <v>12</v>
      </c>
      <c r="F1868">
        <v>32096</v>
      </c>
      <c r="G1868">
        <v>3209</v>
      </c>
      <c r="H1868">
        <v>0</v>
      </c>
      <c r="J1868" t="str">
        <f>VLOOKUP(Table3[[#This Row],[Faction ID]],Table4[],2)</f>
        <v>Druedain</v>
      </c>
    </row>
    <row r="1869" spans="1:10" x14ac:dyDescent="0.25">
      <c r="A1869">
        <v>48</v>
      </c>
      <c r="B1869" t="s">
        <v>31</v>
      </c>
      <c r="C1869">
        <v>0</v>
      </c>
      <c r="D1869">
        <v>0</v>
      </c>
      <c r="E1869">
        <v>0</v>
      </c>
      <c r="F1869">
        <v>15146</v>
      </c>
      <c r="G1869">
        <v>1750</v>
      </c>
      <c r="H1869">
        <v>0</v>
      </c>
      <c r="J1869" t="str">
        <f>VLOOKUP(Table3[[#This Row],[Faction ID]],Table4[],2)</f>
        <v>Harondor</v>
      </c>
    </row>
    <row r="1870" spans="1:10" x14ac:dyDescent="0.25">
      <c r="A1870">
        <v>48</v>
      </c>
      <c r="B1870" t="s">
        <v>35</v>
      </c>
      <c r="C1870">
        <v>0</v>
      </c>
      <c r="D1870">
        <v>0</v>
      </c>
      <c r="E1870">
        <v>0</v>
      </c>
      <c r="F1870">
        <v>4000</v>
      </c>
      <c r="G1870">
        <v>1750</v>
      </c>
      <c r="H1870">
        <v>0</v>
      </c>
      <c r="J1870" t="str">
        <f>VLOOKUP(Table3[[#This Row],[Faction ID]],Table4[],2)</f>
        <v>Southron Nomads</v>
      </c>
    </row>
    <row r="1871" spans="1:10" x14ac:dyDescent="0.25">
      <c r="A1871">
        <v>48</v>
      </c>
      <c r="B1871" t="s">
        <v>36</v>
      </c>
      <c r="C1871">
        <v>0</v>
      </c>
      <c r="D1871">
        <v>0</v>
      </c>
      <c r="E1871">
        <v>0</v>
      </c>
      <c r="F1871">
        <v>4000</v>
      </c>
      <c r="G1871">
        <v>1750</v>
      </c>
      <c r="H1871">
        <v>0</v>
      </c>
      <c r="J1871" t="str">
        <f>VLOOKUP(Table3[[#This Row],[Faction ID]],Table4[],2)</f>
        <v>_</v>
      </c>
    </row>
    <row r="1872" spans="1:10" x14ac:dyDescent="0.25">
      <c r="A1872">
        <v>48</v>
      </c>
      <c r="B1872" t="s">
        <v>37</v>
      </c>
      <c r="C1872">
        <v>0</v>
      </c>
      <c r="D1872">
        <v>0</v>
      </c>
      <c r="E1872">
        <v>0</v>
      </c>
      <c r="F1872">
        <v>4000</v>
      </c>
      <c r="G1872">
        <v>1750</v>
      </c>
      <c r="H1872">
        <v>0</v>
      </c>
      <c r="J1872" t="str">
        <f>VLOOKUP(Table3[[#This Row],[Faction ID]],Table4[],2)</f>
        <v>_</v>
      </c>
    </row>
    <row r="1873" spans="1:10" x14ac:dyDescent="0.25">
      <c r="A1873">
        <v>48</v>
      </c>
      <c r="B1873" t="s">
        <v>38</v>
      </c>
      <c r="C1873">
        <v>0</v>
      </c>
      <c r="D1873">
        <v>0</v>
      </c>
      <c r="E1873">
        <v>0</v>
      </c>
      <c r="F1873">
        <v>4000</v>
      </c>
      <c r="G1873">
        <v>1750</v>
      </c>
      <c r="H1873">
        <v>0</v>
      </c>
      <c r="J1873" t="str">
        <f>VLOOKUP(Table3[[#This Row],[Faction ID]],Table4[],2)</f>
        <v>_</v>
      </c>
    </row>
    <row r="1874" spans="1:10" x14ac:dyDescent="0.25">
      <c r="A1874">
        <v>48</v>
      </c>
      <c r="B1874" t="s">
        <v>39</v>
      </c>
      <c r="C1874">
        <v>0</v>
      </c>
      <c r="D1874">
        <v>0</v>
      </c>
      <c r="E1874">
        <v>0</v>
      </c>
      <c r="F1874">
        <v>4000</v>
      </c>
      <c r="G1874">
        <v>1750</v>
      </c>
      <c r="H1874">
        <v>0</v>
      </c>
      <c r="J1874" t="str">
        <f>VLOOKUP(Table3[[#This Row],[Faction ID]],Table4[],2)</f>
        <v>_</v>
      </c>
    </row>
    <row r="1875" spans="1:10" x14ac:dyDescent="0.25">
      <c r="A1875">
        <v>48</v>
      </c>
      <c r="B1875" t="s">
        <v>40</v>
      </c>
      <c r="C1875">
        <v>0</v>
      </c>
      <c r="D1875">
        <v>0</v>
      </c>
      <c r="E1875">
        <v>0</v>
      </c>
      <c r="F1875">
        <v>4000</v>
      </c>
      <c r="G1875">
        <v>1750</v>
      </c>
      <c r="H1875">
        <v>0</v>
      </c>
      <c r="J1875" t="str">
        <f>VLOOKUP(Table3[[#This Row],[Faction ID]],Table4[],2)</f>
        <v>_</v>
      </c>
    </row>
    <row r="1876" spans="1:10" x14ac:dyDescent="0.25">
      <c r="A1876">
        <v>48</v>
      </c>
      <c r="B1876" t="s">
        <v>41</v>
      </c>
      <c r="C1876">
        <v>0</v>
      </c>
      <c r="D1876">
        <v>0</v>
      </c>
      <c r="E1876">
        <v>0</v>
      </c>
      <c r="F1876">
        <v>4000</v>
      </c>
      <c r="G1876">
        <v>1750</v>
      </c>
      <c r="H1876">
        <v>0</v>
      </c>
      <c r="J1876" t="str">
        <f>VLOOKUP(Table3[[#This Row],[Faction ID]],Table4[],2)</f>
        <v>_</v>
      </c>
    </row>
    <row r="1877" spans="1:10" x14ac:dyDescent="0.25">
      <c r="A1877">
        <v>48</v>
      </c>
      <c r="B1877" t="s">
        <v>42</v>
      </c>
      <c r="C1877">
        <v>0</v>
      </c>
      <c r="D1877">
        <v>0</v>
      </c>
      <c r="E1877">
        <v>0</v>
      </c>
      <c r="F1877">
        <v>4000</v>
      </c>
      <c r="G1877">
        <v>1750</v>
      </c>
      <c r="H1877">
        <v>0</v>
      </c>
      <c r="J1877" t="str">
        <f>VLOOKUP(Table3[[#This Row],[Faction ID]],Table4[],2)</f>
        <v>_</v>
      </c>
    </row>
    <row r="1878" spans="1:10" x14ac:dyDescent="0.25">
      <c r="A1878">
        <v>48</v>
      </c>
      <c r="B1878" t="s">
        <v>43</v>
      </c>
      <c r="C1878">
        <v>0</v>
      </c>
      <c r="D1878">
        <v>0</v>
      </c>
      <c r="E1878">
        <v>0</v>
      </c>
      <c r="F1878">
        <v>4000</v>
      </c>
      <c r="G1878">
        <v>1750</v>
      </c>
      <c r="H1878">
        <v>0</v>
      </c>
      <c r="J1878" t="str">
        <f>VLOOKUP(Table3[[#This Row],[Faction ID]],Table4[],2)</f>
        <v>_</v>
      </c>
    </row>
    <row r="1879" spans="1:10" x14ac:dyDescent="0.25">
      <c r="A1879">
        <v>48</v>
      </c>
      <c r="B1879" t="s">
        <v>44</v>
      </c>
      <c r="C1879">
        <v>0</v>
      </c>
      <c r="D1879">
        <v>0</v>
      </c>
      <c r="E1879">
        <v>0</v>
      </c>
      <c r="F1879">
        <v>4000</v>
      </c>
      <c r="G1879">
        <v>1750</v>
      </c>
      <c r="H1879">
        <v>0</v>
      </c>
      <c r="J1879" t="str">
        <f>VLOOKUP(Table3[[#This Row],[Faction ID]],Table4[],2)</f>
        <v>_</v>
      </c>
    </row>
    <row r="1880" spans="1:10" x14ac:dyDescent="0.25">
      <c r="A1880">
        <v>49</v>
      </c>
      <c r="B1880" t="s">
        <v>9</v>
      </c>
      <c r="C1880">
        <v>168</v>
      </c>
      <c r="D1880">
        <v>21</v>
      </c>
      <c r="E1880">
        <v>209.2</v>
      </c>
      <c r="F1880">
        <v>210</v>
      </c>
      <c r="G1880">
        <v>21302</v>
      </c>
      <c r="H1880">
        <v>1015</v>
      </c>
      <c r="J1880" t="str">
        <f>VLOOKUP(Table3[[#This Row],[Faction ID]],Table4[],2)</f>
        <v>Mordor</v>
      </c>
    </row>
    <row r="1881" spans="1:10" x14ac:dyDescent="0.25">
      <c r="A1881">
        <v>49</v>
      </c>
      <c r="B1881" t="s">
        <v>4</v>
      </c>
      <c r="C1881">
        <v>136</v>
      </c>
      <c r="D1881">
        <v>7</v>
      </c>
      <c r="E1881">
        <v>115</v>
      </c>
      <c r="F1881">
        <v>56997</v>
      </c>
      <c r="G1881">
        <v>20752</v>
      </c>
      <c r="H1881">
        <v>407</v>
      </c>
      <c r="J1881" t="str">
        <f>VLOOKUP(Table3[[#This Row],[Faction ID]],Table4[],2)</f>
        <v>Gondor</v>
      </c>
    </row>
    <row r="1882" spans="1:10" x14ac:dyDescent="0.25">
      <c r="A1882">
        <v>49</v>
      </c>
      <c r="B1882" t="s">
        <v>6</v>
      </c>
      <c r="C1882">
        <v>110</v>
      </c>
      <c r="D1882">
        <v>3</v>
      </c>
      <c r="E1882">
        <v>49.6</v>
      </c>
      <c r="F1882">
        <v>27859</v>
      </c>
      <c r="G1882">
        <v>9782</v>
      </c>
      <c r="H1882">
        <v>191</v>
      </c>
      <c r="J1882" t="str">
        <f>VLOOKUP(Table3[[#This Row],[Faction ID]],Table4[],2)</f>
        <v>Dale</v>
      </c>
    </row>
    <row r="1883" spans="1:10" x14ac:dyDescent="0.25">
      <c r="A1883">
        <v>49</v>
      </c>
      <c r="B1883" t="s">
        <v>21</v>
      </c>
      <c r="C1883">
        <v>143</v>
      </c>
      <c r="D1883">
        <v>4</v>
      </c>
      <c r="E1883">
        <v>85.8</v>
      </c>
      <c r="F1883">
        <v>62822</v>
      </c>
      <c r="G1883">
        <v>18033</v>
      </c>
      <c r="H1883">
        <v>430</v>
      </c>
      <c r="J1883" t="str">
        <f>VLOOKUP(Table3[[#This Row],[Faction ID]],Table4[],2)</f>
        <v>Erebor</v>
      </c>
    </row>
    <row r="1884" spans="1:10" x14ac:dyDescent="0.25">
      <c r="A1884">
        <v>49</v>
      </c>
      <c r="B1884" t="s">
        <v>5</v>
      </c>
      <c r="C1884">
        <v>138</v>
      </c>
      <c r="D1884">
        <v>7</v>
      </c>
      <c r="E1884">
        <v>64</v>
      </c>
      <c r="F1884">
        <v>22055</v>
      </c>
      <c r="G1884">
        <v>8526</v>
      </c>
      <c r="H1884">
        <v>347</v>
      </c>
      <c r="J1884" t="str">
        <f>VLOOKUP(Table3[[#This Row],[Faction ID]],Table4[],2)</f>
        <v>Rohan</v>
      </c>
    </row>
    <row r="1885" spans="1:10" x14ac:dyDescent="0.25">
      <c r="A1885">
        <v>49</v>
      </c>
      <c r="B1885" t="s">
        <v>12</v>
      </c>
      <c r="C1885">
        <v>149</v>
      </c>
      <c r="D1885">
        <v>14</v>
      </c>
      <c r="E1885">
        <v>182.7</v>
      </c>
      <c r="F1885">
        <v>13040</v>
      </c>
      <c r="G1885">
        <v>22434</v>
      </c>
      <c r="H1885">
        <v>1282</v>
      </c>
      <c r="J1885" t="str">
        <f>VLOOKUP(Table3[[#This Row],[Faction ID]],Table4[],2)</f>
        <v>Dol Guldur</v>
      </c>
    </row>
    <row r="1886" spans="1:10" x14ac:dyDescent="0.25">
      <c r="A1886">
        <v>49</v>
      </c>
      <c r="B1886" t="s">
        <v>10</v>
      </c>
      <c r="C1886">
        <v>58</v>
      </c>
      <c r="D1886">
        <v>0</v>
      </c>
      <c r="E1886">
        <v>0</v>
      </c>
      <c r="F1886">
        <v>4515</v>
      </c>
      <c r="G1886">
        <v>2500</v>
      </c>
      <c r="H1886">
        <v>0</v>
      </c>
      <c r="J1886" t="str">
        <f>VLOOKUP(Table3[[#This Row],[Faction ID]],Table4[],2)</f>
        <v>Anduin Vale</v>
      </c>
    </row>
    <row r="1887" spans="1:10" x14ac:dyDescent="0.25">
      <c r="A1887">
        <v>49</v>
      </c>
      <c r="B1887" t="s">
        <v>32</v>
      </c>
      <c r="C1887">
        <v>152</v>
      </c>
      <c r="D1887">
        <v>5</v>
      </c>
      <c r="E1887">
        <v>121.9</v>
      </c>
      <c r="F1887">
        <v>14710</v>
      </c>
      <c r="G1887">
        <v>17597</v>
      </c>
      <c r="H1887">
        <v>683</v>
      </c>
      <c r="J1887" t="str">
        <f>VLOOKUP(Table3[[#This Row],[Faction ID]],Table4[],2)</f>
        <v>Isengard</v>
      </c>
    </row>
    <row r="1888" spans="1:10" x14ac:dyDescent="0.25">
      <c r="A1888">
        <v>49</v>
      </c>
      <c r="B1888" t="s">
        <v>22</v>
      </c>
      <c r="C1888">
        <v>30</v>
      </c>
      <c r="D1888">
        <v>0</v>
      </c>
      <c r="E1888">
        <v>0</v>
      </c>
      <c r="F1888">
        <v>8475</v>
      </c>
      <c r="G1888">
        <v>2500</v>
      </c>
      <c r="H1888">
        <v>0</v>
      </c>
      <c r="J1888" t="str">
        <f>VLOOKUP(Table3[[#This Row],[Faction ID]],Table4[],2)</f>
        <v>Woodland Realm</v>
      </c>
    </row>
    <row r="1889" spans="1:10" x14ac:dyDescent="0.25">
      <c r="A1889">
        <v>49</v>
      </c>
      <c r="B1889" t="s">
        <v>23</v>
      </c>
      <c r="C1889">
        <v>64</v>
      </c>
      <c r="D1889">
        <v>0</v>
      </c>
      <c r="E1889">
        <v>0</v>
      </c>
      <c r="F1889">
        <v>4721</v>
      </c>
      <c r="G1889">
        <v>2500</v>
      </c>
      <c r="H1889">
        <v>0</v>
      </c>
      <c r="J1889" t="str">
        <f>VLOOKUP(Table3[[#This Row],[Faction ID]],Table4[],2)</f>
        <v>Lothlorien</v>
      </c>
    </row>
    <row r="1890" spans="1:10" x14ac:dyDescent="0.25">
      <c r="A1890">
        <v>49</v>
      </c>
      <c r="B1890" t="s">
        <v>24</v>
      </c>
      <c r="C1890">
        <v>0</v>
      </c>
      <c r="D1890">
        <v>0</v>
      </c>
      <c r="E1890">
        <v>0</v>
      </c>
      <c r="F1890">
        <v>4919</v>
      </c>
      <c r="G1890">
        <v>1750</v>
      </c>
      <c r="H1890">
        <v>0</v>
      </c>
      <c r="J1890" t="str">
        <f>VLOOKUP(Table3[[#This Row],[Faction ID]],Table4[],2)</f>
        <v>Variags (Khand)</v>
      </c>
    </row>
    <row r="1891" spans="1:10" x14ac:dyDescent="0.25">
      <c r="A1891">
        <v>49</v>
      </c>
      <c r="B1891" t="s">
        <v>14</v>
      </c>
      <c r="C1891">
        <v>10</v>
      </c>
      <c r="D1891">
        <v>7</v>
      </c>
      <c r="E1891">
        <v>90.6</v>
      </c>
      <c r="F1891">
        <v>26190</v>
      </c>
      <c r="G1891">
        <v>16382</v>
      </c>
      <c r="H1891">
        <v>1013</v>
      </c>
      <c r="J1891" t="str">
        <f>VLOOKUP(Table3[[#This Row],[Faction ID]],Table4[],2)</f>
        <v>Corsairs of Umbar</v>
      </c>
    </row>
    <row r="1892" spans="1:10" x14ac:dyDescent="0.25">
      <c r="A1892">
        <v>49</v>
      </c>
      <c r="B1892" t="s">
        <v>25</v>
      </c>
      <c r="C1892">
        <v>5</v>
      </c>
      <c r="D1892">
        <v>3</v>
      </c>
      <c r="E1892">
        <v>48</v>
      </c>
      <c r="F1892">
        <v>12158</v>
      </c>
      <c r="G1892">
        <v>6782</v>
      </c>
      <c r="H1892">
        <v>0</v>
      </c>
      <c r="J1892" t="str">
        <f>VLOOKUP(Table3[[#This Row],[Faction ID]],Table4[],2)</f>
        <v>Mahud</v>
      </c>
    </row>
    <row r="1893" spans="1:10" x14ac:dyDescent="0.25">
      <c r="A1893">
        <v>49</v>
      </c>
      <c r="B1893" t="s">
        <v>11</v>
      </c>
      <c r="C1893">
        <v>95</v>
      </c>
      <c r="D1893">
        <v>6</v>
      </c>
      <c r="E1893">
        <v>87</v>
      </c>
      <c r="F1893">
        <v>15355</v>
      </c>
      <c r="G1893">
        <v>13934</v>
      </c>
      <c r="H1893">
        <v>0</v>
      </c>
      <c r="J1893" t="str">
        <f>VLOOKUP(Table3[[#This Row],[Faction ID]],Table4[],2)</f>
        <v>Haradrim</v>
      </c>
    </row>
    <row r="1894" spans="1:10" x14ac:dyDescent="0.25">
      <c r="A1894">
        <v>49</v>
      </c>
      <c r="B1894" t="s">
        <v>15</v>
      </c>
      <c r="C1894">
        <v>103</v>
      </c>
      <c r="D1894">
        <v>9</v>
      </c>
      <c r="E1894">
        <v>137.4</v>
      </c>
      <c r="F1894">
        <v>19206</v>
      </c>
      <c r="G1894">
        <v>21063</v>
      </c>
      <c r="H1894">
        <v>1040</v>
      </c>
      <c r="J1894" t="str">
        <f>VLOOKUP(Table3[[#This Row],[Faction ID]],Table4[],2)</f>
        <v>Dunlendings</v>
      </c>
    </row>
    <row r="1895" spans="1:10" x14ac:dyDescent="0.25">
      <c r="A1895">
        <v>49</v>
      </c>
      <c r="B1895" t="s">
        <v>16</v>
      </c>
      <c r="C1895">
        <v>0</v>
      </c>
      <c r="D1895">
        <v>0</v>
      </c>
      <c r="E1895">
        <v>0</v>
      </c>
      <c r="F1895">
        <v>5352</v>
      </c>
      <c r="G1895">
        <v>1750</v>
      </c>
      <c r="H1895">
        <v>0</v>
      </c>
      <c r="J1895" t="str">
        <f>VLOOKUP(Table3[[#This Row],[Faction ID]],Table4[],2)</f>
        <v>Haerrim</v>
      </c>
    </row>
    <row r="1896" spans="1:10" x14ac:dyDescent="0.25">
      <c r="A1896">
        <v>49</v>
      </c>
      <c r="B1896" t="s">
        <v>13</v>
      </c>
      <c r="C1896">
        <v>200</v>
      </c>
      <c r="D1896">
        <v>15</v>
      </c>
      <c r="E1896">
        <v>206.6</v>
      </c>
      <c r="F1896">
        <v>24022</v>
      </c>
      <c r="G1896">
        <v>26733</v>
      </c>
      <c r="H1896">
        <v>2734</v>
      </c>
      <c r="J1896" t="str">
        <f>VLOOKUP(Table3[[#This Row],[Faction ID]],Table4[],2)</f>
        <v>Goblins</v>
      </c>
    </row>
    <row r="1897" spans="1:10" x14ac:dyDescent="0.25">
      <c r="A1897">
        <v>49</v>
      </c>
      <c r="B1897" t="s">
        <v>17</v>
      </c>
      <c r="C1897">
        <v>0</v>
      </c>
      <c r="D1897">
        <v>0</v>
      </c>
      <c r="E1897">
        <v>0</v>
      </c>
      <c r="F1897">
        <v>4872</v>
      </c>
      <c r="G1897">
        <v>1750</v>
      </c>
      <c r="H1897">
        <v>0</v>
      </c>
      <c r="J1897" t="str">
        <f>VLOOKUP(Table3[[#This Row],[Faction ID]],Table4[],2)</f>
        <v>Balchoth</v>
      </c>
    </row>
    <row r="1898" spans="1:10" x14ac:dyDescent="0.25">
      <c r="A1898">
        <v>49</v>
      </c>
      <c r="B1898" t="s">
        <v>18</v>
      </c>
      <c r="C1898">
        <v>159</v>
      </c>
      <c r="D1898">
        <v>32</v>
      </c>
      <c r="E1898">
        <v>364.7</v>
      </c>
      <c r="F1898">
        <v>46544</v>
      </c>
      <c r="G1898">
        <v>35499</v>
      </c>
      <c r="H1898">
        <v>1206</v>
      </c>
      <c r="J1898" t="str">
        <f>VLOOKUP(Table3[[#This Row],[Faction ID]],Table4[],2)</f>
        <v>Rhurim/Rhun</v>
      </c>
    </row>
    <row r="1899" spans="1:10" x14ac:dyDescent="0.25">
      <c r="A1899">
        <v>49</v>
      </c>
      <c r="B1899" t="s">
        <v>19</v>
      </c>
      <c r="C1899">
        <v>0</v>
      </c>
      <c r="D1899">
        <v>0</v>
      </c>
      <c r="E1899">
        <v>0</v>
      </c>
      <c r="F1899">
        <v>7360</v>
      </c>
      <c r="G1899">
        <v>1750</v>
      </c>
      <c r="H1899">
        <v>0</v>
      </c>
      <c r="J1899" t="str">
        <f>VLOOKUP(Table3[[#This Row],[Faction ID]],Table4[],2)</f>
        <v>Feredrim</v>
      </c>
    </row>
    <row r="1900" spans="1:10" x14ac:dyDescent="0.25">
      <c r="A1900">
        <v>49</v>
      </c>
      <c r="B1900" t="s">
        <v>26</v>
      </c>
      <c r="C1900">
        <v>0</v>
      </c>
      <c r="D1900">
        <v>0</v>
      </c>
      <c r="E1900">
        <v>0</v>
      </c>
      <c r="F1900">
        <v>6395</v>
      </c>
      <c r="G1900">
        <v>1750</v>
      </c>
      <c r="H1900">
        <v>0</v>
      </c>
      <c r="J1900" t="str">
        <f>VLOOKUP(Table3[[#This Row],[Faction ID]],Table4[],2)</f>
        <v>Rachrohir (Wainriders)</v>
      </c>
    </row>
    <row r="1901" spans="1:10" x14ac:dyDescent="0.25">
      <c r="A1901">
        <v>49</v>
      </c>
      <c r="B1901" t="s">
        <v>27</v>
      </c>
      <c r="C1901">
        <v>5</v>
      </c>
      <c r="D1901">
        <v>3</v>
      </c>
      <c r="E1901">
        <v>49</v>
      </c>
      <c r="F1901">
        <v>71945</v>
      </c>
      <c r="G1901">
        <v>11172</v>
      </c>
      <c r="H1901">
        <v>0</v>
      </c>
      <c r="J1901" t="str">
        <f>VLOOKUP(Table3[[#This Row],[Faction ID]],Table4[],2)</f>
        <v>Blacklock-Stonefoot League</v>
      </c>
    </row>
    <row r="1902" spans="1:10" x14ac:dyDescent="0.25">
      <c r="A1902">
        <v>49</v>
      </c>
      <c r="B1902" t="s">
        <v>28</v>
      </c>
      <c r="C1902">
        <v>4</v>
      </c>
      <c r="D1902">
        <v>2</v>
      </c>
      <c r="E1902">
        <v>41</v>
      </c>
      <c r="F1902">
        <v>31621</v>
      </c>
      <c r="G1902">
        <v>7569</v>
      </c>
      <c r="H1902">
        <v>0</v>
      </c>
      <c r="J1902" t="str">
        <f>VLOOKUP(Table3[[#This Row],[Faction ID]],Table4[],2)</f>
        <v>Ironfist-Stiffbeard Union</v>
      </c>
    </row>
    <row r="1903" spans="1:10" x14ac:dyDescent="0.25">
      <c r="A1903">
        <v>49</v>
      </c>
      <c r="B1903" t="s">
        <v>20</v>
      </c>
      <c r="C1903">
        <v>129</v>
      </c>
      <c r="D1903">
        <v>12</v>
      </c>
      <c r="E1903">
        <v>189.5</v>
      </c>
      <c r="F1903">
        <v>8391</v>
      </c>
      <c r="G1903">
        <v>21314</v>
      </c>
      <c r="H1903">
        <v>910</v>
      </c>
      <c r="J1903" t="str">
        <f>VLOOKUP(Table3[[#This Row],[Faction ID]],Table4[],2)</f>
        <v>Gundabad</v>
      </c>
    </row>
    <row r="1904" spans="1:10" x14ac:dyDescent="0.25">
      <c r="A1904">
        <v>49</v>
      </c>
      <c r="B1904" t="s">
        <v>34</v>
      </c>
      <c r="C1904">
        <v>0</v>
      </c>
      <c r="D1904">
        <v>0</v>
      </c>
      <c r="E1904">
        <v>3</v>
      </c>
      <c r="F1904">
        <v>57808</v>
      </c>
      <c r="G1904">
        <v>2379</v>
      </c>
      <c r="H1904">
        <v>0</v>
      </c>
      <c r="J1904" t="str">
        <f>VLOOKUP(Table3[[#This Row],[Faction ID]],Table4[],2)</f>
        <v>Scouts of Rohan</v>
      </c>
    </row>
    <row r="1905" spans="1:10" x14ac:dyDescent="0.25">
      <c r="A1905">
        <v>49</v>
      </c>
      <c r="B1905" t="s">
        <v>33</v>
      </c>
      <c r="C1905">
        <v>6</v>
      </c>
      <c r="D1905">
        <v>4</v>
      </c>
      <c r="E1905">
        <v>48</v>
      </c>
      <c r="F1905">
        <v>32705</v>
      </c>
      <c r="G1905">
        <v>8808</v>
      </c>
      <c r="H1905">
        <v>348</v>
      </c>
      <c r="J1905" t="str">
        <f>VLOOKUP(Table3[[#This Row],[Faction ID]],Table4[],2)</f>
        <v>Northern Enedwaith</v>
      </c>
    </row>
    <row r="1906" spans="1:10" x14ac:dyDescent="0.25">
      <c r="A1906">
        <v>49</v>
      </c>
      <c r="B1906" t="s">
        <v>29</v>
      </c>
      <c r="C1906">
        <v>0</v>
      </c>
      <c r="D1906">
        <v>0</v>
      </c>
      <c r="E1906">
        <v>0</v>
      </c>
      <c r="F1906">
        <v>54023</v>
      </c>
      <c r="G1906">
        <v>1750</v>
      </c>
      <c r="H1906">
        <v>0</v>
      </c>
      <c r="J1906" t="str">
        <f>VLOOKUP(Table3[[#This Row],[Faction ID]],Table4[],2)</f>
        <v>Southern Enedwaith</v>
      </c>
    </row>
    <row r="1907" spans="1:10" x14ac:dyDescent="0.25">
      <c r="A1907">
        <v>49</v>
      </c>
      <c r="B1907" t="s">
        <v>30</v>
      </c>
      <c r="C1907">
        <v>2</v>
      </c>
      <c r="D1907">
        <v>1</v>
      </c>
      <c r="E1907">
        <v>15</v>
      </c>
      <c r="F1907">
        <v>29571</v>
      </c>
      <c r="G1907">
        <v>3901</v>
      </c>
      <c r="H1907">
        <v>0</v>
      </c>
      <c r="J1907" t="str">
        <f>VLOOKUP(Table3[[#This Row],[Faction ID]],Table4[],2)</f>
        <v>Druedain</v>
      </c>
    </row>
    <row r="1908" spans="1:10" x14ac:dyDescent="0.25">
      <c r="A1908">
        <v>49</v>
      </c>
      <c r="B1908" t="s">
        <v>31</v>
      </c>
      <c r="C1908">
        <v>0</v>
      </c>
      <c r="D1908">
        <v>0</v>
      </c>
      <c r="E1908">
        <v>0</v>
      </c>
      <c r="F1908">
        <v>15146</v>
      </c>
      <c r="G1908">
        <v>1750</v>
      </c>
      <c r="H1908">
        <v>0</v>
      </c>
      <c r="J1908" t="str">
        <f>VLOOKUP(Table3[[#This Row],[Faction ID]],Table4[],2)</f>
        <v>Harondor</v>
      </c>
    </row>
    <row r="1909" spans="1:10" x14ac:dyDescent="0.25">
      <c r="A1909">
        <v>49</v>
      </c>
      <c r="B1909" t="s">
        <v>35</v>
      </c>
      <c r="C1909">
        <v>0</v>
      </c>
      <c r="D1909">
        <v>0</v>
      </c>
      <c r="E1909">
        <v>0</v>
      </c>
      <c r="F1909">
        <v>4000</v>
      </c>
      <c r="G1909">
        <v>1750</v>
      </c>
      <c r="H1909">
        <v>0</v>
      </c>
      <c r="J1909" t="str">
        <f>VLOOKUP(Table3[[#This Row],[Faction ID]],Table4[],2)</f>
        <v>Southron Nomads</v>
      </c>
    </row>
    <row r="1910" spans="1:10" x14ac:dyDescent="0.25">
      <c r="A1910">
        <v>49</v>
      </c>
      <c r="B1910" t="s">
        <v>36</v>
      </c>
      <c r="C1910">
        <v>0</v>
      </c>
      <c r="D1910">
        <v>0</v>
      </c>
      <c r="E1910">
        <v>0</v>
      </c>
      <c r="F1910">
        <v>4000</v>
      </c>
      <c r="G1910">
        <v>1750</v>
      </c>
      <c r="H1910">
        <v>0</v>
      </c>
      <c r="J1910" t="str">
        <f>VLOOKUP(Table3[[#This Row],[Faction ID]],Table4[],2)</f>
        <v>_</v>
      </c>
    </row>
    <row r="1911" spans="1:10" x14ac:dyDescent="0.25">
      <c r="A1911">
        <v>49</v>
      </c>
      <c r="B1911" t="s">
        <v>37</v>
      </c>
      <c r="C1911">
        <v>0</v>
      </c>
      <c r="D1911">
        <v>0</v>
      </c>
      <c r="E1911">
        <v>0</v>
      </c>
      <c r="F1911">
        <v>4000</v>
      </c>
      <c r="G1911">
        <v>1750</v>
      </c>
      <c r="H1911">
        <v>0</v>
      </c>
      <c r="J1911" t="str">
        <f>VLOOKUP(Table3[[#This Row],[Faction ID]],Table4[],2)</f>
        <v>_</v>
      </c>
    </row>
    <row r="1912" spans="1:10" x14ac:dyDescent="0.25">
      <c r="A1912">
        <v>49</v>
      </c>
      <c r="B1912" t="s">
        <v>38</v>
      </c>
      <c r="C1912">
        <v>0</v>
      </c>
      <c r="D1912">
        <v>0</v>
      </c>
      <c r="E1912">
        <v>0</v>
      </c>
      <c r="F1912">
        <v>4000</v>
      </c>
      <c r="G1912">
        <v>1750</v>
      </c>
      <c r="H1912">
        <v>0</v>
      </c>
      <c r="J1912" t="str">
        <f>VLOOKUP(Table3[[#This Row],[Faction ID]],Table4[],2)</f>
        <v>_</v>
      </c>
    </row>
    <row r="1913" spans="1:10" x14ac:dyDescent="0.25">
      <c r="A1913">
        <v>49</v>
      </c>
      <c r="B1913" t="s">
        <v>39</v>
      </c>
      <c r="C1913">
        <v>0</v>
      </c>
      <c r="D1913">
        <v>0</v>
      </c>
      <c r="E1913">
        <v>0</v>
      </c>
      <c r="F1913">
        <v>4000</v>
      </c>
      <c r="G1913">
        <v>1750</v>
      </c>
      <c r="H1913">
        <v>0</v>
      </c>
      <c r="J1913" t="str">
        <f>VLOOKUP(Table3[[#This Row],[Faction ID]],Table4[],2)</f>
        <v>_</v>
      </c>
    </row>
    <row r="1914" spans="1:10" x14ac:dyDescent="0.25">
      <c r="A1914">
        <v>49</v>
      </c>
      <c r="B1914" t="s">
        <v>40</v>
      </c>
      <c r="C1914">
        <v>0</v>
      </c>
      <c r="D1914">
        <v>0</v>
      </c>
      <c r="E1914">
        <v>0</v>
      </c>
      <c r="F1914">
        <v>4000</v>
      </c>
      <c r="G1914">
        <v>1750</v>
      </c>
      <c r="H1914">
        <v>0</v>
      </c>
      <c r="J1914" t="str">
        <f>VLOOKUP(Table3[[#This Row],[Faction ID]],Table4[],2)</f>
        <v>_</v>
      </c>
    </row>
    <row r="1915" spans="1:10" x14ac:dyDescent="0.25">
      <c r="A1915">
        <v>49</v>
      </c>
      <c r="B1915" t="s">
        <v>41</v>
      </c>
      <c r="C1915">
        <v>0</v>
      </c>
      <c r="D1915">
        <v>0</v>
      </c>
      <c r="E1915">
        <v>0</v>
      </c>
      <c r="F1915">
        <v>4000</v>
      </c>
      <c r="G1915">
        <v>1750</v>
      </c>
      <c r="H1915">
        <v>0</v>
      </c>
      <c r="J1915" t="str">
        <f>VLOOKUP(Table3[[#This Row],[Faction ID]],Table4[],2)</f>
        <v>_</v>
      </c>
    </row>
    <row r="1916" spans="1:10" x14ac:dyDescent="0.25">
      <c r="A1916">
        <v>49</v>
      </c>
      <c r="B1916" t="s">
        <v>42</v>
      </c>
      <c r="C1916">
        <v>0</v>
      </c>
      <c r="D1916">
        <v>0</v>
      </c>
      <c r="E1916">
        <v>0</v>
      </c>
      <c r="F1916">
        <v>4000</v>
      </c>
      <c r="G1916">
        <v>1750</v>
      </c>
      <c r="H1916">
        <v>0</v>
      </c>
      <c r="J1916" t="str">
        <f>VLOOKUP(Table3[[#This Row],[Faction ID]],Table4[],2)</f>
        <v>_</v>
      </c>
    </row>
    <row r="1917" spans="1:10" x14ac:dyDescent="0.25">
      <c r="A1917">
        <v>49</v>
      </c>
      <c r="B1917" t="s">
        <v>43</v>
      </c>
      <c r="C1917">
        <v>0</v>
      </c>
      <c r="D1917">
        <v>0</v>
      </c>
      <c r="E1917">
        <v>0</v>
      </c>
      <c r="F1917">
        <v>4000</v>
      </c>
      <c r="G1917">
        <v>1750</v>
      </c>
      <c r="H1917">
        <v>0</v>
      </c>
      <c r="J1917" t="str">
        <f>VLOOKUP(Table3[[#This Row],[Faction ID]],Table4[],2)</f>
        <v>_</v>
      </c>
    </row>
    <row r="1918" spans="1:10" x14ac:dyDescent="0.25">
      <c r="A1918">
        <v>49</v>
      </c>
      <c r="B1918" t="s">
        <v>44</v>
      </c>
      <c r="C1918">
        <v>0</v>
      </c>
      <c r="D1918">
        <v>0</v>
      </c>
      <c r="E1918">
        <v>0</v>
      </c>
      <c r="F1918">
        <v>4000</v>
      </c>
      <c r="G1918">
        <v>1750</v>
      </c>
      <c r="H1918">
        <v>0</v>
      </c>
      <c r="J1918" t="str">
        <f>VLOOKUP(Table3[[#This Row],[Faction ID]],Table4[],2)</f>
        <v>_</v>
      </c>
    </row>
    <row r="1919" spans="1:10" x14ac:dyDescent="0.25">
      <c r="A1919">
        <v>50</v>
      </c>
      <c r="B1919" t="s">
        <v>9</v>
      </c>
      <c r="C1919">
        <v>168</v>
      </c>
      <c r="D1919">
        <v>21</v>
      </c>
      <c r="E1919">
        <v>209.2</v>
      </c>
      <c r="F1919">
        <v>4540</v>
      </c>
      <c r="G1919">
        <v>21345</v>
      </c>
      <c r="H1919">
        <v>1020</v>
      </c>
      <c r="J1919" t="str">
        <f>VLOOKUP(Table3[[#This Row],[Faction ID]],Table4[],2)</f>
        <v>Mordor</v>
      </c>
    </row>
    <row r="1920" spans="1:10" x14ac:dyDescent="0.25">
      <c r="A1920">
        <v>50</v>
      </c>
      <c r="B1920" t="s">
        <v>4</v>
      </c>
      <c r="C1920">
        <v>136</v>
      </c>
      <c r="D1920">
        <v>7</v>
      </c>
      <c r="E1920">
        <v>119</v>
      </c>
      <c r="F1920">
        <v>63015</v>
      </c>
      <c r="G1920">
        <v>21495</v>
      </c>
      <c r="H1920">
        <v>407</v>
      </c>
      <c r="J1920" t="str">
        <f>VLOOKUP(Table3[[#This Row],[Faction ID]],Table4[],2)</f>
        <v>Gondor</v>
      </c>
    </row>
    <row r="1921" spans="1:10" x14ac:dyDescent="0.25">
      <c r="A1921">
        <v>50</v>
      </c>
      <c r="B1921" t="s">
        <v>6</v>
      </c>
      <c r="C1921">
        <v>110</v>
      </c>
      <c r="D1921">
        <v>3</v>
      </c>
      <c r="E1921">
        <v>49.6</v>
      </c>
      <c r="F1921">
        <v>18277</v>
      </c>
      <c r="G1921">
        <v>10425</v>
      </c>
      <c r="H1921">
        <v>193</v>
      </c>
      <c r="J1921" t="str">
        <f>VLOOKUP(Table3[[#This Row],[Faction ID]],Table4[],2)</f>
        <v>Dale</v>
      </c>
    </row>
    <row r="1922" spans="1:10" x14ac:dyDescent="0.25">
      <c r="A1922">
        <v>50</v>
      </c>
      <c r="B1922" t="s">
        <v>21</v>
      </c>
      <c r="C1922">
        <v>143</v>
      </c>
      <c r="D1922">
        <v>4</v>
      </c>
      <c r="E1922">
        <v>90.1</v>
      </c>
      <c r="F1922">
        <v>66119</v>
      </c>
      <c r="G1922">
        <v>18390</v>
      </c>
      <c r="H1922">
        <v>432</v>
      </c>
      <c r="J1922" t="str">
        <f>VLOOKUP(Table3[[#This Row],[Faction ID]],Table4[],2)</f>
        <v>Erebor</v>
      </c>
    </row>
    <row r="1923" spans="1:10" x14ac:dyDescent="0.25">
      <c r="A1923">
        <v>50</v>
      </c>
      <c r="B1923" t="s">
        <v>5</v>
      </c>
      <c r="C1923">
        <v>138</v>
      </c>
      <c r="D1923">
        <v>7</v>
      </c>
      <c r="E1923">
        <v>63.8</v>
      </c>
      <c r="F1923">
        <v>19750</v>
      </c>
      <c r="G1923">
        <v>9984</v>
      </c>
      <c r="H1923">
        <v>296</v>
      </c>
      <c r="J1923" t="str">
        <f>VLOOKUP(Table3[[#This Row],[Faction ID]],Table4[],2)</f>
        <v>Rohan</v>
      </c>
    </row>
    <row r="1924" spans="1:10" x14ac:dyDescent="0.25">
      <c r="A1924">
        <v>50</v>
      </c>
      <c r="B1924" t="s">
        <v>12</v>
      </c>
      <c r="C1924">
        <v>149</v>
      </c>
      <c r="D1924">
        <v>14</v>
      </c>
      <c r="E1924">
        <v>181.7</v>
      </c>
      <c r="F1924">
        <v>15683</v>
      </c>
      <c r="G1924">
        <v>21672</v>
      </c>
      <c r="H1924">
        <v>1287</v>
      </c>
      <c r="J1924" t="str">
        <f>VLOOKUP(Table3[[#This Row],[Faction ID]],Table4[],2)</f>
        <v>Dol Guldur</v>
      </c>
    </row>
    <row r="1925" spans="1:10" x14ac:dyDescent="0.25">
      <c r="A1925">
        <v>50</v>
      </c>
      <c r="B1925" t="s">
        <v>10</v>
      </c>
      <c r="C1925">
        <v>58</v>
      </c>
      <c r="D1925">
        <v>0</v>
      </c>
      <c r="E1925">
        <v>0</v>
      </c>
      <c r="F1925">
        <v>4515</v>
      </c>
      <c r="G1925">
        <v>2500</v>
      </c>
      <c r="H1925">
        <v>0</v>
      </c>
      <c r="J1925" t="str">
        <f>VLOOKUP(Table3[[#This Row],[Faction ID]],Table4[],2)</f>
        <v>Anduin Vale</v>
      </c>
    </row>
    <row r="1926" spans="1:10" x14ac:dyDescent="0.25">
      <c r="A1926">
        <v>50</v>
      </c>
      <c r="B1926" t="s">
        <v>32</v>
      </c>
      <c r="C1926">
        <v>156</v>
      </c>
      <c r="D1926">
        <v>5</v>
      </c>
      <c r="E1926">
        <v>120.3</v>
      </c>
      <c r="F1926">
        <v>21304</v>
      </c>
      <c r="G1926">
        <v>17739</v>
      </c>
      <c r="H1926">
        <v>685</v>
      </c>
      <c r="J1926" t="str">
        <f>VLOOKUP(Table3[[#This Row],[Faction ID]],Table4[],2)</f>
        <v>Isengard</v>
      </c>
    </row>
    <row r="1927" spans="1:10" x14ac:dyDescent="0.25">
      <c r="A1927">
        <v>50</v>
      </c>
      <c r="B1927" t="s">
        <v>22</v>
      </c>
      <c r="C1927">
        <v>30</v>
      </c>
      <c r="D1927">
        <v>0</v>
      </c>
      <c r="E1927">
        <v>0</v>
      </c>
      <c r="F1927">
        <v>8475</v>
      </c>
      <c r="G1927">
        <v>2500</v>
      </c>
      <c r="H1927">
        <v>0</v>
      </c>
      <c r="J1927" t="str">
        <f>VLOOKUP(Table3[[#This Row],[Faction ID]],Table4[],2)</f>
        <v>Woodland Realm</v>
      </c>
    </row>
    <row r="1928" spans="1:10" x14ac:dyDescent="0.25">
      <c r="A1928">
        <v>50</v>
      </c>
      <c r="B1928" t="s">
        <v>23</v>
      </c>
      <c r="C1928">
        <v>64</v>
      </c>
      <c r="D1928">
        <v>0</v>
      </c>
      <c r="E1928">
        <v>0</v>
      </c>
      <c r="F1928">
        <v>4721</v>
      </c>
      <c r="G1928">
        <v>2500</v>
      </c>
      <c r="H1928">
        <v>0</v>
      </c>
      <c r="J1928" t="str">
        <f>VLOOKUP(Table3[[#This Row],[Faction ID]],Table4[],2)</f>
        <v>Lothlorien</v>
      </c>
    </row>
    <row r="1929" spans="1:10" x14ac:dyDescent="0.25">
      <c r="A1929">
        <v>50</v>
      </c>
      <c r="B1929" t="s">
        <v>24</v>
      </c>
      <c r="C1929">
        <v>0</v>
      </c>
      <c r="D1929">
        <v>0</v>
      </c>
      <c r="E1929">
        <v>0</v>
      </c>
      <c r="F1929">
        <v>4919</v>
      </c>
      <c r="G1929">
        <v>1750</v>
      </c>
      <c r="H1929">
        <v>0</v>
      </c>
      <c r="J1929" t="str">
        <f>VLOOKUP(Table3[[#This Row],[Faction ID]],Table4[],2)</f>
        <v>Variags (Khand)</v>
      </c>
    </row>
    <row r="1930" spans="1:10" x14ac:dyDescent="0.25">
      <c r="A1930">
        <v>50</v>
      </c>
      <c r="B1930" t="s">
        <v>14</v>
      </c>
      <c r="C1930">
        <v>10</v>
      </c>
      <c r="D1930">
        <v>7</v>
      </c>
      <c r="E1930">
        <v>91.6</v>
      </c>
      <c r="F1930">
        <v>20984</v>
      </c>
      <c r="G1930">
        <v>16317</v>
      </c>
      <c r="H1930">
        <v>1016</v>
      </c>
      <c r="J1930" t="str">
        <f>VLOOKUP(Table3[[#This Row],[Faction ID]],Table4[],2)</f>
        <v>Corsairs of Umbar</v>
      </c>
    </row>
    <row r="1931" spans="1:10" x14ac:dyDescent="0.25">
      <c r="A1931">
        <v>50</v>
      </c>
      <c r="B1931" t="s">
        <v>25</v>
      </c>
      <c r="C1931">
        <v>5</v>
      </c>
      <c r="D1931">
        <v>3</v>
      </c>
      <c r="E1931">
        <v>48</v>
      </c>
      <c r="F1931">
        <v>13185</v>
      </c>
      <c r="G1931">
        <v>6655</v>
      </c>
      <c r="H1931">
        <v>0</v>
      </c>
      <c r="J1931" t="str">
        <f>VLOOKUP(Table3[[#This Row],[Faction ID]],Table4[],2)</f>
        <v>Mahud</v>
      </c>
    </row>
    <row r="1932" spans="1:10" x14ac:dyDescent="0.25">
      <c r="A1932">
        <v>50</v>
      </c>
      <c r="B1932" t="s">
        <v>11</v>
      </c>
      <c r="C1932">
        <v>95</v>
      </c>
      <c r="D1932">
        <v>6</v>
      </c>
      <c r="E1932">
        <v>90</v>
      </c>
      <c r="F1932">
        <v>17616</v>
      </c>
      <c r="G1932">
        <v>12498</v>
      </c>
      <c r="H1932">
        <v>0</v>
      </c>
      <c r="J1932" t="str">
        <f>VLOOKUP(Table3[[#This Row],[Faction ID]],Table4[],2)</f>
        <v>Haradrim</v>
      </c>
    </row>
    <row r="1933" spans="1:10" x14ac:dyDescent="0.25">
      <c r="A1933">
        <v>50</v>
      </c>
      <c r="B1933" t="s">
        <v>15</v>
      </c>
      <c r="C1933">
        <v>103</v>
      </c>
      <c r="D1933">
        <v>9</v>
      </c>
      <c r="E1933">
        <v>142.5</v>
      </c>
      <c r="F1933">
        <v>17794</v>
      </c>
      <c r="G1933">
        <v>21345</v>
      </c>
      <c r="H1933">
        <v>1041</v>
      </c>
      <c r="J1933" t="str">
        <f>VLOOKUP(Table3[[#This Row],[Faction ID]],Table4[],2)</f>
        <v>Dunlendings</v>
      </c>
    </row>
    <row r="1934" spans="1:10" x14ac:dyDescent="0.25">
      <c r="A1934">
        <v>50</v>
      </c>
      <c r="B1934" t="s">
        <v>16</v>
      </c>
      <c r="C1934">
        <v>0</v>
      </c>
      <c r="D1934">
        <v>0</v>
      </c>
      <c r="E1934">
        <v>0</v>
      </c>
      <c r="F1934">
        <v>5352</v>
      </c>
      <c r="G1934">
        <v>1750</v>
      </c>
      <c r="H1934">
        <v>0</v>
      </c>
      <c r="J1934" t="str">
        <f>VLOOKUP(Table3[[#This Row],[Faction ID]],Table4[],2)</f>
        <v>Haerrim</v>
      </c>
    </row>
    <row r="1935" spans="1:10" x14ac:dyDescent="0.25">
      <c r="A1935">
        <v>50</v>
      </c>
      <c r="B1935" t="s">
        <v>13</v>
      </c>
      <c r="C1935">
        <v>210</v>
      </c>
      <c r="D1935">
        <v>15</v>
      </c>
      <c r="E1935">
        <v>207.6</v>
      </c>
      <c r="F1935">
        <v>31603</v>
      </c>
      <c r="G1935">
        <v>26489</v>
      </c>
      <c r="H1935">
        <v>2731</v>
      </c>
      <c r="J1935" t="str">
        <f>VLOOKUP(Table3[[#This Row],[Faction ID]],Table4[],2)</f>
        <v>Goblins</v>
      </c>
    </row>
    <row r="1936" spans="1:10" x14ac:dyDescent="0.25">
      <c r="A1936">
        <v>50</v>
      </c>
      <c r="B1936" t="s">
        <v>17</v>
      </c>
      <c r="C1936">
        <v>0</v>
      </c>
      <c r="D1936">
        <v>0</v>
      </c>
      <c r="E1936">
        <v>0</v>
      </c>
      <c r="F1936">
        <v>4872</v>
      </c>
      <c r="G1936">
        <v>1750</v>
      </c>
      <c r="H1936">
        <v>0</v>
      </c>
      <c r="J1936" t="str">
        <f>VLOOKUP(Table3[[#This Row],[Faction ID]],Table4[],2)</f>
        <v>Balchoth</v>
      </c>
    </row>
    <row r="1937" spans="1:10" x14ac:dyDescent="0.25">
      <c r="A1937">
        <v>50</v>
      </c>
      <c r="B1937" t="s">
        <v>18</v>
      </c>
      <c r="C1937">
        <v>168</v>
      </c>
      <c r="D1937">
        <v>32</v>
      </c>
      <c r="E1937">
        <v>365.7</v>
      </c>
      <c r="F1937">
        <v>39322</v>
      </c>
      <c r="G1937">
        <v>35504</v>
      </c>
      <c r="H1937">
        <v>1210</v>
      </c>
      <c r="J1937" t="str">
        <f>VLOOKUP(Table3[[#This Row],[Faction ID]],Table4[],2)</f>
        <v>Rhurim/Rhun</v>
      </c>
    </row>
    <row r="1938" spans="1:10" x14ac:dyDescent="0.25">
      <c r="A1938">
        <v>50</v>
      </c>
      <c r="B1938" t="s">
        <v>19</v>
      </c>
      <c r="C1938">
        <v>0</v>
      </c>
      <c r="D1938">
        <v>0</v>
      </c>
      <c r="E1938">
        <v>0</v>
      </c>
      <c r="F1938">
        <v>7360</v>
      </c>
      <c r="G1938">
        <v>1750</v>
      </c>
      <c r="H1938">
        <v>0</v>
      </c>
      <c r="J1938" t="str">
        <f>VLOOKUP(Table3[[#This Row],[Faction ID]],Table4[],2)</f>
        <v>Feredrim</v>
      </c>
    </row>
    <row r="1939" spans="1:10" x14ac:dyDescent="0.25">
      <c r="A1939">
        <v>50</v>
      </c>
      <c r="B1939" t="s">
        <v>26</v>
      </c>
      <c r="C1939">
        <v>0</v>
      </c>
      <c r="D1939">
        <v>0</v>
      </c>
      <c r="E1939">
        <v>0</v>
      </c>
      <c r="F1939">
        <v>6395</v>
      </c>
      <c r="G1939">
        <v>1750</v>
      </c>
      <c r="H1939">
        <v>0</v>
      </c>
      <c r="J1939" t="str">
        <f>VLOOKUP(Table3[[#This Row],[Faction ID]],Table4[],2)</f>
        <v>Rachrohir (Wainriders)</v>
      </c>
    </row>
    <row r="1940" spans="1:10" x14ac:dyDescent="0.25">
      <c r="A1940">
        <v>50</v>
      </c>
      <c r="B1940" t="s">
        <v>27</v>
      </c>
      <c r="C1940">
        <v>5</v>
      </c>
      <c r="D1940">
        <v>3</v>
      </c>
      <c r="E1940">
        <v>52</v>
      </c>
      <c r="F1940">
        <v>74783</v>
      </c>
      <c r="G1940">
        <v>11558</v>
      </c>
      <c r="H1940">
        <v>0</v>
      </c>
      <c r="J1940" t="str">
        <f>VLOOKUP(Table3[[#This Row],[Faction ID]],Table4[],2)</f>
        <v>Blacklock-Stonefoot League</v>
      </c>
    </row>
    <row r="1941" spans="1:10" x14ac:dyDescent="0.25">
      <c r="A1941">
        <v>50</v>
      </c>
      <c r="B1941" t="s">
        <v>28</v>
      </c>
      <c r="C1941">
        <v>4</v>
      </c>
      <c r="D1941">
        <v>2</v>
      </c>
      <c r="E1941">
        <v>41</v>
      </c>
      <c r="F1941">
        <v>32096</v>
      </c>
      <c r="G1941">
        <v>8511</v>
      </c>
      <c r="H1941">
        <v>0</v>
      </c>
      <c r="J1941" t="str">
        <f>VLOOKUP(Table3[[#This Row],[Faction ID]],Table4[],2)</f>
        <v>Ironfist-Stiffbeard Union</v>
      </c>
    </row>
    <row r="1942" spans="1:10" x14ac:dyDescent="0.25">
      <c r="A1942">
        <v>50</v>
      </c>
      <c r="B1942" t="s">
        <v>20</v>
      </c>
      <c r="C1942">
        <v>129</v>
      </c>
      <c r="D1942">
        <v>12</v>
      </c>
      <c r="E1942">
        <v>189.5</v>
      </c>
      <c r="F1942">
        <v>11129</v>
      </c>
      <c r="G1942">
        <v>20943</v>
      </c>
      <c r="H1942">
        <v>911</v>
      </c>
      <c r="J1942" t="str">
        <f>VLOOKUP(Table3[[#This Row],[Faction ID]],Table4[],2)</f>
        <v>Gundabad</v>
      </c>
    </row>
    <row r="1943" spans="1:10" x14ac:dyDescent="0.25">
      <c r="A1943">
        <v>50</v>
      </c>
      <c r="B1943" t="s">
        <v>34</v>
      </c>
      <c r="C1943">
        <v>0</v>
      </c>
      <c r="D1943">
        <v>0</v>
      </c>
      <c r="E1943">
        <v>3</v>
      </c>
      <c r="F1943">
        <v>58929</v>
      </c>
      <c r="G1943">
        <v>2379</v>
      </c>
      <c r="H1943">
        <v>0</v>
      </c>
      <c r="J1943" t="str">
        <f>VLOOKUP(Table3[[#This Row],[Faction ID]],Table4[],2)</f>
        <v>Scouts of Rohan</v>
      </c>
    </row>
    <row r="1944" spans="1:10" x14ac:dyDescent="0.25">
      <c r="A1944">
        <v>50</v>
      </c>
      <c r="B1944" t="s">
        <v>33</v>
      </c>
      <c r="C1944">
        <v>6</v>
      </c>
      <c r="D1944">
        <v>4</v>
      </c>
      <c r="E1944">
        <v>52</v>
      </c>
      <c r="F1944">
        <v>37054</v>
      </c>
      <c r="G1944">
        <v>8889</v>
      </c>
      <c r="H1944">
        <v>349</v>
      </c>
      <c r="J1944" t="str">
        <f>VLOOKUP(Table3[[#This Row],[Faction ID]],Table4[],2)</f>
        <v>Northern Enedwaith</v>
      </c>
    </row>
    <row r="1945" spans="1:10" x14ac:dyDescent="0.25">
      <c r="A1945">
        <v>50</v>
      </c>
      <c r="B1945" t="s">
        <v>29</v>
      </c>
      <c r="C1945">
        <v>0</v>
      </c>
      <c r="D1945">
        <v>0</v>
      </c>
      <c r="E1945">
        <v>0</v>
      </c>
      <c r="F1945">
        <v>54023</v>
      </c>
      <c r="G1945">
        <v>1750</v>
      </c>
      <c r="H1945">
        <v>0</v>
      </c>
      <c r="J1945" t="str">
        <f>VLOOKUP(Table3[[#This Row],[Faction ID]],Table4[],2)</f>
        <v>Southern Enedwaith</v>
      </c>
    </row>
    <row r="1946" spans="1:10" x14ac:dyDescent="0.25">
      <c r="A1946">
        <v>50</v>
      </c>
      <c r="B1946" t="s">
        <v>30</v>
      </c>
      <c r="C1946">
        <v>2</v>
      </c>
      <c r="D1946">
        <v>1</v>
      </c>
      <c r="E1946">
        <v>18</v>
      </c>
      <c r="F1946">
        <v>29513</v>
      </c>
      <c r="G1946">
        <v>4110</v>
      </c>
      <c r="H1946">
        <v>0</v>
      </c>
      <c r="J1946" t="str">
        <f>VLOOKUP(Table3[[#This Row],[Faction ID]],Table4[],2)</f>
        <v>Druedain</v>
      </c>
    </row>
    <row r="1947" spans="1:10" x14ac:dyDescent="0.25">
      <c r="A1947">
        <v>50</v>
      </c>
      <c r="B1947" t="s">
        <v>31</v>
      </c>
      <c r="C1947">
        <v>0</v>
      </c>
      <c r="D1947">
        <v>0</v>
      </c>
      <c r="E1947">
        <v>0</v>
      </c>
      <c r="F1947">
        <v>15146</v>
      </c>
      <c r="G1947">
        <v>1750</v>
      </c>
      <c r="H1947">
        <v>0</v>
      </c>
      <c r="J1947" t="str">
        <f>VLOOKUP(Table3[[#This Row],[Faction ID]],Table4[],2)</f>
        <v>Harondor</v>
      </c>
    </row>
    <row r="1948" spans="1:10" x14ac:dyDescent="0.25">
      <c r="A1948">
        <v>50</v>
      </c>
      <c r="B1948" t="s">
        <v>35</v>
      </c>
      <c r="C1948">
        <v>0</v>
      </c>
      <c r="D1948">
        <v>0</v>
      </c>
      <c r="E1948">
        <v>0</v>
      </c>
      <c r="F1948">
        <v>4000</v>
      </c>
      <c r="G1948">
        <v>1750</v>
      </c>
      <c r="H1948">
        <v>0</v>
      </c>
      <c r="J1948" t="str">
        <f>VLOOKUP(Table3[[#This Row],[Faction ID]],Table4[],2)</f>
        <v>Southron Nomads</v>
      </c>
    </row>
    <row r="1949" spans="1:10" x14ac:dyDescent="0.25">
      <c r="A1949">
        <v>50</v>
      </c>
      <c r="B1949" t="s">
        <v>36</v>
      </c>
      <c r="C1949">
        <v>0</v>
      </c>
      <c r="D1949">
        <v>0</v>
      </c>
      <c r="E1949">
        <v>0</v>
      </c>
      <c r="F1949">
        <v>4000</v>
      </c>
      <c r="G1949">
        <v>1750</v>
      </c>
      <c r="H1949">
        <v>0</v>
      </c>
      <c r="J1949" t="str">
        <f>VLOOKUP(Table3[[#This Row],[Faction ID]],Table4[],2)</f>
        <v>_</v>
      </c>
    </row>
    <row r="1950" spans="1:10" x14ac:dyDescent="0.25">
      <c r="A1950">
        <v>50</v>
      </c>
      <c r="B1950" t="s">
        <v>37</v>
      </c>
      <c r="C1950">
        <v>0</v>
      </c>
      <c r="D1950">
        <v>0</v>
      </c>
      <c r="E1950">
        <v>0</v>
      </c>
      <c r="F1950">
        <v>4000</v>
      </c>
      <c r="G1950">
        <v>1750</v>
      </c>
      <c r="H1950">
        <v>0</v>
      </c>
      <c r="J1950" t="str">
        <f>VLOOKUP(Table3[[#This Row],[Faction ID]],Table4[],2)</f>
        <v>_</v>
      </c>
    </row>
    <row r="1951" spans="1:10" x14ac:dyDescent="0.25">
      <c r="A1951">
        <v>50</v>
      </c>
      <c r="B1951" t="s">
        <v>38</v>
      </c>
      <c r="C1951">
        <v>0</v>
      </c>
      <c r="D1951">
        <v>0</v>
      </c>
      <c r="E1951">
        <v>0</v>
      </c>
      <c r="F1951">
        <v>4000</v>
      </c>
      <c r="G1951">
        <v>1750</v>
      </c>
      <c r="H1951">
        <v>0</v>
      </c>
      <c r="J1951" t="str">
        <f>VLOOKUP(Table3[[#This Row],[Faction ID]],Table4[],2)</f>
        <v>_</v>
      </c>
    </row>
    <row r="1952" spans="1:10" x14ac:dyDescent="0.25">
      <c r="A1952">
        <v>50</v>
      </c>
      <c r="B1952" t="s">
        <v>39</v>
      </c>
      <c r="C1952">
        <v>0</v>
      </c>
      <c r="D1952">
        <v>0</v>
      </c>
      <c r="E1952">
        <v>0</v>
      </c>
      <c r="F1952">
        <v>4000</v>
      </c>
      <c r="G1952">
        <v>1750</v>
      </c>
      <c r="H1952">
        <v>0</v>
      </c>
      <c r="J1952" t="str">
        <f>VLOOKUP(Table3[[#This Row],[Faction ID]],Table4[],2)</f>
        <v>_</v>
      </c>
    </row>
    <row r="1953" spans="1:10" x14ac:dyDescent="0.25">
      <c r="A1953">
        <v>50</v>
      </c>
      <c r="B1953" t="s">
        <v>40</v>
      </c>
      <c r="C1953">
        <v>0</v>
      </c>
      <c r="D1953">
        <v>0</v>
      </c>
      <c r="E1953">
        <v>0</v>
      </c>
      <c r="F1953">
        <v>4000</v>
      </c>
      <c r="G1953">
        <v>1750</v>
      </c>
      <c r="H1953">
        <v>0</v>
      </c>
      <c r="J1953" t="str">
        <f>VLOOKUP(Table3[[#This Row],[Faction ID]],Table4[],2)</f>
        <v>_</v>
      </c>
    </row>
    <row r="1954" spans="1:10" x14ac:dyDescent="0.25">
      <c r="A1954">
        <v>50</v>
      </c>
      <c r="B1954" t="s">
        <v>41</v>
      </c>
      <c r="C1954">
        <v>0</v>
      </c>
      <c r="D1954">
        <v>0</v>
      </c>
      <c r="E1954">
        <v>0</v>
      </c>
      <c r="F1954">
        <v>4000</v>
      </c>
      <c r="G1954">
        <v>1750</v>
      </c>
      <c r="H1954">
        <v>0</v>
      </c>
      <c r="J1954" t="str">
        <f>VLOOKUP(Table3[[#This Row],[Faction ID]],Table4[],2)</f>
        <v>_</v>
      </c>
    </row>
    <row r="1955" spans="1:10" x14ac:dyDescent="0.25">
      <c r="A1955">
        <v>50</v>
      </c>
      <c r="B1955" t="s">
        <v>42</v>
      </c>
      <c r="C1955">
        <v>0</v>
      </c>
      <c r="D1955">
        <v>0</v>
      </c>
      <c r="E1955">
        <v>0</v>
      </c>
      <c r="F1955">
        <v>4000</v>
      </c>
      <c r="G1955">
        <v>1750</v>
      </c>
      <c r="H1955">
        <v>0</v>
      </c>
      <c r="J1955" t="str">
        <f>VLOOKUP(Table3[[#This Row],[Faction ID]],Table4[],2)</f>
        <v>_</v>
      </c>
    </row>
    <row r="1956" spans="1:10" x14ac:dyDescent="0.25">
      <c r="A1956">
        <v>50</v>
      </c>
      <c r="B1956" t="s">
        <v>43</v>
      </c>
      <c r="C1956">
        <v>0</v>
      </c>
      <c r="D1956">
        <v>0</v>
      </c>
      <c r="E1956">
        <v>0</v>
      </c>
      <c r="F1956">
        <v>4000</v>
      </c>
      <c r="G1956">
        <v>1750</v>
      </c>
      <c r="H1956">
        <v>0</v>
      </c>
      <c r="J1956" t="str">
        <f>VLOOKUP(Table3[[#This Row],[Faction ID]],Table4[],2)</f>
        <v>_</v>
      </c>
    </row>
    <row r="1957" spans="1:10" x14ac:dyDescent="0.25">
      <c r="A1957">
        <v>50</v>
      </c>
      <c r="B1957" t="s">
        <v>44</v>
      </c>
      <c r="C1957">
        <v>0</v>
      </c>
      <c r="D1957">
        <v>0</v>
      </c>
      <c r="E1957">
        <v>0</v>
      </c>
      <c r="F1957">
        <v>4000</v>
      </c>
      <c r="G1957">
        <v>1750</v>
      </c>
      <c r="H1957">
        <v>0</v>
      </c>
      <c r="J1957" t="str">
        <f>VLOOKUP(Table3[[#This Row],[Faction ID]],Table4[],2)</f>
        <v>_</v>
      </c>
    </row>
    <row r="1958" spans="1:10" x14ac:dyDescent="0.25">
      <c r="A1958">
        <v>51</v>
      </c>
      <c r="B1958" t="s">
        <v>9</v>
      </c>
      <c r="C1958">
        <v>172</v>
      </c>
      <c r="D1958">
        <v>21</v>
      </c>
      <c r="E1958">
        <v>210.2</v>
      </c>
      <c r="F1958">
        <v>5107</v>
      </c>
      <c r="G1958">
        <v>21419</v>
      </c>
      <c r="H1958">
        <v>1019</v>
      </c>
      <c r="J1958" t="str">
        <f>VLOOKUP(Table3[[#This Row],[Faction ID]],Table4[],2)</f>
        <v>Mordor</v>
      </c>
    </row>
    <row r="1959" spans="1:10" x14ac:dyDescent="0.25">
      <c r="A1959">
        <v>51</v>
      </c>
      <c r="B1959" t="s">
        <v>4</v>
      </c>
      <c r="C1959">
        <v>136</v>
      </c>
      <c r="D1959">
        <v>7</v>
      </c>
      <c r="E1959">
        <v>122</v>
      </c>
      <c r="F1959">
        <v>63328</v>
      </c>
      <c r="G1959">
        <v>22129</v>
      </c>
      <c r="H1959">
        <v>407</v>
      </c>
      <c r="J1959" t="str">
        <f>VLOOKUP(Table3[[#This Row],[Faction ID]],Table4[],2)</f>
        <v>Gondor</v>
      </c>
    </row>
    <row r="1960" spans="1:10" x14ac:dyDescent="0.25">
      <c r="A1960">
        <v>51</v>
      </c>
      <c r="B1960" t="s">
        <v>6</v>
      </c>
      <c r="C1960">
        <v>110</v>
      </c>
      <c r="D1960">
        <v>3</v>
      </c>
      <c r="E1960">
        <v>48.6</v>
      </c>
      <c r="F1960">
        <v>24801</v>
      </c>
      <c r="G1960">
        <v>9946</v>
      </c>
      <c r="H1960">
        <v>189</v>
      </c>
      <c r="J1960" t="str">
        <f>VLOOKUP(Table3[[#This Row],[Faction ID]],Table4[],2)</f>
        <v>Dale</v>
      </c>
    </row>
    <row r="1961" spans="1:10" x14ac:dyDescent="0.25">
      <c r="A1961">
        <v>51</v>
      </c>
      <c r="B1961" t="s">
        <v>21</v>
      </c>
      <c r="C1961">
        <v>143</v>
      </c>
      <c r="D1961">
        <v>4</v>
      </c>
      <c r="E1961">
        <v>61.1</v>
      </c>
      <c r="F1961">
        <v>71708</v>
      </c>
      <c r="G1961">
        <v>16129</v>
      </c>
      <c r="H1961">
        <v>429</v>
      </c>
      <c r="J1961" t="str">
        <f>VLOOKUP(Table3[[#This Row],[Faction ID]],Table4[],2)</f>
        <v>Erebor</v>
      </c>
    </row>
    <row r="1962" spans="1:10" x14ac:dyDescent="0.25">
      <c r="A1962">
        <v>51</v>
      </c>
      <c r="B1962" t="s">
        <v>5</v>
      </c>
      <c r="C1962">
        <v>142</v>
      </c>
      <c r="D1962">
        <v>6</v>
      </c>
      <c r="E1962">
        <v>78.599999999999994</v>
      </c>
      <c r="F1962">
        <v>12171</v>
      </c>
      <c r="G1962">
        <v>10481</v>
      </c>
      <c r="H1962">
        <v>346</v>
      </c>
      <c r="J1962" t="str">
        <f>VLOOKUP(Table3[[#This Row],[Faction ID]],Table4[],2)</f>
        <v>Rohan</v>
      </c>
    </row>
    <row r="1963" spans="1:10" x14ac:dyDescent="0.25">
      <c r="A1963">
        <v>51</v>
      </c>
      <c r="B1963" t="s">
        <v>12</v>
      </c>
      <c r="C1963">
        <v>148</v>
      </c>
      <c r="D1963">
        <v>13</v>
      </c>
      <c r="E1963">
        <v>181.7</v>
      </c>
      <c r="F1963">
        <v>16616</v>
      </c>
      <c r="G1963">
        <v>23264</v>
      </c>
      <c r="H1963">
        <v>1410</v>
      </c>
      <c r="J1963" t="str">
        <f>VLOOKUP(Table3[[#This Row],[Faction ID]],Table4[],2)</f>
        <v>Dol Guldur</v>
      </c>
    </row>
    <row r="1964" spans="1:10" x14ac:dyDescent="0.25">
      <c r="A1964">
        <v>51</v>
      </c>
      <c r="B1964" t="s">
        <v>10</v>
      </c>
      <c r="C1964">
        <v>58</v>
      </c>
      <c r="D1964">
        <v>0</v>
      </c>
      <c r="E1964">
        <v>0</v>
      </c>
      <c r="F1964">
        <v>4515</v>
      </c>
      <c r="G1964">
        <v>2500</v>
      </c>
      <c r="H1964">
        <v>0</v>
      </c>
      <c r="J1964" t="str">
        <f>VLOOKUP(Table3[[#This Row],[Faction ID]],Table4[],2)</f>
        <v>Anduin Vale</v>
      </c>
    </row>
    <row r="1965" spans="1:10" x14ac:dyDescent="0.25">
      <c r="A1965">
        <v>51</v>
      </c>
      <c r="B1965" t="s">
        <v>32</v>
      </c>
      <c r="C1965">
        <v>177</v>
      </c>
      <c r="D1965">
        <v>6</v>
      </c>
      <c r="E1965">
        <v>113.2</v>
      </c>
      <c r="F1965">
        <v>12599</v>
      </c>
      <c r="G1965">
        <v>16414</v>
      </c>
      <c r="H1965">
        <v>686</v>
      </c>
      <c r="J1965" t="str">
        <f>VLOOKUP(Table3[[#This Row],[Faction ID]],Table4[],2)</f>
        <v>Isengard</v>
      </c>
    </row>
    <row r="1966" spans="1:10" x14ac:dyDescent="0.25">
      <c r="A1966">
        <v>51</v>
      </c>
      <c r="B1966" t="s">
        <v>22</v>
      </c>
      <c r="C1966">
        <v>30</v>
      </c>
      <c r="D1966">
        <v>0</v>
      </c>
      <c r="E1966">
        <v>0</v>
      </c>
      <c r="F1966">
        <v>8475</v>
      </c>
      <c r="G1966">
        <v>2500</v>
      </c>
      <c r="H1966">
        <v>0</v>
      </c>
      <c r="J1966" t="str">
        <f>VLOOKUP(Table3[[#This Row],[Faction ID]],Table4[],2)</f>
        <v>Woodland Realm</v>
      </c>
    </row>
    <row r="1967" spans="1:10" x14ac:dyDescent="0.25">
      <c r="A1967">
        <v>51</v>
      </c>
      <c r="B1967" t="s">
        <v>23</v>
      </c>
      <c r="C1967">
        <v>64</v>
      </c>
      <c r="D1967">
        <v>0</v>
      </c>
      <c r="E1967">
        <v>0</v>
      </c>
      <c r="F1967">
        <v>4721</v>
      </c>
      <c r="G1967">
        <v>2500</v>
      </c>
      <c r="H1967">
        <v>0</v>
      </c>
      <c r="J1967" t="str">
        <f>VLOOKUP(Table3[[#This Row],[Faction ID]],Table4[],2)</f>
        <v>Lothlorien</v>
      </c>
    </row>
    <row r="1968" spans="1:10" x14ac:dyDescent="0.25">
      <c r="A1968">
        <v>51</v>
      </c>
      <c r="B1968" t="s">
        <v>24</v>
      </c>
      <c r="C1968">
        <v>0</v>
      </c>
      <c r="D1968">
        <v>0</v>
      </c>
      <c r="E1968">
        <v>0</v>
      </c>
      <c r="F1968">
        <v>4919</v>
      </c>
      <c r="G1968">
        <v>1750</v>
      </c>
      <c r="H1968">
        <v>0</v>
      </c>
      <c r="J1968" t="str">
        <f>VLOOKUP(Table3[[#This Row],[Faction ID]],Table4[],2)</f>
        <v>Variags (Khand)</v>
      </c>
    </row>
    <row r="1969" spans="1:10" x14ac:dyDescent="0.25">
      <c r="A1969">
        <v>51</v>
      </c>
      <c r="B1969" t="s">
        <v>14</v>
      </c>
      <c r="C1969">
        <v>10</v>
      </c>
      <c r="D1969">
        <v>7</v>
      </c>
      <c r="E1969">
        <v>91.6</v>
      </c>
      <c r="F1969">
        <v>28509</v>
      </c>
      <c r="G1969">
        <v>16572</v>
      </c>
      <c r="H1969">
        <v>1018</v>
      </c>
      <c r="J1969" t="str">
        <f>VLOOKUP(Table3[[#This Row],[Faction ID]],Table4[],2)</f>
        <v>Corsairs of Umbar</v>
      </c>
    </row>
    <row r="1970" spans="1:10" x14ac:dyDescent="0.25">
      <c r="A1970">
        <v>51</v>
      </c>
      <c r="B1970" t="s">
        <v>25</v>
      </c>
      <c r="C1970">
        <v>5</v>
      </c>
      <c r="D1970">
        <v>3</v>
      </c>
      <c r="E1970">
        <v>48</v>
      </c>
      <c r="F1970">
        <v>12908</v>
      </c>
      <c r="G1970">
        <v>7418</v>
      </c>
      <c r="H1970">
        <v>0</v>
      </c>
      <c r="J1970" t="str">
        <f>VLOOKUP(Table3[[#This Row],[Faction ID]],Table4[],2)</f>
        <v>Mahud</v>
      </c>
    </row>
    <row r="1971" spans="1:10" x14ac:dyDescent="0.25">
      <c r="A1971">
        <v>51</v>
      </c>
      <c r="B1971" t="s">
        <v>11</v>
      </c>
      <c r="C1971">
        <v>101</v>
      </c>
      <c r="D1971">
        <v>7</v>
      </c>
      <c r="E1971">
        <v>100</v>
      </c>
      <c r="F1971">
        <v>18869</v>
      </c>
      <c r="G1971">
        <v>15009</v>
      </c>
      <c r="H1971">
        <v>0</v>
      </c>
      <c r="J1971" t="str">
        <f>VLOOKUP(Table3[[#This Row],[Faction ID]],Table4[],2)</f>
        <v>Haradrim</v>
      </c>
    </row>
    <row r="1972" spans="1:10" x14ac:dyDescent="0.25">
      <c r="A1972">
        <v>51</v>
      </c>
      <c r="B1972" t="s">
        <v>15</v>
      </c>
      <c r="C1972">
        <v>108</v>
      </c>
      <c r="D1972">
        <v>9</v>
      </c>
      <c r="E1972">
        <v>141.5</v>
      </c>
      <c r="F1972">
        <v>18431</v>
      </c>
      <c r="G1972">
        <v>21297</v>
      </c>
      <c r="H1972">
        <v>1045</v>
      </c>
      <c r="J1972" t="str">
        <f>VLOOKUP(Table3[[#This Row],[Faction ID]],Table4[],2)</f>
        <v>Dunlendings</v>
      </c>
    </row>
    <row r="1973" spans="1:10" x14ac:dyDescent="0.25">
      <c r="A1973">
        <v>51</v>
      </c>
      <c r="B1973" t="s">
        <v>16</v>
      </c>
      <c r="C1973">
        <v>0</v>
      </c>
      <c r="D1973">
        <v>0</v>
      </c>
      <c r="E1973">
        <v>0</v>
      </c>
      <c r="F1973">
        <v>5352</v>
      </c>
      <c r="G1973">
        <v>1750</v>
      </c>
      <c r="H1973">
        <v>0</v>
      </c>
      <c r="J1973" t="str">
        <f>VLOOKUP(Table3[[#This Row],[Faction ID]],Table4[],2)</f>
        <v>Haerrim</v>
      </c>
    </row>
    <row r="1974" spans="1:10" x14ac:dyDescent="0.25">
      <c r="A1974">
        <v>51</v>
      </c>
      <c r="B1974" t="s">
        <v>13</v>
      </c>
      <c r="C1974">
        <v>215</v>
      </c>
      <c r="D1974">
        <v>15</v>
      </c>
      <c r="E1974">
        <v>207.6</v>
      </c>
      <c r="F1974">
        <v>28357</v>
      </c>
      <c r="G1974">
        <v>26963</v>
      </c>
      <c r="H1974">
        <v>2770</v>
      </c>
      <c r="J1974" t="str">
        <f>VLOOKUP(Table3[[#This Row],[Faction ID]],Table4[],2)</f>
        <v>Goblins</v>
      </c>
    </row>
    <row r="1975" spans="1:10" x14ac:dyDescent="0.25">
      <c r="A1975">
        <v>51</v>
      </c>
      <c r="B1975" t="s">
        <v>17</v>
      </c>
      <c r="C1975">
        <v>0</v>
      </c>
      <c r="D1975">
        <v>0</v>
      </c>
      <c r="E1975">
        <v>0</v>
      </c>
      <c r="F1975">
        <v>4872</v>
      </c>
      <c r="G1975">
        <v>1750</v>
      </c>
      <c r="H1975">
        <v>0</v>
      </c>
      <c r="J1975" t="str">
        <f>VLOOKUP(Table3[[#This Row],[Faction ID]],Table4[],2)</f>
        <v>Balchoth</v>
      </c>
    </row>
    <row r="1976" spans="1:10" x14ac:dyDescent="0.25">
      <c r="A1976">
        <v>51</v>
      </c>
      <c r="B1976" t="s">
        <v>18</v>
      </c>
      <c r="C1976">
        <v>170</v>
      </c>
      <c r="D1976">
        <v>31</v>
      </c>
      <c r="E1976">
        <v>364.7</v>
      </c>
      <c r="F1976">
        <v>38801</v>
      </c>
      <c r="G1976">
        <v>35913</v>
      </c>
      <c r="H1976">
        <v>1210</v>
      </c>
      <c r="J1976" t="str">
        <f>VLOOKUP(Table3[[#This Row],[Faction ID]],Table4[],2)</f>
        <v>Rhurim/Rhun</v>
      </c>
    </row>
    <row r="1977" spans="1:10" x14ac:dyDescent="0.25">
      <c r="A1977">
        <v>51</v>
      </c>
      <c r="B1977" t="s">
        <v>19</v>
      </c>
      <c r="C1977">
        <v>0</v>
      </c>
      <c r="D1977">
        <v>0</v>
      </c>
      <c r="E1977">
        <v>0</v>
      </c>
      <c r="F1977">
        <v>7360</v>
      </c>
      <c r="G1977">
        <v>1750</v>
      </c>
      <c r="H1977">
        <v>0</v>
      </c>
      <c r="J1977" t="str">
        <f>VLOOKUP(Table3[[#This Row],[Faction ID]],Table4[],2)</f>
        <v>Feredrim</v>
      </c>
    </row>
    <row r="1978" spans="1:10" x14ac:dyDescent="0.25">
      <c r="A1978">
        <v>51</v>
      </c>
      <c r="B1978" t="s">
        <v>26</v>
      </c>
      <c r="C1978">
        <v>0</v>
      </c>
      <c r="D1978">
        <v>0</v>
      </c>
      <c r="E1978">
        <v>0</v>
      </c>
      <c r="F1978">
        <v>6395</v>
      </c>
      <c r="G1978">
        <v>1750</v>
      </c>
      <c r="H1978">
        <v>0</v>
      </c>
      <c r="J1978" t="str">
        <f>VLOOKUP(Table3[[#This Row],[Faction ID]],Table4[],2)</f>
        <v>Rachrohir (Wainriders)</v>
      </c>
    </row>
    <row r="1979" spans="1:10" x14ac:dyDescent="0.25">
      <c r="A1979">
        <v>51</v>
      </c>
      <c r="B1979" t="s">
        <v>27</v>
      </c>
      <c r="C1979">
        <v>5</v>
      </c>
      <c r="D1979">
        <v>3</v>
      </c>
      <c r="E1979">
        <v>54</v>
      </c>
      <c r="F1979">
        <v>72815</v>
      </c>
      <c r="G1979">
        <v>11945</v>
      </c>
      <c r="H1979">
        <v>0</v>
      </c>
      <c r="J1979" t="str">
        <f>VLOOKUP(Table3[[#This Row],[Faction ID]],Table4[],2)</f>
        <v>Blacklock-Stonefoot League</v>
      </c>
    </row>
    <row r="1980" spans="1:10" x14ac:dyDescent="0.25">
      <c r="A1980">
        <v>51</v>
      </c>
      <c r="B1980" t="s">
        <v>28</v>
      </c>
      <c r="C1980">
        <v>4</v>
      </c>
      <c r="D1980">
        <v>2</v>
      </c>
      <c r="E1980">
        <v>41</v>
      </c>
      <c r="F1980">
        <v>33034</v>
      </c>
      <c r="G1980">
        <v>7841</v>
      </c>
      <c r="H1980">
        <v>0</v>
      </c>
      <c r="J1980" t="str">
        <f>VLOOKUP(Table3[[#This Row],[Faction ID]],Table4[],2)</f>
        <v>Ironfist-Stiffbeard Union</v>
      </c>
    </row>
    <row r="1981" spans="1:10" x14ac:dyDescent="0.25">
      <c r="A1981">
        <v>51</v>
      </c>
      <c r="B1981" t="s">
        <v>20</v>
      </c>
      <c r="C1981">
        <v>129</v>
      </c>
      <c r="D1981">
        <v>12</v>
      </c>
      <c r="E1981">
        <v>190</v>
      </c>
      <c r="F1981">
        <v>14787</v>
      </c>
      <c r="G1981">
        <v>21959</v>
      </c>
      <c r="H1981">
        <v>916</v>
      </c>
      <c r="J1981" t="str">
        <f>VLOOKUP(Table3[[#This Row],[Faction ID]],Table4[],2)</f>
        <v>Gundabad</v>
      </c>
    </row>
    <row r="1982" spans="1:10" x14ac:dyDescent="0.25">
      <c r="A1982">
        <v>51</v>
      </c>
      <c r="B1982" t="s">
        <v>34</v>
      </c>
      <c r="C1982">
        <v>0</v>
      </c>
      <c r="D1982">
        <v>0</v>
      </c>
      <c r="E1982">
        <v>3</v>
      </c>
      <c r="F1982">
        <v>60050</v>
      </c>
      <c r="G1982">
        <v>2379</v>
      </c>
      <c r="H1982">
        <v>0</v>
      </c>
      <c r="J1982" t="str">
        <f>VLOOKUP(Table3[[#This Row],[Faction ID]],Table4[],2)</f>
        <v>Scouts of Rohan</v>
      </c>
    </row>
    <row r="1983" spans="1:10" x14ac:dyDescent="0.25">
      <c r="A1983">
        <v>51</v>
      </c>
      <c r="B1983" t="s">
        <v>33</v>
      </c>
      <c r="C1983">
        <v>6</v>
      </c>
      <c r="D1983">
        <v>4</v>
      </c>
      <c r="E1983">
        <v>55</v>
      </c>
      <c r="F1983">
        <v>40687</v>
      </c>
      <c r="G1983">
        <v>9605</v>
      </c>
      <c r="H1983">
        <v>349</v>
      </c>
      <c r="J1983" t="str">
        <f>VLOOKUP(Table3[[#This Row],[Faction ID]],Table4[],2)</f>
        <v>Northern Enedwaith</v>
      </c>
    </row>
    <row r="1984" spans="1:10" x14ac:dyDescent="0.25">
      <c r="A1984">
        <v>51</v>
      </c>
      <c r="B1984" t="s">
        <v>29</v>
      </c>
      <c r="C1984">
        <v>0</v>
      </c>
      <c r="D1984">
        <v>0</v>
      </c>
      <c r="E1984">
        <v>0</v>
      </c>
      <c r="F1984">
        <v>54023</v>
      </c>
      <c r="G1984">
        <v>1750</v>
      </c>
      <c r="H1984">
        <v>0</v>
      </c>
      <c r="J1984" t="str">
        <f>VLOOKUP(Table3[[#This Row],[Faction ID]],Table4[],2)</f>
        <v>Southern Enedwaith</v>
      </c>
    </row>
    <row r="1985" spans="1:10" x14ac:dyDescent="0.25">
      <c r="A1985">
        <v>51</v>
      </c>
      <c r="B1985" t="s">
        <v>30</v>
      </c>
      <c r="C1985">
        <v>2</v>
      </c>
      <c r="D1985">
        <v>1</v>
      </c>
      <c r="E1985">
        <v>19</v>
      </c>
      <c r="F1985">
        <v>30297</v>
      </c>
      <c r="G1985">
        <v>3743</v>
      </c>
      <c r="H1985">
        <v>0</v>
      </c>
      <c r="J1985" t="str">
        <f>VLOOKUP(Table3[[#This Row],[Faction ID]],Table4[],2)</f>
        <v>Druedain</v>
      </c>
    </row>
    <row r="1986" spans="1:10" x14ac:dyDescent="0.25">
      <c r="A1986">
        <v>51</v>
      </c>
      <c r="B1986" t="s">
        <v>31</v>
      </c>
      <c r="C1986">
        <v>0</v>
      </c>
      <c r="D1986">
        <v>0</v>
      </c>
      <c r="E1986">
        <v>0</v>
      </c>
      <c r="F1986">
        <v>15146</v>
      </c>
      <c r="G1986">
        <v>1750</v>
      </c>
      <c r="H1986">
        <v>0</v>
      </c>
      <c r="J1986" t="str">
        <f>VLOOKUP(Table3[[#This Row],[Faction ID]],Table4[],2)</f>
        <v>Harondor</v>
      </c>
    </row>
    <row r="1987" spans="1:10" x14ac:dyDescent="0.25">
      <c r="A1987">
        <v>51</v>
      </c>
      <c r="B1987" t="s">
        <v>35</v>
      </c>
      <c r="C1987">
        <v>0</v>
      </c>
      <c r="D1987">
        <v>0</v>
      </c>
      <c r="E1987">
        <v>0</v>
      </c>
      <c r="F1987">
        <v>4000</v>
      </c>
      <c r="G1987">
        <v>1750</v>
      </c>
      <c r="H1987">
        <v>0</v>
      </c>
      <c r="J1987" t="str">
        <f>VLOOKUP(Table3[[#This Row],[Faction ID]],Table4[],2)</f>
        <v>Southron Nomads</v>
      </c>
    </row>
    <row r="1988" spans="1:10" x14ac:dyDescent="0.25">
      <c r="A1988">
        <v>51</v>
      </c>
      <c r="B1988" t="s">
        <v>36</v>
      </c>
      <c r="C1988">
        <v>0</v>
      </c>
      <c r="D1988">
        <v>0</v>
      </c>
      <c r="E1988">
        <v>0</v>
      </c>
      <c r="F1988">
        <v>4000</v>
      </c>
      <c r="G1988">
        <v>1750</v>
      </c>
      <c r="H1988">
        <v>0</v>
      </c>
      <c r="J1988" t="str">
        <f>VLOOKUP(Table3[[#This Row],[Faction ID]],Table4[],2)</f>
        <v>_</v>
      </c>
    </row>
    <row r="1989" spans="1:10" x14ac:dyDescent="0.25">
      <c r="A1989">
        <v>51</v>
      </c>
      <c r="B1989" t="s">
        <v>37</v>
      </c>
      <c r="C1989">
        <v>0</v>
      </c>
      <c r="D1989">
        <v>0</v>
      </c>
      <c r="E1989">
        <v>0</v>
      </c>
      <c r="F1989">
        <v>4000</v>
      </c>
      <c r="G1989">
        <v>1750</v>
      </c>
      <c r="H1989">
        <v>0</v>
      </c>
      <c r="J1989" t="str">
        <f>VLOOKUP(Table3[[#This Row],[Faction ID]],Table4[],2)</f>
        <v>_</v>
      </c>
    </row>
    <row r="1990" spans="1:10" x14ac:dyDescent="0.25">
      <c r="A1990">
        <v>51</v>
      </c>
      <c r="B1990" t="s">
        <v>38</v>
      </c>
      <c r="C1990">
        <v>0</v>
      </c>
      <c r="D1990">
        <v>0</v>
      </c>
      <c r="E1990">
        <v>0</v>
      </c>
      <c r="F1990">
        <v>4000</v>
      </c>
      <c r="G1990">
        <v>1750</v>
      </c>
      <c r="H1990">
        <v>0</v>
      </c>
      <c r="J1990" t="str">
        <f>VLOOKUP(Table3[[#This Row],[Faction ID]],Table4[],2)</f>
        <v>_</v>
      </c>
    </row>
    <row r="1991" spans="1:10" x14ac:dyDescent="0.25">
      <c r="A1991">
        <v>51</v>
      </c>
      <c r="B1991" t="s">
        <v>39</v>
      </c>
      <c r="C1991">
        <v>0</v>
      </c>
      <c r="D1991">
        <v>0</v>
      </c>
      <c r="E1991">
        <v>0</v>
      </c>
      <c r="F1991">
        <v>4000</v>
      </c>
      <c r="G1991">
        <v>1750</v>
      </c>
      <c r="H1991">
        <v>0</v>
      </c>
      <c r="J1991" t="str">
        <f>VLOOKUP(Table3[[#This Row],[Faction ID]],Table4[],2)</f>
        <v>_</v>
      </c>
    </row>
    <row r="1992" spans="1:10" x14ac:dyDescent="0.25">
      <c r="A1992">
        <v>51</v>
      </c>
      <c r="B1992" t="s">
        <v>40</v>
      </c>
      <c r="C1992">
        <v>0</v>
      </c>
      <c r="D1992">
        <v>0</v>
      </c>
      <c r="E1992">
        <v>0</v>
      </c>
      <c r="F1992">
        <v>4000</v>
      </c>
      <c r="G1992">
        <v>1750</v>
      </c>
      <c r="H1992">
        <v>0</v>
      </c>
      <c r="J1992" t="str">
        <f>VLOOKUP(Table3[[#This Row],[Faction ID]],Table4[],2)</f>
        <v>_</v>
      </c>
    </row>
    <row r="1993" spans="1:10" x14ac:dyDescent="0.25">
      <c r="A1993">
        <v>51</v>
      </c>
      <c r="B1993" t="s">
        <v>41</v>
      </c>
      <c r="C1993">
        <v>0</v>
      </c>
      <c r="D1993">
        <v>0</v>
      </c>
      <c r="E1993">
        <v>0</v>
      </c>
      <c r="F1993">
        <v>4000</v>
      </c>
      <c r="G1993">
        <v>1750</v>
      </c>
      <c r="H1993">
        <v>0</v>
      </c>
      <c r="J1993" t="str">
        <f>VLOOKUP(Table3[[#This Row],[Faction ID]],Table4[],2)</f>
        <v>_</v>
      </c>
    </row>
    <row r="1994" spans="1:10" x14ac:dyDescent="0.25">
      <c r="A1994">
        <v>51</v>
      </c>
      <c r="B1994" t="s">
        <v>42</v>
      </c>
      <c r="C1994">
        <v>0</v>
      </c>
      <c r="D1994">
        <v>0</v>
      </c>
      <c r="E1994">
        <v>0</v>
      </c>
      <c r="F1994">
        <v>4000</v>
      </c>
      <c r="G1994">
        <v>1750</v>
      </c>
      <c r="H1994">
        <v>0</v>
      </c>
      <c r="J1994" t="str">
        <f>VLOOKUP(Table3[[#This Row],[Faction ID]],Table4[],2)</f>
        <v>_</v>
      </c>
    </row>
    <row r="1995" spans="1:10" x14ac:dyDescent="0.25">
      <c r="A1995">
        <v>51</v>
      </c>
      <c r="B1995" t="s">
        <v>43</v>
      </c>
      <c r="C1995">
        <v>0</v>
      </c>
      <c r="D1995">
        <v>0</v>
      </c>
      <c r="E1995">
        <v>0</v>
      </c>
      <c r="F1995">
        <v>4000</v>
      </c>
      <c r="G1995">
        <v>1750</v>
      </c>
      <c r="H1995">
        <v>0</v>
      </c>
      <c r="J1995" t="str">
        <f>VLOOKUP(Table3[[#This Row],[Faction ID]],Table4[],2)</f>
        <v>_</v>
      </c>
    </row>
    <row r="1996" spans="1:10" x14ac:dyDescent="0.25">
      <c r="A1996">
        <v>51</v>
      </c>
      <c r="B1996" t="s">
        <v>44</v>
      </c>
      <c r="C1996">
        <v>0</v>
      </c>
      <c r="D1996">
        <v>0</v>
      </c>
      <c r="E1996">
        <v>0</v>
      </c>
      <c r="F1996">
        <v>4000</v>
      </c>
      <c r="G1996">
        <v>1750</v>
      </c>
      <c r="H1996">
        <v>0</v>
      </c>
      <c r="J1996" t="str">
        <f>VLOOKUP(Table3[[#This Row],[Faction ID]],Table4[],2)</f>
        <v>_</v>
      </c>
    </row>
    <row r="1997" spans="1:10" x14ac:dyDescent="0.25">
      <c r="A1997">
        <v>52</v>
      </c>
      <c r="B1997" t="s">
        <v>9</v>
      </c>
      <c r="C1997">
        <v>181</v>
      </c>
      <c r="D1997">
        <v>22</v>
      </c>
      <c r="E1997">
        <v>213.8</v>
      </c>
      <c r="F1997">
        <v>3108</v>
      </c>
      <c r="G1997">
        <v>21706</v>
      </c>
      <c r="H1997">
        <v>1027</v>
      </c>
      <c r="J1997" t="str">
        <f>VLOOKUP(Table3[[#This Row],[Faction ID]],Table4[],2)</f>
        <v>Mordor</v>
      </c>
    </row>
    <row r="1998" spans="1:10" x14ac:dyDescent="0.25">
      <c r="A1998">
        <v>52</v>
      </c>
      <c r="B1998" t="s">
        <v>4</v>
      </c>
      <c r="C1998">
        <v>136</v>
      </c>
      <c r="D1998">
        <v>7</v>
      </c>
      <c r="E1998">
        <v>124</v>
      </c>
      <c r="F1998">
        <v>64531</v>
      </c>
      <c r="G1998">
        <v>22226</v>
      </c>
      <c r="H1998">
        <v>0</v>
      </c>
      <c r="J1998" t="str">
        <f>VLOOKUP(Table3[[#This Row],[Faction ID]],Table4[],2)</f>
        <v>Gondor</v>
      </c>
    </row>
    <row r="1999" spans="1:10" x14ac:dyDescent="0.25">
      <c r="A1999">
        <v>52</v>
      </c>
      <c r="B1999" t="s">
        <v>6</v>
      </c>
      <c r="C1999">
        <v>110</v>
      </c>
      <c r="D1999">
        <v>3</v>
      </c>
      <c r="E1999">
        <v>49.6</v>
      </c>
      <c r="F1999">
        <v>18004</v>
      </c>
      <c r="G1999">
        <v>10202</v>
      </c>
      <c r="H1999">
        <v>185</v>
      </c>
      <c r="J1999" t="str">
        <f>VLOOKUP(Table3[[#This Row],[Faction ID]],Table4[],2)</f>
        <v>Dale</v>
      </c>
    </row>
    <row r="2000" spans="1:10" x14ac:dyDescent="0.25">
      <c r="A2000">
        <v>52</v>
      </c>
      <c r="B2000" t="s">
        <v>21</v>
      </c>
      <c r="C2000">
        <v>148</v>
      </c>
      <c r="D2000">
        <v>4</v>
      </c>
      <c r="E2000">
        <v>51.1</v>
      </c>
      <c r="F2000">
        <v>64111</v>
      </c>
      <c r="G2000">
        <v>14864</v>
      </c>
      <c r="H2000">
        <v>426</v>
      </c>
      <c r="J2000" t="str">
        <f>VLOOKUP(Table3[[#This Row],[Faction ID]],Table4[],2)</f>
        <v>Erebor</v>
      </c>
    </row>
    <row r="2001" spans="1:10" x14ac:dyDescent="0.25">
      <c r="A2001">
        <v>52</v>
      </c>
      <c r="B2001" t="s">
        <v>5</v>
      </c>
      <c r="C2001">
        <v>141</v>
      </c>
      <c r="D2001">
        <v>5</v>
      </c>
      <c r="E2001">
        <v>60.599999999999902</v>
      </c>
      <c r="F2001">
        <v>11225</v>
      </c>
      <c r="G2001">
        <v>8721</v>
      </c>
      <c r="H2001">
        <v>0</v>
      </c>
      <c r="J2001" t="str">
        <f>VLOOKUP(Table3[[#This Row],[Faction ID]],Table4[],2)</f>
        <v>Rohan</v>
      </c>
    </row>
    <row r="2002" spans="1:10" x14ac:dyDescent="0.25">
      <c r="A2002">
        <v>52</v>
      </c>
      <c r="B2002" t="s">
        <v>12</v>
      </c>
      <c r="C2002">
        <v>148</v>
      </c>
      <c r="D2002">
        <v>13</v>
      </c>
      <c r="E2002">
        <v>181.7</v>
      </c>
      <c r="F2002">
        <v>18984</v>
      </c>
      <c r="G2002">
        <v>22182</v>
      </c>
      <c r="H2002">
        <v>1416</v>
      </c>
      <c r="J2002" t="str">
        <f>VLOOKUP(Table3[[#This Row],[Faction ID]],Table4[],2)</f>
        <v>Dol Guldur</v>
      </c>
    </row>
    <row r="2003" spans="1:10" x14ac:dyDescent="0.25">
      <c r="A2003">
        <v>52</v>
      </c>
      <c r="B2003" t="s">
        <v>10</v>
      </c>
      <c r="C2003">
        <v>58</v>
      </c>
      <c r="D2003">
        <v>0</v>
      </c>
      <c r="E2003">
        <v>0</v>
      </c>
      <c r="F2003">
        <v>4515</v>
      </c>
      <c r="G2003">
        <v>2500</v>
      </c>
      <c r="H2003">
        <v>0</v>
      </c>
      <c r="J2003" t="str">
        <f>VLOOKUP(Table3[[#This Row],[Faction ID]],Table4[],2)</f>
        <v>Anduin Vale</v>
      </c>
    </row>
    <row r="2004" spans="1:10" x14ac:dyDescent="0.25">
      <c r="A2004">
        <v>52</v>
      </c>
      <c r="B2004" t="s">
        <v>32</v>
      </c>
      <c r="C2004">
        <v>177</v>
      </c>
      <c r="D2004">
        <v>6</v>
      </c>
      <c r="E2004">
        <v>114.5</v>
      </c>
      <c r="F2004">
        <v>14328</v>
      </c>
      <c r="G2004">
        <v>16725</v>
      </c>
      <c r="H2004">
        <v>687</v>
      </c>
      <c r="J2004" t="str">
        <f>VLOOKUP(Table3[[#This Row],[Faction ID]],Table4[],2)</f>
        <v>Isengard</v>
      </c>
    </row>
    <row r="2005" spans="1:10" x14ac:dyDescent="0.25">
      <c r="A2005">
        <v>52</v>
      </c>
      <c r="B2005" t="s">
        <v>22</v>
      </c>
      <c r="C2005">
        <v>30</v>
      </c>
      <c r="D2005">
        <v>0</v>
      </c>
      <c r="E2005">
        <v>0</v>
      </c>
      <c r="F2005">
        <v>8475</v>
      </c>
      <c r="G2005">
        <v>2500</v>
      </c>
      <c r="H2005">
        <v>0</v>
      </c>
      <c r="J2005" t="str">
        <f>VLOOKUP(Table3[[#This Row],[Faction ID]],Table4[],2)</f>
        <v>Woodland Realm</v>
      </c>
    </row>
    <row r="2006" spans="1:10" x14ac:dyDescent="0.25">
      <c r="A2006">
        <v>52</v>
      </c>
      <c r="B2006" t="s">
        <v>23</v>
      </c>
      <c r="C2006">
        <v>64</v>
      </c>
      <c r="D2006">
        <v>0</v>
      </c>
      <c r="E2006">
        <v>0</v>
      </c>
      <c r="F2006">
        <v>4721</v>
      </c>
      <c r="G2006">
        <v>2500</v>
      </c>
      <c r="H2006">
        <v>0</v>
      </c>
      <c r="J2006" t="str">
        <f>VLOOKUP(Table3[[#This Row],[Faction ID]],Table4[],2)</f>
        <v>Lothlorien</v>
      </c>
    </row>
    <row r="2007" spans="1:10" x14ac:dyDescent="0.25">
      <c r="A2007">
        <v>52</v>
      </c>
      <c r="B2007" t="s">
        <v>24</v>
      </c>
      <c r="C2007">
        <v>0</v>
      </c>
      <c r="D2007">
        <v>0</v>
      </c>
      <c r="E2007">
        <v>0</v>
      </c>
      <c r="F2007">
        <v>4919</v>
      </c>
      <c r="G2007">
        <v>1750</v>
      </c>
      <c r="H2007">
        <v>0</v>
      </c>
      <c r="J2007" t="str">
        <f>VLOOKUP(Table3[[#This Row],[Faction ID]],Table4[],2)</f>
        <v>Variags (Khand)</v>
      </c>
    </row>
    <row r="2008" spans="1:10" x14ac:dyDescent="0.25">
      <c r="A2008">
        <v>52</v>
      </c>
      <c r="B2008" t="s">
        <v>14</v>
      </c>
      <c r="C2008">
        <v>10</v>
      </c>
      <c r="D2008">
        <v>7</v>
      </c>
      <c r="E2008">
        <v>94</v>
      </c>
      <c r="F2008">
        <v>20683</v>
      </c>
      <c r="G2008">
        <v>16757</v>
      </c>
      <c r="H2008">
        <v>1033</v>
      </c>
      <c r="J2008" t="str">
        <f>VLOOKUP(Table3[[#This Row],[Faction ID]],Table4[],2)</f>
        <v>Corsairs of Umbar</v>
      </c>
    </row>
    <row r="2009" spans="1:10" x14ac:dyDescent="0.25">
      <c r="A2009">
        <v>52</v>
      </c>
      <c r="B2009" t="s">
        <v>25</v>
      </c>
      <c r="C2009">
        <v>5</v>
      </c>
      <c r="D2009">
        <v>3</v>
      </c>
      <c r="E2009">
        <v>48</v>
      </c>
      <c r="F2009">
        <v>11476</v>
      </c>
      <c r="G2009">
        <v>7461</v>
      </c>
      <c r="H2009">
        <v>0</v>
      </c>
      <c r="J2009" t="str">
        <f>VLOOKUP(Table3[[#This Row],[Faction ID]],Table4[],2)</f>
        <v>Mahud</v>
      </c>
    </row>
    <row r="2010" spans="1:10" x14ac:dyDescent="0.25">
      <c r="A2010">
        <v>52</v>
      </c>
      <c r="B2010" t="s">
        <v>11</v>
      </c>
      <c r="C2010">
        <v>101</v>
      </c>
      <c r="D2010">
        <v>7</v>
      </c>
      <c r="E2010">
        <v>99</v>
      </c>
      <c r="F2010">
        <v>19985</v>
      </c>
      <c r="G2010">
        <v>14966</v>
      </c>
      <c r="H2010">
        <v>0</v>
      </c>
      <c r="J2010" t="str">
        <f>VLOOKUP(Table3[[#This Row],[Faction ID]],Table4[],2)</f>
        <v>Haradrim</v>
      </c>
    </row>
    <row r="2011" spans="1:10" x14ac:dyDescent="0.25">
      <c r="A2011">
        <v>52</v>
      </c>
      <c r="B2011" t="s">
        <v>15</v>
      </c>
      <c r="C2011">
        <v>108</v>
      </c>
      <c r="D2011">
        <v>9</v>
      </c>
      <c r="E2011">
        <v>144.6</v>
      </c>
      <c r="F2011">
        <v>22515</v>
      </c>
      <c r="G2011">
        <v>21578</v>
      </c>
      <c r="H2011">
        <v>1049</v>
      </c>
      <c r="J2011" t="str">
        <f>VLOOKUP(Table3[[#This Row],[Faction ID]],Table4[],2)</f>
        <v>Dunlendings</v>
      </c>
    </row>
    <row r="2012" spans="1:10" x14ac:dyDescent="0.25">
      <c r="A2012">
        <v>52</v>
      </c>
      <c r="B2012" t="s">
        <v>16</v>
      </c>
      <c r="C2012">
        <v>0</v>
      </c>
      <c r="D2012">
        <v>0</v>
      </c>
      <c r="E2012">
        <v>0</v>
      </c>
      <c r="F2012">
        <v>5352</v>
      </c>
      <c r="G2012">
        <v>1750</v>
      </c>
      <c r="H2012">
        <v>0</v>
      </c>
      <c r="J2012" t="str">
        <f>VLOOKUP(Table3[[#This Row],[Faction ID]],Table4[],2)</f>
        <v>Haerrim</v>
      </c>
    </row>
    <row r="2013" spans="1:10" x14ac:dyDescent="0.25">
      <c r="A2013">
        <v>52</v>
      </c>
      <c r="B2013" t="s">
        <v>13</v>
      </c>
      <c r="C2013">
        <v>216</v>
      </c>
      <c r="D2013">
        <v>16</v>
      </c>
      <c r="E2013">
        <v>212.6</v>
      </c>
      <c r="F2013">
        <v>36702</v>
      </c>
      <c r="G2013">
        <v>27367</v>
      </c>
      <c r="H2013">
        <v>2861</v>
      </c>
      <c r="J2013" t="str">
        <f>VLOOKUP(Table3[[#This Row],[Faction ID]],Table4[],2)</f>
        <v>Goblins</v>
      </c>
    </row>
    <row r="2014" spans="1:10" x14ac:dyDescent="0.25">
      <c r="A2014">
        <v>52</v>
      </c>
      <c r="B2014" t="s">
        <v>17</v>
      </c>
      <c r="C2014">
        <v>0</v>
      </c>
      <c r="D2014">
        <v>0</v>
      </c>
      <c r="E2014">
        <v>0</v>
      </c>
      <c r="F2014">
        <v>4872</v>
      </c>
      <c r="G2014">
        <v>1750</v>
      </c>
      <c r="H2014">
        <v>0</v>
      </c>
      <c r="J2014" t="str">
        <f>VLOOKUP(Table3[[#This Row],[Faction ID]],Table4[],2)</f>
        <v>Balchoth</v>
      </c>
    </row>
    <row r="2015" spans="1:10" x14ac:dyDescent="0.25">
      <c r="A2015">
        <v>52</v>
      </c>
      <c r="B2015" t="s">
        <v>18</v>
      </c>
      <c r="C2015">
        <v>170</v>
      </c>
      <c r="D2015">
        <v>31</v>
      </c>
      <c r="E2015">
        <v>365.7</v>
      </c>
      <c r="F2015">
        <v>36006</v>
      </c>
      <c r="G2015">
        <v>36128</v>
      </c>
      <c r="H2015">
        <v>1212</v>
      </c>
      <c r="J2015" t="str">
        <f>VLOOKUP(Table3[[#This Row],[Faction ID]],Table4[],2)</f>
        <v>Rhurim/Rhun</v>
      </c>
    </row>
    <row r="2016" spans="1:10" x14ac:dyDescent="0.25">
      <c r="A2016">
        <v>52</v>
      </c>
      <c r="B2016" t="s">
        <v>19</v>
      </c>
      <c r="C2016">
        <v>0</v>
      </c>
      <c r="D2016">
        <v>0</v>
      </c>
      <c r="E2016">
        <v>0</v>
      </c>
      <c r="F2016">
        <v>7360</v>
      </c>
      <c r="G2016">
        <v>1750</v>
      </c>
      <c r="H2016">
        <v>0</v>
      </c>
      <c r="J2016" t="str">
        <f>VLOOKUP(Table3[[#This Row],[Faction ID]],Table4[],2)</f>
        <v>Feredrim</v>
      </c>
    </row>
    <row r="2017" spans="1:10" x14ac:dyDescent="0.25">
      <c r="A2017">
        <v>52</v>
      </c>
      <c r="B2017" t="s">
        <v>26</v>
      </c>
      <c r="C2017">
        <v>0</v>
      </c>
      <c r="D2017">
        <v>0</v>
      </c>
      <c r="E2017">
        <v>0</v>
      </c>
      <c r="F2017">
        <v>6395</v>
      </c>
      <c r="G2017">
        <v>1750</v>
      </c>
      <c r="H2017">
        <v>0</v>
      </c>
      <c r="J2017" t="str">
        <f>VLOOKUP(Table3[[#This Row],[Faction ID]],Table4[],2)</f>
        <v>Rachrohir (Wainriders)</v>
      </c>
    </row>
    <row r="2018" spans="1:10" x14ac:dyDescent="0.25">
      <c r="A2018">
        <v>52</v>
      </c>
      <c r="B2018" t="s">
        <v>27</v>
      </c>
      <c r="C2018">
        <v>5</v>
      </c>
      <c r="D2018">
        <v>3</v>
      </c>
      <c r="E2018">
        <v>57</v>
      </c>
      <c r="F2018">
        <v>71479</v>
      </c>
      <c r="G2018">
        <v>12036</v>
      </c>
      <c r="H2018">
        <v>0</v>
      </c>
      <c r="J2018" t="str">
        <f>VLOOKUP(Table3[[#This Row],[Faction ID]],Table4[],2)</f>
        <v>Blacklock-Stonefoot League</v>
      </c>
    </row>
    <row r="2019" spans="1:10" x14ac:dyDescent="0.25">
      <c r="A2019">
        <v>52</v>
      </c>
      <c r="B2019" t="s">
        <v>28</v>
      </c>
      <c r="C2019">
        <v>4</v>
      </c>
      <c r="D2019">
        <v>2</v>
      </c>
      <c r="E2019">
        <v>41</v>
      </c>
      <c r="F2019">
        <v>34438</v>
      </c>
      <c r="G2019">
        <v>7688</v>
      </c>
      <c r="H2019">
        <v>0</v>
      </c>
      <c r="J2019" t="str">
        <f>VLOOKUP(Table3[[#This Row],[Faction ID]],Table4[],2)</f>
        <v>Ironfist-Stiffbeard Union</v>
      </c>
    </row>
    <row r="2020" spans="1:10" x14ac:dyDescent="0.25">
      <c r="A2020">
        <v>52</v>
      </c>
      <c r="B2020" t="s">
        <v>20</v>
      </c>
      <c r="C2020">
        <v>134</v>
      </c>
      <c r="D2020">
        <v>12</v>
      </c>
      <c r="E2020">
        <v>194.8</v>
      </c>
      <c r="F2020">
        <v>19425</v>
      </c>
      <c r="G2020">
        <v>22181</v>
      </c>
      <c r="H2020">
        <v>922</v>
      </c>
      <c r="J2020" t="str">
        <f>VLOOKUP(Table3[[#This Row],[Faction ID]],Table4[],2)</f>
        <v>Gundabad</v>
      </c>
    </row>
    <row r="2021" spans="1:10" x14ac:dyDescent="0.25">
      <c r="A2021">
        <v>52</v>
      </c>
      <c r="B2021" t="s">
        <v>34</v>
      </c>
      <c r="C2021">
        <v>0</v>
      </c>
      <c r="D2021">
        <v>0</v>
      </c>
      <c r="E2021">
        <v>3</v>
      </c>
      <c r="F2021">
        <v>61171</v>
      </c>
      <c r="G2021">
        <v>2379</v>
      </c>
      <c r="H2021">
        <v>0</v>
      </c>
      <c r="J2021" t="str">
        <f>VLOOKUP(Table3[[#This Row],[Faction ID]],Table4[],2)</f>
        <v>Scouts of Rohan</v>
      </c>
    </row>
    <row r="2022" spans="1:10" x14ac:dyDescent="0.25">
      <c r="A2022">
        <v>52</v>
      </c>
      <c r="B2022" t="s">
        <v>33</v>
      </c>
      <c r="C2022">
        <v>6</v>
      </c>
      <c r="D2022">
        <v>4</v>
      </c>
      <c r="E2022">
        <v>55</v>
      </c>
      <c r="F2022">
        <v>44312</v>
      </c>
      <c r="G2022">
        <v>9597</v>
      </c>
      <c r="H2022">
        <v>349</v>
      </c>
      <c r="J2022" t="str">
        <f>VLOOKUP(Table3[[#This Row],[Faction ID]],Table4[],2)</f>
        <v>Northern Enedwaith</v>
      </c>
    </row>
    <row r="2023" spans="1:10" x14ac:dyDescent="0.25">
      <c r="A2023">
        <v>52</v>
      </c>
      <c r="B2023" t="s">
        <v>29</v>
      </c>
      <c r="C2023">
        <v>0</v>
      </c>
      <c r="D2023">
        <v>0</v>
      </c>
      <c r="E2023">
        <v>0</v>
      </c>
      <c r="F2023">
        <v>54023</v>
      </c>
      <c r="G2023">
        <v>1750</v>
      </c>
      <c r="H2023">
        <v>0</v>
      </c>
      <c r="J2023" t="str">
        <f>VLOOKUP(Table3[[#This Row],[Faction ID]],Table4[],2)</f>
        <v>Southern Enedwaith</v>
      </c>
    </row>
    <row r="2024" spans="1:10" x14ac:dyDescent="0.25">
      <c r="A2024">
        <v>52</v>
      </c>
      <c r="B2024" t="s">
        <v>30</v>
      </c>
      <c r="C2024">
        <v>2</v>
      </c>
      <c r="D2024">
        <v>1</v>
      </c>
      <c r="E2024">
        <v>18</v>
      </c>
      <c r="F2024">
        <v>31289</v>
      </c>
      <c r="G2024">
        <v>3674</v>
      </c>
      <c r="H2024">
        <v>0</v>
      </c>
      <c r="J2024" t="str">
        <f>VLOOKUP(Table3[[#This Row],[Faction ID]],Table4[],2)</f>
        <v>Druedain</v>
      </c>
    </row>
    <row r="2025" spans="1:10" x14ac:dyDescent="0.25">
      <c r="A2025">
        <v>52</v>
      </c>
      <c r="B2025" t="s">
        <v>31</v>
      </c>
      <c r="C2025">
        <v>0</v>
      </c>
      <c r="D2025">
        <v>0</v>
      </c>
      <c r="E2025">
        <v>0</v>
      </c>
      <c r="F2025">
        <v>15146</v>
      </c>
      <c r="G2025">
        <v>1750</v>
      </c>
      <c r="H2025">
        <v>0</v>
      </c>
      <c r="J2025" t="str">
        <f>VLOOKUP(Table3[[#This Row],[Faction ID]],Table4[],2)</f>
        <v>Harondor</v>
      </c>
    </row>
    <row r="2026" spans="1:10" x14ac:dyDescent="0.25">
      <c r="A2026">
        <v>52</v>
      </c>
      <c r="B2026" t="s">
        <v>35</v>
      </c>
      <c r="C2026">
        <v>0</v>
      </c>
      <c r="D2026">
        <v>0</v>
      </c>
      <c r="E2026">
        <v>0</v>
      </c>
      <c r="F2026">
        <v>4000</v>
      </c>
      <c r="G2026">
        <v>1750</v>
      </c>
      <c r="H2026">
        <v>0</v>
      </c>
      <c r="J2026" t="str">
        <f>VLOOKUP(Table3[[#This Row],[Faction ID]],Table4[],2)</f>
        <v>Southron Nomads</v>
      </c>
    </row>
    <row r="2027" spans="1:10" x14ac:dyDescent="0.25">
      <c r="A2027">
        <v>52</v>
      </c>
      <c r="B2027" t="s">
        <v>36</v>
      </c>
      <c r="C2027">
        <v>0</v>
      </c>
      <c r="D2027">
        <v>0</v>
      </c>
      <c r="E2027">
        <v>0</v>
      </c>
      <c r="F2027">
        <v>4000</v>
      </c>
      <c r="G2027">
        <v>1750</v>
      </c>
      <c r="H2027">
        <v>0</v>
      </c>
      <c r="J2027" t="str">
        <f>VLOOKUP(Table3[[#This Row],[Faction ID]],Table4[],2)</f>
        <v>_</v>
      </c>
    </row>
    <row r="2028" spans="1:10" x14ac:dyDescent="0.25">
      <c r="A2028">
        <v>52</v>
      </c>
      <c r="B2028" t="s">
        <v>37</v>
      </c>
      <c r="C2028">
        <v>0</v>
      </c>
      <c r="D2028">
        <v>0</v>
      </c>
      <c r="E2028">
        <v>0</v>
      </c>
      <c r="F2028">
        <v>4000</v>
      </c>
      <c r="G2028">
        <v>1750</v>
      </c>
      <c r="H2028">
        <v>0</v>
      </c>
      <c r="J2028" t="str">
        <f>VLOOKUP(Table3[[#This Row],[Faction ID]],Table4[],2)</f>
        <v>_</v>
      </c>
    </row>
    <row r="2029" spans="1:10" x14ac:dyDescent="0.25">
      <c r="A2029">
        <v>52</v>
      </c>
      <c r="B2029" t="s">
        <v>38</v>
      </c>
      <c r="C2029">
        <v>0</v>
      </c>
      <c r="D2029">
        <v>0</v>
      </c>
      <c r="E2029">
        <v>0</v>
      </c>
      <c r="F2029">
        <v>4000</v>
      </c>
      <c r="G2029">
        <v>1750</v>
      </c>
      <c r="H2029">
        <v>0</v>
      </c>
      <c r="J2029" t="str">
        <f>VLOOKUP(Table3[[#This Row],[Faction ID]],Table4[],2)</f>
        <v>_</v>
      </c>
    </row>
    <row r="2030" spans="1:10" x14ac:dyDescent="0.25">
      <c r="A2030">
        <v>52</v>
      </c>
      <c r="B2030" t="s">
        <v>39</v>
      </c>
      <c r="C2030">
        <v>0</v>
      </c>
      <c r="D2030">
        <v>0</v>
      </c>
      <c r="E2030">
        <v>0</v>
      </c>
      <c r="F2030">
        <v>4000</v>
      </c>
      <c r="G2030">
        <v>1750</v>
      </c>
      <c r="H2030">
        <v>0</v>
      </c>
      <c r="J2030" t="str">
        <f>VLOOKUP(Table3[[#This Row],[Faction ID]],Table4[],2)</f>
        <v>_</v>
      </c>
    </row>
    <row r="2031" spans="1:10" x14ac:dyDescent="0.25">
      <c r="A2031">
        <v>52</v>
      </c>
      <c r="B2031" t="s">
        <v>40</v>
      </c>
      <c r="C2031">
        <v>0</v>
      </c>
      <c r="D2031">
        <v>0</v>
      </c>
      <c r="E2031">
        <v>0</v>
      </c>
      <c r="F2031">
        <v>4000</v>
      </c>
      <c r="G2031">
        <v>1750</v>
      </c>
      <c r="H2031">
        <v>0</v>
      </c>
      <c r="J2031" t="str">
        <f>VLOOKUP(Table3[[#This Row],[Faction ID]],Table4[],2)</f>
        <v>_</v>
      </c>
    </row>
    <row r="2032" spans="1:10" x14ac:dyDescent="0.25">
      <c r="A2032">
        <v>52</v>
      </c>
      <c r="B2032" t="s">
        <v>41</v>
      </c>
      <c r="C2032">
        <v>0</v>
      </c>
      <c r="D2032">
        <v>0</v>
      </c>
      <c r="E2032">
        <v>0</v>
      </c>
      <c r="F2032">
        <v>4000</v>
      </c>
      <c r="G2032">
        <v>1750</v>
      </c>
      <c r="H2032">
        <v>0</v>
      </c>
      <c r="J2032" t="str">
        <f>VLOOKUP(Table3[[#This Row],[Faction ID]],Table4[],2)</f>
        <v>_</v>
      </c>
    </row>
    <row r="2033" spans="1:10" x14ac:dyDescent="0.25">
      <c r="A2033">
        <v>52</v>
      </c>
      <c r="B2033" t="s">
        <v>42</v>
      </c>
      <c r="C2033">
        <v>0</v>
      </c>
      <c r="D2033">
        <v>0</v>
      </c>
      <c r="E2033">
        <v>0</v>
      </c>
      <c r="F2033">
        <v>4000</v>
      </c>
      <c r="G2033">
        <v>1750</v>
      </c>
      <c r="H2033">
        <v>0</v>
      </c>
      <c r="J2033" t="str">
        <f>VLOOKUP(Table3[[#This Row],[Faction ID]],Table4[],2)</f>
        <v>_</v>
      </c>
    </row>
    <row r="2034" spans="1:10" x14ac:dyDescent="0.25">
      <c r="A2034">
        <v>52</v>
      </c>
      <c r="B2034" t="s">
        <v>43</v>
      </c>
      <c r="C2034">
        <v>0</v>
      </c>
      <c r="D2034">
        <v>0</v>
      </c>
      <c r="E2034">
        <v>0</v>
      </c>
      <c r="F2034">
        <v>4000</v>
      </c>
      <c r="G2034">
        <v>1750</v>
      </c>
      <c r="H2034">
        <v>0</v>
      </c>
      <c r="J2034" t="str">
        <f>VLOOKUP(Table3[[#This Row],[Faction ID]],Table4[],2)</f>
        <v>_</v>
      </c>
    </row>
    <row r="2035" spans="1:10" x14ac:dyDescent="0.25">
      <c r="A2035">
        <v>52</v>
      </c>
      <c r="B2035" t="s">
        <v>44</v>
      </c>
      <c r="C2035">
        <v>0</v>
      </c>
      <c r="D2035">
        <v>0</v>
      </c>
      <c r="E2035">
        <v>0</v>
      </c>
      <c r="F2035">
        <v>4000</v>
      </c>
      <c r="G2035">
        <v>1750</v>
      </c>
      <c r="H2035">
        <v>0</v>
      </c>
      <c r="J2035" t="str">
        <f>VLOOKUP(Table3[[#This Row],[Faction ID]],Table4[],2)</f>
        <v>_</v>
      </c>
    </row>
    <row r="2036" spans="1:10" x14ac:dyDescent="0.25">
      <c r="A2036">
        <v>53</v>
      </c>
      <c r="B2036" t="s">
        <v>9</v>
      </c>
      <c r="C2036">
        <v>181</v>
      </c>
      <c r="D2036">
        <v>22</v>
      </c>
      <c r="E2036">
        <v>214.8</v>
      </c>
      <c r="F2036">
        <v>5153</v>
      </c>
      <c r="G2036">
        <v>21915</v>
      </c>
      <c r="H2036">
        <v>1030</v>
      </c>
      <c r="J2036" t="str">
        <f>VLOOKUP(Table3[[#This Row],[Faction ID]],Table4[],2)</f>
        <v>Mordor</v>
      </c>
    </row>
    <row r="2037" spans="1:10" x14ac:dyDescent="0.25">
      <c r="A2037">
        <v>53</v>
      </c>
      <c r="B2037" t="s">
        <v>4</v>
      </c>
      <c r="C2037">
        <v>141</v>
      </c>
      <c r="D2037">
        <v>7</v>
      </c>
      <c r="E2037">
        <v>126</v>
      </c>
      <c r="F2037">
        <v>66324</v>
      </c>
      <c r="G2037">
        <v>23379</v>
      </c>
      <c r="H2037">
        <v>282</v>
      </c>
      <c r="J2037" t="str">
        <f>VLOOKUP(Table3[[#This Row],[Faction ID]],Table4[],2)</f>
        <v>Gondor</v>
      </c>
    </row>
    <row r="2038" spans="1:10" x14ac:dyDescent="0.25">
      <c r="A2038">
        <v>53</v>
      </c>
      <c r="B2038" t="s">
        <v>6</v>
      </c>
      <c r="C2038">
        <v>115</v>
      </c>
      <c r="D2038">
        <v>3</v>
      </c>
      <c r="E2038">
        <v>48.6</v>
      </c>
      <c r="F2038">
        <v>20534</v>
      </c>
      <c r="G2038">
        <v>10044</v>
      </c>
      <c r="H2038">
        <v>187</v>
      </c>
      <c r="J2038" t="str">
        <f>VLOOKUP(Table3[[#This Row],[Faction ID]],Table4[],2)</f>
        <v>Dale</v>
      </c>
    </row>
    <row r="2039" spans="1:10" x14ac:dyDescent="0.25">
      <c r="A2039">
        <v>53</v>
      </c>
      <c r="B2039" t="s">
        <v>21</v>
      </c>
      <c r="C2039">
        <v>148</v>
      </c>
      <c r="D2039">
        <v>4</v>
      </c>
      <c r="E2039">
        <v>65.2</v>
      </c>
      <c r="F2039">
        <v>53601</v>
      </c>
      <c r="G2039">
        <v>15816</v>
      </c>
      <c r="H2039">
        <v>427</v>
      </c>
      <c r="J2039" t="str">
        <f>VLOOKUP(Table3[[#This Row],[Faction ID]],Table4[],2)</f>
        <v>Erebor</v>
      </c>
    </row>
    <row r="2040" spans="1:10" x14ac:dyDescent="0.25">
      <c r="A2040">
        <v>53</v>
      </c>
      <c r="B2040" t="s">
        <v>5</v>
      </c>
      <c r="C2040">
        <v>141</v>
      </c>
      <c r="D2040">
        <v>5</v>
      </c>
      <c r="E2040">
        <v>59.9</v>
      </c>
      <c r="F2040">
        <v>10829</v>
      </c>
      <c r="G2040">
        <v>7738</v>
      </c>
      <c r="H2040">
        <v>201</v>
      </c>
      <c r="J2040" t="str">
        <f>VLOOKUP(Table3[[#This Row],[Faction ID]],Table4[],2)</f>
        <v>Rohan</v>
      </c>
    </row>
    <row r="2041" spans="1:10" x14ac:dyDescent="0.25">
      <c r="A2041">
        <v>53</v>
      </c>
      <c r="B2041" t="s">
        <v>12</v>
      </c>
      <c r="C2041">
        <v>153</v>
      </c>
      <c r="D2041">
        <v>13</v>
      </c>
      <c r="E2041">
        <v>181.7</v>
      </c>
      <c r="F2041">
        <v>16117</v>
      </c>
      <c r="G2041">
        <v>23526</v>
      </c>
      <c r="H2041">
        <v>1422</v>
      </c>
      <c r="J2041" t="str">
        <f>VLOOKUP(Table3[[#This Row],[Faction ID]],Table4[],2)</f>
        <v>Dol Guldur</v>
      </c>
    </row>
    <row r="2042" spans="1:10" x14ac:dyDescent="0.25">
      <c r="A2042">
        <v>53</v>
      </c>
      <c r="B2042" t="s">
        <v>10</v>
      </c>
      <c r="C2042">
        <v>58</v>
      </c>
      <c r="D2042">
        <v>0</v>
      </c>
      <c r="E2042">
        <v>0</v>
      </c>
      <c r="F2042">
        <v>4515</v>
      </c>
      <c r="G2042">
        <v>2500</v>
      </c>
      <c r="H2042">
        <v>0</v>
      </c>
      <c r="J2042" t="str">
        <f>VLOOKUP(Table3[[#This Row],[Faction ID]],Table4[],2)</f>
        <v>Anduin Vale</v>
      </c>
    </row>
    <row r="2043" spans="1:10" x14ac:dyDescent="0.25">
      <c r="A2043">
        <v>53</v>
      </c>
      <c r="B2043" t="s">
        <v>32</v>
      </c>
      <c r="C2043">
        <v>177</v>
      </c>
      <c r="D2043">
        <v>6</v>
      </c>
      <c r="E2043">
        <v>77.899999999999906</v>
      </c>
      <c r="F2043">
        <v>14134</v>
      </c>
      <c r="G2043">
        <v>13301</v>
      </c>
      <c r="H2043">
        <v>875</v>
      </c>
      <c r="J2043" t="str">
        <f>VLOOKUP(Table3[[#This Row],[Faction ID]],Table4[],2)</f>
        <v>Isengard</v>
      </c>
    </row>
    <row r="2044" spans="1:10" x14ac:dyDescent="0.25">
      <c r="A2044">
        <v>53</v>
      </c>
      <c r="B2044" t="s">
        <v>22</v>
      </c>
      <c r="C2044">
        <v>30</v>
      </c>
      <c r="D2044">
        <v>0</v>
      </c>
      <c r="E2044">
        <v>0</v>
      </c>
      <c r="F2044">
        <v>8475</v>
      </c>
      <c r="G2044">
        <v>2500</v>
      </c>
      <c r="H2044">
        <v>0</v>
      </c>
      <c r="J2044" t="str">
        <f>VLOOKUP(Table3[[#This Row],[Faction ID]],Table4[],2)</f>
        <v>Woodland Realm</v>
      </c>
    </row>
    <row r="2045" spans="1:10" x14ac:dyDescent="0.25">
      <c r="A2045">
        <v>53</v>
      </c>
      <c r="B2045" t="s">
        <v>23</v>
      </c>
      <c r="C2045">
        <v>64</v>
      </c>
      <c r="D2045">
        <v>0</v>
      </c>
      <c r="E2045">
        <v>0</v>
      </c>
      <c r="F2045">
        <v>4721</v>
      </c>
      <c r="G2045">
        <v>2500</v>
      </c>
      <c r="H2045">
        <v>0</v>
      </c>
      <c r="J2045" t="str">
        <f>VLOOKUP(Table3[[#This Row],[Faction ID]],Table4[],2)</f>
        <v>Lothlorien</v>
      </c>
    </row>
    <row r="2046" spans="1:10" x14ac:dyDescent="0.25">
      <c r="A2046">
        <v>53</v>
      </c>
      <c r="B2046" t="s">
        <v>24</v>
      </c>
      <c r="C2046">
        <v>0</v>
      </c>
      <c r="D2046">
        <v>0</v>
      </c>
      <c r="E2046">
        <v>0</v>
      </c>
      <c r="F2046">
        <v>4919</v>
      </c>
      <c r="G2046">
        <v>1750</v>
      </c>
      <c r="H2046">
        <v>0</v>
      </c>
      <c r="J2046" t="str">
        <f>VLOOKUP(Table3[[#This Row],[Faction ID]],Table4[],2)</f>
        <v>Variags (Khand)</v>
      </c>
    </row>
    <row r="2047" spans="1:10" x14ac:dyDescent="0.25">
      <c r="A2047">
        <v>53</v>
      </c>
      <c r="B2047" t="s">
        <v>14</v>
      </c>
      <c r="C2047">
        <v>10</v>
      </c>
      <c r="D2047">
        <v>7</v>
      </c>
      <c r="E2047">
        <v>100</v>
      </c>
      <c r="F2047">
        <v>24924</v>
      </c>
      <c r="G2047">
        <v>17459</v>
      </c>
      <c r="H2047">
        <v>1037</v>
      </c>
      <c r="J2047" t="str">
        <f>VLOOKUP(Table3[[#This Row],[Faction ID]],Table4[],2)</f>
        <v>Corsairs of Umbar</v>
      </c>
    </row>
    <row r="2048" spans="1:10" x14ac:dyDescent="0.25">
      <c r="A2048">
        <v>53</v>
      </c>
      <c r="B2048" t="s">
        <v>25</v>
      </c>
      <c r="C2048">
        <v>5</v>
      </c>
      <c r="D2048">
        <v>3</v>
      </c>
      <c r="E2048">
        <v>48</v>
      </c>
      <c r="F2048">
        <v>12721</v>
      </c>
      <c r="G2048">
        <v>7478</v>
      </c>
      <c r="H2048">
        <v>0</v>
      </c>
      <c r="J2048" t="str">
        <f>VLOOKUP(Table3[[#This Row],[Faction ID]],Table4[],2)</f>
        <v>Mahud</v>
      </c>
    </row>
    <row r="2049" spans="1:10" x14ac:dyDescent="0.25">
      <c r="A2049">
        <v>53</v>
      </c>
      <c r="B2049" t="s">
        <v>11</v>
      </c>
      <c r="C2049">
        <v>101</v>
      </c>
      <c r="D2049">
        <v>7</v>
      </c>
      <c r="E2049">
        <v>102</v>
      </c>
      <c r="F2049">
        <v>21681</v>
      </c>
      <c r="G2049">
        <v>13733</v>
      </c>
      <c r="H2049">
        <v>0</v>
      </c>
      <c r="J2049" t="str">
        <f>VLOOKUP(Table3[[#This Row],[Faction ID]],Table4[],2)</f>
        <v>Haradrim</v>
      </c>
    </row>
    <row r="2050" spans="1:10" x14ac:dyDescent="0.25">
      <c r="A2050">
        <v>53</v>
      </c>
      <c r="B2050" t="s">
        <v>15</v>
      </c>
      <c r="C2050">
        <v>108</v>
      </c>
      <c r="D2050">
        <v>9</v>
      </c>
      <c r="E2050">
        <v>146.80000000000001</v>
      </c>
      <c r="F2050">
        <v>27270</v>
      </c>
      <c r="G2050">
        <v>21851</v>
      </c>
      <c r="H2050">
        <v>1052</v>
      </c>
      <c r="J2050" t="str">
        <f>VLOOKUP(Table3[[#This Row],[Faction ID]],Table4[],2)</f>
        <v>Dunlendings</v>
      </c>
    </row>
    <row r="2051" spans="1:10" x14ac:dyDescent="0.25">
      <c r="A2051">
        <v>53</v>
      </c>
      <c r="B2051" t="s">
        <v>16</v>
      </c>
      <c r="C2051">
        <v>0</v>
      </c>
      <c r="D2051">
        <v>0</v>
      </c>
      <c r="E2051">
        <v>0</v>
      </c>
      <c r="F2051">
        <v>5352</v>
      </c>
      <c r="G2051">
        <v>1750</v>
      </c>
      <c r="H2051">
        <v>0</v>
      </c>
      <c r="J2051" t="str">
        <f>VLOOKUP(Table3[[#This Row],[Faction ID]],Table4[],2)</f>
        <v>Haerrim</v>
      </c>
    </row>
    <row r="2052" spans="1:10" x14ac:dyDescent="0.25">
      <c r="A2052">
        <v>53</v>
      </c>
      <c r="B2052" t="s">
        <v>13</v>
      </c>
      <c r="C2052">
        <v>216</v>
      </c>
      <c r="D2052">
        <v>16</v>
      </c>
      <c r="E2052">
        <v>214.6</v>
      </c>
      <c r="F2052">
        <v>33150</v>
      </c>
      <c r="G2052">
        <v>27794</v>
      </c>
      <c r="H2052">
        <v>3069</v>
      </c>
      <c r="J2052" t="str">
        <f>VLOOKUP(Table3[[#This Row],[Faction ID]],Table4[],2)</f>
        <v>Goblins</v>
      </c>
    </row>
    <row r="2053" spans="1:10" x14ac:dyDescent="0.25">
      <c r="A2053">
        <v>53</v>
      </c>
      <c r="B2053" t="s">
        <v>17</v>
      </c>
      <c r="C2053">
        <v>0</v>
      </c>
      <c r="D2053">
        <v>0</v>
      </c>
      <c r="E2053">
        <v>0</v>
      </c>
      <c r="F2053">
        <v>4872</v>
      </c>
      <c r="G2053">
        <v>1750</v>
      </c>
      <c r="H2053">
        <v>0</v>
      </c>
      <c r="J2053" t="str">
        <f>VLOOKUP(Table3[[#This Row],[Faction ID]],Table4[],2)</f>
        <v>Balchoth</v>
      </c>
    </row>
    <row r="2054" spans="1:10" x14ac:dyDescent="0.25">
      <c r="A2054">
        <v>53</v>
      </c>
      <c r="B2054" t="s">
        <v>18</v>
      </c>
      <c r="C2054">
        <v>175</v>
      </c>
      <c r="D2054">
        <v>31</v>
      </c>
      <c r="E2054">
        <v>365.7</v>
      </c>
      <c r="F2054">
        <v>36889</v>
      </c>
      <c r="G2054">
        <v>35494</v>
      </c>
      <c r="H2054">
        <v>1295</v>
      </c>
      <c r="J2054" t="str">
        <f>VLOOKUP(Table3[[#This Row],[Faction ID]],Table4[],2)</f>
        <v>Rhurim/Rhun</v>
      </c>
    </row>
    <row r="2055" spans="1:10" x14ac:dyDescent="0.25">
      <c r="A2055">
        <v>53</v>
      </c>
      <c r="B2055" t="s">
        <v>19</v>
      </c>
      <c r="C2055">
        <v>0</v>
      </c>
      <c r="D2055">
        <v>0</v>
      </c>
      <c r="E2055">
        <v>0</v>
      </c>
      <c r="F2055">
        <v>7360</v>
      </c>
      <c r="G2055">
        <v>1750</v>
      </c>
      <c r="H2055">
        <v>0</v>
      </c>
      <c r="J2055" t="str">
        <f>VLOOKUP(Table3[[#This Row],[Faction ID]],Table4[],2)</f>
        <v>Feredrim</v>
      </c>
    </row>
    <row r="2056" spans="1:10" x14ac:dyDescent="0.25">
      <c r="A2056">
        <v>53</v>
      </c>
      <c r="B2056" t="s">
        <v>26</v>
      </c>
      <c r="C2056">
        <v>0</v>
      </c>
      <c r="D2056">
        <v>0</v>
      </c>
      <c r="E2056">
        <v>0</v>
      </c>
      <c r="F2056">
        <v>6395</v>
      </c>
      <c r="G2056">
        <v>1750</v>
      </c>
      <c r="H2056">
        <v>0</v>
      </c>
      <c r="J2056" t="str">
        <f>VLOOKUP(Table3[[#This Row],[Faction ID]],Table4[],2)</f>
        <v>Rachrohir (Wainriders)</v>
      </c>
    </row>
    <row r="2057" spans="1:10" x14ac:dyDescent="0.25">
      <c r="A2057">
        <v>53</v>
      </c>
      <c r="B2057" t="s">
        <v>27</v>
      </c>
      <c r="C2057">
        <v>5</v>
      </c>
      <c r="D2057">
        <v>3</v>
      </c>
      <c r="E2057">
        <v>60</v>
      </c>
      <c r="F2057">
        <v>73460</v>
      </c>
      <c r="G2057">
        <v>12415</v>
      </c>
      <c r="H2057">
        <v>0</v>
      </c>
      <c r="J2057" t="str">
        <f>VLOOKUP(Table3[[#This Row],[Faction ID]],Table4[],2)</f>
        <v>Blacklock-Stonefoot League</v>
      </c>
    </row>
    <row r="2058" spans="1:10" x14ac:dyDescent="0.25">
      <c r="A2058">
        <v>53</v>
      </c>
      <c r="B2058" t="s">
        <v>28</v>
      </c>
      <c r="C2058">
        <v>4</v>
      </c>
      <c r="D2058">
        <v>2</v>
      </c>
      <c r="E2058">
        <v>41</v>
      </c>
      <c r="F2058">
        <v>36156</v>
      </c>
      <c r="G2058">
        <v>7374</v>
      </c>
      <c r="H2058">
        <v>0</v>
      </c>
      <c r="J2058" t="str">
        <f>VLOOKUP(Table3[[#This Row],[Faction ID]],Table4[],2)</f>
        <v>Ironfist-Stiffbeard Union</v>
      </c>
    </row>
    <row r="2059" spans="1:10" x14ac:dyDescent="0.25">
      <c r="A2059">
        <v>53</v>
      </c>
      <c r="B2059" t="s">
        <v>20</v>
      </c>
      <c r="C2059">
        <v>138</v>
      </c>
      <c r="D2059">
        <v>12</v>
      </c>
      <c r="E2059">
        <v>187.4</v>
      </c>
      <c r="F2059">
        <v>18985</v>
      </c>
      <c r="G2059">
        <v>21898</v>
      </c>
      <c r="H2059">
        <v>924</v>
      </c>
      <c r="J2059" t="str">
        <f>VLOOKUP(Table3[[#This Row],[Faction ID]],Table4[],2)</f>
        <v>Gundabad</v>
      </c>
    </row>
    <row r="2060" spans="1:10" x14ac:dyDescent="0.25">
      <c r="A2060">
        <v>53</v>
      </c>
      <c r="B2060" t="s">
        <v>34</v>
      </c>
      <c r="C2060">
        <v>0</v>
      </c>
      <c r="D2060">
        <v>0</v>
      </c>
      <c r="E2060">
        <v>3</v>
      </c>
      <c r="F2060">
        <v>62292</v>
      </c>
      <c r="G2060">
        <v>2379</v>
      </c>
      <c r="H2060">
        <v>0</v>
      </c>
      <c r="J2060" t="str">
        <f>VLOOKUP(Table3[[#This Row],[Faction ID]],Table4[],2)</f>
        <v>Scouts of Rohan</v>
      </c>
    </row>
    <row r="2061" spans="1:10" x14ac:dyDescent="0.25">
      <c r="A2061">
        <v>53</v>
      </c>
      <c r="B2061" t="s">
        <v>33</v>
      </c>
      <c r="C2061">
        <v>6</v>
      </c>
      <c r="D2061">
        <v>4</v>
      </c>
      <c r="E2061">
        <v>55</v>
      </c>
      <c r="F2061">
        <v>47007</v>
      </c>
      <c r="G2061">
        <v>10156</v>
      </c>
      <c r="H2061">
        <v>351</v>
      </c>
      <c r="J2061" t="str">
        <f>VLOOKUP(Table3[[#This Row],[Faction ID]],Table4[],2)</f>
        <v>Northern Enedwaith</v>
      </c>
    </row>
    <row r="2062" spans="1:10" x14ac:dyDescent="0.25">
      <c r="A2062">
        <v>53</v>
      </c>
      <c r="B2062" t="s">
        <v>29</v>
      </c>
      <c r="C2062">
        <v>0</v>
      </c>
      <c r="D2062">
        <v>0</v>
      </c>
      <c r="E2062">
        <v>0</v>
      </c>
      <c r="F2062">
        <v>54023</v>
      </c>
      <c r="G2062">
        <v>1750</v>
      </c>
      <c r="H2062">
        <v>0</v>
      </c>
      <c r="J2062" t="str">
        <f>VLOOKUP(Table3[[#This Row],[Faction ID]],Table4[],2)</f>
        <v>Southern Enedwaith</v>
      </c>
    </row>
    <row r="2063" spans="1:10" x14ac:dyDescent="0.25">
      <c r="A2063">
        <v>53</v>
      </c>
      <c r="B2063" t="s">
        <v>30</v>
      </c>
      <c r="C2063">
        <v>2</v>
      </c>
      <c r="D2063">
        <v>1</v>
      </c>
      <c r="E2063">
        <v>19</v>
      </c>
      <c r="F2063">
        <v>32069</v>
      </c>
      <c r="G2063">
        <v>3739</v>
      </c>
      <c r="H2063">
        <v>0</v>
      </c>
      <c r="J2063" t="str">
        <f>VLOOKUP(Table3[[#This Row],[Faction ID]],Table4[],2)</f>
        <v>Druedain</v>
      </c>
    </row>
    <row r="2064" spans="1:10" x14ac:dyDescent="0.25">
      <c r="A2064">
        <v>53</v>
      </c>
      <c r="B2064" t="s">
        <v>31</v>
      </c>
      <c r="C2064">
        <v>0</v>
      </c>
      <c r="D2064">
        <v>0</v>
      </c>
      <c r="E2064">
        <v>0</v>
      </c>
      <c r="F2064">
        <v>15146</v>
      </c>
      <c r="G2064">
        <v>1750</v>
      </c>
      <c r="H2064">
        <v>0</v>
      </c>
      <c r="J2064" t="str">
        <f>VLOOKUP(Table3[[#This Row],[Faction ID]],Table4[],2)</f>
        <v>Harondor</v>
      </c>
    </row>
    <row r="2065" spans="1:10" x14ac:dyDescent="0.25">
      <c r="A2065">
        <v>53</v>
      </c>
      <c r="B2065" t="s">
        <v>35</v>
      </c>
      <c r="C2065">
        <v>0</v>
      </c>
      <c r="D2065">
        <v>0</v>
      </c>
      <c r="E2065">
        <v>0</v>
      </c>
      <c r="F2065">
        <v>4000</v>
      </c>
      <c r="G2065">
        <v>1750</v>
      </c>
      <c r="H2065">
        <v>0</v>
      </c>
      <c r="J2065" t="str">
        <f>VLOOKUP(Table3[[#This Row],[Faction ID]],Table4[],2)</f>
        <v>Southron Nomads</v>
      </c>
    </row>
    <row r="2066" spans="1:10" x14ac:dyDescent="0.25">
      <c r="A2066">
        <v>53</v>
      </c>
      <c r="B2066" t="s">
        <v>36</v>
      </c>
      <c r="C2066">
        <v>0</v>
      </c>
      <c r="D2066">
        <v>0</v>
      </c>
      <c r="E2066">
        <v>0</v>
      </c>
      <c r="F2066">
        <v>4000</v>
      </c>
      <c r="G2066">
        <v>1750</v>
      </c>
      <c r="H2066">
        <v>0</v>
      </c>
      <c r="J2066" t="str">
        <f>VLOOKUP(Table3[[#This Row],[Faction ID]],Table4[],2)</f>
        <v>_</v>
      </c>
    </row>
    <row r="2067" spans="1:10" x14ac:dyDescent="0.25">
      <c r="A2067">
        <v>53</v>
      </c>
      <c r="B2067" t="s">
        <v>37</v>
      </c>
      <c r="C2067">
        <v>0</v>
      </c>
      <c r="D2067">
        <v>0</v>
      </c>
      <c r="E2067">
        <v>0</v>
      </c>
      <c r="F2067">
        <v>4000</v>
      </c>
      <c r="G2067">
        <v>1750</v>
      </c>
      <c r="H2067">
        <v>0</v>
      </c>
      <c r="J2067" t="str">
        <f>VLOOKUP(Table3[[#This Row],[Faction ID]],Table4[],2)</f>
        <v>_</v>
      </c>
    </row>
    <row r="2068" spans="1:10" x14ac:dyDescent="0.25">
      <c r="A2068">
        <v>53</v>
      </c>
      <c r="B2068" t="s">
        <v>38</v>
      </c>
      <c r="C2068">
        <v>0</v>
      </c>
      <c r="D2068">
        <v>0</v>
      </c>
      <c r="E2068">
        <v>0</v>
      </c>
      <c r="F2068">
        <v>4000</v>
      </c>
      <c r="G2068">
        <v>1750</v>
      </c>
      <c r="H2068">
        <v>0</v>
      </c>
      <c r="J2068" t="str">
        <f>VLOOKUP(Table3[[#This Row],[Faction ID]],Table4[],2)</f>
        <v>_</v>
      </c>
    </row>
    <row r="2069" spans="1:10" x14ac:dyDescent="0.25">
      <c r="A2069">
        <v>53</v>
      </c>
      <c r="B2069" t="s">
        <v>39</v>
      </c>
      <c r="C2069">
        <v>0</v>
      </c>
      <c r="D2069">
        <v>0</v>
      </c>
      <c r="E2069">
        <v>0</v>
      </c>
      <c r="F2069">
        <v>4000</v>
      </c>
      <c r="G2069">
        <v>1750</v>
      </c>
      <c r="H2069">
        <v>0</v>
      </c>
      <c r="J2069" t="str">
        <f>VLOOKUP(Table3[[#This Row],[Faction ID]],Table4[],2)</f>
        <v>_</v>
      </c>
    </row>
    <row r="2070" spans="1:10" x14ac:dyDescent="0.25">
      <c r="A2070">
        <v>53</v>
      </c>
      <c r="B2070" t="s">
        <v>40</v>
      </c>
      <c r="C2070">
        <v>0</v>
      </c>
      <c r="D2070">
        <v>0</v>
      </c>
      <c r="E2070">
        <v>0</v>
      </c>
      <c r="F2070">
        <v>4000</v>
      </c>
      <c r="G2070">
        <v>1750</v>
      </c>
      <c r="H2070">
        <v>0</v>
      </c>
      <c r="J2070" t="str">
        <f>VLOOKUP(Table3[[#This Row],[Faction ID]],Table4[],2)</f>
        <v>_</v>
      </c>
    </row>
    <row r="2071" spans="1:10" x14ac:dyDescent="0.25">
      <c r="A2071">
        <v>53</v>
      </c>
      <c r="B2071" t="s">
        <v>41</v>
      </c>
      <c r="C2071">
        <v>0</v>
      </c>
      <c r="D2071">
        <v>0</v>
      </c>
      <c r="E2071">
        <v>0</v>
      </c>
      <c r="F2071">
        <v>4000</v>
      </c>
      <c r="G2071">
        <v>1750</v>
      </c>
      <c r="H2071">
        <v>0</v>
      </c>
      <c r="J2071" t="str">
        <f>VLOOKUP(Table3[[#This Row],[Faction ID]],Table4[],2)</f>
        <v>_</v>
      </c>
    </row>
    <row r="2072" spans="1:10" x14ac:dyDescent="0.25">
      <c r="A2072">
        <v>53</v>
      </c>
      <c r="B2072" t="s">
        <v>42</v>
      </c>
      <c r="C2072">
        <v>0</v>
      </c>
      <c r="D2072">
        <v>0</v>
      </c>
      <c r="E2072">
        <v>0</v>
      </c>
      <c r="F2072">
        <v>4000</v>
      </c>
      <c r="G2072">
        <v>1750</v>
      </c>
      <c r="H2072">
        <v>0</v>
      </c>
      <c r="J2072" t="str">
        <f>VLOOKUP(Table3[[#This Row],[Faction ID]],Table4[],2)</f>
        <v>_</v>
      </c>
    </row>
    <row r="2073" spans="1:10" x14ac:dyDescent="0.25">
      <c r="A2073">
        <v>53</v>
      </c>
      <c r="B2073" t="s">
        <v>43</v>
      </c>
      <c r="C2073">
        <v>0</v>
      </c>
      <c r="D2073">
        <v>0</v>
      </c>
      <c r="E2073">
        <v>0</v>
      </c>
      <c r="F2073">
        <v>4000</v>
      </c>
      <c r="G2073">
        <v>1750</v>
      </c>
      <c r="H2073">
        <v>0</v>
      </c>
      <c r="J2073" t="str">
        <f>VLOOKUP(Table3[[#This Row],[Faction ID]],Table4[],2)</f>
        <v>_</v>
      </c>
    </row>
    <row r="2074" spans="1:10" x14ac:dyDescent="0.25">
      <c r="A2074">
        <v>53</v>
      </c>
      <c r="B2074" t="s">
        <v>44</v>
      </c>
      <c r="C2074">
        <v>0</v>
      </c>
      <c r="D2074">
        <v>0</v>
      </c>
      <c r="E2074">
        <v>0</v>
      </c>
      <c r="F2074">
        <v>4000</v>
      </c>
      <c r="G2074">
        <v>1750</v>
      </c>
      <c r="H2074">
        <v>0</v>
      </c>
      <c r="J2074" t="str">
        <f>VLOOKUP(Table3[[#This Row],[Faction ID]],Table4[],2)</f>
        <v>_</v>
      </c>
    </row>
    <row r="2075" spans="1:10" x14ac:dyDescent="0.25">
      <c r="A2075">
        <v>54</v>
      </c>
      <c r="B2075" t="s">
        <v>9</v>
      </c>
      <c r="C2075">
        <v>181</v>
      </c>
      <c r="D2075">
        <v>22</v>
      </c>
      <c r="E2075">
        <v>219.8</v>
      </c>
      <c r="F2075">
        <v>1751</v>
      </c>
      <c r="G2075">
        <v>22289</v>
      </c>
      <c r="H2075">
        <v>1156</v>
      </c>
      <c r="J2075" t="str">
        <f>VLOOKUP(Table3[[#This Row],[Faction ID]],Table4[],2)</f>
        <v>Mordor</v>
      </c>
    </row>
    <row r="2076" spans="1:10" x14ac:dyDescent="0.25">
      <c r="A2076">
        <v>54</v>
      </c>
      <c r="B2076" t="s">
        <v>4</v>
      </c>
      <c r="C2076">
        <v>141</v>
      </c>
      <c r="D2076">
        <v>7</v>
      </c>
      <c r="E2076">
        <v>126</v>
      </c>
      <c r="F2076">
        <v>65429</v>
      </c>
      <c r="G2076">
        <v>23388</v>
      </c>
      <c r="H2076">
        <v>0</v>
      </c>
      <c r="J2076" t="str">
        <f>VLOOKUP(Table3[[#This Row],[Faction ID]],Table4[],2)</f>
        <v>Gondor</v>
      </c>
    </row>
    <row r="2077" spans="1:10" x14ac:dyDescent="0.25">
      <c r="A2077">
        <v>54</v>
      </c>
      <c r="B2077" t="s">
        <v>6</v>
      </c>
      <c r="C2077">
        <v>115</v>
      </c>
      <c r="D2077">
        <v>3</v>
      </c>
      <c r="E2077">
        <v>48.6</v>
      </c>
      <c r="F2077">
        <v>19652</v>
      </c>
      <c r="G2077">
        <v>10022</v>
      </c>
      <c r="H2077">
        <v>178</v>
      </c>
      <c r="J2077" t="str">
        <f>VLOOKUP(Table3[[#This Row],[Faction ID]],Table4[],2)</f>
        <v>Dale</v>
      </c>
    </row>
    <row r="2078" spans="1:10" x14ac:dyDescent="0.25">
      <c r="A2078">
        <v>54</v>
      </c>
      <c r="B2078" t="s">
        <v>21</v>
      </c>
      <c r="C2078">
        <v>148</v>
      </c>
      <c r="D2078">
        <v>4</v>
      </c>
      <c r="E2078">
        <v>26.1</v>
      </c>
      <c r="F2078">
        <v>50386</v>
      </c>
      <c r="G2078">
        <v>9831</v>
      </c>
      <c r="H2078">
        <v>420</v>
      </c>
      <c r="J2078" t="str">
        <f>VLOOKUP(Table3[[#This Row],[Faction ID]],Table4[],2)</f>
        <v>Erebor</v>
      </c>
    </row>
    <row r="2079" spans="1:10" x14ac:dyDescent="0.25">
      <c r="A2079">
        <v>54</v>
      </c>
      <c r="B2079" t="s">
        <v>5</v>
      </c>
      <c r="C2079">
        <v>146</v>
      </c>
      <c r="D2079">
        <v>5</v>
      </c>
      <c r="E2079">
        <v>43</v>
      </c>
      <c r="F2079">
        <v>12353</v>
      </c>
      <c r="G2079">
        <v>6038</v>
      </c>
      <c r="H2079">
        <v>0</v>
      </c>
      <c r="J2079" t="str">
        <f>VLOOKUP(Table3[[#This Row],[Faction ID]],Table4[],2)</f>
        <v>Rohan</v>
      </c>
    </row>
    <row r="2080" spans="1:10" x14ac:dyDescent="0.25">
      <c r="A2080">
        <v>54</v>
      </c>
      <c r="B2080" t="s">
        <v>12</v>
      </c>
      <c r="C2080">
        <v>153</v>
      </c>
      <c r="D2080">
        <v>13</v>
      </c>
      <c r="E2080">
        <v>181.7</v>
      </c>
      <c r="F2080">
        <v>19176</v>
      </c>
      <c r="G2080">
        <v>22547</v>
      </c>
      <c r="H2080">
        <v>1425</v>
      </c>
      <c r="J2080" t="str">
        <f>VLOOKUP(Table3[[#This Row],[Faction ID]],Table4[],2)</f>
        <v>Dol Guldur</v>
      </c>
    </row>
    <row r="2081" spans="1:10" x14ac:dyDescent="0.25">
      <c r="A2081">
        <v>54</v>
      </c>
      <c r="B2081" t="s">
        <v>10</v>
      </c>
      <c r="C2081">
        <v>58</v>
      </c>
      <c r="D2081">
        <v>0</v>
      </c>
      <c r="E2081">
        <v>0</v>
      </c>
      <c r="F2081">
        <v>4515</v>
      </c>
      <c r="G2081">
        <v>2500</v>
      </c>
      <c r="H2081">
        <v>0</v>
      </c>
      <c r="J2081" t="str">
        <f>VLOOKUP(Table3[[#This Row],[Faction ID]],Table4[],2)</f>
        <v>Anduin Vale</v>
      </c>
    </row>
    <row r="2082" spans="1:10" x14ac:dyDescent="0.25">
      <c r="A2082">
        <v>54</v>
      </c>
      <c r="B2082" t="s">
        <v>32</v>
      </c>
      <c r="C2082">
        <v>182</v>
      </c>
      <c r="D2082">
        <v>6</v>
      </c>
      <c r="E2082">
        <v>86.3</v>
      </c>
      <c r="F2082">
        <v>14546</v>
      </c>
      <c r="G2082">
        <v>14026</v>
      </c>
      <c r="H2082">
        <v>882</v>
      </c>
      <c r="J2082" t="str">
        <f>VLOOKUP(Table3[[#This Row],[Faction ID]],Table4[],2)</f>
        <v>Isengard</v>
      </c>
    </row>
    <row r="2083" spans="1:10" x14ac:dyDescent="0.25">
      <c r="A2083">
        <v>54</v>
      </c>
      <c r="B2083" t="s">
        <v>22</v>
      </c>
      <c r="C2083">
        <v>30</v>
      </c>
      <c r="D2083">
        <v>0</v>
      </c>
      <c r="E2083">
        <v>0</v>
      </c>
      <c r="F2083">
        <v>8475</v>
      </c>
      <c r="G2083">
        <v>2500</v>
      </c>
      <c r="H2083">
        <v>0</v>
      </c>
      <c r="J2083" t="str">
        <f>VLOOKUP(Table3[[#This Row],[Faction ID]],Table4[],2)</f>
        <v>Woodland Realm</v>
      </c>
    </row>
    <row r="2084" spans="1:10" x14ac:dyDescent="0.25">
      <c r="A2084">
        <v>54</v>
      </c>
      <c r="B2084" t="s">
        <v>23</v>
      </c>
      <c r="C2084">
        <v>64</v>
      </c>
      <c r="D2084">
        <v>0</v>
      </c>
      <c r="E2084">
        <v>0</v>
      </c>
      <c r="F2084">
        <v>4721</v>
      </c>
      <c r="G2084">
        <v>2500</v>
      </c>
      <c r="H2084">
        <v>0</v>
      </c>
      <c r="J2084" t="str">
        <f>VLOOKUP(Table3[[#This Row],[Faction ID]],Table4[],2)</f>
        <v>Lothlorien</v>
      </c>
    </row>
    <row r="2085" spans="1:10" x14ac:dyDescent="0.25">
      <c r="A2085">
        <v>54</v>
      </c>
      <c r="B2085" t="s">
        <v>24</v>
      </c>
      <c r="C2085">
        <v>0</v>
      </c>
      <c r="D2085">
        <v>0</v>
      </c>
      <c r="E2085">
        <v>0</v>
      </c>
      <c r="F2085">
        <v>4919</v>
      </c>
      <c r="G2085">
        <v>1750</v>
      </c>
      <c r="H2085">
        <v>0</v>
      </c>
      <c r="J2085" t="str">
        <f>VLOOKUP(Table3[[#This Row],[Faction ID]],Table4[],2)</f>
        <v>Variags (Khand)</v>
      </c>
    </row>
    <row r="2086" spans="1:10" x14ac:dyDescent="0.25">
      <c r="A2086">
        <v>54</v>
      </c>
      <c r="B2086" t="s">
        <v>14</v>
      </c>
      <c r="C2086">
        <v>10</v>
      </c>
      <c r="D2086">
        <v>7</v>
      </c>
      <c r="E2086">
        <v>104.8</v>
      </c>
      <c r="F2086">
        <v>31073</v>
      </c>
      <c r="G2086">
        <v>18379</v>
      </c>
      <c r="H2086">
        <v>1043</v>
      </c>
      <c r="J2086" t="str">
        <f>VLOOKUP(Table3[[#This Row],[Faction ID]],Table4[],2)</f>
        <v>Corsairs of Umbar</v>
      </c>
    </row>
    <row r="2087" spans="1:10" x14ac:dyDescent="0.25">
      <c r="A2087">
        <v>54</v>
      </c>
      <c r="B2087" t="s">
        <v>25</v>
      </c>
      <c r="C2087">
        <v>5</v>
      </c>
      <c r="D2087">
        <v>3</v>
      </c>
      <c r="E2087">
        <v>48</v>
      </c>
      <c r="F2087">
        <v>14050</v>
      </c>
      <c r="G2087">
        <v>7603</v>
      </c>
      <c r="H2087">
        <v>0</v>
      </c>
      <c r="J2087" t="str">
        <f>VLOOKUP(Table3[[#This Row],[Faction ID]],Table4[],2)</f>
        <v>Mahud</v>
      </c>
    </row>
    <row r="2088" spans="1:10" x14ac:dyDescent="0.25">
      <c r="A2088">
        <v>54</v>
      </c>
      <c r="B2088" t="s">
        <v>11</v>
      </c>
      <c r="C2088">
        <v>110</v>
      </c>
      <c r="D2088">
        <v>7</v>
      </c>
      <c r="E2088">
        <v>109</v>
      </c>
      <c r="F2088">
        <v>28180</v>
      </c>
      <c r="G2088">
        <v>14941</v>
      </c>
      <c r="H2088">
        <v>0</v>
      </c>
      <c r="J2088" t="str">
        <f>VLOOKUP(Table3[[#This Row],[Faction ID]],Table4[],2)</f>
        <v>Haradrim</v>
      </c>
    </row>
    <row r="2089" spans="1:10" x14ac:dyDescent="0.25">
      <c r="A2089">
        <v>54</v>
      </c>
      <c r="B2089" t="s">
        <v>15</v>
      </c>
      <c r="C2089">
        <v>108</v>
      </c>
      <c r="D2089">
        <v>9</v>
      </c>
      <c r="E2089">
        <v>147.80000000000001</v>
      </c>
      <c r="F2089">
        <v>16619</v>
      </c>
      <c r="G2089">
        <v>21462</v>
      </c>
      <c r="H2089">
        <v>1057</v>
      </c>
      <c r="J2089" t="str">
        <f>VLOOKUP(Table3[[#This Row],[Faction ID]],Table4[],2)</f>
        <v>Dunlendings</v>
      </c>
    </row>
    <row r="2090" spans="1:10" x14ac:dyDescent="0.25">
      <c r="A2090">
        <v>54</v>
      </c>
      <c r="B2090" t="s">
        <v>16</v>
      </c>
      <c r="C2090">
        <v>0</v>
      </c>
      <c r="D2090">
        <v>0</v>
      </c>
      <c r="E2090">
        <v>0</v>
      </c>
      <c r="F2090">
        <v>5352</v>
      </c>
      <c r="G2090">
        <v>1750</v>
      </c>
      <c r="H2090">
        <v>0</v>
      </c>
      <c r="J2090" t="str">
        <f>VLOOKUP(Table3[[#This Row],[Faction ID]],Table4[],2)</f>
        <v>Haerrim</v>
      </c>
    </row>
    <row r="2091" spans="1:10" x14ac:dyDescent="0.25">
      <c r="A2091">
        <v>54</v>
      </c>
      <c r="B2091" t="s">
        <v>13</v>
      </c>
      <c r="C2091">
        <v>225</v>
      </c>
      <c r="D2091">
        <v>16</v>
      </c>
      <c r="E2091">
        <v>228.6</v>
      </c>
      <c r="F2091">
        <v>35635</v>
      </c>
      <c r="G2091">
        <v>29565</v>
      </c>
      <c r="H2091">
        <v>3077</v>
      </c>
      <c r="J2091" t="str">
        <f>VLOOKUP(Table3[[#This Row],[Faction ID]],Table4[],2)</f>
        <v>Goblins</v>
      </c>
    </row>
    <row r="2092" spans="1:10" x14ac:dyDescent="0.25">
      <c r="A2092">
        <v>54</v>
      </c>
      <c r="B2092" t="s">
        <v>17</v>
      </c>
      <c r="C2092">
        <v>0</v>
      </c>
      <c r="D2092">
        <v>0</v>
      </c>
      <c r="E2092">
        <v>0</v>
      </c>
      <c r="F2092">
        <v>4872</v>
      </c>
      <c r="G2092">
        <v>1750</v>
      </c>
      <c r="H2092">
        <v>0</v>
      </c>
      <c r="J2092" t="str">
        <f>VLOOKUP(Table3[[#This Row],[Faction ID]],Table4[],2)</f>
        <v>Balchoth</v>
      </c>
    </row>
    <row r="2093" spans="1:10" x14ac:dyDescent="0.25">
      <c r="A2093">
        <v>54</v>
      </c>
      <c r="B2093" t="s">
        <v>18</v>
      </c>
      <c r="C2093">
        <v>183</v>
      </c>
      <c r="D2093">
        <v>31</v>
      </c>
      <c r="E2093">
        <v>372.7</v>
      </c>
      <c r="F2093">
        <v>35167</v>
      </c>
      <c r="G2093">
        <v>36691</v>
      </c>
      <c r="H2093">
        <v>1298</v>
      </c>
      <c r="J2093" t="str">
        <f>VLOOKUP(Table3[[#This Row],[Faction ID]],Table4[],2)</f>
        <v>Rhurim/Rhun</v>
      </c>
    </row>
    <row r="2094" spans="1:10" x14ac:dyDescent="0.25">
      <c r="A2094">
        <v>54</v>
      </c>
      <c r="B2094" t="s">
        <v>19</v>
      </c>
      <c r="C2094">
        <v>0</v>
      </c>
      <c r="D2094">
        <v>0</v>
      </c>
      <c r="E2094">
        <v>0</v>
      </c>
      <c r="F2094">
        <v>7360</v>
      </c>
      <c r="G2094">
        <v>1750</v>
      </c>
      <c r="H2094">
        <v>0</v>
      </c>
      <c r="J2094" t="str">
        <f>VLOOKUP(Table3[[#This Row],[Faction ID]],Table4[],2)</f>
        <v>Feredrim</v>
      </c>
    </row>
    <row r="2095" spans="1:10" x14ac:dyDescent="0.25">
      <c r="A2095">
        <v>54</v>
      </c>
      <c r="B2095" t="s">
        <v>26</v>
      </c>
      <c r="C2095">
        <v>0</v>
      </c>
      <c r="D2095">
        <v>0</v>
      </c>
      <c r="E2095">
        <v>0</v>
      </c>
      <c r="F2095">
        <v>6395</v>
      </c>
      <c r="G2095">
        <v>1750</v>
      </c>
      <c r="H2095">
        <v>0</v>
      </c>
      <c r="J2095" t="str">
        <f>VLOOKUP(Table3[[#This Row],[Faction ID]],Table4[],2)</f>
        <v>Rachrohir (Wainriders)</v>
      </c>
    </row>
    <row r="2096" spans="1:10" x14ac:dyDescent="0.25">
      <c r="A2096">
        <v>54</v>
      </c>
      <c r="B2096" t="s">
        <v>27</v>
      </c>
      <c r="C2096">
        <v>5</v>
      </c>
      <c r="D2096">
        <v>3</v>
      </c>
      <c r="E2096">
        <v>63</v>
      </c>
      <c r="F2096">
        <v>72494</v>
      </c>
      <c r="G2096">
        <v>12492</v>
      </c>
      <c r="H2096">
        <v>0</v>
      </c>
      <c r="J2096" t="str">
        <f>VLOOKUP(Table3[[#This Row],[Faction ID]],Table4[],2)</f>
        <v>Blacklock-Stonefoot League</v>
      </c>
    </row>
    <row r="2097" spans="1:10" x14ac:dyDescent="0.25">
      <c r="A2097">
        <v>54</v>
      </c>
      <c r="B2097" t="s">
        <v>28</v>
      </c>
      <c r="C2097">
        <v>4</v>
      </c>
      <c r="D2097">
        <v>2</v>
      </c>
      <c r="E2097">
        <v>41</v>
      </c>
      <c r="F2097">
        <v>37874</v>
      </c>
      <c r="G2097">
        <v>7374</v>
      </c>
      <c r="H2097">
        <v>0</v>
      </c>
      <c r="J2097" t="str">
        <f>VLOOKUP(Table3[[#This Row],[Faction ID]],Table4[],2)</f>
        <v>Ironfist-Stiffbeard Union</v>
      </c>
    </row>
    <row r="2098" spans="1:10" x14ac:dyDescent="0.25">
      <c r="A2098">
        <v>54</v>
      </c>
      <c r="B2098" t="s">
        <v>20</v>
      </c>
      <c r="C2098">
        <v>142</v>
      </c>
      <c r="D2098">
        <v>12</v>
      </c>
      <c r="E2098">
        <v>191.4</v>
      </c>
      <c r="F2098">
        <v>40361</v>
      </c>
      <c r="G2098">
        <v>22060</v>
      </c>
      <c r="H2098">
        <v>925</v>
      </c>
      <c r="J2098" t="str">
        <f>VLOOKUP(Table3[[#This Row],[Faction ID]],Table4[],2)</f>
        <v>Gundabad</v>
      </c>
    </row>
    <row r="2099" spans="1:10" x14ac:dyDescent="0.25">
      <c r="A2099">
        <v>54</v>
      </c>
      <c r="B2099" t="s">
        <v>34</v>
      </c>
      <c r="C2099">
        <v>0</v>
      </c>
      <c r="D2099">
        <v>0</v>
      </c>
      <c r="E2099">
        <v>3</v>
      </c>
      <c r="F2099">
        <v>63413</v>
      </c>
      <c r="G2099">
        <v>2379</v>
      </c>
      <c r="H2099">
        <v>0</v>
      </c>
      <c r="J2099" t="str">
        <f>VLOOKUP(Table3[[#This Row],[Faction ID]],Table4[],2)</f>
        <v>Scouts of Rohan</v>
      </c>
    </row>
    <row r="2100" spans="1:10" x14ac:dyDescent="0.25">
      <c r="A2100">
        <v>54</v>
      </c>
      <c r="B2100" t="s">
        <v>33</v>
      </c>
      <c r="C2100">
        <v>6</v>
      </c>
      <c r="D2100">
        <v>4</v>
      </c>
      <c r="E2100">
        <v>55</v>
      </c>
      <c r="F2100">
        <v>47014</v>
      </c>
      <c r="G2100">
        <v>10165</v>
      </c>
      <c r="H2100">
        <v>352</v>
      </c>
      <c r="J2100" t="str">
        <f>VLOOKUP(Table3[[#This Row],[Faction ID]],Table4[],2)</f>
        <v>Northern Enedwaith</v>
      </c>
    </row>
    <row r="2101" spans="1:10" x14ac:dyDescent="0.25">
      <c r="A2101">
        <v>54</v>
      </c>
      <c r="B2101" t="s">
        <v>29</v>
      </c>
      <c r="C2101">
        <v>0</v>
      </c>
      <c r="D2101">
        <v>0</v>
      </c>
      <c r="E2101">
        <v>0</v>
      </c>
      <c r="F2101">
        <v>54023</v>
      </c>
      <c r="G2101">
        <v>1750</v>
      </c>
      <c r="H2101">
        <v>0</v>
      </c>
      <c r="J2101" t="str">
        <f>VLOOKUP(Table3[[#This Row],[Faction ID]],Table4[],2)</f>
        <v>Southern Enedwaith</v>
      </c>
    </row>
    <row r="2102" spans="1:10" x14ac:dyDescent="0.25">
      <c r="A2102">
        <v>54</v>
      </c>
      <c r="B2102" t="s">
        <v>30</v>
      </c>
      <c r="C2102">
        <v>2</v>
      </c>
      <c r="D2102">
        <v>1</v>
      </c>
      <c r="E2102">
        <v>12</v>
      </c>
      <c r="F2102">
        <v>33453</v>
      </c>
      <c r="G2102">
        <v>2244</v>
      </c>
      <c r="H2102">
        <v>0</v>
      </c>
      <c r="J2102" t="str">
        <f>VLOOKUP(Table3[[#This Row],[Faction ID]],Table4[],2)</f>
        <v>Druedain</v>
      </c>
    </row>
    <row r="2103" spans="1:10" x14ac:dyDescent="0.25">
      <c r="A2103">
        <v>54</v>
      </c>
      <c r="B2103" t="s">
        <v>31</v>
      </c>
      <c r="C2103">
        <v>0</v>
      </c>
      <c r="D2103">
        <v>0</v>
      </c>
      <c r="E2103">
        <v>0</v>
      </c>
      <c r="F2103">
        <v>15146</v>
      </c>
      <c r="G2103">
        <v>1750</v>
      </c>
      <c r="H2103">
        <v>0</v>
      </c>
      <c r="J2103" t="str">
        <f>VLOOKUP(Table3[[#This Row],[Faction ID]],Table4[],2)</f>
        <v>Harondor</v>
      </c>
    </row>
    <row r="2104" spans="1:10" x14ac:dyDescent="0.25">
      <c r="A2104">
        <v>54</v>
      </c>
      <c r="B2104" t="s">
        <v>35</v>
      </c>
      <c r="C2104">
        <v>0</v>
      </c>
      <c r="D2104">
        <v>0</v>
      </c>
      <c r="E2104">
        <v>0</v>
      </c>
      <c r="F2104">
        <v>4000</v>
      </c>
      <c r="G2104">
        <v>1750</v>
      </c>
      <c r="H2104">
        <v>0</v>
      </c>
      <c r="J2104" t="str">
        <f>VLOOKUP(Table3[[#This Row],[Faction ID]],Table4[],2)</f>
        <v>Southron Nomads</v>
      </c>
    </row>
    <row r="2105" spans="1:10" x14ac:dyDescent="0.25">
      <c r="A2105">
        <v>54</v>
      </c>
      <c r="B2105" t="s">
        <v>36</v>
      </c>
      <c r="C2105">
        <v>0</v>
      </c>
      <c r="D2105">
        <v>0</v>
      </c>
      <c r="E2105">
        <v>0</v>
      </c>
      <c r="F2105">
        <v>4000</v>
      </c>
      <c r="G2105">
        <v>1750</v>
      </c>
      <c r="H2105">
        <v>0</v>
      </c>
      <c r="J2105" t="str">
        <f>VLOOKUP(Table3[[#This Row],[Faction ID]],Table4[],2)</f>
        <v>_</v>
      </c>
    </row>
    <row r="2106" spans="1:10" x14ac:dyDescent="0.25">
      <c r="A2106">
        <v>54</v>
      </c>
      <c r="B2106" t="s">
        <v>37</v>
      </c>
      <c r="C2106">
        <v>0</v>
      </c>
      <c r="D2106">
        <v>0</v>
      </c>
      <c r="E2106">
        <v>0</v>
      </c>
      <c r="F2106">
        <v>4000</v>
      </c>
      <c r="G2106">
        <v>1750</v>
      </c>
      <c r="H2106">
        <v>0</v>
      </c>
      <c r="J2106" t="str">
        <f>VLOOKUP(Table3[[#This Row],[Faction ID]],Table4[],2)</f>
        <v>_</v>
      </c>
    </row>
    <row r="2107" spans="1:10" x14ac:dyDescent="0.25">
      <c r="A2107">
        <v>54</v>
      </c>
      <c r="B2107" t="s">
        <v>38</v>
      </c>
      <c r="C2107">
        <v>0</v>
      </c>
      <c r="D2107">
        <v>0</v>
      </c>
      <c r="E2107">
        <v>0</v>
      </c>
      <c r="F2107">
        <v>4000</v>
      </c>
      <c r="G2107">
        <v>1750</v>
      </c>
      <c r="H2107">
        <v>0</v>
      </c>
      <c r="J2107" t="str">
        <f>VLOOKUP(Table3[[#This Row],[Faction ID]],Table4[],2)</f>
        <v>_</v>
      </c>
    </row>
    <row r="2108" spans="1:10" x14ac:dyDescent="0.25">
      <c r="A2108">
        <v>54</v>
      </c>
      <c r="B2108" t="s">
        <v>39</v>
      </c>
      <c r="C2108">
        <v>0</v>
      </c>
      <c r="D2108">
        <v>0</v>
      </c>
      <c r="E2108">
        <v>0</v>
      </c>
      <c r="F2108">
        <v>4000</v>
      </c>
      <c r="G2108">
        <v>1750</v>
      </c>
      <c r="H2108">
        <v>0</v>
      </c>
      <c r="J2108" t="str">
        <f>VLOOKUP(Table3[[#This Row],[Faction ID]],Table4[],2)</f>
        <v>_</v>
      </c>
    </row>
    <row r="2109" spans="1:10" x14ac:dyDescent="0.25">
      <c r="A2109">
        <v>54</v>
      </c>
      <c r="B2109" t="s">
        <v>40</v>
      </c>
      <c r="C2109">
        <v>0</v>
      </c>
      <c r="D2109">
        <v>0</v>
      </c>
      <c r="E2109">
        <v>0</v>
      </c>
      <c r="F2109">
        <v>4000</v>
      </c>
      <c r="G2109">
        <v>1750</v>
      </c>
      <c r="H2109">
        <v>0</v>
      </c>
      <c r="J2109" t="str">
        <f>VLOOKUP(Table3[[#This Row],[Faction ID]],Table4[],2)</f>
        <v>_</v>
      </c>
    </row>
    <row r="2110" spans="1:10" x14ac:dyDescent="0.25">
      <c r="A2110">
        <v>54</v>
      </c>
      <c r="B2110" t="s">
        <v>41</v>
      </c>
      <c r="C2110">
        <v>0</v>
      </c>
      <c r="D2110">
        <v>0</v>
      </c>
      <c r="E2110">
        <v>0</v>
      </c>
      <c r="F2110">
        <v>4000</v>
      </c>
      <c r="G2110">
        <v>1750</v>
      </c>
      <c r="H2110">
        <v>0</v>
      </c>
      <c r="J2110" t="str">
        <f>VLOOKUP(Table3[[#This Row],[Faction ID]],Table4[],2)</f>
        <v>_</v>
      </c>
    </row>
    <row r="2111" spans="1:10" x14ac:dyDescent="0.25">
      <c r="A2111">
        <v>54</v>
      </c>
      <c r="B2111" t="s">
        <v>42</v>
      </c>
      <c r="C2111">
        <v>0</v>
      </c>
      <c r="D2111">
        <v>0</v>
      </c>
      <c r="E2111">
        <v>0</v>
      </c>
      <c r="F2111">
        <v>4000</v>
      </c>
      <c r="G2111">
        <v>1750</v>
      </c>
      <c r="H2111">
        <v>0</v>
      </c>
      <c r="J2111" t="str">
        <f>VLOOKUP(Table3[[#This Row],[Faction ID]],Table4[],2)</f>
        <v>_</v>
      </c>
    </row>
    <row r="2112" spans="1:10" x14ac:dyDescent="0.25">
      <c r="A2112">
        <v>54</v>
      </c>
      <c r="B2112" t="s">
        <v>43</v>
      </c>
      <c r="C2112">
        <v>0</v>
      </c>
      <c r="D2112">
        <v>0</v>
      </c>
      <c r="E2112">
        <v>0</v>
      </c>
      <c r="F2112">
        <v>4000</v>
      </c>
      <c r="G2112">
        <v>1750</v>
      </c>
      <c r="H2112">
        <v>0</v>
      </c>
      <c r="J2112" t="str">
        <f>VLOOKUP(Table3[[#This Row],[Faction ID]],Table4[],2)</f>
        <v>_</v>
      </c>
    </row>
    <row r="2113" spans="1:10" x14ac:dyDescent="0.25">
      <c r="A2113">
        <v>54</v>
      </c>
      <c r="B2113" t="s">
        <v>44</v>
      </c>
      <c r="C2113">
        <v>0</v>
      </c>
      <c r="D2113">
        <v>0</v>
      </c>
      <c r="E2113">
        <v>0</v>
      </c>
      <c r="F2113">
        <v>4000</v>
      </c>
      <c r="G2113">
        <v>1750</v>
      </c>
      <c r="H2113">
        <v>0</v>
      </c>
      <c r="J2113" t="str">
        <f>VLOOKUP(Table3[[#This Row],[Faction ID]],Table4[],2)</f>
        <v>_</v>
      </c>
    </row>
    <row r="2114" spans="1:10" x14ac:dyDescent="0.25">
      <c r="A2114">
        <v>55</v>
      </c>
      <c r="B2114" t="s">
        <v>9</v>
      </c>
      <c r="C2114">
        <v>181</v>
      </c>
      <c r="D2114">
        <v>22</v>
      </c>
      <c r="E2114">
        <v>219.8</v>
      </c>
      <c r="F2114">
        <v>6743</v>
      </c>
      <c r="G2114">
        <v>22485</v>
      </c>
      <c r="H2114">
        <v>1154</v>
      </c>
      <c r="J2114" t="str">
        <f>VLOOKUP(Table3[[#This Row],[Faction ID]],Table4[],2)</f>
        <v>Mordor</v>
      </c>
    </row>
    <row r="2115" spans="1:10" x14ac:dyDescent="0.25">
      <c r="A2115">
        <v>55</v>
      </c>
      <c r="B2115" t="s">
        <v>4</v>
      </c>
      <c r="C2115">
        <v>141</v>
      </c>
      <c r="D2115">
        <v>7</v>
      </c>
      <c r="E2115">
        <v>126</v>
      </c>
      <c r="F2115">
        <v>67618</v>
      </c>
      <c r="G2115">
        <v>23630</v>
      </c>
      <c r="H2115">
        <v>0</v>
      </c>
      <c r="J2115" t="str">
        <f>VLOOKUP(Table3[[#This Row],[Faction ID]],Table4[],2)</f>
        <v>Gondor</v>
      </c>
    </row>
    <row r="2116" spans="1:10" x14ac:dyDescent="0.25">
      <c r="A2116">
        <v>55</v>
      </c>
      <c r="B2116" t="s">
        <v>6</v>
      </c>
      <c r="C2116">
        <v>115</v>
      </c>
      <c r="D2116">
        <v>3</v>
      </c>
      <c r="E2116">
        <v>42.6</v>
      </c>
      <c r="F2116">
        <v>20022</v>
      </c>
      <c r="G2116">
        <v>8627</v>
      </c>
      <c r="H2116">
        <v>165</v>
      </c>
      <c r="J2116" t="str">
        <f>VLOOKUP(Table3[[#This Row],[Faction ID]],Table4[],2)</f>
        <v>Dale</v>
      </c>
    </row>
    <row r="2117" spans="1:10" x14ac:dyDescent="0.25">
      <c r="A2117">
        <v>55</v>
      </c>
      <c r="B2117" t="s">
        <v>21</v>
      </c>
      <c r="C2117">
        <v>148</v>
      </c>
      <c r="D2117">
        <v>4</v>
      </c>
      <c r="E2117">
        <v>37.299999999999997</v>
      </c>
      <c r="F2117">
        <v>37089</v>
      </c>
      <c r="G2117">
        <v>8712</v>
      </c>
      <c r="H2117">
        <v>210</v>
      </c>
      <c r="J2117" t="str">
        <f>VLOOKUP(Table3[[#This Row],[Faction ID]],Table4[],2)</f>
        <v>Erebor</v>
      </c>
    </row>
    <row r="2118" spans="1:10" x14ac:dyDescent="0.25">
      <c r="A2118">
        <v>55</v>
      </c>
      <c r="B2118" t="s">
        <v>5</v>
      </c>
      <c r="C2118">
        <v>145</v>
      </c>
      <c r="D2118">
        <v>4</v>
      </c>
      <c r="E2118">
        <v>24</v>
      </c>
      <c r="F2118">
        <v>16789</v>
      </c>
      <c r="G2118">
        <v>4868</v>
      </c>
      <c r="H2118">
        <v>0</v>
      </c>
      <c r="J2118" t="str">
        <f>VLOOKUP(Table3[[#This Row],[Faction ID]],Table4[],2)</f>
        <v>Rohan</v>
      </c>
    </row>
    <row r="2119" spans="1:10" x14ac:dyDescent="0.25">
      <c r="A2119">
        <v>55</v>
      </c>
      <c r="B2119" t="s">
        <v>12</v>
      </c>
      <c r="C2119">
        <v>153</v>
      </c>
      <c r="D2119">
        <v>13</v>
      </c>
      <c r="E2119">
        <v>185.7</v>
      </c>
      <c r="F2119">
        <v>18568</v>
      </c>
      <c r="G2119">
        <v>22621</v>
      </c>
      <c r="H2119">
        <v>1422</v>
      </c>
      <c r="J2119" t="str">
        <f>VLOOKUP(Table3[[#This Row],[Faction ID]],Table4[],2)</f>
        <v>Dol Guldur</v>
      </c>
    </row>
    <row r="2120" spans="1:10" x14ac:dyDescent="0.25">
      <c r="A2120">
        <v>55</v>
      </c>
      <c r="B2120" t="s">
        <v>10</v>
      </c>
      <c r="C2120">
        <v>58</v>
      </c>
      <c r="D2120">
        <v>0</v>
      </c>
      <c r="E2120">
        <v>0</v>
      </c>
      <c r="F2120">
        <v>4515</v>
      </c>
      <c r="G2120">
        <v>2500</v>
      </c>
      <c r="H2120">
        <v>0</v>
      </c>
      <c r="J2120" t="str">
        <f>VLOOKUP(Table3[[#This Row],[Faction ID]],Table4[],2)</f>
        <v>Anduin Vale</v>
      </c>
    </row>
    <row r="2121" spans="1:10" x14ac:dyDescent="0.25">
      <c r="A2121">
        <v>55</v>
      </c>
      <c r="B2121" t="s">
        <v>32</v>
      </c>
      <c r="C2121">
        <v>182</v>
      </c>
      <c r="D2121">
        <v>6</v>
      </c>
      <c r="E2121">
        <v>88.5</v>
      </c>
      <c r="F2121">
        <v>16403</v>
      </c>
      <c r="G2121">
        <v>14265</v>
      </c>
      <c r="H2121">
        <v>882</v>
      </c>
      <c r="J2121" t="str">
        <f>VLOOKUP(Table3[[#This Row],[Faction ID]],Table4[],2)</f>
        <v>Isengard</v>
      </c>
    </row>
    <row r="2122" spans="1:10" x14ac:dyDescent="0.25">
      <c r="A2122">
        <v>55</v>
      </c>
      <c r="B2122" t="s">
        <v>22</v>
      </c>
      <c r="C2122">
        <v>30</v>
      </c>
      <c r="D2122">
        <v>0</v>
      </c>
      <c r="E2122">
        <v>0</v>
      </c>
      <c r="F2122">
        <v>8475</v>
      </c>
      <c r="G2122">
        <v>2500</v>
      </c>
      <c r="H2122">
        <v>0</v>
      </c>
      <c r="J2122" t="str">
        <f>VLOOKUP(Table3[[#This Row],[Faction ID]],Table4[],2)</f>
        <v>Woodland Realm</v>
      </c>
    </row>
    <row r="2123" spans="1:10" x14ac:dyDescent="0.25">
      <c r="A2123">
        <v>55</v>
      </c>
      <c r="B2123" t="s">
        <v>23</v>
      </c>
      <c r="C2123">
        <v>64</v>
      </c>
      <c r="D2123">
        <v>0</v>
      </c>
      <c r="E2123">
        <v>0</v>
      </c>
      <c r="F2123">
        <v>4721</v>
      </c>
      <c r="G2123">
        <v>2500</v>
      </c>
      <c r="H2123">
        <v>0</v>
      </c>
      <c r="J2123" t="str">
        <f>VLOOKUP(Table3[[#This Row],[Faction ID]],Table4[],2)</f>
        <v>Lothlorien</v>
      </c>
    </row>
    <row r="2124" spans="1:10" x14ac:dyDescent="0.25">
      <c r="A2124">
        <v>55</v>
      </c>
      <c r="B2124" t="s">
        <v>24</v>
      </c>
      <c r="C2124">
        <v>0</v>
      </c>
      <c r="D2124">
        <v>0</v>
      </c>
      <c r="E2124">
        <v>0</v>
      </c>
      <c r="F2124">
        <v>4919</v>
      </c>
      <c r="G2124">
        <v>1750</v>
      </c>
      <c r="H2124">
        <v>0</v>
      </c>
      <c r="J2124" t="str">
        <f>VLOOKUP(Table3[[#This Row],[Faction ID]],Table4[],2)</f>
        <v>Variags (Khand)</v>
      </c>
    </row>
    <row r="2125" spans="1:10" x14ac:dyDescent="0.25">
      <c r="A2125">
        <v>55</v>
      </c>
      <c r="B2125" t="s">
        <v>14</v>
      </c>
      <c r="C2125">
        <v>10</v>
      </c>
      <c r="D2125">
        <v>7</v>
      </c>
      <c r="E2125">
        <v>110.8</v>
      </c>
      <c r="F2125">
        <v>34402</v>
      </c>
      <c r="G2125">
        <v>18534</v>
      </c>
      <c r="H2125">
        <v>1045</v>
      </c>
      <c r="J2125" t="str">
        <f>VLOOKUP(Table3[[#This Row],[Faction ID]],Table4[],2)</f>
        <v>Corsairs of Umbar</v>
      </c>
    </row>
    <row r="2126" spans="1:10" x14ac:dyDescent="0.25">
      <c r="A2126">
        <v>55</v>
      </c>
      <c r="B2126" t="s">
        <v>25</v>
      </c>
      <c r="C2126">
        <v>5</v>
      </c>
      <c r="D2126">
        <v>3</v>
      </c>
      <c r="E2126">
        <v>48</v>
      </c>
      <c r="F2126">
        <v>15605</v>
      </c>
      <c r="G2126">
        <v>7603</v>
      </c>
      <c r="H2126">
        <v>0</v>
      </c>
      <c r="J2126" t="str">
        <f>VLOOKUP(Table3[[#This Row],[Faction ID]],Table4[],2)</f>
        <v>Mahud</v>
      </c>
    </row>
    <row r="2127" spans="1:10" x14ac:dyDescent="0.25">
      <c r="A2127">
        <v>55</v>
      </c>
      <c r="B2127" t="s">
        <v>11</v>
      </c>
      <c r="C2127">
        <v>110</v>
      </c>
      <c r="D2127">
        <v>7</v>
      </c>
      <c r="E2127">
        <v>121</v>
      </c>
      <c r="F2127">
        <v>25250</v>
      </c>
      <c r="G2127">
        <v>13736</v>
      </c>
      <c r="H2127">
        <v>0</v>
      </c>
      <c r="J2127" t="str">
        <f>VLOOKUP(Table3[[#This Row],[Faction ID]],Table4[],2)</f>
        <v>Haradrim</v>
      </c>
    </row>
    <row r="2128" spans="1:10" x14ac:dyDescent="0.25">
      <c r="A2128">
        <v>55</v>
      </c>
      <c r="B2128" t="s">
        <v>15</v>
      </c>
      <c r="C2128">
        <v>113</v>
      </c>
      <c r="D2128">
        <v>9</v>
      </c>
      <c r="E2128">
        <v>147.80000000000001</v>
      </c>
      <c r="F2128">
        <v>19352</v>
      </c>
      <c r="G2128">
        <v>22541</v>
      </c>
      <c r="H2128">
        <v>1058</v>
      </c>
      <c r="J2128" t="str">
        <f>VLOOKUP(Table3[[#This Row],[Faction ID]],Table4[],2)</f>
        <v>Dunlendings</v>
      </c>
    </row>
    <row r="2129" spans="1:10" x14ac:dyDescent="0.25">
      <c r="A2129">
        <v>55</v>
      </c>
      <c r="B2129" t="s">
        <v>16</v>
      </c>
      <c r="C2129">
        <v>0</v>
      </c>
      <c r="D2129">
        <v>0</v>
      </c>
      <c r="E2129">
        <v>0</v>
      </c>
      <c r="F2129">
        <v>5352</v>
      </c>
      <c r="G2129">
        <v>1750</v>
      </c>
      <c r="H2129">
        <v>0</v>
      </c>
      <c r="J2129" t="str">
        <f>VLOOKUP(Table3[[#This Row],[Faction ID]],Table4[],2)</f>
        <v>Haerrim</v>
      </c>
    </row>
    <row r="2130" spans="1:10" x14ac:dyDescent="0.25">
      <c r="A2130">
        <v>55</v>
      </c>
      <c r="B2130" t="s">
        <v>13</v>
      </c>
      <c r="C2130">
        <v>230</v>
      </c>
      <c r="D2130">
        <v>17</v>
      </c>
      <c r="E2130">
        <v>251.7</v>
      </c>
      <c r="F2130">
        <v>36585</v>
      </c>
      <c r="G2130">
        <v>28513</v>
      </c>
      <c r="H2130">
        <v>2986</v>
      </c>
      <c r="J2130" t="str">
        <f>VLOOKUP(Table3[[#This Row],[Faction ID]],Table4[],2)</f>
        <v>Goblins</v>
      </c>
    </row>
    <row r="2131" spans="1:10" x14ac:dyDescent="0.25">
      <c r="A2131">
        <v>55</v>
      </c>
      <c r="B2131" t="s">
        <v>17</v>
      </c>
      <c r="C2131">
        <v>0</v>
      </c>
      <c r="D2131">
        <v>0</v>
      </c>
      <c r="E2131">
        <v>0</v>
      </c>
      <c r="F2131">
        <v>4872</v>
      </c>
      <c r="G2131">
        <v>1750</v>
      </c>
      <c r="H2131">
        <v>0</v>
      </c>
      <c r="J2131" t="str">
        <f>VLOOKUP(Table3[[#This Row],[Faction ID]],Table4[],2)</f>
        <v>Balchoth</v>
      </c>
    </row>
    <row r="2132" spans="1:10" x14ac:dyDescent="0.25">
      <c r="A2132">
        <v>55</v>
      </c>
      <c r="B2132" t="s">
        <v>18</v>
      </c>
      <c r="C2132">
        <v>183</v>
      </c>
      <c r="D2132">
        <v>31</v>
      </c>
      <c r="E2132">
        <v>375.7</v>
      </c>
      <c r="F2132">
        <v>45740</v>
      </c>
      <c r="G2132">
        <v>36525</v>
      </c>
      <c r="H2132">
        <v>1296</v>
      </c>
      <c r="J2132" t="str">
        <f>VLOOKUP(Table3[[#This Row],[Faction ID]],Table4[],2)</f>
        <v>Rhurim/Rhun</v>
      </c>
    </row>
    <row r="2133" spans="1:10" x14ac:dyDescent="0.25">
      <c r="A2133">
        <v>55</v>
      </c>
      <c r="B2133" t="s">
        <v>19</v>
      </c>
      <c r="C2133">
        <v>0</v>
      </c>
      <c r="D2133">
        <v>0</v>
      </c>
      <c r="E2133">
        <v>0</v>
      </c>
      <c r="F2133">
        <v>7360</v>
      </c>
      <c r="G2133">
        <v>1750</v>
      </c>
      <c r="H2133">
        <v>0</v>
      </c>
      <c r="J2133" t="str">
        <f>VLOOKUP(Table3[[#This Row],[Faction ID]],Table4[],2)</f>
        <v>Feredrim</v>
      </c>
    </row>
    <row r="2134" spans="1:10" x14ac:dyDescent="0.25">
      <c r="A2134">
        <v>55</v>
      </c>
      <c r="B2134" t="s">
        <v>26</v>
      </c>
      <c r="C2134">
        <v>0</v>
      </c>
      <c r="D2134">
        <v>0</v>
      </c>
      <c r="E2134">
        <v>0</v>
      </c>
      <c r="F2134">
        <v>6395</v>
      </c>
      <c r="G2134">
        <v>1750</v>
      </c>
      <c r="H2134">
        <v>0</v>
      </c>
      <c r="J2134" t="str">
        <f>VLOOKUP(Table3[[#This Row],[Faction ID]],Table4[],2)</f>
        <v>Rachrohir (Wainriders)</v>
      </c>
    </row>
    <row r="2135" spans="1:10" x14ac:dyDescent="0.25">
      <c r="A2135">
        <v>55</v>
      </c>
      <c r="B2135" t="s">
        <v>27</v>
      </c>
      <c r="C2135">
        <v>5</v>
      </c>
      <c r="D2135">
        <v>3</v>
      </c>
      <c r="E2135">
        <v>66</v>
      </c>
      <c r="F2135">
        <v>72987</v>
      </c>
      <c r="G2135">
        <v>13007</v>
      </c>
      <c r="H2135">
        <v>0</v>
      </c>
      <c r="J2135" t="str">
        <f>VLOOKUP(Table3[[#This Row],[Faction ID]],Table4[],2)</f>
        <v>Blacklock-Stonefoot League</v>
      </c>
    </row>
    <row r="2136" spans="1:10" x14ac:dyDescent="0.25">
      <c r="A2136">
        <v>55</v>
      </c>
      <c r="B2136" t="s">
        <v>28</v>
      </c>
      <c r="C2136">
        <v>4</v>
      </c>
      <c r="D2136">
        <v>2</v>
      </c>
      <c r="E2136">
        <v>41</v>
      </c>
      <c r="F2136">
        <v>39592</v>
      </c>
      <c r="G2136">
        <v>8161</v>
      </c>
      <c r="H2136">
        <v>0</v>
      </c>
      <c r="J2136" t="str">
        <f>VLOOKUP(Table3[[#This Row],[Faction ID]],Table4[],2)</f>
        <v>Ironfist-Stiffbeard Union</v>
      </c>
    </row>
    <row r="2137" spans="1:10" x14ac:dyDescent="0.25">
      <c r="A2137">
        <v>55</v>
      </c>
      <c r="B2137" t="s">
        <v>20</v>
      </c>
      <c r="C2137">
        <v>147</v>
      </c>
      <c r="D2137">
        <v>12</v>
      </c>
      <c r="E2137">
        <v>187.6</v>
      </c>
      <c r="F2137">
        <v>48060</v>
      </c>
      <c r="G2137">
        <v>22047</v>
      </c>
      <c r="H2137">
        <v>924</v>
      </c>
      <c r="J2137" t="str">
        <f>VLOOKUP(Table3[[#This Row],[Faction ID]],Table4[],2)</f>
        <v>Gundabad</v>
      </c>
    </row>
    <row r="2138" spans="1:10" x14ac:dyDescent="0.25">
      <c r="A2138">
        <v>55</v>
      </c>
      <c r="B2138" t="s">
        <v>34</v>
      </c>
      <c r="C2138">
        <v>0</v>
      </c>
      <c r="D2138">
        <v>0</v>
      </c>
      <c r="E2138">
        <v>3</v>
      </c>
      <c r="F2138">
        <v>64534</v>
      </c>
      <c r="G2138">
        <v>2379</v>
      </c>
      <c r="H2138">
        <v>0</v>
      </c>
      <c r="J2138" t="str">
        <f>VLOOKUP(Table3[[#This Row],[Faction ID]],Table4[],2)</f>
        <v>Scouts of Rohan</v>
      </c>
    </row>
    <row r="2139" spans="1:10" x14ac:dyDescent="0.25">
      <c r="A2139">
        <v>55</v>
      </c>
      <c r="B2139" t="s">
        <v>33</v>
      </c>
      <c r="C2139">
        <v>6</v>
      </c>
      <c r="D2139">
        <v>4</v>
      </c>
      <c r="E2139">
        <v>55</v>
      </c>
      <c r="F2139">
        <v>50228</v>
      </c>
      <c r="G2139">
        <v>10391</v>
      </c>
      <c r="H2139">
        <v>354</v>
      </c>
      <c r="J2139" t="str">
        <f>VLOOKUP(Table3[[#This Row],[Faction ID]],Table4[],2)</f>
        <v>Northern Enedwaith</v>
      </c>
    </row>
    <row r="2140" spans="1:10" x14ac:dyDescent="0.25">
      <c r="A2140">
        <v>55</v>
      </c>
      <c r="B2140" t="s">
        <v>29</v>
      </c>
      <c r="C2140">
        <v>0</v>
      </c>
      <c r="D2140">
        <v>0</v>
      </c>
      <c r="E2140">
        <v>0</v>
      </c>
      <c r="F2140">
        <v>54023</v>
      </c>
      <c r="G2140">
        <v>1750</v>
      </c>
      <c r="H2140">
        <v>0</v>
      </c>
      <c r="J2140" t="str">
        <f>VLOOKUP(Table3[[#This Row],[Faction ID]],Table4[],2)</f>
        <v>Southern Enedwaith</v>
      </c>
    </row>
    <row r="2141" spans="1:10" x14ac:dyDescent="0.25">
      <c r="A2141">
        <v>55</v>
      </c>
      <c r="B2141" t="s">
        <v>30</v>
      </c>
      <c r="C2141">
        <v>2</v>
      </c>
      <c r="D2141">
        <v>1</v>
      </c>
      <c r="E2141">
        <v>9</v>
      </c>
      <c r="F2141">
        <v>32187</v>
      </c>
      <c r="G2141">
        <v>2801</v>
      </c>
      <c r="H2141">
        <v>0</v>
      </c>
      <c r="J2141" t="str">
        <f>VLOOKUP(Table3[[#This Row],[Faction ID]],Table4[],2)</f>
        <v>Druedain</v>
      </c>
    </row>
    <row r="2142" spans="1:10" x14ac:dyDescent="0.25">
      <c r="A2142">
        <v>55</v>
      </c>
      <c r="B2142" t="s">
        <v>31</v>
      </c>
      <c r="C2142">
        <v>0</v>
      </c>
      <c r="D2142">
        <v>0</v>
      </c>
      <c r="E2142">
        <v>0</v>
      </c>
      <c r="F2142">
        <v>15146</v>
      </c>
      <c r="G2142">
        <v>1750</v>
      </c>
      <c r="H2142">
        <v>0</v>
      </c>
      <c r="J2142" t="str">
        <f>VLOOKUP(Table3[[#This Row],[Faction ID]],Table4[],2)</f>
        <v>Harondor</v>
      </c>
    </row>
    <row r="2143" spans="1:10" x14ac:dyDescent="0.25">
      <c r="A2143">
        <v>55</v>
      </c>
      <c r="B2143" t="s">
        <v>35</v>
      </c>
      <c r="C2143">
        <v>0</v>
      </c>
      <c r="D2143">
        <v>0</v>
      </c>
      <c r="E2143">
        <v>0</v>
      </c>
      <c r="F2143">
        <v>4000</v>
      </c>
      <c r="G2143">
        <v>1750</v>
      </c>
      <c r="H2143">
        <v>0</v>
      </c>
      <c r="J2143" t="str">
        <f>VLOOKUP(Table3[[#This Row],[Faction ID]],Table4[],2)</f>
        <v>Southron Nomads</v>
      </c>
    </row>
    <row r="2144" spans="1:10" x14ac:dyDescent="0.25">
      <c r="A2144">
        <v>55</v>
      </c>
      <c r="B2144" t="s">
        <v>36</v>
      </c>
      <c r="C2144">
        <v>0</v>
      </c>
      <c r="D2144">
        <v>0</v>
      </c>
      <c r="E2144">
        <v>0</v>
      </c>
      <c r="F2144">
        <v>4000</v>
      </c>
      <c r="G2144">
        <v>1750</v>
      </c>
      <c r="H2144">
        <v>0</v>
      </c>
      <c r="J2144" t="str">
        <f>VLOOKUP(Table3[[#This Row],[Faction ID]],Table4[],2)</f>
        <v>_</v>
      </c>
    </row>
    <row r="2145" spans="1:10" x14ac:dyDescent="0.25">
      <c r="A2145">
        <v>55</v>
      </c>
      <c r="B2145" t="s">
        <v>37</v>
      </c>
      <c r="C2145">
        <v>0</v>
      </c>
      <c r="D2145">
        <v>0</v>
      </c>
      <c r="E2145">
        <v>0</v>
      </c>
      <c r="F2145">
        <v>4000</v>
      </c>
      <c r="G2145">
        <v>1750</v>
      </c>
      <c r="H2145">
        <v>0</v>
      </c>
      <c r="J2145" t="str">
        <f>VLOOKUP(Table3[[#This Row],[Faction ID]],Table4[],2)</f>
        <v>_</v>
      </c>
    </row>
    <row r="2146" spans="1:10" x14ac:dyDescent="0.25">
      <c r="A2146">
        <v>55</v>
      </c>
      <c r="B2146" t="s">
        <v>38</v>
      </c>
      <c r="C2146">
        <v>0</v>
      </c>
      <c r="D2146">
        <v>0</v>
      </c>
      <c r="E2146">
        <v>0</v>
      </c>
      <c r="F2146">
        <v>4000</v>
      </c>
      <c r="G2146">
        <v>1750</v>
      </c>
      <c r="H2146">
        <v>0</v>
      </c>
      <c r="J2146" t="str">
        <f>VLOOKUP(Table3[[#This Row],[Faction ID]],Table4[],2)</f>
        <v>_</v>
      </c>
    </row>
    <row r="2147" spans="1:10" x14ac:dyDescent="0.25">
      <c r="A2147">
        <v>55</v>
      </c>
      <c r="B2147" t="s">
        <v>39</v>
      </c>
      <c r="C2147">
        <v>0</v>
      </c>
      <c r="D2147">
        <v>0</v>
      </c>
      <c r="E2147">
        <v>0</v>
      </c>
      <c r="F2147">
        <v>4000</v>
      </c>
      <c r="G2147">
        <v>1750</v>
      </c>
      <c r="H2147">
        <v>0</v>
      </c>
      <c r="J2147" t="str">
        <f>VLOOKUP(Table3[[#This Row],[Faction ID]],Table4[],2)</f>
        <v>_</v>
      </c>
    </row>
    <row r="2148" spans="1:10" x14ac:dyDescent="0.25">
      <c r="A2148">
        <v>55</v>
      </c>
      <c r="B2148" t="s">
        <v>40</v>
      </c>
      <c r="C2148">
        <v>0</v>
      </c>
      <c r="D2148">
        <v>0</v>
      </c>
      <c r="E2148">
        <v>0</v>
      </c>
      <c r="F2148">
        <v>4000</v>
      </c>
      <c r="G2148">
        <v>1750</v>
      </c>
      <c r="H2148">
        <v>0</v>
      </c>
      <c r="J2148" t="str">
        <f>VLOOKUP(Table3[[#This Row],[Faction ID]],Table4[],2)</f>
        <v>_</v>
      </c>
    </row>
    <row r="2149" spans="1:10" x14ac:dyDescent="0.25">
      <c r="A2149">
        <v>55</v>
      </c>
      <c r="B2149" t="s">
        <v>41</v>
      </c>
      <c r="C2149">
        <v>0</v>
      </c>
      <c r="D2149">
        <v>0</v>
      </c>
      <c r="E2149">
        <v>0</v>
      </c>
      <c r="F2149">
        <v>4000</v>
      </c>
      <c r="G2149">
        <v>1750</v>
      </c>
      <c r="H2149">
        <v>0</v>
      </c>
      <c r="J2149" t="str">
        <f>VLOOKUP(Table3[[#This Row],[Faction ID]],Table4[],2)</f>
        <v>_</v>
      </c>
    </row>
    <row r="2150" spans="1:10" x14ac:dyDescent="0.25">
      <c r="A2150">
        <v>55</v>
      </c>
      <c r="B2150" t="s">
        <v>42</v>
      </c>
      <c r="C2150">
        <v>0</v>
      </c>
      <c r="D2150">
        <v>0</v>
      </c>
      <c r="E2150">
        <v>0</v>
      </c>
      <c r="F2150">
        <v>4000</v>
      </c>
      <c r="G2150">
        <v>1750</v>
      </c>
      <c r="H2150">
        <v>0</v>
      </c>
      <c r="J2150" t="str">
        <f>VLOOKUP(Table3[[#This Row],[Faction ID]],Table4[],2)</f>
        <v>_</v>
      </c>
    </row>
    <row r="2151" spans="1:10" x14ac:dyDescent="0.25">
      <c r="A2151">
        <v>55</v>
      </c>
      <c r="B2151" t="s">
        <v>43</v>
      </c>
      <c r="C2151">
        <v>0</v>
      </c>
      <c r="D2151">
        <v>0</v>
      </c>
      <c r="E2151">
        <v>0</v>
      </c>
      <c r="F2151">
        <v>4000</v>
      </c>
      <c r="G2151">
        <v>1750</v>
      </c>
      <c r="H2151">
        <v>0</v>
      </c>
      <c r="J2151" t="str">
        <f>VLOOKUP(Table3[[#This Row],[Faction ID]],Table4[],2)</f>
        <v>_</v>
      </c>
    </row>
    <row r="2152" spans="1:10" x14ac:dyDescent="0.25">
      <c r="A2152">
        <v>55</v>
      </c>
      <c r="B2152" t="s">
        <v>44</v>
      </c>
      <c r="C2152">
        <v>0</v>
      </c>
      <c r="D2152">
        <v>0</v>
      </c>
      <c r="E2152">
        <v>0</v>
      </c>
      <c r="F2152">
        <v>4000</v>
      </c>
      <c r="G2152">
        <v>1750</v>
      </c>
      <c r="H2152">
        <v>0</v>
      </c>
      <c r="J2152" t="str">
        <f>VLOOKUP(Table3[[#This Row],[Faction ID]],Table4[],2)</f>
        <v>_</v>
      </c>
    </row>
    <row r="2153" spans="1:10" x14ac:dyDescent="0.25">
      <c r="A2153">
        <v>56</v>
      </c>
      <c r="B2153" t="s">
        <v>9</v>
      </c>
      <c r="C2153">
        <v>181</v>
      </c>
      <c r="D2153">
        <v>22</v>
      </c>
      <c r="E2153">
        <v>219.8</v>
      </c>
      <c r="F2153">
        <v>5220</v>
      </c>
      <c r="G2153">
        <v>22522</v>
      </c>
      <c r="H2153">
        <v>1267</v>
      </c>
      <c r="J2153" t="str">
        <f>VLOOKUP(Table3[[#This Row],[Faction ID]],Table4[],2)</f>
        <v>Mordor</v>
      </c>
    </row>
    <row r="2154" spans="1:10" x14ac:dyDescent="0.25">
      <c r="A2154">
        <v>56</v>
      </c>
      <c r="B2154" t="s">
        <v>4</v>
      </c>
      <c r="C2154">
        <v>141</v>
      </c>
      <c r="D2154">
        <v>7</v>
      </c>
      <c r="E2154">
        <v>107</v>
      </c>
      <c r="F2154">
        <v>73654</v>
      </c>
      <c r="G2154">
        <v>19153</v>
      </c>
      <c r="H2154">
        <v>0</v>
      </c>
      <c r="J2154" t="str">
        <f>VLOOKUP(Table3[[#This Row],[Faction ID]],Table4[],2)</f>
        <v>Gondor</v>
      </c>
    </row>
    <row r="2155" spans="1:10" x14ac:dyDescent="0.25">
      <c r="A2155">
        <v>56</v>
      </c>
      <c r="B2155" t="s">
        <v>6</v>
      </c>
      <c r="C2155">
        <v>115</v>
      </c>
      <c r="D2155">
        <v>3</v>
      </c>
      <c r="E2155">
        <v>50.6</v>
      </c>
      <c r="F2155">
        <v>13260</v>
      </c>
      <c r="G2155">
        <v>8109</v>
      </c>
      <c r="H2155">
        <v>166</v>
      </c>
      <c r="J2155" t="str">
        <f>VLOOKUP(Table3[[#This Row],[Faction ID]],Table4[],2)</f>
        <v>Dale</v>
      </c>
    </row>
    <row r="2156" spans="1:10" x14ac:dyDescent="0.25">
      <c r="A2156">
        <v>56</v>
      </c>
      <c r="B2156" t="s">
        <v>21</v>
      </c>
      <c r="C2156">
        <v>153</v>
      </c>
      <c r="D2156">
        <v>4</v>
      </c>
      <c r="E2156">
        <v>37.1</v>
      </c>
      <c r="F2156">
        <v>27762</v>
      </c>
      <c r="G2156">
        <v>7678</v>
      </c>
      <c r="H2156">
        <v>210</v>
      </c>
      <c r="J2156" t="str">
        <f>VLOOKUP(Table3[[#This Row],[Faction ID]],Table4[],2)</f>
        <v>Erebor</v>
      </c>
    </row>
    <row r="2157" spans="1:10" x14ac:dyDescent="0.25">
      <c r="A2157">
        <v>56</v>
      </c>
      <c r="B2157" t="s">
        <v>5</v>
      </c>
      <c r="C2157">
        <v>145</v>
      </c>
      <c r="D2157">
        <v>4</v>
      </c>
      <c r="E2157">
        <v>39</v>
      </c>
      <c r="F2157">
        <v>10269</v>
      </c>
      <c r="G2157">
        <v>4165</v>
      </c>
      <c r="H2157">
        <v>0</v>
      </c>
      <c r="J2157" t="str">
        <f>VLOOKUP(Table3[[#This Row],[Faction ID]],Table4[],2)</f>
        <v>Rohan</v>
      </c>
    </row>
    <row r="2158" spans="1:10" x14ac:dyDescent="0.25">
      <c r="A2158">
        <v>56</v>
      </c>
      <c r="B2158" t="s">
        <v>12</v>
      </c>
      <c r="C2158">
        <v>158</v>
      </c>
      <c r="D2158">
        <v>13</v>
      </c>
      <c r="E2158">
        <v>189.7</v>
      </c>
      <c r="F2158">
        <v>17720</v>
      </c>
      <c r="G2158">
        <v>23112</v>
      </c>
      <c r="H2158">
        <v>1519</v>
      </c>
      <c r="J2158" t="str">
        <f>VLOOKUP(Table3[[#This Row],[Faction ID]],Table4[],2)</f>
        <v>Dol Guldur</v>
      </c>
    </row>
    <row r="2159" spans="1:10" x14ac:dyDescent="0.25">
      <c r="A2159">
        <v>56</v>
      </c>
      <c r="B2159" t="s">
        <v>10</v>
      </c>
      <c r="C2159">
        <v>58</v>
      </c>
      <c r="D2159">
        <v>0</v>
      </c>
      <c r="E2159">
        <v>0</v>
      </c>
      <c r="F2159">
        <v>4515</v>
      </c>
      <c r="G2159">
        <v>2500</v>
      </c>
      <c r="H2159">
        <v>0</v>
      </c>
      <c r="J2159" t="str">
        <f>VLOOKUP(Table3[[#This Row],[Faction ID]],Table4[],2)</f>
        <v>Anduin Vale</v>
      </c>
    </row>
    <row r="2160" spans="1:10" x14ac:dyDescent="0.25">
      <c r="A2160">
        <v>56</v>
      </c>
      <c r="B2160" t="s">
        <v>32</v>
      </c>
      <c r="C2160">
        <v>182</v>
      </c>
      <c r="D2160">
        <v>6</v>
      </c>
      <c r="E2160">
        <v>91.3</v>
      </c>
      <c r="F2160">
        <v>15563</v>
      </c>
      <c r="G2160">
        <v>14283</v>
      </c>
      <c r="H2160">
        <v>892</v>
      </c>
      <c r="J2160" t="str">
        <f>VLOOKUP(Table3[[#This Row],[Faction ID]],Table4[],2)</f>
        <v>Isengard</v>
      </c>
    </row>
    <row r="2161" spans="1:10" x14ac:dyDescent="0.25">
      <c r="A2161">
        <v>56</v>
      </c>
      <c r="B2161" t="s">
        <v>22</v>
      </c>
      <c r="C2161">
        <v>30</v>
      </c>
      <c r="D2161">
        <v>0</v>
      </c>
      <c r="E2161">
        <v>0</v>
      </c>
      <c r="F2161">
        <v>8475</v>
      </c>
      <c r="G2161">
        <v>2500</v>
      </c>
      <c r="H2161">
        <v>0</v>
      </c>
      <c r="J2161" t="str">
        <f>VLOOKUP(Table3[[#This Row],[Faction ID]],Table4[],2)</f>
        <v>Woodland Realm</v>
      </c>
    </row>
    <row r="2162" spans="1:10" x14ac:dyDescent="0.25">
      <c r="A2162">
        <v>56</v>
      </c>
      <c r="B2162" t="s">
        <v>23</v>
      </c>
      <c r="C2162">
        <v>64</v>
      </c>
      <c r="D2162">
        <v>0</v>
      </c>
      <c r="E2162">
        <v>0</v>
      </c>
      <c r="F2162">
        <v>4721</v>
      </c>
      <c r="G2162">
        <v>2500</v>
      </c>
      <c r="H2162">
        <v>0</v>
      </c>
      <c r="J2162" t="str">
        <f>VLOOKUP(Table3[[#This Row],[Faction ID]],Table4[],2)</f>
        <v>Lothlorien</v>
      </c>
    </row>
    <row r="2163" spans="1:10" x14ac:dyDescent="0.25">
      <c r="A2163">
        <v>56</v>
      </c>
      <c r="B2163" t="s">
        <v>24</v>
      </c>
      <c r="C2163">
        <v>0</v>
      </c>
      <c r="D2163">
        <v>0</v>
      </c>
      <c r="E2163">
        <v>0</v>
      </c>
      <c r="F2163">
        <v>4919</v>
      </c>
      <c r="G2163">
        <v>1750</v>
      </c>
      <c r="H2163">
        <v>0</v>
      </c>
      <c r="J2163" t="str">
        <f>VLOOKUP(Table3[[#This Row],[Faction ID]],Table4[],2)</f>
        <v>Variags (Khand)</v>
      </c>
    </row>
    <row r="2164" spans="1:10" x14ac:dyDescent="0.25">
      <c r="A2164">
        <v>56</v>
      </c>
      <c r="B2164" t="s">
        <v>14</v>
      </c>
      <c r="C2164">
        <v>10</v>
      </c>
      <c r="D2164">
        <v>7</v>
      </c>
      <c r="E2164">
        <v>110.8</v>
      </c>
      <c r="F2164">
        <v>32478</v>
      </c>
      <c r="G2164">
        <v>19105</v>
      </c>
      <c r="H2164">
        <v>1051</v>
      </c>
      <c r="J2164" t="str">
        <f>VLOOKUP(Table3[[#This Row],[Faction ID]],Table4[],2)</f>
        <v>Corsairs of Umbar</v>
      </c>
    </row>
    <row r="2165" spans="1:10" x14ac:dyDescent="0.25">
      <c r="A2165">
        <v>56</v>
      </c>
      <c r="B2165" t="s">
        <v>25</v>
      </c>
      <c r="C2165">
        <v>4</v>
      </c>
      <c r="D2165">
        <v>2</v>
      </c>
      <c r="E2165">
        <v>40</v>
      </c>
      <c r="F2165">
        <v>16264</v>
      </c>
      <c r="G2165">
        <v>6683</v>
      </c>
      <c r="H2165">
        <v>0</v>
      </c>
      <c r="J2165" t="str">
        <f>VLOOKUP(Table3[[#This Row],[Faction ID]],Table4[],2)</f>
        <v>Mahud</v>
      </c>
    </row>
    <row r="2166" spans="1:10" x14ac:dyDescent="0.25">
      <c r="A2166">
        <v>56</v>
      </c>
      <c r="B2166" t="s">
        <v>11</v>
      </c>
      <c r="C2166">
        <v>111</v>
      </c>
      <c r="D2166">
        <v>8</v>
      </c>
      <c r="E2166">
        <v>134</v>
      </c>
      <c r="F2166">
        <v>25336</v>
      </c>
      <c r="G2166">
        <v>16399</v>
      </c>
      <c r="H2166">
        <v>0</v>
      </c>
      <c r="J2166" t="str">
        <f>VLOOKUP(Table3[[#This Row],[Faction ID]],Table4[],2)</f>
        <v>Haradrim</v>
      </c>
    </row>
    <row r="2167" spans="1:10" x14ac:dyDescent="0.25">
      <c r="A2167">
        <v>56</v>
      </c>
      <c r="B2167" t="s">
        <v>15</v>
      </c>
      <c r="C2167">
        <v>117</v>
      </c>
      <c r="D2167">
        <v>9</v>
      </c>
      <c r="E2167">
        <v>150.80000000000001</v>
      </c>
      <c r="F2167">
        <v>23127</v>
      </c>
      <c r="G2167">
        <v>23367</v>
      </c>
      <c r="H2167">
        <v>1069</v>
      </c>
      <c r="J2167" t="str">
        <f>VLOOKUP(Table3[[#This Row],[Faction ID]],Table4[],2)</f>
        <v>Dunlendings</v>
      </c>
    </row>
    <row r="2168" spans="1:10" x14ac:dyDescent="0.25">
      <c r="A2168">
        <v>56</v>
      </c>
      <c r="B2168" t="s">
        <v>16</v>
      </c>
      <c r="C2168">
        <v>0</v>
      </c>
      <c r="D2168">
        <v>0</v>
      </c>
      <c r="E2168">
        <v>0</v>
      </c>
      <c r="F2168">
        <v>5352</v>
      </c>
      <c r="G2168">
        <v>1750</v>
      </c>
      <c r="H2168">
        <v>0</v>
      </c>
      <c r="J2168" t="str">
        <f>VLOOKUP(Table3[[#This Row],[Faction ID]],Table4[],2)</f>
        <v>Haerrim</v>
      </c>
    </row>
    <row r="2169" spans="1:10" x14ac:dyDescent="0.25">
      <c r="A2169">
        <v>56</v>
      </c>
      <c r="B2169" t="s">
        <v>13</v>
      </c>
      <c r="C2169">
        <v>240</v>
      </c>
      <c r="D2169">
        <v>17</v>
      </c>
      <c r="E2169">
        <v>254.7</v>
      </c>
      <c r="F2169">
        <v>30334</v>
      </c>
      <c r="G2169">
        <v>31760</v>
      </c>
      <c r="H2169">
        <v>3020</v>
      </c>
      <c r="J2169" t="str">
        <f>VLOOKUP(Table3[[#This Row],[Faction ID]],Table4[],2)</f>
        <v>Goblins</v>
      </c>
    </row>
    <row r="2170" spans="1:10" x14ac:dyDescent="0.25">
      <c r="A2170">
        <v>56</v>
      </c>
      <c r="B2170" t="s">
        <v>17</v>
      </c>
      <c r="C2170">
        <v>0</v>
      </c>
      <c r="D2170">
        <v>0</v>
      </c>
      <c r="E2170">
        <v>0</v>
      </c>
      <c r="F2170">
        <v>4872</v>
      </c>
      <c r="G2170">
        <v>1750</v>
      </c>
      <c r="H2170">
        <v>0</v>
      </c>
      <c r="J2170" t="str">
        <f>VLOOKUP(Table3[[#This Row],[Faction ID]],Table4[],2)</f>
        <v>Balchoth</v>
      </c>
    </row>
    <row r="2171" spans="1:10" x14ac:dyDescent="0.25">
      <c r="A2171">
        <v>56</v>
      </c>
      <c r="B2171" t="s">
        <v>18</v>
      </c>
      <c r="C2171">
        <v>182</v>
      </c>
      <c r="D2171">
        <v>30</v>
      </c>
      <c r="E2171">
        <v>367.7</v>
      </c>
      <c r="F2171">
        <v>52816</v>
      </c>
      <c r="G2171">
        <v>32645</v>
      </c>
      <c r="H2171">
        <v>1351</v>
      </c>
      <c r="J2171" t="str">
        <f>VLOOKUP(Table3[[#This Row],[Faction ID]],Table4[],2)</f>
        <v>Rhurim/Rhun</v>
      </c>
    </row>
    <row r="2172" spans="1:10" x14ac:dyDescent="0.25">
      <c r="A2172">
        <v>56</v>
      </c>
      <c r="B2172" t="s">
        <v>19</v>
      </c>
      <c r="C2172">
        <v>0</v>
      </c>
      <c r="D2172">
        <v>0</v>
      </c>
      <c r="E2172">
        <v>0</v>
      </c>
      <c r="F2172">
        <v>7360</v>
      </c>
      <c r="G2172">
        <v>1750</v>
      </c>
      <c r="H2172">
        <v>0</v>
      </c>
      <c r="J2172" t="str">
        <f>VLOOKUP(Table3[[#This Row],[Faction ID]],Table4[],2)</f>
        <v>Feredrim</v>
      </c>
    </row>
    <row r="2173" spans="1:10" x14ac:dyDescent="0.25">
      <c r="A2173">
        <v>56</v>
      </c>
      <c r="B2173" t="s">
        <v>26</v>
      </c>
      <c r="C2173">
        <v>0</v>
      </c>
      <c r="D2173">
        <v>0</v>
      </c>
      <c r="E2173">
        <v>0</v>
      </c>
      <c r="F2173">
        <v>6395</v>
      </c>
      <c r="G2173">
        <v>1750</v>
      </c>
      <c r="H2173">
        <v>0</v>
      </c>
      <c r="J2173" t="str">
        <f>VLOOKUP(Table3[[#This Row],[Faction ID]],Table4[],2)</f>
        <v>Rachrohir (Wainriders)</v>
      </c>
    </row>
    <row r="2174" spans="1:10" x14ac:dyDescent="0.25">
      <c r="A2174">
        <v>56</v>
      </c>
      <c r="B2174" t="s">
        <v>27</v>
      </c>
      <c r="C2174">
        <v>5</v>
      </c>
      <c r="D2174">
        <v>3</v>
      </c>
      <c r="E2174">
        <v>69</v>
      </c>
      <c r="F2174">
        <v>73167</v>
      </c>
      <c r="G2174">
        <v>13320</v>
      </c>
      <c r="H2174">
        <v>0</v>
      </c>
      <c r="J2174" t="str">
        <f>VLOOKUP(Table3[[#This Row],[Faction ID]],Table4[],2)</f>
        <v>Blacklock-Stonefoot League</v>
      </c>
    </row>
    <row r="2175" spans="1:10" x14ac:dyDescent="0.25">
      <c r="A2175">
        <v>56</v>
      </c>
      <c r="B2175" t="s">
        <v>28</v>
      </c>
      <c r="C2175">
        <v>4</v>
      </c>
      <c r="D2175">
        <v>2</v>
      </c>
      <c r="E2175">
        <v>41</v>
      </c>
      <c r="F2175">
        <v>41310</v>
      </c>
      <c r="G2175">
        <v>7374</v>
      </c>
      <c r="H2175">
        <v>0</v>
      </c>
      <c r="J2175" t="str">
        <f>VLOOKUP(Table3[[#This Row],[Faction ID]],Table4[],2)</f>
        <v>Ironfist-Stiffbeard Union</v>
      </c>
    </row>
    <row r="2176" spans="1:10" x14ac:dyDescent="0.25">
      <c r="A2176">
        <v>56</v>
      </c>
      <c r="B2176" t="s">
        <v>20</v>
      </c>
      <c r="C2176">
        <v>147</v>
      </c>
      <c r="D2176">
        <v>12</v>
      </c>
      <c r="E2176">
        <v>196.6</v>
      </c>
      <c r="F2176">
        <v>52690</v>
      </c>
      <c r="G2176">
        <v>23446</v>
      </c>
      <c r="H2176">
        <v>932</v>
      </c>
      <c r="J2176" t="str">
        <f>VLOOKUP(Table3[[#This Row],[Faction ID]],Table4[],2)</f>
        <v>Gundabad</v>
      </c>
    </row>
    <row r="2177" spans="1:10" x14ac:dyDescent="0.25">
      <c r="A2177">
        <v>56</v>
      </c>
      <c r="B2177" t="s">
        <v>34</v>
      </c>
      <c r="C2177">
        <v>0</v>
      </c>
      <c r="D2177">
        <v>0</v>
      </c>
      <c r="E2177">
        <v>3</v>
      </c>
      <c r="F2177">
        <v>65655</v>
      </c>
      <c r="G2177">
        <v>2379</v>
      </c>
      <c r="H2177">
        <v>0</v>
      </c>
      <c r="J2177" t="str">
        <f>VLOOKUP(Table3[[#This Row],[Faction ID]],Table4[],2)</f>
        <v>Scouts of Rohan</v>
      </c>
    </row>
    <row r="2178" spans="1:10" x14ac:dyDescent="0.25">
      <c r="A2178">
        <v>56</v>
      </c>
      <c r="B2178" t="s">
        <v>33</v>
      </c>
      <c r="C2178">
        <v>6</v>
      </c>
      <c r="D2178">
        <v>4</v>
      </c>
      <c r="E2178">
        <v>55</v>
      </c>
      <c r="F2178">
        <v>45933</v>
      </c>
      <c r="G2178">
        <v>10640</v>
      </c>
      <c r="H2178">
        <v>356</v>
      </c>
      <c r="J2178" t="str">
        <f>VLOOKUP(Table3[[#This Row],[Faction ID]],Table4[],2)</f>
        <v>Northern Enedwaith</v>
      </c>
    </row>
    <row r="2179" spans="1:10" x14ac:dyDescent="0.25">
      <c r="A2179">
        <v>56</v>
      </c>
      <c r="B2179" t="s">
        <v>29</v>
      </c>
      <c r="C2179">
        <v>0</v>
      </c>
      <c r="D2179">
        <v>0</v>
      </c>
      <c r="E2179">
        <v>0</v>
      </c>
      <c r="F2179">
        <v>54023</v>
      </c>
      <c r="G2179">
        <v>1750</v>
      </c>
      <c r="H2179">
        <v>0</v>
      </c>
      <c r="J2179" t="str">
        <f>VLOOKUP(Table3[[#This Row],[Faction ID]],Table4[],2)</f>
        <v>Southern Enedwaith</v>
      </c>
    </row>
    <row r="2180" spans="1:10" x14ac:dyDescent="0.25">
      <c r="A2180">
        <v>56</v>
      </c>
      <c r="B2180" t="s">
        <v>30</v>
      </c>
      <c r="C2180">
        <v>2</v>
      </c>
      <c r="D2180">
        <v>1</v>
      </c>
      <c r="E2180">
        <v>9</v>
      </c>
      <c r="F2180">
        <v>21499</v>
      </c>
      <c r="G2180">
        <v>2633</v>
      </c>
      <c r="H2180">
        <v>0</v>
      </c>
      <c r="J2180" t="str">
        <f>VLOOKUP(Table3[[#This Row],[Faction ID]],Table4[],2)</f>
        <v>Druedain</v>
      </c>
    </row>
    <row r="2181" spans="1:10" x14ac:dyDescent="0.25">
      <c r="A2181">
        <v>56</v>
      </c>
      <c r="B2181" t="s">
        <v>31</v>
      </c>
      <c r="C2181">
        <v>0</v>
      </c>
      <c r="D2181">
        <v>0</v>
      </c>
      <c r="E2181">
        <v>0</v>
      </c>
      <c r="F2181">
        <v>15146</v>
      </c>
      <c r="G2181">
        <v>1750</v>
      </c>
      <c r="H2181">
        <v>0</v>
      </c>
      <c r="J2181" t="str">
        <f>VLOOKUP(Table3[[#This Row],[Faction ID]],Table4[],2)</f>
        <v>Harondor</v>
      </c>
    </row>
    <row r="2182" spans="1:10" x14ac:dyDescent="0.25">
      <c r="A2182">
        <v>56</v>
      </c>
      <c r="B2182" t="s">
        <v>35</v>
      </c>
      <c r="C2182">
        <v>0</v>
      </c>
      <c r="D2182">
        <v>0</v>
      </c>
      <c r="E2182">
        <v>0</v>
      </c>
      <c r="F2182">
        <v>4000</v>
      </c>
      <c r="G2182">
        <v>1750</v>
      </c>
      <c r="H2182">
        <v>0</v>
      </c>
      <c r="J2182" t="str">
        <f>VLOOKUP(Table3[[#This Row],[Faction ID]],Table4[],2)</f>
        <v>Southron Nomads</v>
      </c>
    </row>
    <row r="2183" spans="1:10" x14ac:dyDescent="0.25">
      <c r="A2183">
        <v>56</v>
      </c>
      <c r="B2183" t="s">
        <v>36</v>
      </c>
      <c r="C2183">
        <v>0</v>
      </c>
      <c r="D2183">
        <v>0</v>
      </c>
      <c r="E2183">
        <v>0</v>
      </c>
      <c r="F2183">
        <v>4000</v>
      </c>
      <c r="G2183">
        <v>1750</v>
      </c>
      <c r="H2183">
        <v>0</v>
      </c>
      <c r="J2183" t="str">
        <f>VLOOKUP(Table3[[#This Row],[Faction ID]],Table4[],2)</f>
        <v>_</v>
      </c>
    </row>
    <row r="2184" spans="1:10" x14ac:dyDescent="0.25">
      <c r="A2184">
        <v>56</v>
      </c>
      <c r="B2184" t="s">
        <v>37</v>
      </c>
      <c r="C2184">
        <v>0</v>
      </c>
      <c r="D2184">
        <v>0</v>
      </c>
      <c r="E2184">
        <v>0</v>
      </c>
      <c r="F2184">
        <v>4000</v>
      </c>
      <c r="G2184">
        <v>1750</v>
      </c>
      <c r="H2184">
        <v>0</v>
      </c>
      <c r="J2184" t="str">
        <f>VLOOKUP(Table3[[#This Row],[Faction ID]],Table4[],2)</f>
        <v>_</v>
      </c>
    </row>
    <row r="2185" spans="1:10" x14ac:dyDescent="0.25">
      <c r="A2185">
        <v>56</v>
      </c>
      <c r="B2185" t="s">
        <v>38</v>
      </c>
      <c r="C2185">
        <v>0</v>
      </c>
      <c r="D2185">
        <v>0</v>
      </c>
      <c r="E2185">
        <v>0</v>
      </c>
      <c r="F2185">
        <v>4000</v>
      </c>
      <c r="G2185">
        <v>1750</v>
      </c>
      <c r="H2185">
        <v>0</v>
      </c>
      <c r="J2185" t="str">
        <f>VLOOKUP(Table3[[#This Row],[Faction ID]],Table4[],2)</f>
        <v>_</v>
      </c>
    </row>
    <row r="2186" spans="1:10" x14ac:dyDescent="0.25">
      <c r="A2186">
        <v>56</v>
      </c>
      <c r="B2186" t="s">
        <v>39</v>
      </c>
      <c r="C2186">
        <v>0</v>
      </c>
      <c r="D2186">
        <v>0</v>
      </c>
      <c r="E2186">
        <v>0</v>
      </c>
      <c r="F2186">
        <v>4000</v>
      </c>
      <c r="G2186">
        <v>1750</v>
      </c>
      <c r="H2186">
        <v>0</v>
      </c>
      <c r="J2186" t="str">
        <f>VLOOKUP(Table3[[#This Row],[Faction ID]],Table4[],2)</f>
        <v>_</v>
      </c>
    </row>
    <row r="2187" spans="1:10" x14ac:dyDescent="0.25">
      <c r="A2187">
        <v>56</v>
      </c>
      <c r="B2187" t="s">
        <v>40</v>
      </c>
      <c r="C2187">
        <v>0</v>
      </c>
      <c r="D2187">
        <v>0</v>
      </c>
      <c r="E2187">
        <v>0</v>
      </c>
      <c r="F2187">
        <v>4000</v>
      </c>
      <c r="G2187">
        <v>1750</v>
      </c>
      <c r="H2187">
        <v>0</v>
      </c>
      <c r="J2187" t="str">
        <f>VLOOKUP(Table3[[#This Row],[Faction ID]],Table4[],2)</f>
        <v>_</v>
      </c>
    </row>
    <row r="2188" spans="1:10" x14ac:dyDescent="0.25">
      <c r="A2188">
        <v>56</v>
      </c>
      <c r="B2188" t="s">
        <v>41</v>
      </c>
      <c r="C2188">
        <v>0</v>
      </c>
      <c r="D2188">
        <v>0</v>
      </c>
      <c r="E2188">
        <v>0</v>
      </c>
      <c r="F2188">
        <v>4000</v>
      </c>
      <c r="G2188">
        <v>1750</v>
      </c>
      <c r="H2188">
        <v>0</v>
      </c>
      <c r="J2188" t="str">
        <f>VLOOKUP(Table3[[#This Row],[Faction ID]],Table4[],2)</f>
        <v>_</v>
      </c>
    </row>
    <row r="2189" spans="1:10" x14ac:dyDescent="0.25">
      <c r="A2189">
        <v>56</v>
      </c>
      <c r="B2189" t="s">
        <v>42</v>
      </c>
      <c r="C2189">
        <v>0</v>
      </c>
      <c r="D2189">
        <v>0</v>
      </c>
      <c r="E2189">
        <v>0</v>
      </c>
      <c r="F2189">
        <v>4000</v>
      </c>
      <c r="G2189">
        <v>1750</v>
      </c>
      <c r="H2189">
        <v>0</v>
      </c>
      <c r="J2189" t="str">
        <f>VLOOKUP(Table3[[#This Row],[Faction ID]],Table4[],2)</f>
        <v>_</v>
      </c>
    </row>
    <row r="2190" spans="1:10" x14ac:dyDescent="0.25">
      <c r="A2190">
        <v>56</v>
      </c>
      <c r="B2190" t="s">
        <v>43</v>
      </c>
      <c r="C2190">
        <v>0</v>
      </c>
      <c r="D2190">
        <v>0</v>
      </c>
      <c r="E2190">
        <v>0</v>
      </c>
      <c r="F2190">
        <v>4000</v>
      </c>
      <c r="G2190">
        <v>1750</v>
      </c>
      <c r="H2190">
        <v>0</v>
      </c>
      <c r="J2190" t="str">
        <f>VLOOKUP(Table3[[#This Row],[Faction ID]],Table4[],2)</f>
        <v>_</v>
      </c>
    </row>
    <row r="2191" spans="1:10" x14ac:dyDescent="0.25">
      <c r="A2191">
        <v>56</v>
      </c>
      <c r="B2191" t="s">
        <v>44</v>
      </c>
      <c r="C2191">
        <v>0</v>
      </c>
      <c r="D2191">
        <v>0</v>
      </c>
      <c r="E2191">
        <v>0</v>
      </c>
      <c r="F2191">
        <v>4000</v>
      </c>
      <c r="G2191">
        <v>1750</v>
      </c>
      <c r="H2191">
        <v>0</v>
      </c>
      <c r="J2191" t="str">
        <f>VLOOKUP(Table3[[#This Row],[Faction ID]],Table4[],2)</f>
        <v>_</v>
      </c>
    </row>
    <row r="2192" spans="1:10" x14ac:dyDescent="0.25">
      <c r="A2192">
        <v>57</v>
      </c>
      <c r="B2192" t="s">
        <v>9</v>
      </c>
      <c r="C2192">
        <v>190</v>
      </c>
      <c r="D2192">
        <v>22</v>
      </c>
      <c r="E2192">
        <v>220.7</v>
      </c>
      <c r="F2192">
        <v>5591</v>
      </c>
      <c r="G2192">
        <v>22715</v>
      </c>
      <c r="H2192">
        <v>1281</v>
      </c>
      <c r="J2192" t="str">
        <f>VLOOKUP(Table3[[#This Row],[Faction ID]],Table4[],2)</f>
        <v>Mordor</v>
      </c>
    </row>
    <row r="2193" spans="1:10" x14ac:dyDescent="0.25">
      <c r="A2193">
        <v>57</v>
      </c>
      <c r="B2193" t="s">
        <v>4</v>
      </c>
      <c r="C2193">
        <v>146</v>
      </c>
      <c r="D2193">
        <v>7</v>
      </c>
      <c r="E2193">
        <v>94</v>
      </c>
      <c r="F2193">
        <v>71319</v>
      </c>
      <c r="G2193">
        <v>16777</v>
      </c>
      <c r="H2193">
        <v>0</v>
      </c>
      <c r="J2193" t="str">
        <f>VLOOKUP(Table3[[#This Row],[Faction ID]],Table4[],2)</f>
        <v>Gondor</v>
      </c>
    </row>
    <row r="2194" spans="1:10" x14ac:dyDescent="0.25">
      <c r="A2194">
        <v>57</v>
      </c>
      <c r="B2194" t="s">
        <v>6</v>
      </c>
      <c r="C2194">
        <v>140</v>
      </c>
      <c r="D2194">
        <v>3</v>
      </c>
      <c r="E2194">
        <v>56.6</v>
      </c>
      <c r="F2194">
        <v>13875</v>
      </c>
      <c r="G2194">
        <v>8394</v>
      </c>
      <c r="H2194">
        <v>166</v>
      </c>
      <c r="J2194" t="str">
        <f>VLOOKUP(Table3[[#This Row],[Faction ID]],Table4[],2)</f>
        <v>Dale</v>
      </c>
    </row>
    <row r="2195" spans="1:10" x14ac:dyDescent="0.25">
      <c r="A2195">
        <v>57</v>
      </c>
      <c r="B2195" t="s">
        <v>21</v>
      </c>
      <c r="C2195">
        <v>153</v>
      </c>
      <c r="D2195">
        <v>4</v>
      </c>
      <c r="E2195">
        <v>27</v>
      </c>
      <c r="F2195">
        <v>30029</v>
      </c>
      <c r="G2195">
        <v>8095</v>
      </c>
      <c r="H2195">
        <v>211</v>
      </c>
      <c r="J2195" t="str">
        <f>VLOOKUP(Table3[[#This Row],[Faction ID]],Table4[],2)</f>
        <v>Erebor</v>
      </c>
    </row>
    <row r="2196" spans="1:10" x14ac:dyDescent="0.25">
      <c r="A2196">
        <v>57</v>
      </c>
      <c r="B2196" t="s">
        <v>5</v>
      </c>
      <c r="C2196">
        <v>145</v>
      </c>
      <c r="D2196">
        <v>4</v>
      </c>
      <c r="E2196">
        <v>33.6</v>
      </c>
      <c r="F2196">
        <v>8627</v>
      </c>
      <c r="G2196">
        <v>5316</v>
      </c>
      <c r="H2196">
        <v>0</v>
      </c>
      <c r="J2196" t="str">
        <f>VLOOKUP(Table3[[#This Row],[Faction ID]],Table4[],2)</f>
        <v>Rohan</v>
      </c>
    </row>
    <row r="2197" spans="1:10" x14ac:dyDescent="0.25">
      <c r="A2197">
        <v>57</v>
      </c>
      <c r="B2197" t="s">
        <v>12</v>
      </c>
      <c r="C2197">
        <v>158</v>
      </c>
      <c r="D2197">
        <v>13</v>
      </c>
      <c r="E2197">
        <v>196.6</v>
      </c>
      <c r="F2197">
        <v>13984</v>
      </c>
      <c r="G2197">
        <v>25225</v>
      </c>
      <c r="H2197">
        <v>1538</v>
      </c>
      <c r="J2197" t="str">
        <f>VLOOKUP(Table3[[#This Row],[Faction ID]],Table4[],2)</f>
        <v>Dol Guldur</v>
      </c>
    </row>
    <row r="2198" spans="1:10" x14ac:dyDescent="0.25">
      <c r="A2198">
        <v>57</v>
      </c>
      <c r="B2198" t="s">
        <v>10</v>
      </c>
      <c r="C2198">
        <v>58</v>
      </c>
      <c r="D2198">
        <v>0</v>
      </c>
      <c r="E2198">
        <v>0</v>
      </c>
      <c r="F2198">
        <v>4515</v>
      </c>
      <c r="G2198">
        <v>2500</v>
      </c>
      <c r="H2198">
        <v>0</v>
      </c>
      <c r="J2198" t="str">
        <f>VLOOKUP(Table3[[#This Row],[Faction ID]],Table4[],2)</f>
        <v>Anduin Vale</v>
      </c>
    </row>
    <row r="2199" spans="1:10" x14ac:dyDescent="0.25">
      <c r="A2199">
        <v>57</v>
      </c>
      <c r="B2199" t="s">
        <v>32</v>
      </c>
      <c r="C2199">
        <v>186</v>
      </c>
      <c r="D2199">
        <v>6</v>
      </c>
      <c r="E2199">
        <v>93.5</v>
      </c>
      <c r="F2199">
        <v>14948</v>
      </c>
      <c r="G2199">
        <v>13819</v>
      </c>
      <c r="H2199">
        <v>895</v>
      </c>
      <c r="J2199" t="str">
        <f>VLOOKUP(Table3[[#This Row],[Faction ID]],Table4[],2)</f>
        <v>Isengard</v>
      </c>
    </row>
    <row r="2200" spans="1:10" x14ac:dyDescent="0.25">
      <c r="A2200">
        <v>57</v>
      </c>
      <c r="B2200" t="s">
        <v>22</v>
      </c>
      <c r="C2200">
        <v>30</v>
      </c>
      <c r="D2200">
        <v>0</v>
      </c>
      <c r="E2200">
        <v>0</v>
      </c>
      <c r="F2200">
        <v>8475</v>
      </c>
      <c r="G2200">
        <v>2500</v>
      </c>
      <c r="H2200">
        <v>0</v>
      </c>
      <c r="J2200" t="str">
        <f>VLOOKUP(Table3[[#This Row],[Faction ID]],Table4[],2)</f>
        <v>Woodland Realm</v>
      </c>
    </row>
    <row r="2201" spans="1:10" x14ac:dyDescent="0.25">
      <c r="A2201">
        <v>57</v>
      </c>
      <c r="B2201" t="s">
        <v>23</v>
      </c>
      <c r="C2201">
        <v>64</v>
      </c>
      <c r="D2201">
        <v>0</v>
      </c>
      <c r="E2201">
        <v>0</v>
      </c>
      <c r="F2201">
        <v>4721</v>
      </c>
      <c r="G2201">
        <v>2500</v>
      </c>
      <c r="H2201">
        <v>0</v>
      </c>
      <c r="J2201" t="str">
        <f>VLOOKUP(Table3[[#This Row],[Faction ID]],Table4[],2)</f>
        <v>Lothlorien</v>
      </c>
    </row>
    <row r="2202" spans="1:10" x14ac:dyDescent="0.25">
      <c r="A2202">
        <v>57</v>
      </c>
      <c r="B2202" t="s">
        <v>24</v>
      </c>
      <c r="C2202">
        <v>0</v>
      </c>
      <c r="D2202">
        <v>0</v>
      </c>
      <c r="E2202">
        <v>0</v>
      </c>
      <c r="F2202">
        <v>4919</v>
      </c>
      <c r="G2202">
        <v>1750</v>
      </c>
      <c r="H2202">
        <v>0</v>
      </c>
      <c r="J2202" t="str">
        <f>VLOOKUP(Table3[[#This Row],[Faction ID]],Table4[],2)</f>
        <v>Variags (Khand)</v>
      </c>
    </row>
    <row r="2203" spans="1:10" x14ac:dyDescent="0.25">
      <c r="A2203">
        <v>57</v>
      </c>
      <c r="B2203" t="s">
        <v>14</v>
      </c>
      <c r="C2203">
        <v>10</v>
      </c>
      <c r="D2203">
        <v>7</v>
      </c>
      <c r="E2203">
        <v>110.8</v>
      </c>
      <c r="F2203">
        <v>28636</v>
      </c>
      <c r="G2203">
        <v>18621</v>
      </c>
      <c r="H2203">
        <v>1052</v>
      </c>
      <c r="J2203" t="str">
        <f>VLOOKUP(Table3[[#This Row],[Faction ID]],Table4[],2)</f>
        <v>Corsairs of Umbar</v>
      </c>
    </row>
    <row r="2204" spans="1:10" x14ac:dyDescent="0.25">
      <c r="A2204">
        <v>57</v>
      </c>
      <c r="B2204" t="s">
        <v>25</v>
      </c>
      <c r="C2204">
        <v>5</v>
      </c>
      <c r="D2204">
        <v>3</v>
      </c>
      <c r="E2204">
        <v>50</v>
      </c>
      <c r="F2204">
        <v>17771</v>
      </c>
      <c r="G2204">
        <v>7638</v>
      </c>
      <c r="H2204">
        <v>0</v>
      </c>
      <c r="J2204" t="str">
        <f>VLOOKUP(Table3[[#This Row],[Faction ID]],Table4[],2)</f>
        <v>Mahud</v>
      </c>
    </row>
    <row r="2205" spans="1:10" x14ac:dyDescent="0.25">
      <c r="A2205">
        <v>57</v>
      </c>
      <c r="B2205" t="s">
        <v>11</v>
      </c>
      <c r="C2205">
        <v>109</v>
      </c>
      <c r="D2205">
        <v>6</v>
      </c>
      <c r="E2205">
        <v>119</v>
      </c>
      <c r="F2205">
        <v>25653</v>
      </c>
      <c r="G2205">
        <v>14219</v>
      </c>
      <c r="H2205">
        <v>0</v>
      </c>
      <c r="J2205" t="str">
        <f>VLOOKUP(Table3[[#This Row],[Faction ID]],Table4[],2)</f>
        <v>Haradrim</v>
      </c>
    </row>
    <row r="2206" spans="1:10" x14ac:dyDescent="0.25">
      <c r="A2206">
        <v>57</v>
      </c>
      <c r="B2206" t="s">
        <v>15</v>
      </c>
      <c r="C2206">
        <v>117</v>
      </c>
      <c r="D2206">
        <v>9</v>
      </c>
      <c r="E2206">
        <v>151.80000000000001</v>
      </c>
      <c r="F2206">
        <v>27665</v>
      </c>
      <c r="G2206">
        <v>23545</v>
      </c>
      <c r="H2206">
        <v>1071</v>
      </c>
      <c r="J2206" t="str">
        <f>VLOOKUP(Table3[[#This Row],[Faction ID]],Table4[],2)</f>
        <v>Dunlendings</v>
      </c>
    </row>
    <row r="2207" spans="1:10" x14ac:dyDescent="0.25">
      <c r="A2207">
        <v>57</v>
      </c>
      <c r="B2207" t="s">
        <v>16</v>
      </c>
      <c r="C2207">
        <v>0</v>
      </c>
      <c r="D2207">
        <v>0</v>
      </c>
      <c r="E2207">
        <v>0</v>
      </c>
      <c r="F2207">
        <v>5352</v>
      </c>
      <c r="G2207">
        <v>1750</v>
      </c>
      <c r="H2207">
        <v>0</v>
      </c>
      <c r="J2207" t="str">
        <f>VLOOKUP(Table3[[#This Row],[Faction ID]],Table4[],2)</f>
        <v>Haerrim</v>
      </c>
    </row>
    <row r="2208" spans="1:10" x14ac:dyDescent="0.25">
      <c r="A2208">
        <v>57</v>
      </c>
      <c r="B2208" t="s">
        <v>13</v>
      </c>
      <c r="C2208">
        <v>273</v>
      </c>
      <c r="D2208">
        <v>17</v>
      </c>
      <c r="E2208">
        <v>262.7</v>
      </c>
      <c r="F2208">
        <v>26708</v>
      </c>
      <c r="G2208">
        <v>32061</v>
      </c>
      <c r="H2208">
        <v>3026</v>
      </c>
      <c r="J2208" t="str">
        <f>VLOOKUP(Table3[[#This Row],[Faction ID]],Table4[],2)</f>
        <v>Goblins</v>
      </c>
    </row>
    <row r="2209" spans="1:10" x14ac:dyDescent="0.25">
      <c r="A2209">
        <v>57</v>
      </c>
      <c r="B2209" t="s">
        <v>17</v>
      </c>
      <c r="C2209">
        <v>0</v>
      </c>
      <c r="D2209">
        <v>0</v>
      </c>
      <c r="E2209">
        <v>0</v>
      </c>
      <c r="F2209">
        <v>4872</v>
      </c>
      <c r="G2209">
        <v>1750</v>
      </c>
      <c r="H2209">
        <v>0</v>
      </c>
      <c r="J2209" t="str">
        <f>VLOOKUP(Table3[[#This Row],[Faction ID]],Table4[],2)</f>
        <v>Balchoth</v>
      </c>
    </row>
    <row r="2210" spans="1:10" x14ac:dyDescent="0.25">
      <c r="A2210">
        <v>57</v>
      </c>
      <c r="B2210" t="s">
        <v>18</v>
      </c>
      <c r="C2210">
        <v>188</v>
      </c>
      <c r="D2210">
        <v>31</v>
      </c>
      <c r="E2210">
        <v>347.7</v>
      </c>
      <c r="F2210">
        <v>66718</v>
      </c>
      <c r="G2210">
        <v>35384</v>
      </c>
      <c r="H2210">
        <v>1545</v>
      </c>
      <c r="J2210" t="str">
        <f>VLOOKUP(Table3[[#This Row],[Faction ID]],Table4[],2)</f>
        <v>Rhurim/Rhun</v>
      </c>
    </row>
    <row r="2211" spans="1:10" x14ac:dyDescent="0.25">
      <c r="A2211">
        <v>57</v>
      </c>
      <c r="B2211" t="s">
        <v>19</v>
      </c>
      <c r="C2211">
        <v>0</v>
      </c>
      <c r="D2211">
        <v>0</v>
      </c>
      <c r="E2211">
        <v>0</v>
      </c>
      <c r="F2211">
        <v>7360</v>
      </c>
      <c r="G2211">
        <v>1750</v>
      </c>
      <c r="H2211">
        <v>0</v>
      </c>
      <c r="J2211" t="str">
        <f>VLOOKUP(Table3[[#This Row],[Faction ID]],Table4[],2)</f>
        <v>Feredrim</v>
      </c>
    </row>
    <row r="2212" spans="1:10" x14ac:dyDescent="0.25">
      <c r="A2212">
        <v>57</v>
      </c>
      <c r="B2212" t="s">
        <v>26</v>
      </c>
      <c r="C2212">
        <v>0</v>
      </c>
      <c r="D2212">
        <v>0</v>
      </c>
      <c r="E2212">
        <v>0</v>
      </c>
      <c r="F2212">
        <v>6395</v>
      </c>
      <c r="G2212">
        <v>1750</v>
      </c>
      <c r="H2212">
        <v>0</v>
      </c>
      <c r="J2212" t="str">
        <f>VLOOKUP(Table3[[#This Row],[Faction ID]],Table4[],2)</f>
        <v>Rachrohir (Wainriders)</v>
      </c>
    </row>
    <row r="2213" spans="1:10" x14ac:dyDescent="0.25">
      <c r="A2213">
        <v>57</v>
      </c>
      <c r="B2213" t="s">
        <v>27</v>
      </c>
      <c r="C2213">
        <v>5</v>
      </c>
      <c r="D2213">
        <v>3</v>
      </c>
      <c r="E2213">
        <v>72</v>
      </c>
      <c r="F2213">
        <v>72913</v>
      </c>
      <c r="G2213">
        <v>13754</v>
      </c>
      <c r="H2213">
        <v>0</v>
      </c>
      <c r="J2213" t="str">
        <f>VLOOKUP(Table3[[#This Row],[Faction ID]],Table4[],2)</f>
        <v>Blacklock-Stonefoot League</v>
      </c>
    </row>
    <row r="2214" spans="1:10" x14ac:dyDescent="0.25">
      <c r="A2214">
        <v>57</v>
      </c>
      <c r="B2214" t="s">
        <v>28</v>
      </c>
      <c r="C2214">
        <v>4</v>
      </c>
      <c r="D2214">
        <v>2</v>
      </c>
      <c r="E2214">
        <v>41</v>
      </c>
      <c r="F2214">
        <v>43028</v>
      </c>
      <c r="G2214">
        <v>7374</v>
      </c>
      <c r="H2214">
        <v>0</v>
      </c>
      <c r="J2214" t="str">
        <f>VLOOKUP(Table3[[#This Row],[Faction ID]],Table4[],2)</f>
        <v>Ironfist-Stiffbeard Union</v>
      </c>
    </row>
    <row r="2215" spans="1:10" x14ac:dyDescent="0.25">
      <c r="A2215">
        <v>57</v>
      </c>
      <c r="B2215" t="s">
        <v>20</v>
      </c>
      <c r="C2215">
        <v>147</v>
      </c>
      <c r="D2215">
        <v>12</v>
      </c>
      <c r="E2215">
        <v>178.5</v>
      </c>
      <c r="F2215">
        <v>63377</v>
      </c>
      <c r="G2215">
        <v>21980</v>
      </c>
      <c r="H2215">
        <v>933</v>
      </c>
      <c r="J2215" t="str">
        <f>VLOOKUP(Table3[[#This Row],[Faction ID]],Table4[],2)</f>
        <v>Gundabad</v>
      </c>
    </row>
    <row r="2216" spans="1:10" x14ac:dyDescent="0.25">
      <c r="A2216">
        <v>57</v>
      </c>
      <c r="B2216" t="s">
        <v>34</v>
      </c>
      <c r="C2216">
        <v>0</v>
      </c>
      <c r="D2216">
        <v>0</v>
      </c>
      <c r="E2216">
        <v>3</v>
      </c>
      <c r="F2216">
        <v>66776</v>
      </c>
      <c r="G2216">
        <v>2379</v>
      </c>
      <c r="H2216">
        <v>0</v>
      </c>
      <c r="J2216" t="str">
        <f>VLOOKUP(Table3[[#This Row],[Faction ID]],Table4[],2)</f>
        <v>Scouts of Rohan</v>
      </c>
    </row>
    <row r="2217" spans="1:10" x14ac:dyDescent="0.25">
      <c r="A2217">
        <v>57</v>
      </c>
      <c r="B2217" t="s">
        <v>33</v>
      </c>
      <c r="C2217">
        <v>6</v>
      </c>
      <c r="D2217">
        <v>4</v>
      </c>
      <c r="E2217">
        <v>55</v>
      </c>
      <c r="F2217">
        <v>50601</v>
      </c>
      <c r="G2217">
        <v>10640</v>
      </c>
      <c r="H2217">
        <v>356</v>
      </c>
      <c r="J2217" t="str">
        <f>VLOOKUP(Table3[[#This Row],[Faction ID]],Table4[],2)</f>
        <v>Northern Enedwaith</v>
      </c>
    </row>
    <row r="2218" spans="1:10" x14ac:dyDescent="0.25">
      <c r="A2218">
        <v>57</v>
      </c>
      <c r="B2218" t="s">
        <v>29</v>
      </c>
      <c r="C2218">
        <v>0</v>
      </c>
      <c r="D2218">
        <v>0</v>
      </c>
      <c r="E2218">
        <v>0</v>
      </c>
      <c r="F2218">
        <v>54023</v>
      </c>
      <c r="G2218">
        <v>1750</v>
      </c>
      <c r="H2218">
        <v>0</v>
      </c>
      <c r="J2218" t="str">
        <f>VLOOKUP(Table3[[#This Row],[Faction ID]],Table4[],2)</f>
        <v>Southern Enedwaith</v>
      </c>
    </row>
    <row r="2219" spans="1:10" x14ac:dyDescent="0.25">
      <c r="A2219">
        <v>57</v>
      </c>
      <c r="B2219" t="s">
        <v>30</v>
      </c>
      <c r="C2219">
        <v>2</v>
      </c>
      <c r="D2219">
        <v>1</v>
      </c>
      <c r="E2219">
        <v>12</v>
      </c>
      <c r="F2219">
        <v>22489</v>
      </c>
      <c r="G2219">
        <v>2993</v>
      </c>
      <c r="H2219">
        <v>0</v>
      </c>
      <c r="J2219" t="str">
        <f>VLOOKUP(Table3[[#This Row],[Faction ID]],Table4[],2)</f>
        <v>Druedain</v>
      </c>
    </row>
    <row r="2220" spans="1:10" x14ac:dyDescent="0.25">
      <c r="A2220">
        <v>57</v>
      </c>
      <c r="B2220" t="s">
        <v>31</v>
      </c>
      <c r="C2220">
        <v>0</v>
      </c>
      <c r="D2220">
        <v>0</v>
      </c>
      <c r="E2220">
        <v>0</v>
      </c>
      <c r="F2220">
        <v>15146</v>
      </c>
      <c r="G2220">
        <v>1750</v>
      </c>
      <c r="H2220">
        <v>0</v>
      </c>
      <c r="J2220" t="str">
        <f>VLOOKUP(Table3[[#This Row],[Faction ID]],Table4[],2)</f>
        <v>Harondor</v>
      </c>
    </row>
    <row r="2221" spans="1:10" x14ac:dyDescent="0.25">
      <c r="A2221">
        <v>57</v>
      </c>
      <c r="B2221" t="s">
        <v>35</v>
      </c>
      <c r="C2221">
        <v>0</v>
      </c>
      <c r="D2221">
        <v>0</v>
      </c>
      <c r="E2221">
        <v>0</v>
      </c>
      <c r="F2221">
        <v>4000</v>
      </c>
      <c r="G2221">
        <v>1750</v>
      </c>
      <c r="H2221">
        <v>0</v>
      </c>
      <c r="J2221" t="str">
        <f>VLOOKUP(Table3[[#This Row],[Faction ID]],Table4[],2)</f>
        <v>Southron Nomads</v>
      </c>
    </row>
    <row r="2222" spans="1:10" x14ac:dyDescent="0.25">
      <c r="A2222">
        <v>57</v>
      </c>
      <c r="B2222" t="s">
        <v>36</v>
      </c>
      <c r="C2222">
        <v>0</v>
      </c>
      <c r="D2222">
        <v>0</v>
      </c>
      <c r="E2222">
        <v>0</v>
      </c>
      <c r="F2222">
        <v>4000</v>
      </c>
      <c r="G2222">
        <v>1750</v>
      </c>
      <c r="H2222">
        <v>0</v>
      </c>
      <c r="J2222" t="str">
        <f>VLOOKUP(Table3[[#This Row],[Faction ID]],Table4[],2)</f>
        <v>_</v>
      </c>
    </row>
    <row r="2223" spans="1:10" x14ac:dyDescent="0.25">
      <c r="A2223">
        <v>57</v>
      </c>
      <c r="B2223" t="s">
        <v>37</v>
      </c>
      <c r="C2223">
        <v>0</v>
      </c>
      <c r="D2223">
        <v>0</v>
      </c>
      <c r="E2223">
        <v>0</v>
      </c>
      <c r="F2223">
        <v>4000</v>
      </c>
      <c r="G2223">
        <v>1750</v>
      </c>
      <c r="H2223">
        <v>0</v>
      </c>
      <c r="J2223" t="str">
        <f>VLOOKUP(Table3[[#This Row],[Faction ID]],Table4[],2)</f>
        <v>_</v>
      </c>
    </row>
    <row r="2224" spans="1:10" x14ac:dyDescent="0.25">
      <c r="A2224">
        <v>57</v>
      </c>
      <c r="B2224" t="s">
        <v>38</v>
      </c>
      <c r="C2224">
        <v>0</v>
      </c>
      <c r="D2224">
        <v>0</v>
      </c>
      <c r="E2224">
        <v>0</v>
      </c>
      <c r="F2224">
        <v>4000</v>
      </c>
      <c r="G2224">
        <v>1750</v>
      </c>
      <c r="H2224">
        <v>0</v>
      </c>
      <c r="J2224" t="str">
        <f>VLOOKUP(Table3[[#This Row],[Faction ID]],Table4[],2)</f>
        <v>_</v>
      </c>
    </row>
    <row r="2225" spans="1:10" x14ac:dyDescent="0.25">
      <c r="A2225">
        <v>57</v>
      </c>
      <c r="B2225" t="s">
        <v>39</v>
      </c>
      <c r="C2225">
        <v>0</v>
      </c>
      <c r="D2225">
        <v>0</v>
      </c>
      <c r="E2225">
        <v>0</v>
      </c>
      <c r="F2225">
        <v>4000</v>
      </c>
      <c r="G2225">
        <v>1750</v>
      </c>
      <c r="H2225">
        <v>0</v>
      </c>
      <c r="J2225" t="str">
        <f>VLOOKUP(Table3[[#This Row],[Faction ID]],Table4[],2)</f>
        <v>_</v>
      </c>
    </row>
    <row r="2226" spans="1:10" x14ac:dyDescent="0.25">
      <c r="A2226">
        <v>57</v>
      </c>
      <c r="B2226" t="s">
        <v>40</v>
      </c>
      <c r="C2226">
        <v>0</v>
      </c>
      <c r="D2226">
        <v>0</v>
      </c>
      <c r="E2226">
        <v>0</v>
      </c>
      <c r="F2226">
        <v>4000</v>
      </c>
      <c r="G2226">
        <v>1750</v>
      </c>
      <c r="H2226">
        <v>0</v>
      </c>
      <c r="J2226" t="str">
        <f>VLOOKUP(Table3[[#This Row],[Faction ID]],Table4[],2)</f>
        <v>_</v>
      </c>
    </row>
    <row r="2227" spans="1:10" x14ac:dyDescent="0.25">
      <c r="A2227">
        <v>57</v>
      </c>
      <c r="B2227" t="s">
        <v>41</v>
      </c>
      <c r="C2227">
        <v>0</v>
      </c>
      <c r="D2227">
        <v>0</v>
      </c>
      <c r="E2227">
        <v>0</v>
      </c>
      <c r="F2227">
        <v>4000</v>
      </c>
      <c r="G2227">
        <v>1750</v>
      </c>
      <c r="H2227">
        <v>0</v>
      </c>
      <c r="J2227" t="str">
        <f>VLOOKUP(Table3[[#This Row],[Faction ID]],Table4[],2)</f>
        <v>_</v>
      </c>
    </row>
    <row r="2228" spans="1:10" x14ac:dyDescent="0.25">
      <c r="A2228">
        <v>57</v>
      </c>
      <c r="B2228" t="s">
        <v>42</v>
      </c>
      <c r="C2228">
        <v>0</v>
      </c>
      <c r="D2228">
        <v>0</v>
      </c>
      <c r="E2228">
        <v>0</v>
      </c>
      <c r="F2228">
        <v>4000</v>
      </c>
      <c r="G2228">
        <v>1750</v>
      </c>
      <c r="H2228">
        <v>0</v>
      </c>
      <c r="J2228" t="str">
        <f>VLOOKUP(Table3[[#This Row],[Faction ID]],Table4[],2)</f>
        <v>_</v>
      </c>
    </row>
    <row r="2229" spans="1:10" x14ac:dyDescent="0.25">
      <c r="A2229">
        <v>57</v>
      </c>
      <c r="B2229" t="s">
        <v>43</v>
      </c>
      <c r="C2229">
        <v>0</v>
      </c>
      <c r="D2229">
        <v>0</v>
      </c>
      <c r="E2229">
        <v>0</v>
      </c>
      <c r="F2229">
        <v>4000</v>
      </c>
      <c r="G2229">
        <v>1750</v>
      </c>
      <c r="H2229">
        <v>0</v>
      </c>
      <c r="J2229" t="str">
        <f>VLOOKUP(Table3[[#This Row],[Faction ID]],Table4[],2)</f>
        <v>_</v>
      </c>
    </row>
    <row r="2230" spans="1:10" x14ac:dyDescent="0.25">
      <c r="A2230">
        <v>57</v>
      </c>
      <c r="B2230" t="s">
        <v>44</v>
      </c>
      <c r="C2230">
        <v>0</v>
      </c>
      <c r="D2230">
        <v>0</v>
      </c>
      <c r="E2230">
        <v>0</v>
      </c>
      <c r="F2230">
        <v>4000</v>
      </c>
      <c r="G2230">
        <v>1750</v>
      </c>
      <c r="H2230">
        <v>0</v>
      </c>
      <c r="J2230" t="str">
        <f>VLOOKUP(Table3[[#This Row],[Faction ID]],Table4[],2)</f>
        <v>_</v>
      </c>
    </row>
    <row r="2231" spans="1:10" x14ac:dyDescent="0.25">
      <c r="A2231">
        <v>58</v>
      </c>
      <c r="B2231" t="s">
        <v>9</v>
      </c>
      <c r="C2231">
        <v>190</v>
      </c>
      <c r="D2231">
        <v>22</v>
      </c>
      <c r="E2231">
        <v>220.7</v>
      </c>
      <c r="F2231">
        <v>7812</v>
      </c>
      <c r="G2231">
        <v>22966</v>
      </c>
      <c r="H2231">
        <v>1476</v>
      </c>
      <c r="J2231" t="str">
        <f>VLOOKUP(Table3[[#This Row],[Faction ID]],Table4[],2)</f>
        <v>Mordor</v>
      </c>
    </row>
    <row r="2232" spans="1:10" x14ac:dyDescent="0.25">
      <c r="A2232">
        <v>58</v>
      </c>
      <c r="B2232" t="s">
        <v>4</v>
      </c>
      <c r="C2232">
        <v>143</v>
      </c>
      <c r="D2232">
        <v>4</v>
      </c>
      <c r="E2232">
        <v>54</v>
      </c>
      <c r="F2232">
        <v>73655</v>
      </c>
      <c r="G2232">
        <v>10894</v>
      </c>
      <c r="H2232">
        <v>0</v>
      </c>
      <c r="J2232" t="str">
        <f>VLOOKUP(Table3[[#This Row],[Faction ID]],Table4[],2)</f>
        <v>Gondor</v>
      </c>
    </row>
    <row r="2233" spans="1:10" x14ac:dyDescent="0.25">
      <c r="A2233">
        <v>58</v>
      </c>
      <c r="B2233" t="s">
        <v>6</v>
      </c>
      <c r="C2233">
        <v>140</v>
      </c>
      <c r="D2233">
        <v>3</v>
      </c>
      <c r="E2233">
        <v>63.4</v>
      </c>
      <c r="F2233">
        <v>11790</v>
      </c>
      <c r="G2233">
        <v>9793</v>
      </c>
      <c r="H2233">
        <v>172</v>
      </c>
      <c r="J2233" t="str">
        <f>VLOOKUP(Table3[[#This Row],[Faction ID]],Table4[],2)</f>
        <v>Dale</v>
      </c>
    </row>
    <row r="2234" spans="1:10" x14ac:dyDescent="0.25">
      <c r="A2234">
        <v>58</v>
      </c>
      <c r="B2234" t="s">
        <v>21</v>
      </c>
      <c r="C2234">
        <v>153</v>
      </c>
      <c r="D2234">
        <v>4</v>
      </c>
      <c r="E2234">
        <v>26</v>
      </c>
      <c r="F2234">
        <v>27780</v>
      </c>
      <c r="G2234">
        <v>8099</v>
      </c>
      <c r="H2234">
        <v>215</v>
      </c>
      <c r="J2234" t="str">
        <f>VLOOKUP(Table3[[#This Row],[Faction ID]],Table4[],2)</f>
        <v>Erebor</v>
      </c>
    </row>
    <row r="2235" spans="1:10" x14ac:dyDescent="0.25">
      <c r="A2235">
        <v>58</v>
      </c>
      <c r="B2235" t="s">
        <v>5</v>
      </c>
      <c r="C2235">
        <v>145</v>
      </c>
      <c r="D2235">
        <v>2</v>
      </c>
      <c r="E2235">
        <v>16.600000000000001</v>
      </c>
      <c r="F2235">
        <v>9072</v>
      </c>
      <c r="G2235">
        <v>4558</v>
      </c>
      <c r="H2235">
        <v>0</v>
      </c>
      <c r="J2235" t="str">
        <f>VLOOKUP(Table3[[#This Row],[Faction ID]],Table4[],2)</f>
        <v>Rohan</v>
      </c>
    </row>
    <row r="2236" spans="1:10" x14ac:dyDescent="0.25">
      <c r="A2236">
        <v>58</v>
      </c>
      <c r="B2236" t="s">
        <v>12</v>
      </c>
      <c r="C2236">
        <v>159</v>
      </c>
      <c r="D2236">
        <v>14</v>
      </c>
      <c r="E2236">
        <v>207.5</v>
      </c>
      <c r="F2236">
        <v>15076</v>
      </c>
      <c r="G2236">
        <v>26943</v>
      </c>
      <c r="H2236">
        <v>1541</v>
      </c>
      <c r="J2236" t="str">
        <f>VLOOKUP(Table3[[#This Row],[Faction ID]],Table4[],2)</f>
        <v>Dol Guldur</v>
      </c>
    </row>
    <row r="2237" spans="1:10" x14ac:dyDescent="0.25">
      <c r="A2237">
        <v>58</v>
      </c>
      <c r="B2237" t="s">
        <v>10</v>
      </c>
      <c r="C2237">
        <v>58</v>
      </c>
      <c r="D2237">
        <v>0</v>
      </c>
      <c r="E2237">
        <v>0</v>
      </c>
      <c r="F2237">
        <v>4515</v>
      </c>
      <c r="G2237">
        <v>2500</v>
      </c>
      <c r="H2237">
        <v>0</v>
      </c>
      <c r="J2237" t="str">
        <f>VLOOKUP(Table3[[#This Row],[Faction ID]],Table4[],2)</f>
        <v>Anduin Vale</v>
      </c>
    </row>
    <row r="2238" spans="1:10" x14ac:dyDescent="0.25">
      <c r="A2238">
        <v>58</v>
      </c>
      <c r="B2238" t="s">
        <v>32</v>
      </c>
      <c r="C2238">
        <v>211</v>
      </c>
      <c r="D2238">
        <v>6</v>
      </c>
      <c r="E2238">
        <v>107.4</v>
      </c>
      <c r="F2238">
        <v>14766</v>
      </c>
      <c r="G2238">
        <v>16580</v>
      </c>
      <c r="H2238">
        <v>911</v>
      </c>
      <c r="J2238" t="str">
        <f>VLOOKUP(Table3[[#This Row],[Faction ID]],Table4[],2)</f>
        <v>Isengard</v>
      </c>
    </row>
    <row r="2239" spans="1:10" x14ac:dyDescent="0.25">
      <c r="A2239">
        <v>58</v>
      </c>
      <c r="B2239" t="s">
        <v>22</v>
      </c>
      <c r="C2239">
        <v>30</v>
      </c>
      <c r="D2239">
        <v>0</v>
      </c>
      <c r="E2239">
        <v>0</v>
      </c>
      <c r="F2239">
        <v>8475</v>
      </c>
      <c r="G2239">
        <v>2500</v>
      </c>
      <c r="H2239">
        <v>0</v>
      </c>
      <c r="J2239" t="str">
        <f>VLOOKUP(Table3[[#This Row],[Faction ID]],Table4[],2)</f>
        <v>Woodland Realm</v>
      </c>
    </row>
    <row r="2240" spans="1:10" x14ac:dyDescent="0.25">
      <c r="A2240">
        <v>58</v>
      </c>
      <c r="B2240" t="s">
        <v>23</v>
      </c>
      <c r="C2240">
        <v>64</v>
      </c>
      <c r="D2240">
        <v>0</v>
      </c>
      <c r="E2240">
        <v>0</v>
      </c>
      <c r="F2240">
        <v>4721</v>
      </c>
      <c r="G2240">
        <v>2500</v>
      </c>
      <c r="H2240">
        <v>0</v>
      </c>
      <c r="J2240" t="str">
        <f>VLOOKUP(Table3[[#This Row],[Faction ID]],Table4[],2)</f>
        <v>Lothlorien</v>
      </c>
    </row>
    <row r="2241" spans="1:10" x14ac:dyDescent="0.25">
      <c r="A2241">
        <v>58</v>
      </c>
      <c r="B2241" t="s">
        <v>24</v>
      </c>
      <c r="C2241">
        <v>0</v>
      </c>
      <c r="D2241">
        <v>0</v>
      </c>
      <c r="E2241">
        <v>0</v>
      </c>
      <c r="F2241">
        <v>4919</v>
      </c>
      <c r="G2241">
        <v>1750</v>
      </c>
      <c r="H2241">
        <v>0</v>
      </c>
      <c r="J2241" t="str">
        <f>VLOOKUP(Table3[[#This Row],[Faction ID]],Table4[],2)</f>
        <v>Variags (Khand)</v>
      </c>
    </row>
    <row r="2242" spans="1:10" x14ac:dyDescent="0.25">
      <c r="A2242">
        <v>58</v>
      </c>
      <c r="B2242" t="s">
        <v>14</v>
      </c>
      <c r="C2242">
        <v>10</v>
      </c>
      <c r="D2242">
        <v>7</v>
      </c>
      <c r="E2242">
        <v>112</v>
      </c>
      <c r="F2242">
        <v>32774</v>
      </c>
      <c r="G2242">
        <v>19911</v>
      </c>
      <c r="H2242">
        <v>1059</v>
      </c>
      <c r="J2242" t="str">
        <f>VLOOKUP(Table3[[#This Row],[Faction ID]],Table4[],2)</f>
        <v>Corsairs of Umbar</v>
      </c>
    </row>
    <row r="2243" spans="1:10" x14ac:dyDescent="0.25">
      <c r="A2243">
        <v>58</v>
      </c>
      <c r="B2243" t="s">
        <v>25</v>
      </c>
      <c r="C2243">
        <v>5</v>
      </c>
      <c r="D2243">
        <v>3</v>
      </c>
      <c r="E2243">
        <v>44</v>
      </c>
      <c r="F2243">
        <v>14696</v>
      </c>
      <c r="G2243">
        <v>7926</v>
      </c>
      <c r="H2243">
        <v>0</v>
      </c>
      <c r="J2243" t="str">
        <f>VLOOKUP(Table3[[#This Row],[Faction ID]],Table4[],2)</f>
        <v>Mahud</v>
      </c>
    </row>
    <row r="2244" spans="1:10" x14ac:dyDescent="0.25">
      <c r="A2244">
        <v>58</v>
      </c>
      <c r="B2244" t="s">
        <v>11</v>
      </c>
      <c r="C2244">
        <v>109</v>
      </c>
      <c r="D2244">
        <v>6</v>
      </c>
      <c r="E2244">
        <v>126</v>
      </c>
      <c r="F2244">
        <v>25052</v>
      </c>
      <c r="G2244">
        <v>16446</v>
      </c>
      <c r="H2244">
        <v>0</v>
      </c>
      <c r="J2244" t="str">
        <f>VLOOKUP(Table3[[#This Row],[Faction ID]],Table4[],2)</f>
        <v>Haradrim</v>
      </c>
    </row>
    <row r="2245" spans="1:10" x14ac:dyDescent="0.25">
      <c r="A2245">
        <v>58</v>
      </c>
      <c r="B2245" t="s">
        <v>15</v>
      </c>
      <c r="C2245">
        <v>119</v>
      </c>
      <c r="D2245">
        <v>11</v>
      </c>
      <c r="E2245">
        <v>154.69999999999999</v>
      </c>
      <c r="F2245">
        <v>26193</v>
      </c>
      <c r="G2245">
        <v>25966</v>
      </c>
      <c r="H2245">
        <v>1507</v>
      </c>
      <c r="J2245" t="str">
        <f>VLOOKUP(Table3[[#This Row],[Faction ID]],Table4[],2)</f>
        <v>Dunlendings</v>
      </c>
    </row>
    <row r="2246" spans="1:10" x14ac:dyDescent="0.25">
      <c r="A2246">
        <v>58</v>
      </c>
      <c r="B2246" t="s">
        <v>16</v>
      </c>
      <c r="C2246">
        <v>0</v>
      </c>
      <c r="D2246">
        <v>0</v>
      </c>
      <c r="E2246">
        <v>0</v>
      </c>
      <c r="F2246">
        <v>5352</v>
      </c>
      <c r="G2246">
        <v>1750</v>
      </c>
      <c r="H2246">
        <v>0</v>
      </c>
      <c r="J2246" t="str">
        <f>VLOOKUP(Table3[[#This Row],[Faction ID]],Table4[],2)</f>
        <v>Haerrim</v>
      </c>
    </row>
    <row r="2247" spans="1:10" x14ac:dyDescent="0.25">
      <c r="A2247">
        <v>58</v>
      </c>
      <c r="B2247" t="s">
        <v>13</v>
      </c>
      <c r="C2247">
        <v>277</v>
      </c>
      <c r="D2247">
        <v>19</v>
      </c>
      <c r="E2247">
        <v>263.89999999999998</v>
      </c>
      <c r="F2247">
        <v>27256</v>
      </c>
      <c r="G2247">
        <v>30266</v>
      </c>
      <c r="H2247">
        <v>3059</v>
      </c>
      <c r="J2247" t="str">
        <f>VLOOKUP(Table3[[#This Row],[Faction ID]],Table4[],2)</f>
        <v>Goblins</v>
      </c>
    </row>
    <row r="2248" spans="1:10" x14ac:dyDescent="0.25">
      <c r="A2248">
        <v>58</v>
      </c>
      <c r="B2248" t="s">
        <v>17</v>
      </c>
      <c r="C2248">
        <v>0</v>
      </c>
      <c r="D2248">
        <v>0</v>
      </c>
      <c r="E2248">
        <v>0</v>
      </c>
      <c r="F2248">
        <v>4872</v>
      </c>
      <c r="G2248">
        <v>1750</v>
      </c>
      <c r="H2248">
        <v>0</v>
      </c>
      <c r="J2248" t="str">
        <f>VLOOKUP(Table3[[#This Row],[Faction ID]],Table4[],2)</f>
        <v>Balchoth</v>
      </c>
    </row>
    <row r="2249" spans="1:10" x14ac:dyDescent="0.25">
      <c r="A2249">
        <v>58</v>
      </c>
      <c r="B2249" t="s">
        <v>18</v>
      </c>
      <c r="C2249">
        <v>188</v>
      </c>
      <c r="D2249">
        <v>31</v>
      </c>
      <c r="E2249">
        <v>348.7</v>
      </c>
      <c r="F2249">
        <v>60895</v>
      </c>
      <c r="G2249">
        <v>32085</v>
      </c>
      <c r="H2249">
        <v>1525</v>
      </c>
      <c r="J2249" t="str">
        <f>VLOOKUP(Table3[[#This Row],[Faction ID]],Table4[],2)</f>
        <v>Rhurim/Rhun</v>
      </c>
    </row>
    <row r="2250" spans="1:10" x14ac:dyDescent="0.25">
      <c r="A2250">
        <v>58</v>
      </c>
      <c r="B2250" t="s">
        <v>19</v>
      </c>
      <c r="C2250">
        <v>0</v>
      </c>
      <c r="D2250">
        <v>0</v>
      </c>
      <c r="E2250">
        <v>0</v>
      </c>
      <c r="F2250">
        <v>7360</v>
      </c>
      <c r="G2250">
        <v>1750</v>
      </c>
      <c r="H2250">
        <v>0</v>
      </c>
      <c r="J2250" t="str">
        <f>VLOOKUP(Table3[[#This Row],[Faction ID]],Table4[],2)</f>
        <v>Feredrim</v>
      </c>
    </row>
    <row r="2251" spans="1:10" x14ac:dyDescent="0.25">
      <c r="A2251">
        <v>58</v>
      </c>
      <c r="B2251" t="s">
        <v>26</v>
      </c>
      <c r="C2251">
        <v>0</v>
      </c>
      <c r="D2251">
        <v>0</v>
      </c>
      <c r="E2251">
        <v>0</v>
      </c>
      <c r="F2251">
        <v>6395</v>
      </c>
      <c r="G2251">
        <v>1750</v>
      </c>
      <c r="H2251">
        <v>0</v>
      </c>
      <c r="J2251" t="str">
        <f>VLOOKUP(Table3[[#This Row],[Faction ID]],Table4[],2)</f>
        <v>Rachrohir (Wainriders)</v>
      </c>
    </row>
    <row r="2252" spans="1:10" x14ac:dyDescent="0.25">
      <c r="A2252">
        <v>58</v>
      </c>
      <c r="B2252" t="s">
        <v>27</v>
      </c>
      <c r="C2252">
        <v>5</v>
      </c>
      <c r="D2252">
        <v>3</v>
      </c>
      <c r="E2252">
        <v>72</v>
      </c>
      <c r="F2252">
        <v>71759</v>
      </c>
      <c r="G2252">
        <v>14036</v>
      </c>
      <c r="H2252">
        <v>0</v>
      </c>
      <c r="J2252" t="str">
        <f>VLOOKUP(Table3[[#This Row],[Faction ID]],Table4[],2)</f>
        <v>Blacklock-Stonefoot League</v>
      </c>
    </row>
    <row r="2253" spans="1:10" x14ac:dyDescent="0.25">
      <c r="A2253">
        <v>58</v>
      </c>
      <c r="B2253" t="s">
        <v>28</v>
      </c>
      <c r="C2253">
        <v>4</v>
      </c>
      <c r="D2253">
        <v>2</v>
      </c>
      <c r="E2253">
        <v>41</v>
      </c>
      <c r="F2253">
        <v>44746</v>
      </c>
      <c r="G2253">
        <v>8161</v>
      </c>
      <c r="H2253">
        <v>0</v>
      </c>
      <c r="J2253" t="str">
        <f>VLOOKUP(Table3[[#This Row],[Faction ID]],Table4[],2)</f>
        <v>Ironfist-Stiffbeard Union</v>
      </c>
    </row>
    <row r="2254" spans="1:10" x14ac:dyDescent="0.25">
      <c r="A2254">
        <v>58</v>
      </c>
      <c r="B2254" t="s">
        <v>20</v>
      </c>
      <c r="C2254">
        <v>152</v>
      </c>
      <c r="D2254">
        <v>12</v>
      </c>
      <c r="E2254">
        <v>178.5</v>
      </c>
      <c r="F2254">
        <v>42764</v>
      </c>
      <c r="G2254">
        <v>22163</v>
      </c>
      <c r="H2254">
        <v>940</v>
      </c>
      <c r="J2254" t="str">
        <f>VLOOKUP(Table3[[#This Row],[Faction ID]],Table4[],2)</f>
        <v>Gundabad</v>
      </c>
    </row>
    <row r="2255" spans="1:10" x14ac:dyDescent="0.25">
      <c r="A2255">
        <v>58</v>
      </c>
      <c r="B2255" t="s">
        <v>34</v>
      </c>
      <c r="C2255">
        <v>0</v>
      </c>
      <c r="D2255">
        <v>0</v>
      </c>
      <c r="E2255">
        <v>3</v>
      </c>
      <c r="F2255">
        <v>67897</v>
      </c>
      <c r="G2255">
        <v>2379</v>
      </c>
      <c r="H2255">
        <v>0</v>
      </c>
      <c r="J2255" t="str">
        <f>VLOOKUP(Table3[[#This Row],[Faction ID]],Table4[],2)</f>
        <v>Scouts of Rohan</v>
      </c>
    </row>
    <row r="2256" spans="1:10" x14ac:dyDescent="0.25">
      <c r="A2256">
        <v>58</v>
      </c>
      <c r="B2256" t="s">
        <v>33</v>
      </c>
      <c r="C2256">
        <v>6</v>
      </c>
      <c r="D2256">
        <v>4</v>
      </c>
      <c r="E2256">
        <v>55</v>
      </c>
      <c r="F2256">
        <v>55360</v>
      </c>
      <c r="G2256">
        <v>10860</v>
      </c>
      <c r="H2256">
        <v>448</v>
      </c>
      <c r="J2256" t="str">
        <f>VLOOKUP(Table3[[#This Row],[Faction ID]],Table4[],2)</f>
        <v>Northern Enedwaith</v>
      </c>
    </row>
    <row r="2257" spans="1:10" x14ac:dyDescent="0.25">
      <c r="A2257">
        <v>58</v>
      </c>
      <c r="B2257" t="s">
        <v>29</v>
      </c>
      <c r="C2257">
        <v>0</v>
      </c>
      <c r="D2257">
        <v>0</v>
      </c>
      <c r="E2257">
        <v>0</v>
      </c>
      <c r="F2257">
        <v>54023</v>
      </c>
      <c r="G2257">
        <v>1750</v>
      </c>
      <c r="H2257">
        <v>0</v>
      </c>
      <c r="J2257" t="str">
        <f>VLOOKUP(Table3[[#This Row],[Faction ID]],Table4[],2)</f>
        <v>Southern Enedwaith</v>
      </c>
    </row>
    <row r="2258" spans="1:10" x14ac:dyDescent="0.25">
      <c r="A2258">
        <v>58</v>
      </c>
      <c r="B2258" t="s">
        <v>30</v>
      </c>
      <c r="C2258">
        <v>2</v>
      </c>
      <c r="D2258">
        <v>1</v>
      </c>
      <c r="E2258">
        <v>17</v>
      </c>
      <c r="F2258">
        <v>23882</v>
      </c>
      <c r="G2258">
        <v>3909</v>
      </c>
      <c r="H2258">
        <v>0</v>
      </c>
      <c r="J2258" t="str">
        <f>VLOOKUP(Table3[[#This Row],[Faction ID]],Table4[],2)</f>
        <v>Druedain</v>
      </c>
    </row>
    <row r="2259" spans="1:10" x14ac:dyDescent="0.25">
      <c r="A2259">
        <v>58</v>
      </c>
      <c r="B2259" t="s">
        <v>31</v>
      </c>
      <c r="C2259">
        <v>0</v>
      </c>
      <c r="D2259">
        <v>0</v>
      </c>
      <c r="E2259">
        <v>0</v>
      </c>
      <c r="F2259">
        <v>15146</v>
      </c>
      <c r="G2259">
        <v>1750</v>
      </c>
      <c r="H2259">
        <v>0</v>
      </c>
      <c r="J2259" t="str">
        <f>VLOOKUP(Table3[[#This Row],[Faction ID]],Table4[],2)</f>
        <v>Harondor</v>
      </c>
    </row>
    <row r="2260" spans="1:10" x14ac:dyDescent="0.25">
      <c r="A2260">
        <v>58</v>
      </c>
      <c r="B2260" t="s">
        <v>35</v>
      </c>
      <c r="C2260">
        <v>0</v>
      </c>
      <c r="D2260">
        <v>0</v>
      </c>
      <c r="E2260">
        <v>0</v>
      </c>
      <c r="F2260">
        <v>4000</v>
      </c>
      <c r="G2260">
        <v>1750</v>
      </c>
      <c r="H2260">
        <v>0</v>
      </c>
      <c r="J2260" t="str">
        <f>VLOOKUP(Table3[[#This Row],[Faction ID]],Table4[],2)</f>
        <v>Southron Nomads</v>
      </c>
    </row>
    <row r="2261" spans="1:10" x14ac:dyDescent="0.25">
      <c r="A2261">
        <v>58</v>
      </c>
      <c r="B2261" t="s">
        <v>36</v>
      </c>
      <c r="C2261">
        <v>0</v>
      </c>
      <c r="D2261">
        <v>0</v>
      </c>
      <c r="E2261">
        <v>0</v>
      </c>
      <c r="F2261">
        <v>4000</v>
      </c>
      <c r="G2261">
        <v>1750</v>
      </c>
      <c r="H2261">
        <v>0</v>
      </c>
      <c r="J2261" t="str">
        <f>VLOOKUP(Table3[[#This Row],[Faction ID]],Table4[],2)</f>
        <v>_</v>
      </c>
    </row>
    <row r="2262" spans="1:10" x14ac:dyDescent="0.25">
      <c r="A2262">
        <v>58</v>
      </c>
      <c r="B2262" t="s">
        <v>37</v>
      </c>
      <c r="C2262">
        <v>0</v>
      </c>
      <c r="D2262">
        <v>0</v>
      </c>
      <c r="E2262">
        <v>0</v>
      </c>
      <c r="F2262">
        <v>4000</v>
      </c>
      <c r="G2262">
        <v>1750</v>
      </c>
      <c r="H2262">
        <v>0</v>
      </c>
      <c r="J2262" t="str">
        <f>VLOOKUP(Table3[[#This Row],[Faction ID]],Table4[],2)</f>
        <v>_</v>
      </c>
    </row>
    <row r="2263" spans="1:10" x14ac:dyDescent="0.25">
      <c r="A2263">
        <v>58</v>
      </c>
      <c r="B2263" t="s">
        <v>38</v>
      </c>
      <c r="C2263">
        <v>0</v>
      </c>
      <c r="D2263">
        <v>0</v>
      </c>
      <c r="E2263">
        <v>0</v>
      </c>
      <c r="F2263">
        <v>4000</v>
      </c>
      <c r="G2263">
        <v>1750</v>
      </c>
      <c r="H2263">
        <v>0</v>
      </c>
      <c r="J2263" t="str">
        <f>VLOOKUP(Table3[[#This Row],[Faction ID]],Table4[],2)</f>
        <v>_</v>
      </c>
    </row>
    <row r="2264" spans="1:10" x14ac:dyDescent="0.25">
      <c r="A2264">
        <v>58</v>
      </c>
      <c r="B2264" t="s">
        <v>39</v>
      </c>
      <c r="C2264">
        <v>0</v>
      </c>
      <c r="D2264">
        <v>0</v>
      </c>
      <c r="E2264">
        <v>0</v>
      </c>
      <c r="F2264">
        <v>4000</v>
      </c>
      <c r="G2264">
        <v>1750</v>
      </c>
      <c r="H2264">
        <v>0</v>
      </c>
      <c r="J2264" t="str">
        <f>VLOOKUP(Table3[[#This Row],[Faction ID]],Table4[],2)</f>
        <v>_</v>
      </c>
    </row>
    <row r="2265" spans="1:10" x14ac:dyDescent="0.25">
      <c r="A2265">
        <v>58</v>
      </c>
      <c r="B2265" t="s">
        <v>40</v>
      </c>
      <c r="C2265">
        <v>0</v>
      </c>
      <c r="D2265">
        <v>0</v>
      </c>
      <c r="E2265">
        <v>0</v>
      </c>
      <c r="F2265">
        <v>4000</v>
      </c>
      <c r="G2265">
        <v>1750</v>
      </c>
      <c r="H2265">
        <v>0</v>
      </c>
      <c r="J2265" t="str">
        <f>VLOOKUP(Table3[[#This Row],[Faction ID]],Table4[],2)</f>
        <v>_</v>
      </c>
    </row>
    <row r="2266" spans="1:10" x14ac:dyDescent="0.25">
      <c r="A2266">
        <v>58</v>
      </c>
      <c r="B2266" t="s">
        <v>41</v>
      </c>
      <c r="C2266">
        <v>0</v>
      </c>
      <c r="D2266">
        <v>0</v>
      </c>
      <c r="E2266">
        <v>0</v>
      </c>
      <c r="F2266">
        <v>4000</v>
      </c>
      <c r="G2266">
        <v>1750</v>
      </c>
      <c r="H2266">
        <v>0</v>
      </c>
      <c r="J2266" t="str">
        <f>VLOOKUP(Table3[[#This Row],[Faction ID]],Table4[],2)</f>
        <v>_</v>
      </c>
    </row>
    <row r="2267" spans="1:10" x14ac:dyDescent="0.25">
      <c r="A2267">
        <v>58</v>
      </c>
      <c r="B2267" t="s">
        <v>42</v>
      </c>
      <c r="C2267">
        <v>0</v>
      </c>
      <c r="D2267">
        <v>0</v>
      </c>
      <c r="E2267">
        <v>0</v>
      </c>
      <c r="F2267">
        <v>4000</v>
      </c>
      <c r="G2267">
        <v>1750</v>
      </c>
      <c r="H2267">
        <v>0</v>
      </c>
      <c r="J2267" t="str">
        <f>VLOOKUP(Table3[[#This Row],[Faction ID]],Table4[],2)</f>
        <v>_</v>
      </c>
    </row>
    <row r="2268" spans="1:10" x14ac:dyDescent="0.25">
      <c r="A2268">
        <v>58</v>
      </c>
      <c r="B2268" t="s">
        <v>43</v>
      </c>
      <c r="C2268">
        <v>0</v>
      </c>
      <c r="D2268">
        <v>0</v>
      </c>
      <c r="E2268">
        <v>0</v>
      </c>
      <c r="F2268">
        <v>4000</v>
      </c>
      <c r="G2268">
        <v>1750</v>
      </c>
      <c r="H2268">
        <v>0</v>
      </c>
      <c r="J2268" t="str">
        <f>VLOOKUP(Table3[[#This Row],[Faction ID]],Table4[],2)</f>
        <v>_</v>
      </c>
    </row>
    <row r="2269" spans="1:10" x14ac:dyDescent="0.25">
      <c r="A2269">
        <v>58</v>
      </c>
      <c r="B2269" t="s">
        <v>44</v>
      </c>
      <c r="C2269">
        <v>0</v>
      </c>
      <c r="D2269">
        <v>0</v>
      </c>
      <c r="E2269">
        <v>0</v>
      </c>
      <c r="F2269">
        <v>4000</v>
      </c>
      <c r="G2269">
        <v>1750</v>
      </c>
      <c r="H2269">
        <v>0</v>
      </c>
      <c r="J2269" t="str">
        <f>VLOOKUP(Table3[[#This Row],[Faction ID]],Table4[],2)</f>
        <v>_</v>
      </c>
    </row>
    <row r="2270" spans="1:10" x14ac:dyDescent="0.25">
      <c r="A2270">
        <v>59</v>
      </c>
      <c r="B2270" t="s">
        <v>9</v>
      </c>
      <c r="C2270">
        <v>193</v>
      </c>
      <c r="D2270">
        <v>23</v>
      </c>
      <c r="E2270">
        <v>219.4</v>
      </c>
      <c r="F2270">
        <v>60</v>
      </c>
      <c r="G2270">
        <v>23658</v>
      </c>
      <c r="H2270">
        <v>1693</v>
      </c>
      <c r="J2270" t="str">
        <f>VLOOKUP(Table3[[#This Row],[Faction ID]],Table4[],2)</f>
        <v>Mordor</v>
      </c>
    </row>
    <row r="2271" spans="1:10" x14ac:dyDescent="0.25">
      <c r="A2271">
        <v>59</v>
      </c>
      <c r="B2271" t="s">
        <v>4</v>
      </c>
      <c r="C2271">
        <v>141</v>
      </c>
      <c r="D2271">
        <v>3</v>
      </c>
      <c r="E2271">
        <v>52</v>
      </c>
      <c r="F2271">
        <v>70764</v>
      </c>
      <c r="G2271">
        <v>10563</v>
      </c>
      <c r="H2271">
        <v>0</v>
      </c>
      <c r="J2271" t="str">
        <f>VLOOKUP(Table3[[#This Row],[Faction ID]],Table4[],2)</f>
        <v>Gondor</v>
      </c>
    </row>
    <row r="2272" spans="1:10" x14ac:dyDescent="0.25">
      <c r="A2272">
        <v>59</v>
      </c>
      <c r="B2272" t="s">
        <v>6</v>
      </c>
      <c r="C2272">
        <v>160</v>
      </c>
      <c r="D2272">
        <v>3</v>
      </c>
      <c r="E2272">
        <v>69.3</v>
      </c>
      <c r="F2272">
        <v>14060</v>
      </c>
      <c r="G2272">
        <v>11877</v>
      </c>
      <c r="H2272">
        <v>181</v>
      </c>
      <c r="J2272" t="str">
        <f>VLOOKUP(Table3[[#This Row],[Faction ID]],Table4[],2)</f>
        <v>Dale</v>
      </c>
    </row>
    <row r="2273" spans="1:10" x14ac:dyDescent="0.25">
      <c r="A2273">
        <v>59</v>
      </c>
      <c r="B2273" t="s">
        <v>21</v>
      </c>
      <c r="C2273">
        <v>153</v>
      </c>
      <c r="D2273">
        <v>4</v>
      </c>
      <c r="E2273">
        <v>27</v>
      </c>
      <c r="F2273">
        <v>27500</v>
      </c>
      <c r="G2273">
        <v>7592</v>
      </c>
      <c r="H2273">
        <v>222</v>
      </c>
      <c r="J2273" t="str">
        <f>VLOOKUP(Table3[[#This Row],[Faction ID]],Table4[],2)</f>
        <v>Erebor</v>
      </c>
    </row>
    <row r="2274" spans="1:10" x14ac:dyDescent="0.25">
      <c r="A2274">
        <v>59</v>
      </c>
      <c r="B2274" t="s">
        <v>5</v>
      </c>
      <c r="C2274">
        <v>145</v>
      </c>
      <c r="D2274">
        <v>2</v>
      </c>
      <c r="E2274">
        <v>10.6</v>
      </c>
      <c r="F2274">
        <v>10622</v>
      </c>
      <c r="G2274">
        <v>4128</v>
      </c>
      <c r="H2274">
        <v>0</v>
      </c>
      <c r="J2274" t="str">
        <f>VLOOKUP(Table3[[#This Row],[Faction ID]],Table4[],2)</f>
        <v>Rohan</v>
      </c>
    </row>
    <row r="2275" spans="1:10" x14ac:dyDescent="0.25">
      <c r="A2275">
        <v>59</v>
      </c>
      <c r="B2275" t="s">
        <v>12</v>
      </c>
      <c r="C2275">
        <v>159</v>
      </c>
      <c r="D2275">
        <v>14</v>
      </c>
      <c r="E2275">
        <v>203</v>
      </c>
      <c r="F2275">
        <v>16473</v>
      </c>
      <c r="G2275">
        <v>26478</v>
      </c>
      <c r="H2275">
        <v>1544</v>
      </c>
      <c r="J2275" t="str">
        <f>VLOOKUP(Table3[[#This Row],[Faction ID]],Table4[],2)</f>
        <v>Dol Guldur</v>
      </c>
    </row>
    <row r="2276" spans="1:10" x14ac:dyDescent="0.25">
      <c r="A2276">
        <v>59</v>
      </c>
      <c r="B2276" t="s">
        <v>10</v>
      </c>
      <c r="C2276">
        <v>58</v>
      </c>
      <c r="D2276">
        <v>0</v>
      </c>
      <c r="E2276">
        <v>0</v>
      </c>
      <c r="F2276">
        <v>4515</v>
      </c>
      <c r="G2276">
        <v>2500</v>
      </c>
      <c r="H2276">
        <v>0</v>
      </c>
      <c r="J2276" t="str">
        <f>VLOOKUP(Table3[[#This Row],[Faction ID]],Table4[],2)</f>
        <v>Anduin Vale</v>
      </c>
    </row>
    <row r="2277" spans="1:10" x14ac:dyDescent="0.25">
      <c r="A2277">
        <v>59</v>
      </c>
      <c r="B2277" t="s">
        <v>32</v>
      </c>
      <c r="C2277">
        <v>211</v>
      </c>
      <c r="D2277">
        <v>6</v>
      </c>
      <c r="E2277">
        <v>114.9</v>
      </c>
      <c r="F2277">
        <v>18305</v>
      </c>
      <c r="G2277">
        <v>17763</v>
      </c>
      <c r="H2277">
        <v>905</v>
      </c>
      <c r="J2277" t="str">
        <f>VLOOKUP(Table3[[#This Row],[Faction ID]],Table4[],2)</f>
        <v>Isengard</v>
      </c>
    </row>
    <row r="2278" spans="1:10" x14ac:dyDescent="0.25">
      <c r="A2278">
        <v>59</v>
      </c>
      <c r="B2278" t="s">
        <v>22</v>
      </c>
      <c r="C2278">
        <v>30</v>
      </c>
      <c r="D2278">
        <v>0</v>
      </c>
      <c r="E2278">
        <v>0</v>
      </c>
      <c r="F2278">
        <v>8475</v>
      </c>
      <c r="G2278">
        <v>2500</v>
      </c>
      <c r="H2278">
        <v>0</v>
      </c>
      <c r="J2278" t="str">
        <f>VLOOKUP(Table3[[#This Row],[Faction ID]],Table4[],2)</f>
        <v>Woodland Realm</v>
      </c>
    </row>
    <row r="2279" spans="1:10" x14ac:dyDescent="0.25">
      <c r="A2279">
        <v>59</v>
      </c>
      <c r="B2279" t="s">
        <v>23</v>
      </c>
      <c r="C2279">
        <v>64</v>
      </c>
      <c r="D2279">
        <v>0</v>
      </c>
      <c r="E2279">
        <v>0</v>
      </c>
      <c r="F2279">
        <v>4721</v>
      </c>
      <c r="G2279">
        <v>2500</v>
      </c>
      <c r="H2279">
        <v>0</v>
      </c>
      <c r="J2279" t="str">
        <f>VLOOKUP(Table3[[#This Row],[Faction ID]],Table4[],2)</f>
        <v>Lothlorien</v>
      </c>
    </row>
    <row r="2280" spans="1:10" x14ac:dyDescent="0.25">
      <c r="A2280">
        <v>59</v>
      </c>
      <c r="B2280" t="s">
        <v>24</v>
      </c>
      <c r="C2280">
        <v>0</v>
      </c>
      <c r="D2280">
        <v>0</v>
      </c>
      <c r="E2280">
        <v>0</v>
      </c>
      <c r="F2280">
        <v>4919</v>
      </c>
      <c r="G2280">
        <v>1750</v>
      </c>
      <c r="H2280">
        <v>0</v>
      </c>
      <c r="J2280" t="str">
        <f>VLOOKUP(Table3[[#This Row],[Faction ID]],Table4[],2)</f>
        <v>Variags (Khand)</v>
      </c>
    </row>
    <row r="2281" spans="1:10" x14ac:dyDescent="0.25">
      <c r="A2281">
        <v>59</v>
      </c>
      <c r="B2281" t="s">
        <v>14</v>
      </c>
      <c r="C2281">
        <v>10</v>
      </c>
      <c r="D2281">
        <v>7</v>
      </c>
      <c r="E2281">
        <v>114</v>
      </c>
      <c r="F2281">
        <v>34745</v>
      </c>
      <c r="G2281">
        <v>20857</v>
      </c>
      <c r="H2281">
        <v>1311</v>
      </c>
      <c r="J2281" t="str">
        <f>VLOOKUP(Table3[[#This Row],[Faction ID]],Table4[],2)</f>
        <v>Corsairs of Umbar</v>
      </c>
    </row>
    <row r="2282" spans="1:10" x14ac:dyDescent="0.25">
      <c r="A2282">
        <v>59</v>
      </c>
      <c r="B2282" t="s">
        <v>25</v>
      </c>
      <c r="C2282">
        <v>4</v>
      </c>
      <c r="D2282">
        <v>2</v>
      </c>
      <c r="E2282">
        <v>41</v>
      </c>
      <c r="F2282">
        <v>12148</v>
      </c>
      <c r="G2282">
        <v>6780</v>
      </c>
      <c r="H2282">
        <v>0</v>
      </c>
      <c r="J2282" t="str">
        <f>VLOOKUP(Table3[[#This Row],[Faction ID]],Table4[],2)</f>
        <v>Mahud</v>
      </c>
    </row>
    <row r="2283" spans="1:10" x14ac:dyDescent="0.25">
      <c r="A2283">
        <v>59</v>
      </c>
      <c r="B2283" t="s">
        <v>11</v>
      </c>
      <c r="C2283">
        <v>113</v>
      </c>
      <c r="D2283">
        <v>6</v>
      </c>
      <c r="E2283">
        <v>125</v>
      </c>
      <c r="F2283">
        <v>25098</v>
      </c>
      <c r="G2283">
        <v>16371</v>
      </c>
      <c r="H2283">
        <v>0</v>
      </c>
      <c r="J2283" t="str">
        <f>VLOOKUP(Table3[[#This Row],[Faction ID]],Table4[],2)</f>
        <v>Haradrim</v>
      </c>
    </row>
    <row r="2284" spans="1:10" x14ac:dyDescent="0.25">
      <c r="A2284">
        <v>59</v>
      </c>
      <c r="B2284" t="s">
        <v>15</v>
      </c>
      <c r="C2284">
        <v>124</v>
      </c>
      <c r="D2284">
        <v>11</v>
      </c>
      <c r="E2284">
        <v>155.69999999999999</v>
      </c>
      <c r="F2284">
        <v>24196</v>
      </c>
      <c r="G2284">
        <v>27294</v>
      </c>
      <c r="H2284">
        <v>1501</v>
      </c>
      <c r="J2284" t="str">
        <f>VLOOKUP(Table3[[#This Row],[Faction ID]],Table4[],2)</f>
        <v>Dunlendings</v>
      </c>
    </row>
    <row r="2285" spans="1:10" x14ac:dyDescent="0.25">
      <c r="A2285">
        <v>59</v>
      </c>
      <c r="B2285" t="s">
        <v>16</v>
      </c>
      <c r="C2285">
        <v>0</v>
      </c>
      <c r="D2285">
        <v>0</v>
      </c>
      <c r="E2285">
        <v>0</v>
      </c>
      <c r="F2285">
        <v>5352</v>
      </c>
      <c r="G2285">
        <v>1750</v>
      </c>
      <c r="H2285">
        <v>0</v>
      </c>
      <c r="J2285" t="str">
        <f>VLOOKUP(Table3[[#This Row],[Faction ID]],Table4[],2)</f>
        <v>Haerrim</v>
      </c>
    </row>
    <row r="2286" spans="1:10" x14ac:dyDescent="0.25">
      <c r="A2286">
        <v>59</v>
      </c>
      <c r="B2286" t="s">
        <v>13</v>
      </c>
      <c r="C2286">
        <v>277</v>
      </c>
      <c r="D2286">
        <v>19</v>
      </c>
      <c r="E2286">
        <v>265</v>
      </c>
      <c r="F2286">
        <v>33190</v>
      </c>
      <c r="G2286">
        <v>30470</v>
      </c>
      <c r="H2286">
        <v>3030</v>
      </c>
      <c r="J2286" t="str">
        <f>VLOOKUP(Table3[[#This Row],[Faction ID]],Table4[],2)</f>
        <v>Goblins</v>
      </c>
    </row>
    <row r="2287" spans="1:10" x14ac:dyDescent="0.25">
      <c r="A2287">
        <v>59</v>
      </c>
      <c r="B2287" t="s">
        <v>17</v>
      </c>
      <c r="C2287">
        <v>0</v>
      </c>
      <c r="D2287">
        <v>0</v>
      </c>
      <c r="E2287">
        <v>0</v>
      </c>
      <c r="F2287">
        <v>4872</v>
      </c>
      <c r="G2287">
        <v>1750</v>
      </c>
      <c r="H2287">
        <v>0</v>
      </c>
      <c r="J2287" t="str">
        <f>VLOOKUP(Table3[[#This Row],[Faction ID]],Table4[],2)</f>
        <v>Balchoth</v>
      </c>
    </row>
    <row r="2288" spans="1:10" x14ac:dyDescent="0.25">
      <c r="A2288">
        <v>59</v>
      </c>
      <c r="B2288" t="s">
        <v>18</v>
      </c>
      <c r="C2288">
        <v>190</v>
      </c>
      <c r="D2288">
        <v>32</v>
      </c>
      <c r="E2288">
        <v>332.5</v>
      </c>
      <c r="F2288">
        <v>78898</v>
      </c>
      <c r="G2288">
        <v>29966</v>
      </c>
      <c r="H2288">
        <v>1531</v>
      </c>
      <c r="J2288" t="str">
        <f>VLOOKUP(Table3[[#This Row],[Faction ID]],Table4[],2)</f>
        <v>Rhurim/Rhun</v>
      </c>
    </row>
    <row r="2289" spans="1:10" x14ac:dyDescent="0.25">
      <c r="A2289">
        <v>59</v>
      </c>
      <c r="B2289" t="s">
        <v>19</v>
      </c>
      <c r="C2289">
        <v>0</v>
      </c>
      <c r="D2289">
        <v>0</v>
      </c>
      <c r="E2289">
        <v>0</v>
      </c>
      <c r="F2289">
        <v>7360</v>
      </c>
      <c r="G2289">
        <v>1750</v>
      </c>
      <c r="H2289">
        <v>0</v>
      </c>
      <c r="J2289" t="str">
        <f>VLOOKUP(Table3[[#This Row],[Faction ID]],Table4[],2)</f>
        <v>Feredrim</v>
      </c>
    </row>
    <row r="2290" spans="1:10" x14ac:dyDescent="0.25">
      <c r="A2290">
        <v>59</v>
      </c>
      <c r="B2290" t="s">
        <v>26</v>
      </c>
      <c r="C2290">
        <v>0</v>
      </c>
      <c r="D2290">
        <v>0</v>
      </c>
      <c r="E2290">
        <v>0</v>
      </c>
      <c r="F2290">
        <v>6395</v>
      </c>
      <c r="G2290">
        <v>1750</v>
      </c>
      <c r="H2290">
        <v>0</v>
      </c>
      <c r="J2290" t="str">
        <f>VLOOKUP(Table3[[#This Row],[Faction ID]],Table4[],2)</f>
        <v>Rachrohir (Wainriders)</v>
      </c>
    </row>
    <row r="2291" spans="1:10" x14ac:dyDescent="0.25">
      <c r="A2291">
        <v>59</v>
      </c>
      <c r="B2291" t="s">
        <v>27</v>
      </c>
      <c r="C2291">
        <v>5</v>
      </c>
      <c r="D2291">
        <v>3</v>
      </c>
      <c r="E2291">
        <v>72</v>
      </c>
      <c r="F2291">
        <v>69762</v>
      </c>
      <c r="G2291">
        <v>14036</v>
      </c>
      <c r="H2291">
        <v>0</v>
      </c>
      <c r="J2291" t="str">
        <f>VLOOKUP(Table3[[#This Row],[Faction ID]],Table4[],2)</f>
        <v>Blacklock-Stonefoot League</v>
      </c>
    </row>
    <row r="2292" spans="1:10" x14ac:dyDescent="0.25">
      <c r="A2292">
        <v>59</v>
      </c>
      <c r="B2292" t="s">
        <v>28</v>
      </c>
      <c r="C2292">
        <v>4</v>
      </c>
      <c r="D2292">
        <v>2</v>
      </c>
      <c r="E2292">
        <v>41</v>
      </c>
      <c r="F2292">
        <v>45564</v>
      </c>
      <c r="G2292">
        <v>7460</v>
      </c>
      <c r="H2292">
        <v>0</v>
      </c>
      <c r="J2292" t="str">
        <f>VLOOKUP(Table3[[#This Row],[Faction ID]],Table4[],2)</f>
        <v>Ironfist-Stiffbeard Union</v>
      </c>
    </row>
    <row r="2293" spans="1:10" x14ac:dyDescent="0.25">
      <c r="A2293">
        <v>59</v>
      </c>
      <c r="B2293" t="s">
        <v>20</v>
      </c>
      <c r="C2293">
        <v>152</v>
      </c>
      <c r="D2293">
        <v>12</v>
      </c>
      <c r="E2293">
        <v>187.5</v>
      </c>
      <c r="F2293">
        <v>42716</v>
      </c>
      <c r="G2293">
        <v>22339</v>
      </c>
      <c r="H2293">
        <v>934</v>
      </c>
      <c r="J2293" t="str">
        <f>VLOOKUP(Table3[[#This Row],[Faction ID]],Table4[],2)</f>
        <v>Gundabad</v>
      </c>
    </row>
    <row r="2294" spans="1:10" x14ac:dyDescent="0.25">
      <c r="A2294">
        <v>59</v>
      </c>
      <c r="B2294" t="s">
        <v>34</v>
      </c>
      <c r="C2294">
        <v>0</v>
      </c>
      <c r="D2294">
        <v>0</v>
      </c>
      <c r="E2294">
        <v>3</v>
      </c>
      <c r="F2294">
        <v>69018</v>
      </c>
      <c r="G2294">
        <v>2379</v>
      </c>
      <c r="H2294">
        <v>0</v>
      </c>
      <c r="J2294" t="str">
        <f>VLOOKUP(Table3[[#This Row],[Faction ID]],Table4[],2)</f>
        <v>Scouts of Rohan</v>
      </c>
    </row>
    <row r="2295" spans="1:10" x14ac:dyDescent="0.25">
      <c r="A2295">
        <v>59</v>
      </c>
      <c r="B2295" t="s">
        <v>33</v>
      </c>
      <c r="C2295">
        <v>6</v>
      </c>
      <c r="D2295">
        <v>4</v>
      </c>
      <c r="E2295">
        <v>55</v>
      </c>
      <c r="F2295">
        <v>60455</v>
      </c>
      <c r="G2295">
        <v>11068</v>
      </c>
      <c r="H2295">
        <v>656</v>
      </c>
      <c r="J2295" t="str">
        <f>VLOOKUP(Table3[[#This Row],[Faction ID]],Table4[],2)</f>
        <v>Northern Enedwaith</v>
      </c>
    </row>
    <row r="2296" spans="1:10" x14ac:dyDescent="0.25">
      <c r="A2296">
        <v>59</v>
      </c>
      <c r="B2296" t="s">
        <v>29</v>
      </c>
      <c r="C2296">
        <v>0</v>
      </c>
      <c r="D2296">
        <v>0</v>
      </c>
      <c r="E2296">
        <v>0</v>
      </c>
      <c r="F2296">
        <v>54023</v>
      </c>
      <c r="G2296">
        <v>1750</v>
      </c>
      <c r="H2296">
        <v>0</v>
      </c>
      <c r="J2296" t="str">
        <f>VLOOKUP(Table3[[#This Row],[Faction ID]],Table4[],2)</f>
        <v>Southern Enedwaith</v>
      </c>
    </row>
    <row r="2297" spans="1:10" x14ac:dyDescent="0.25">
      <c r="A2297">
        <v>59</v>
      </c>
      <c r="B2297" t="s">
        <v>30</v>
      </c>
      <c r="C2297">
        <v>2</v>
      </c>
      <c r="D2297">
        <v>1</v>
      </c>
      <c r="E2297">
        <v>20</v>
      </c>
      <c r="F2297">
        <v>25028</v>
      </c>
      <c r="G2297">
        <v>4125</v>
      </c>
      <c r="H2297">
        <v>0</v>
      </c>
      <c r="J2297" t="str">
        <f>VLOOKUP(Table3[[#This Row],[Faction ID]],Table4[],2)</f>
        <v>Druedain</v>
      </c>
    </row>
    <row r="2298" spans="1:10" x14ac:dyDescent="0.25">
      <c r="A2298">
        <v>59</v>
      </c>
      <c r="B2298" t="s">
        <v>31</v>
      </c>
      <c r="C2298">
        <v>0</v>
      </c>
      <c r="D2298">
        <v>0</v>
      </c>
      <c r="E2298">
        <v>0</v>
      </c>
      <c r="F2298">
        <v>15146</v>
      </c>
      <c r="G2298">
        <v>1750</v>
      </c>
      <c r="H2298">
        <v>0</v>
      </c>
      <c r="J2298" t="str">
        <f>VLOOKUP(Table3[[#This Row],[Faction ID]],Table4[],2)</f>
        <v>Harondor</v>
      </c>
    </row>
    <row r="2299" spans="1:10" x14ac:dyDescent="0.25">
      <c r="A2299">
        <v>59</v>
      </c>
      <c r="B2299" t="s">
        <v>35</v>
      </c>
      <c r="C2299">
        <v>0</v>
      </c>
      <c r="D2299">
        <v>0</v>
      </c>
      <c r="E2299">
        <v>0</v>
      </c>
      <c r="F2299">
        <v>4000</v>
      </c>
      <c r="G2299">
        <v>1750</v>
      </c>
      <c r="H2299">
        <v>0</v>
      </c>
      <c r="J2299" t="str">
        <f>VLOOKUP(Table3[[#This Row],[Faction ID]],Table4[],2)</f>
        <v>Southron Nomads</v>
      </c>
    </row>
    <row r="2300" spans="1:10" x14ac:dyDescent="0.25">
      <c r="A2300">
        <v>59</v>
      </c>
      <c r="B2300" t="s">
        <v>36</v>
      </c>
      <c r="C2300">
        <v>0</v>
      </c>
      <c r="D2300">
        <v>0</v>
      </c>
      <c r="E2300">
        <v>0</v>
      </c>
      <c r="F2300">
        <v>4000</v>
      </c>
      <c r="G2300">
        <v>1750</v>
      </c>
      <c r="H2300">
        <v>0</v>
      </c>
      <c r="J2300" t="str">
        <f>VLOOKUP(Table3[[#This Row],[Faction ID]],Table4[],2)</f>
        <v>_</v>
      </c>
    </row>
    <row r="2301" spans="1:10" x14ac:dyDescent="0.25">
      <c r="A2301">
        <v>59</v>
      </c>
      <c r="B2301" t="s">
        <v>37</v>
      </c>
      <c r="C2301">
        <v>0</v>
      </c>
      <c r="D2301">
        <v>0</v>
      </c>
      <c r="E2301">
        <v>0</v>
      </c>
      <c r="F2301">
        <v>4000</v>
      </c>
      <c r="G2301">
        <v>1750</v>
      </c>
      <c r="H2301">
        <v>0</v>
      </c>
      <c r="J2301" t="str">
        <f>VLOOKUP(Table3[[#This Row],[Faction ID]],Table4[],2)</f>
        <v>_</v>
      </c>
    </row>
    <row r="2302" spans="1:10" x14ac:dyDescent="0.25">
      <c r="A2302">
        <v>59</v>
      </c>
      <c r="B2302" t="s">
        <v>38</v>
      </c>
      <c r="C2302">
        <v>0</v>
      </c>
      <c r="D2302">
        <v>0</v>
      </c>
      <c r="E2302">
        <v>0</v>
      </c>
      <c r="F2302">
        <v>4000</v>
      </c>
      <c r="G2302">
        <v>1750</v>
      </c>
      <c r="H2302">
        <v>0</v>
      </c>
      <c r="J2302" t="str">
        <f>VLOOKUP(Table3[[#This Row],[Faction ID]],Table4[],2)</f>
        <v>_</v>
      </c>
    </row>
    <row r="2303" spans="1:10" x14ac:dyDescent="0.25">
      <c r="A2303">
        <v>59</v>
      </c>
      <c r="B2303" t="s">
        <v>39</v>
      </c>
      <c r="C2303">
        <v>0</v>
      </c>
      <c r="D2303">
        <v>0</v>
      </c>
      <c r="E2303">
        <v>0</v>
      </c>
      <c r="F2303">
        <v>4000</v>
      </c>
      <c r="G2303">
        <v>1750</v>
      </c>
      <c r="H2303">
        <v>0</v>
      </c>
      <c r="J2303" t="str">
        <f>VLOOKUP(Table3[[#This Row],[Faction ID]],Table4[],2)</f>
        <v>_</v>
      </c>
    </row>
    <row r="2304" spans="1:10" x14ac:dyDescent="0.25">
      <c r="A2304">
        <v>59</v>
      </c>
      <c r="B2304" t="s">
        <v>40</v>
      </c>
      <c r="C2304">
        <v>0</v>
      </c>
      <c r="D2304">
        <v>0</v>
      </c>
      <c r="E2304">
        <v>0</v>
      </c>
      <c r="F2304">
        <v>4000</v>
      </c>
      <c r="G2304">
        <v>1750</v>
      </c>
      <c r="H2304">
        <v>0</v>
      </c>
      <c r="J2304" t="str">
        <f>VLOOKUP(Table3[[#This Row],[Faction ID]],Table4[],2)</f>
        <v>_</v>
      </c>
    </row>
    <row r="2305" spans="1:10" x14ac:dyDescent="0.25">
      <c r="A2305">
        <v>59</v>
      </c>
      <c r="B2305" t="s">
        <v>41</v>
      </c>
      <c r="C2305">
        <v>0</v>
      </c>
      <c r="D2305">
        <v>0</v>
      </c>
      <c r="E2305">
        <v>0</v>
      </c>
      <c r="F2305">
        <v>4000</v>
      </c>
      <c r="G2305">
        <v>1750</v>
      </c>
      <c r="H2305">
        <v>0</v>
      </c>
      <c r="J2305" t="str">
        <f>VLOOKUP(Table3[[#This Row],[Faction ID]],Table4[],2)</f>
        <v>_</v>
      </c>
    </row>
    <row r="2306" spans="1:10" x14ac:dyDescent="0.25">
      <c r="A2306">
        <v>59</v>
      </c>
      <c r="B2306" t="s">
        <v>42</v>
      </c>
      <c r="C2306">
        <v>0</v>
      </c>
      <c r="D2306">
        <v>0</v>
      </c>
      <c r="E2306">
        <v>0</v>
      </c>
      <c r="F2306">
        <v>4000</v>
      </c>
      <c r="G2306">
        <v>1750</v>
      </c>
      <c r="H2306">
        <v>0</v>
      </c>
      <c r="J2306" t="str">
        <f>VLOOKUP(Table3[[#This Row],[Faction ID]],Table4[],2)</f>
        <v>_</v>
      </c>
    </row>
    <row r="2307" spans="1:10" x14ac:dyDescent="0.25">
      <c r="A2307">
        <v>59</v>
      </c>
      <c r="B2307" t="s">
        <v>43</v>
      </c>
      <c r="C2307">
        <v>0</v>
      </c>
      <c r="D2307">
        <v>0</v>
      </c>
      <c r="E2307">
        <v>0</v>
      </c>
      <c r="F2307">
        <v>4000</v>
      </c>
      <c r="G2307">
        <v>1750</v>
      </c>
      <c r="H2307">
        <v>0</v>
      </c>
      <c r="J2307" t="str">
        <f>VLOOKUP(Table3[[#This Row],[Faction ID]],Table4[],2)</f>
        <v>_</v>
      </c>
    </row>
    <row r="2308" spans="1:10" x14ac:dyDescent="0.25">
      <c r="A2308">
        <v>59</v>
      </c>
      <c r="B2308" t="s">
        <v>44</v>
      </c>
      <c r="C2308">
        <v>0</v>
      </c>
      <c r="D2308">
        <v>0</v>
      </c>
      <c r="E2308">
        <v>0</v>
      </c>
      <c r="F2308">
        <v>4000</v>
      </c>
      <c r="G2308">
        <v>1750</v>
      </c>
      <c r="H2308">
        <v>0</v>
      </c>
      <c r="J2308" t="str">
        <f>VLOOKUP(Table3[[#This Row],[Faction ID]],Table4[],2)</f>
        <v>_</v>
      </c>
    </row>
    <row r="2309" spans="1:10" x14ac:dyDescent="0.25">
      <c r="A2309">
        <v>60</v>
      </c>
      <c r="B2309" t="s">
        <v>9</v>
      </c>
      <c r="C2309">
        <v>198</v>
      </c>
      <c r="D2309">
        <v>23</v>
      </c>
      <c r="E2309">
        <v>219.4</v>
      </c>
      <c r="F2309">
        <v>6111</v>
      </c>
      <c r="G2309">
        <v>23814</v>
      </c>
      <c r="H2309">
        <v>1708</v>
      </c>
      <c r="J2309" t="str">
        <f>VLOOKUP(Table3[[#This Row],[Faction ID]],Table4[],2)</f>
        <v>Mordor</v>
      </c>
    </row>
    <row r="2310" spans="1:10" x14ac:dyDescent="0.25">
      <c r="A2310">
        <v>60</v>
      </c>
      <c r="B2310" t="s">
        <v>4</v>
      </c>
      <c r="C2310">
        <v>141</v>
      </c>
      <c r="D2310">
        <v>3</v>
      </c>
      <c r="E2310">
        <v>60</v>
      </c>
      <c r="F2310">
        <v>67287</v>
      </c>
      <c r="G2310">
        <v>11130</v>
      </c>
      <c r="H2310">
        <v>0</v>
      </c>
      <c r="J2310" t="str">
        <f>VLOOKUP(Table3[[#This Row],[Faction ID]],Table4[],2)</f>
        <v>Gondor</v>
      </c>
    </row>
    <row r="2311" spans="1:10" x14ac:dyDescent="0.25">
      <c r="A2311">
        <v>60</v>
      </c>
      <c r="B2311" t="s">
        <v>6</v>
      </c>
      <c r="C2311">
        <v>160</v>
      </c>
      <c r="D2311">
        <v>3</v>
      </c>
      <c r="E2311">
        <v>69.3</v>
      </c>
      <c r="F2311">
        <v>15928</v>
      </c>
      <c r="G2311">
        <v>11802</v>
      </c>
      <c r="H2311">
        <v>188</v>
      </c>
      <c r="J2311" t="str">
        <f>VLOOKUP(Table3[[#This Row],[Faction ID]],Table4[],2)</f>
        <v>Dale</v>
      </c>
    </row>
    <row r="2312" spans="1:10" x14ac:dyDescent="0.25">
      <c r="A2312">
        <v>60</v>
      </c>
      <c r="B2312" t="s">
        <v>21</v>
      </c>
      <c r="C2312">
        <v>166</v>
      </c>
      <c r="D2312">
        <v>4</v>
      </c>
      <c r="E2312">
        <v>32.200000000000003</v>
      </c>
      <c r="F2312">
        <v>29532</v>
      </c>
      <c r="G2312">
        <v>9210</v>
      </c>
      <c r="H2312">
        <v>228</v>
      </c>
      <c r="J2312" t="str">
        <f>VLOOKUP(Table3[[#This Row],[Faction ID]],Table4[],2)</f>
        <v>Erebor</v>
      </c>
    </row>
    <row r="2313" spans="1:10" x14ac:dyDescent="0.25">
      <c r="A2313">
        <v>60</v>
      </c>
      <c r="B2313" t="s">
        <v>5</v>
      </c>
      <c r="C2313">
        <v>145</v>
      </c>
      <c r="D2313">
        <v>2</v>
      </c>
      <c r="E2313">
        <v>10.6</v>
      </c>
      <c r="F2313">
        <v>10821</v>
      </c>
      <c r="G2313">
        <v>3620</v>
      </c>
      <c r="H2313">
        <v>0</v>
      </c>
      <c r="J2313" t="str">
        <f>VLOOKUP(Table3[[#This Row],[Faction ID]],Table4[],2)</f>
        <v>Rohan</v>
      </c>
    </row>
    <row r="2314" spans="1:10" x14ac:dyDescent="0.25">
      <c r="A2314">
        <v>60</v>
      </c>
      <c r="B2314" t="s">
        <v>12</v>
      </c>
      <c r="C2314">
        <v>164</v>
      </c>
      <c r="D2314">
        <v>14</v>
      </c>
      <c r="E2314">
        <v>203</v>
      </c>
      <c r="F2314">
        <v>15748</v>
      </c>
      <c r="G2314">
        <v>26391</v>
      </c>
      <c r="H2314">
        <v>1565</v>
      </c>
      <c r="J2314" t="str">
        <f>VLOOKUP(Table3[[#This Row],[Faction ID]],Table4[],2)</f>
        <v>Dol Guldur</v>
      </c>
    </row>
    <row r="2315" spans="1:10" x14ac:dyDescent="0.25">
      <c r="A2315">
        <v>60</v>
      </c>
      <c r="B2315" t="s">
        <v>10</v>
      </c>
      <c r="C2315">
        <v>58</v>
      </c>
      <c r="D2315">
        <v>0</v>
      </c>
      <c r="E2315">
        <v>0</v>
      </c>
      <c r="F2315">
        <v>4515</v>
      </c>
      <c r="G2315">
        <v>2500</v>
      </c>
      <c r="H2315">
        <v>0</v>
      </c>
      <c r="J2315" t="str">
        <f>VLOOKUP(Table3[[#This Row],[Faction ID]],Table4[],2)</f>
        <v>Anduin Vale</v>
      </c>
    </row>
    <row r="2316" spans="1:10" x14ac:dyDescent="0.25">
      <c r="A2316">
        <v>60</v>
      </c>
      <c r="B2316" t="s">
        <v>32</v>
      </c>
      <c r="C2316">
        <v>211</v>
      </c>
      <c r="D2316">
        <v>6</v>
      </c>
      <c r="E2316">
        <v>125.7</v>
      </c>
      <c r="F2316">
        <v>14379</v>
      </c>
      <c r="G2316">
        <v>19080</v>
      </c>
      <c r="H2316">
        <v>909</v>
      </c>
      <c r="J2316" t="str">
        <f>VLOOKUP(Table3[[#This Row],[Faction ID]],Table4[],2)</f>
        <v>Isengard</v>
      </c>
    </row>
    <row r="2317" spans="1:10" x14ac:dyDescent="0.25">
      <c r="A2317">
        <v>60</v>
      </c>
      <c r="B2317" t="s">
        <v>22</v>
      </c>
      <c r="C2317">
        <v>30</v>
      </c>
      <c r="D2317">
        <v>0</v>
      </c>
      <c r="E2317">
        <v>0</v>
      </c>
      <c r="F2317">
        <v>8475</v>
      </c>
      <c r="G2317">
        <v>2500</v>
      </c>
      <c r="H2317">
        <v>0</v>
      </c>
      <c r="J2317" t="str">
        <f>VLOOKUP(Table3[[#This Row],[Faction ID]],Table4[],2)</f>
        <v>Woodland Realm</v>
      </c>
    </row>
    <row r="2318" spans="1:10" x14ac:dyDescent="0.25">
      <c r="A2318">
        <v>60</v>
      </c>
      <c r="B2318" t="s">
        <v>23</v>
      </c>
      <c r="C2318">
        <v>64</v>
      </c>
      <c r="D2318">
        <v>0</v>
      </c>
      <c r="E2318">
        <v>0</v>
      </c>
      <c r="F2318">
        <v>4721</v>
      </c>
      <c r="G2318">
        <v>2500</v>
      </c>
      <c r="H2318">
        <v>0</v>
      </c>
      <c r="J2318" t="str">
        <f>VLOOKUP(Table3[[#This Row],[Faction ID]],Table4[],2)</f>
        <v>Lothlorien</v>
      </c>
    </row>
    <row r="2319" spans="1:10" x14ac:dyDescent="0.25">
      <c r="A2319">
        <v>60</v>
      </c>
      <c r="B2319" t="s">
        <v>24</v>
      </c>
      <c r="C2319">
        <v>0</v>
      </c>
      <c r="D2319">
        <v>0</v>
      </c>
      <c r="E2319">
        <v>0</v>
      </c>
      <c r="F2319">
        <v>4919</v>
      </c>
      <c r="G2319">
        <v>1750</v>
      </c>
      <c r="H2319">
        <v>0</v>
      </c>
      <c r="J2319" t="str">
        <f>VLOOKUP(Table3[[#This Row],[Faction ID]],Table4[],2)</f>
        <v>Variags (Khand)</v>
      </c>
    </row>
    <row r="2320" spans="1:10" x14ac:dyDescent="0.25">
      <c r="A2320">
        <v>60</v>
      </c>
      <c r="B2320" t="s">
        <v>14</v>
      </c>
      <c r="C2320">
        <v>10</v>
      </c>
      <c r="D2320">
        <v>7</v>
      </c>
      <c r="E2320">
        <v>115</v>
      </c>
      <c r="F2320">
        <v>27407</v>
      </c>
      <c r="G2320">
        <v>21033</v>
      </c>
      <c r="H2320">
        <v>1315</v>
      </c>
      <c r="J2320" t="str">
        <f>VLOOKUP(Table3[[#This Row],[Faction ID]],Table4[],2)</f>
        <v>Corsairs of Umbar</v>
      </c>
    </row>
    <row r="2321" spans="1:10" x14ac:dyDescent="0.25">
      <c r="A2321">
        <v>60</v>
      </c>
      <c r="B2321" t="s">
        <v>25</v>
      </c>
      <c r="C2321">
        <v>4</v>
      </c>
      <c r="D2321">
        <v>2</v>
      </c>
      <c r="E2321">
        <v>44</v>
      </c>
      <c r="F2321">
        <v>11863</v>
      </c>
      <c r="G2321">
        <v>7164</v>
      </c>
      <c r="H2321">
        <v>0</v>
      </c>
      <c r="J2321" t="str">
        <f>VLOOKUP(Table3[[#This Row],[Faction ID]],Table4[],2)</f>
        <v>Mahud</v>
      </c>
    </row>
    <row r="2322" spans="1:10" x14ac:dyDescent="0.25">
      <c r="A2322">
        <v>60</v>
      </c>
      <c r="B2322" t="s">
        <v>11</v>
      </c>
      <c r="C2322">
        <v>113</v>
      </c>
      <c r="D2322">
        <v>6</v>
      </c>
      <c r="E2322">
        <v>121</v>
      </c>
      <c r="F2322">
        <v>24104</v>
      </c>
      <c r="G2322">
        <v>16885</v>
      </c>
      <c r="H2322">
        <v>0</v>
      </c>
      <c r="J2322" t="str">
        <f>VLOOKUP(Table3[[#This Row],[Faction ID]],Table4[],2)</f>
        <v>Haradrim</v>
      </c>
    </row>
    <row r="2323" spans="1:10" x14ac:dyDescent="0.25">
      <c r="A2323">
        <v>60</v>
      </c>
      <c r="B2323" t="s">
        <v>15</v>
      </c>
      <c r="C2323">
        <v>124</v>
      </c>
      <c r="D2323">
        <v>11</v>
      </c>
      <c r="E2323">
        <v>155.69999999999999</v>
      </c>
      <c r="F2323">
        <v>24399</v>
      </c>
      <c r="G2323">
        <v>26922</v>
      </c>
      <c r="H2323">
        <v>1502</v>
      </c>
      <c r="J2323" t="str">
        <f>VLOOKUP(Table3[[#This Row],[Faction ID]],Table4[],2)</f>
        <v>Dunlendings</v>
      </c>
    </row>
    <row r="2324" spans="1:10" x14ac:dyDescent="0.25">
      <c r="A2324">
        <v>60</v>
      </c>
      <c r="B2324" t="s">
        <v>16</v>
      </c>
      <c r="C2324">
        <v>0</v>
      </c>
      <c r="D2324">
        <v>0</v>
      </c>
      <c r="E2324">
        <v>0</v>
      </c>
      <c r="F2324">
        <v>5352</v>
      </c>
      <c r="G2324">
        <v>1750</v>
      </c>
      <c r="H2324">
        <v>0</v>
      </c>
      <c r="J2324" t="str">
        <f>VLOOKUP(Table3[[#This Row],[Faction ID]],Table4[],2)</f>
        <v>Haerrim</v>
      </c>
    </row>
    <row r="2325" spans="1:10" x14ac:dyDescent="0.25">
      <c r="A2325">
        <v>60</v>
      </c>
      <c r="B2325" t="s">
        <v>13</v>
      </c>
      <c r="C2325">
        <v>297</v>
      </c>
      <c r="D2325">
        <v>19</v>
      </c>
      <c r="E2325">
        <v>271</v>
      </c>
      <c r="F2325">
        <v>33028</v>
      </c>
      <c r="G2325">
        <v>31634</v>
      </c>
      <c r="H2325">
        <v>3037</v>
      </c>
      <c r="J2325" t="str">
        <f>VLOOKUP(Table3[[#This Row],[Faction ID]],Table4[],2)</f>
        <v>Goblins</v>
      </c>
    </row>
    <row r="2326" spans="1:10" x14ac:dyDescent="0.25">
      <c r="A2326">
        <v>60</v>
      </c>
      <c r="B2326" t="s">
        <v>17</v>
      </c>
      <c r="C2326">
        <v>0</v>
      </c>
      <c r="D2326">
        <v>0</v>
      </c>
      <c r="E2326">
        <v>0</v>
      </c>
      <c r="F2326">
        <v>4872</v>
      </c>
      <c r="G2326">
        <v>1750</v>
      </c>
      <c r="H2326">
        <v>0</v>
      </c>
      <c r="J2326" t="str">
        <f>VLOOKUP(Table3[[#This Row],[Faction ID]],Table4[],2)</f>
        <v>Balchoth</v>
      </c>
    </row>
    <row r="2327" spans="1:10" x14ac:dyDescent="0.25">
      <c r="A2327">
        <v>60</v>
      </c>
      <c r="B2327" t="s">
        <v>18</v>
      </c>
      <c r="C2327">
        <v>194</v>
      </c>
      <c r="D2327">
        <v>32</v>
      </c>
      <c r="E2327">
        <v>344.2</v>
      </c>
      <c r="F2327">
        <v>71833</v>
      </c>
      <c r="G2327">
        <v>34196</v>
      </c>
      <c r="H2327">
        <v>1635</v>
      </c>
      <c r="J2327" t="str">
        <f>VLOOKUP(Table3[[#This Row],[Faction ID]],Table4[],2)</f>
        <v>Rhurim/Rhun</v>
      </c>
    </row>
    <row r="2328" spans="1:10" x14ac:dyDescent="0.25">
      <c r="A2328">
        <v>60</v>
      </c>
      <c r="B2328" t="s">
        <v>19</v>
      </c>
      <c r="C2328">
        <v>0</v>
      </c>
      <c r="D2328">
        <v>0</v>
      </c>
      <c r="E2328">
        <v>0</v>
      </c>
      <c r="F2328">
        <v>7360</v>
      </c>
      <c r="G2328">
        <v>1750</v>
      </c>
      <c r="H2328">
        <v>0</v>
      </c>
      <c r="J2328" t="str">
        <f>VLOOKUP(Table3[[#This Row],[Faction ID]],Table4[],2)</f>
        <v>Feredrim</v>
      </c>
    </row>
    <row r="2329" spans="1:10" x14ac:dyDescent="0.25">
      <c r="A2329">
        <v>60</v>
      </c>
      <c r="B2329" t="s">
        <v>26</v>
      </c>
      <c r="C2329">
        <v>0</v>
      </c>
      <c r="D2329">
        <v>0</v>
      </c>
      <c r="E2329">
        <v>0</v>
      </c>
      <c r="F2329">
        <v>6395</v>
      </c>
      <c r="G2329">
        <v>1750</v>
      </c>
      <c r="H2329">
        <v>0</v>
      </c>
      <c r="J2329" t="str">
        <f>VLOOKUP(Table3[[#This Row],[Faction ID]],Table4[],2)</f>
        <v>Rachrohir (Wainriders)</v>
      </c>
    </row>
    <row r="2330" spans="1:10" x14ac:dyDescent="0.25">
      <c r="A2330">
        <v>60</v>
      </c>
      <c r="B2330" t="s">
        <v>27</v>
      </c>
      <c r="C2330">
        <v>5</v>
      </c>
      <c r="D2330">
        <v>3</v>
      </c>
      <c r="E2330">
        <v>72</v>
      </c>
      <c r="F2330">
        <v>70193</v>
      </c>
      <c r="G2330">
        <v>14063</v>
      </c>
      <c r="H2330">
        <v>0</v>
      </c>
      <c r="J2330" t="str">
        <f>VLOOKUP(Table3[[#This Row],[Faction ID]],Table4[],2)</f>
        <v>Blacklock-Stonefoot League</v>
      </c>
    </row>
    <row r="2331" spans="1:10" x14ac:dyDescent="0.25">
      <c r="A2331">
        <v>60</v>
      </c>
      <c r="B2331" t="s">
        <v>28</v>
      </c>
      <c r="C2331">
        <v>4</v>
      </c>
      <c r="D2331">
        <v>2</v>
      </c>
      <c r="E2331">
        <v>41</v>
      </c>
      <c r="F2331">
        <v>47368</v>
      </c>
      <c r="G2331">
        <v>7460</v>
      </c>
      <c r="H2331">
        <v>0</v>
      </c>
      <c r="J2331" t="str">
        <f>VLOOKUP(Table3[[#This Row],[Faction ID]],Table4[],2)</f>
        <v>Ironfist-Stiffbeard Union</v>
      </c>
    </row>
    <row r="2332" spans="1:10" x14ac:dyDescent="0.25">
      <c r="A2332">
        <v>60</v>
      </c>
      <c r="B2332" t="s">
        <v>20</v>
      </c>
      <c r="C2332">
        <v>152</v>
      </c>
      <c r="D2332">
        <v>12</v>
      </c>
      <c r="E2332">
        <v>187.5</v>
      </c>
      <c r="F2332">
        <v>47126</v>
      </c>
      <c r="G2332">
        <v>23156</v>
      </c>
      <c r="H2332">
        <v>938</v>
      </c>
      <c r="J2332" t="str">
        <f>VLOOKUP(Table3[[#This Row],[Faction ID]],Table4[],2)</f>
        <v>Gundabad</v>
      </c>
    </row>
    <row r="2333" spans="1:10" x14ac:dyDescent="0.25">
      <c r="A2333">
        <v>60</v>
      </c>
      <c r="B2333" t="s">
        <v>34</v>
      </c>
      <c r="C2333">
        <v>0</v>
      </c>
      <c r="D2333">
        <v>0</v>
      </c>
      <c r="E2333">
        <v>3</v>
      </c>
      <c r="F2333">
        <v>70139</v>
      </c>
      <c r="G2333">
        <v>2379</v>
      </c>
      <c r="H2333">
        <v>0</v>
      </c>
      <c r="J2333" t="str">
        <f>VLOOKUP(Table3[[#This Row],[Faction ID]],Table4[],2)</f>
        <v>Scouts of Rohan</v>
      </c>
    </row>
    <row r="2334" spans="1:10" x14ac:dyDescent="0.25">
      <c r="A2334">
        <v>60</v>
      </c>
      <c r="B2334" t="s">
        <v>33</v>
      </c>
      <c r="C2334">
        <v>6</v>
      </c>
      <c r="D2334">
        <v>4</v>
      </c>
      <c r="E2334">
        <v>55</v>
      </c>
      <c r="F2334">
        <v>65541</v>
      </c>
      <c r="G2334">
        <v>11059</v>
      </c>
      <c r="H2334">
        <v>657</v>
      </c>
      <c r="J2334" t="str">
        <f>VLOOKUP(Table3[[#This Row],[Faction ID]],Table4[],2)</f>
        <v>Northern Enedwaith</v>
      </c>
    </row>
    <row r="2335" spans="1:10" x14ac:dyDescent="0.25">
      <c r="A2335">
        <v>60</v>
      </c>
      <c r="B2335" t="s">
        <v>29</v>
      </c>
      <c r="C2335">
        <v>0</v>
      </c>
      <c r="D2335">
        <v>0</v>
      </c>
      <c r="E2335">
        <v>0</v>
      </c>
      <c r="F2335">
        <v>54023</v>
      </c>
      <c r="G2335">
        <v>1750</v>
      </c>
      <c r="H2335">
        <v>0</v>
      </c>
      <c r="J2335" t="str">
        <f>VLOOKUP(Table3[[#This Row],[Faction ID]],Table4[],2)</f>
        <v>Southern Enedwaith</v>
      </c>
    </row>
    <row r="2336" spans="1:10" x14ac:dyDescent="0.25">
      <c r="A2336">
        <v>60</v>
      </c>
      <c r="B2336" t="s">
        <v>30</v>
      </c>
      <c r="C2336">
        <v>2</v>
      </c>
      <c r="D2336">
        <v>1</v>
      </c>
      <c r="E2336">
        <v>21</v>
      </c>
      <c r="F2336">
        <v>26421</v>
      </c>
      <c r="G2336">
        <v>4373</v>
      </c>
      <c r="H2336">
        <v>0</v>
      </c>
      <c r="J2336" t="str">
        <f>VLOOKUP(Table3[[#This Row],[Faction ID]],Table4[],2)</f>
        <v>Druedain</v>
      </c>
    </row>
    <row r="2337" spans="1:10" x14ac:dyDescent="0.25">
      <c r="A2337">
        <v>60</v>
      </c>
      <c r="B2337" t="s">
        <v>31</v>
      </c>
      <c r="C2337">
        <v>0</v>
      </c>
      <c r="D2337">
        <v>0</v>
      </c>
      <c r="E2337">
        <v>0</v>
      </c>
      <c r="F2337">
        <v>15146</v>
      </c>
      <c r="G2337">
        <v>1750</v>
      </c>
      <c r="H2337">
        <v>0</v>
      </c>
      <c r="J2337" t="str">
        <f>VLOOKUP(Table3[[#This Row],[Faction ID]],Table4[],2)</f>
        <v>Harondor</v>
      </c>
    </row>
    <row r="2338" spans="1:10" x14ac:dyDescent="0.25">
      <c r="A2338">
        <v>60</v>
      </c>
      <c r="B2338" t="s">
        <v>35</v>
      </c>
      <c r="C2338">
        <v>0</v>
      </c>
      <c r="D2338">
        <v>0</v>
      </c>
      <c r="E2338">
        <v>0</v>
      </c>
      <c r="F2338">
        <v>4000</v>
      </c>
      <c r="G2338">
        <v>1750</v>
      </c>
      <c r="H2338">
        <v>0</v>
      </c>
      <c r="J2338" t="str">
        <f>VLOOKUP(Table3[[#This Row],[Faction ID]],Table4[],2)</f>
        <v>Southron Nomads</v>
      </c>
    </row>
    <row r="2339" spans="1:10" x14ac:dyDescent="0.25">
      <c r="A2339">
        <v>60</v>
      </c>
      <c r="B2339" t="s">
        <v>36</v>
      </c>
      <c r="C2339">
        <v>0</v>
      </c>
      <c r="D2339">
        <v>0</v>
      </c>
      <c r="E2339">
        <v>0</v>
      </c>
      <c r="F2339">
        <v>4000</v>
      </c>
      <c r="G2339">
        <v>1750</v>
      </c>
      <c r="H2339">
        <v>0</v>
      </c>
      <c r="J2339" t="str">
        <f>VLOOKUP(Table3[[#This Row],[Faction ID]],Table4[],2)</f>
        <v>_</v>
      </c>
    </row>
    <row r="2340" spans="1:10" x14ac:dyDescent="0.25">
      <c r="A2340">
        <v>60</v>
      </c>
      <c r="B2340" t="s">
        <v>37</v>
      </c>
      <c r="C2340">
        <v>0</v>
      </c>
      <c r="D2340">
        <v>0</v>
      </c>
      <c r="E2340">
        <v>0</v>
      </c>
      <c r="F2340">
        <v>4000</v>
      </c>
      <c r="G2340">
        <v>1750</v>
      </c>
      <c r="H2340">
        <v>0</v>
      </c>
      <c r="J2340" t="str">
        <f>VLOOKUP(Table3[[#This Row],[Faction ID]],Table4[],2)</f>
        <v>_</v>
      </c>
    </row>
    <row r="2341" spans="1:10" x14ac:dyDescent="0.25">
      <c r="A2341">
        <v>60</v>
      </c>
      <c r="B2341" t="s">
        <v>38</v>
      </c>
      <c r="C2341">
        <v>0</v>
      </c>
      <c r="D2341">
        <v>0</v>
      </c>
      <c r="E2341">
        <v>0</v>
      </c>
      <c r="F2341">
        <v>4000</v>
      </c>
      <c r="G2341">
        <v>1750</v>
      </c>
      <c r="H2341">
        <v>0</v>
      </c>
      <c r="J2341" t="str">
        <f>VLOOKUP(Table3[[#This Row],[Faction ID]],Table4[],2)</f>
        <v>_</v>
      </c>
    </row>
    <row r="2342" spans="1:10" x14ac:dyDescent="0.25">
      <c r="A2342">
        <v>60</v>
      </c>
      <c r="B2342" t="s">
        <v>39</v>
      </c>
      <c r="C2342">
        <v>0</v>
      </c>
      <c r="D2342">
        <v>0</v>
      </c>
      <c r="E2342">
        <v>0</v>
      </c>
      <c r="F2342">
        <v>4000</v>
      </c>
      <c r="G2342">
        <v>1750</v>
      </c>
      <c r="H2342">
        <v>0</v>
      </c>
      <c r="J2342" t="str">
        <f>VLOOKUP(Table3[[#This Row],[Faction ID]],Table4[],2)</f>
        <v>_</v>
      </c>
    </row>
    <row r="2343" spans="1:10" x14ac:dyDescent="0.25">
      <c r="A2343">
        <v>60</v>
      </c>
      <c r="B2343" t="s">
        <v>40</v>
      </c>
      <c r="C2343">
        <v>0</v>
      </c>
      <c r="D2343">
        <v>0</v>
      </c>
      <c r="E2343">
        <v>0</v>
      </c>
      <c r="F2343">
        <v>4000</v>
      </c>
      <c r="G2343">
        <v>1750</v>
      </c>
      <c r="H2343">
        <v>0</v>
      </c>
      <c r="J2343" t="str">
        <f>VLOOKUP(Table3[[#This Row],[Faction ID]],Table4[],2)</f>
        <v>_</v>
      </c>
    </row>
    <row r="2344" spans="1:10" x14ac:dyDescent="0.25">
      <c r="A2344">
        <v>60</v>
      </c>
      <c r="B2344" t="s">
        <v>41</v>
      </c>
      <c r="C2344">
        <v>0</v>
      </c>
      <c r="D2344">
        <v>0</v>
      </c>
      <c r="E2344">
        <v>0</v>
      </c>
      <c r="F2344">
        <v>4000</v>
      </c>
      <c r="G2344">
        <v>1750</v>
      </c>
      <c r="H2344">
        <v>0</v>
      </c>
      <c r="J2344" t="str">
        <f>VLOOKUP(Table3[[#This Row],[Faction ID]],Table4[],2)</f>
        <v>_</v>
      </c>
    </row>
    <row r="2345" spans="1:10" x14ac:dyDescent="0.25">
      <c r="A2345">
        <v>60</v>
      </c>
      <c r="B2345" t="s">
        <v>42</v>
      </c>
      <c r="C2345">
        <v>0</v>
      </c>
      <c r="D2345">
        <v>0</v>
      </c>
      <c r="E2345">
        <v>0</v>
      </c>
      <c r="F2345">
        <v>4000</v>
      </c>
      <c r="G2345">
        <v>1750</v>
      </c>
      <c r="H2345">
        <v>0</v>
      </c>
      <c r="J2345" t="str">
        <f>VLOOKUP(Table3[[#This Row],[Faction ID]],Table4[],2)</f>
        <v>_</v>
      </c>
    </row>
    <row r="2346" spans="1:10" x14ac:dyDescent="0.25">
      <c r="A2346">
        <v>60</v>
      </c>
      <c r="B2346" t="s">
        <v>43</v>
      </c>
      <c r="C2346">
        <v>0</v>
      </c>
      <c r="D2346">
        <v>0</v>
      </c>
      <c r="E2346">
        <v>0</v>
      </c>
      <c r="F2346">
        <v>4000</v>
      </c>
      <c r="G2346">
        <v>1750</v>
      </c>
      <c r="H2346">
        <v>0</v>
      </c>
      <c r="J2346" t="str">
        <f>VLOOKUP(Table3[[#This Row],[Faction ID]],Table4[],2)</f>
        <v>_</v>
      </c>
    </row>
    <row r="2347" spans="1:10" x14ac:dyDescent="0.25">
      <c r="A2347">
        <v>60</v>
      </c>
      <c r="B2347" t="s">
        <v>44</v>
      </c>
      <c r="C2347">
        <v>0</v>
      </c>
      <c r="D2347">
        <v>0</v>
      </c>
      <c r="E2347">
        <v>0</v>
      </c>
      <c r="F2347">
        <v>4000</v>
      </c>
      <c r="G2347">
        <v>1750</v>
      </c>
      <c r="H2347">
        <v>0</v>
      </c>
      <c r="J2347" t="str">
        <f>VLOOKUP(Table3[[#This Row],[Faction ID]],Table4[],2)</f>
        <v>_</v>
      </c>
    </row>
    <row r="2348" spans="1:10" x14ac:dyDescent="0.25">
      <c r="A2348">
        <v>61</v>
      </c>
      <c r="B2348" t="s">
        <v>9</v>
      </c>
      <c r="C2348">
        <v>203</v>
      </c>
      <c r="D2348">
        <v>23</v>
      </c>
      <c r="E2348">
        <v>218</v>
      </c>
      <c r="F2348">
        <v>3296</v>
      </c>
      <c r="G2348">
        <v>23986</v>
      </c>
      <c r="H2348">
        <v>1712</v>
      </c>
      <c r="J2348" t="str">
        <f>VLOOKUP(Table3[[#This Row],[Faction ID]],Table4[],2)</f>
        <v>Mordor</v>
      </c>
    </row>
    <row r="2349" spans="1:10" x14ac:dyDescent="0.25">
      <c r="A2349">
        <v>61</v>
      </c>
      <c r="B2349" t="s">
        <v>4</v>
      </c>
      <c r="C2349">
        <v>146</v>
      </c>
      <c r="D2349">
        <v>3</v>
      </c>
      <c r="E2349">
        <v>64</v>
      </c>
      <c r="F2349">
        <v>61654</v>
      </c>
      <c r="G2349">
        <v>12835</v>
      </c>
      <c r="H2349">
        <v>0</v>
      </c>
      <c r="J2349" t="str">
        <f>VLOOKUP(Table3[[#This Row],[Faction ID]],Table4[],2)</f>
        <v>Gondor</v>
      </c>
    </row>
    <row r="2350" spans="1:10" x14ac:dyDescent="0.25">
      <c r="A2350">
        <v>61</v>
      </c>
      <c r="B2350" t="s">
        <v>6</v>
      </c>
      <c r="C2350">
        <v>165</v>
      </c>
      <c r="D2350">
        <v>3</v>
      </c>
      <c r="E2350">
        <v>82.7</v>
      </c>
      <c r="F2350">
        <v>18713</v>
      </c>
      <c r="G2350">
        <v>13738</v>
      </c>
      <c r="H2350">
        <v>279</v>
      </c>
      <c r="J2350" t="str">
        <f>VLOOKUP(Table3[[#This Row],[Faction ID]],Table4[],2)</f>
        <v>Dale</v>
      </c>
    </row>
    <row r="2351" spans="1:10" x14ac:dyDescent="0.25">
      <c r="A2351">
        <v>61</v>
      </c>
      <c r="B2351" t="s">
        <v>21</v>
      </c>
      <c r="C2351">
        <v>166</v>
      </c>
      <c r="D2351">
        <v>4</v>
      </c>
      <c r="E2351">
        <v>36.799999999999997</v>
      </c>
      <c r="F2351">
        <v>26292</v>
      </c>
      <c r="G2351">
        <v>12046</v>
      </c>
      <c r="H2351">
        <v>437</v>
      </c>
      <c r="J2351" t="str">
        <f>VLOOKUP(Table3[[#This Row],[Faction ID]],Table4[],2)</f>
        <v>Erebor</v>
      </c>
    </row>
    <row r="2352" spans="1:10" x14ac:dyDescent="0.25">
      <c r="A2352">
        <v>61</v>
      </c>
      <c r="B2352" t="s">
        <v>5</v>
      </c>
      <c r="C2352">
        <v>145</v>
      </c>
      <c r="D2352">
        <v>2</v>
      </c>
      <c r="E2352">
        <v>13.6</v>
      </c>
      <c r="F2352">
        <v>9519</v>
      </c>
      <c r="G2352">
        <v>3539</v>
      </c>
      <c r="H2352">
        <v>0</v>
      </c>
      <c r="J2352" t="str">
        <f>VLOOKUP(Table3[[#This Row],[Faction ID]],Table4[],2)</f>
        <v>Rohan</v>
      </c>
    </row>
    <row r="2353" spans="1:10" x14ac:dyDescent="0.25">
      <c r="A2353">
        <v>61</v>
      </c>
      <c r="B2353" t="s">
        <v>12</v>
      </c>
      <c r="C2353">
        <v>164</v>
      </c>
      <c r="D2353">
        <v>14</v>
      </c>
      <c r="E2353">
        <v>203</v>
      </c>
      <c r="F2353">
        <v>17928</v>
      </c>
      <c r="G2353">
        <v>28149</v>
      </c>
      <c r="H2353">
        <v>1798</v>
      </c>
      <c r="J2353" t="str">
        <f>VLOOKUP(Table3[[#This Row],[Faction ID]],Table4[],2)</f>
        <v>Dol Guldur</v>
      </c>
    </row>
    <row r="2354" spans="1:10" x14ac:dyDescent="0.25">
      <c r="A2354">
        <v>61</v>
      </c>
      <c r="B2354" t="s">
        <v>10</v>
      </c>
      <c r="C2354">
        <v>58</v>
      </c>
      <c r="D2354">
        <v>0</v>
      </c>
      <c r="E2354">
        <v>0</v>
      </c>
      <c r="F2354">
        <v>4515</v>
      </c>
      <c r="G2354">
        <v>2500</v>
      </c>
      <c r="H2354">
        <v>0</v>
      </c>
      <c r="J2354" t="str">
        <f>VLOOKUP(Table3[[#This Row],[Faction ID]],Table4[],2)</f>
        <v>Anduin Vale</v>
      </c>
    </row>
    <row r="2355" spans="1:10" x14ac:dyDescent="0.25">
      <c r="A2355">
        <v>61</v>
      </c>
      <c r="B2355" t="s">
        <v>32</v>
      </c>
      <c r="C2355">
        <v>211</v>
      </c>
      <c r="D2355">
        <v>6</v>
      </c>
      <c r="E2355">
        <v>133.5</v>
      </c>
      <c r="F2355">
        <v>17078</v>
      </c>
      <c r="G2355">
        <v>19922</v>
      </c>
      <c r="H2355">
        <v>920</v>
      </c>
      <c r="J2355" t="str">
        <f>VLOOKUP(Table3[[#This Row],[Faction ID]],Table4[],2)</f>
        <v>Isengard</v>
      </c>
    </row>
    <row r="2356" spans="1:10" x14ac:dyDescent="0.25">
      <c r="A2356">
        <v>61</v>
      </c>
      <c r="B2356" t="s">
        <v>22</v>
      </c>
      <c r="C2356">
        <v>30</v>
      </c>
      <c r="D2356">
        <v>0</v>
      </c>
      <c r="E2356">
        <v>0</v>
      </c>
      <c r="F2356">
        <v>8475</v>
      </c>
      <c r="G2356">
        <v>2500</v>
      </c>
      <c r="H2356">
        <v>0</v>
      </c>
      <c r="J2356" t="str">
        <f>VLOOKUP(Table3[[#This Row],[Faction ID]],Table4[],2)</f>
        <v>Woodland Realm</v>
      </c>
    </row>
    <row r="2357" spans="1:10" x14ac:dyDescent="0.25">
      <c r="A2357">
        <v>61</v>
      </c>
      <c r="B2357" t="s">
        <v>23</v>
      </c>
      <c r="C2357">
        <v>64</v>
      </c>
      <c r="D2357">
        <v>0</v>
      </c>
      <c r="E2357">
        <v>0</v>
      </c>
      <c r="F2357">
        <v>4721</v>
      </c>
      <c r="G2357">
        <v>2500</v>
      </c>
      <c r="H2357">
        <v>0</v>
      </c>
      <c r="J2357" t="str">
        <f>VLOOKUP(Table3[[#This Row],[Faction ID]],Table4[],2)</f>
        <v>Lothlorien</v>
      </c>
    </row>
    <row r="2358" spans="1:10" x14ac:dyDescent="0.25">
      <c r="A2358">
        <v>61</v>
      </c>
      <c r="B2358" t="s">
        <v>24</v>
      </c>
      <c r="C2358">
        <v>0</v>
      </c>
      <c r="D2358">
        <v>0</v>
      </c>
      <c r="E2358">
        <v>0</v>
      </c>
      <c r="F2358">
        <v>4919</v>
      </c>
      <c r="G2358">
        <v>1750</v>
      </c>
      <c r="H2358">
        <v>0</v>
      </c>
      <c r="J2358" t="str">
        <f>VLOOKUP(Table3[[#This Row],[Faction ID]],Table4[],2)</f>
        <v>Variags (Khand)</v>
      </c>
    </row>
    <row r="2359" spans="1:10" x14ac:dyDescent="0.25">
      <c r="A2359">
        <v>61</v>
      </c>
      <c r="B2359" t="s">
        <v>14</v>
      </c>
      <c r="C2359">
        <v>10</v>
      </c>
      <c r="D2359">
        <v>7</v>
      </c>
      <c r="E2359">
        <v>116</v>
      </c>
      <c r="F2359">
        <v>29161</v>
      </c>
      <c r="G2359">
        <v>21195</v>
      </c>
      <c r="H2359">
        <v>1400</v>
      </c>
      <c r="J2359" t="str">
        <f>VLOOKUP(Table3[[#This Row],[Faction ID]],Table4[],2)</f>
        <v>Corsairs of Umbar</v>
      </c>
    </row>
    <row r="2360" spans="1:10" x14ac:dyDescent="0.25">
      <c r="A2360">
        <v>61</v>
      </c>
      <c r="B2360" t="s">
        <v>25</v>
      </c>
      <c r="C2360">
        <v>5</v>
      </c>
      <c r="D2360">
        <v>3</v>
      </c>
      <c r="E2360">
        <v>51</v>
      </c>
      <c r="F2360">
        <v>12670</v>
      </c>
      <c r="G2360">
        <v>8525</v>
      </c>
      <c r="H2360">
        <v>0</v>
      </c>
      <c r="J2360" t="str">
        <f>VLOOKUP(Table3[[#This Row],[Faction ID]],Table4[],2)</f>
        <v>Mahud</v>
      </c>
    </row>
    <row r="2361" spans="1:10" x14ac:dyDescent="0.25">
      <c r="A2361">
        <v>61</v>
      </c>
      <c r="B2361" t="s">
        <v>11</v>
      </c>
      <c r="C2361">
        <v>112</v>
      </c>
      <c r="D2361">
        <v>5</v>
      </c>
      <c r="E2361">
        <v>119</v>
      </c>
      <c r="F2361">
        <v>23975</v>
      </c>
      <c r="G2361">
        <v>14756</v>
      </c>
      <c r="H2361">
        <v>0</v>
      </c>
      <c r="J2361" t="str">
        <f>VLOOKUP(Table3[[#This Row],[Faction ID]],Table4[],2)</f>
        <v>Haradrim</v>
      </c>
    </row>
    <row r="2362" spans="1:10" x14ac:dyDescent="0.25">
      <c r="A2362">
        <v>61</v>
      </c>
      <c r="B2362" t="s">
        <v>15</v>
      </c>
      <c r="C2362">
        <v>128</v>
      </c>
      <c r="D2362">
        <v>11</v>
      </c>
      <c r="E2362">
        <v>164.7</v>
      </c>
      <c r="F2362">
        <v>23532</v>
      </c>
      <c r="G2362">
        <v>27357</v>
      </c>
      <c r="H2362">
        <v>1512</v>
      </c>
      <c r="J2362" t="str">
        <f>VLOOKUP(Table3[[#This Row],[Faction ID]],Table4[],2)</f>
        <v>Dunlendings</v>
      </c>
    </row>
    <row r="2363" spans="1:10" x14ac:dyDescent="0.25">
      <c r="A2363">
        <v>61</v>
      </c>
      <c r="B2363" t="s">
        <v>16</v>
      </c>
      <c r="C2363">
        <v>0</v>
      </c>
      <c r="D2363">
        <v>0</v>
      </c>
      <c r="E2363">
        <v>0</v>
      </c>
      <c r="F2363">
        <v>5352</v>
      </c>
      <c r="G2363">
        <v>1750</v>
      </c>
      <c r="H2363">
        <v>0</v>
      </c>
      <c r="J2363" t="str">
        <f>VLOOKUP(Table3[[#This Row],[Faction ID]],Table4[],2)</f>
        <v>Haerrim</v>
      </c>
    </row>
    <row r="2364" spans="1:10" x14ac:dyDescent="0.25">
      <c r="A2364">
        <v>61</v>
      </c>
      <c r="B2364" t="s">
        <v>13</v>
      </c>
      <c r="C2364">
        <v>297</v>
      </c>
      <c r="D2364">
        <v>19</v>
      </c>
      <c r="E2364">
        <v>268.8</v>
      </c>
      <c r="F2364">
        <v>28999</v>
      </c>
      <c r="G2364">
        <v>33795</v>
      </c>
      <c r="H2364">
        <v>3080</v>
      </c>
      <c r="J2364" t="str">
        <f>VLOOKUP(Table3[[#This Row],[Faction ID]],Table4[],2)</f>
        <v>Goblins</v>
      </c>
    </row>
    <row r="2365" spans="1:10" x14ac:dyDescent="0.25">
      <c r="A2365">
        <v>61</v>
      </c>
      <c r="B2365" t="s">
        <v>17</v>
      </c>
      <c r="C2365">
        <v>0</v>
      </c>
      <c r="D2365">
        <v>0</v>
      </c>
      <c r="E2365">
        <v>0</v>
      </c>
      <c r="F2365">
        <v>4872</v>
      </c>
      <c r="G2365">
        <v>1750</v>
      </c>
      <c r="H2365">
        <v>0</v>
      </c>
      <c r="J2365" t="str">
        <f>VLOOKUP(Table3[[#This Row],[Faction ID]],Table4[],2)</f>
        <v>Balchoth</v>
      </c>
    </row>
    <row r="2366" spans="1:10" x14ac:dyDescent="0.25">
      <c r="A2366">
        <v>61</v>
      </c>
      <c r="B2366" t="s">
        <v>18</v>
      </c>
      <c r="C2366">
        <v>194</v>
      </c>
      <c r="D2366">
        <v>32</v>
      </c>
      <c r="E2366">
        <v>348.5</v>
      </c>
      <c r="F2366">
        <v>81691</v>
      </c>
      <c r="G2366">
        <v>34625</v>
      </c>
      <c r="H2366">
        <v>1637</v>
      </c>
      <c r="J2366" t="str">
        <f>VLOOKUP(Table3[[#This Row],[Faction ID]],Table4[],2)</f>
        <v>Rhurim/Rhun</v>
      </c>
    </row>
    <row r="2367" spans="1:10" x14ac:dyDescent="0.25">
      <c r="A2367">
        <v>61</v>
      </c>
      <c r="B2367" t="s">
        <v>19</v>
      </c>
      <c r="C2367">
        <v>0</v>
      </c>
      <c r="D2367">
        <v>0</v>
      </c>
      <c r="E2367">
        <v>0</v>
      </c>
      <c r="F2367">
        <v>7360</v>
      </c>
      <c r="G2367">
        <v>1750</v>
      </c>
      <c r="H2367">
        <v>0</v>
      </c>
      <c r="J2367" t="str">
        <f>VLOOKUP(Table3[[#This Row],[Faction ID]],Table4[],2)</f>
        <v>Feredrim</v>
      </c>
    </row>
    <row r="2368" spans="1:10" x14ac:dyDescent="0.25">
      <c r="A2368">
        <v>61</v>
      </c>
      <c r="B2368" t="s">
        <v>26</v>
      </c>
      <c r="C2368">
        <v>0</v>
      </c>
      <c r="D2368">
        <v>0</v>
      </c>
      <c r="E2368">
        <v>0</v>
      </c>
      <c r="F2368">
        <v>6395</v>
      </c>
      <c r="G2368">
        <v>1750</v>
      </c>
      <c r="H2368">
        <v>0</v>
      </c>
      <c r="J2368" t="str">
        <f>VLOOKUP(Table3[[#This Row],[Faction ID]],Table4[],2)</f>
        <v>Rachrohir (Wainriders)</v>
      </c>
    </row>
    <row r="2369" spans="1:10" x14ac:dyDescent="0.25">
      <c r="A2369">
        <v>61</v>
      </c>
      <c r="B2369" t="s">
        <v>27</v>
      </c>
      <c r="C2369">
        <v>5</v>
      </c>
      <c r="D2369">
        <v>3</v>
      </c>
      <c r="E2369">
        <v>72</v>
      </c>
      <c r="F2369">
        <v>69795</v>
      </c>
      <c r="G2369">
        <v>14711</v>
      </c>
      <c r="H2369">
        <v>0</v>
      </c>
      <c r="J2369" t="str">
        <f>VLOOKUP(Table3[[#This Row],[Faction ID]],Table4[],2)</f>
        <v>Blacklock-Stonefoot League</v>
      </c>
    </row>
    <row r="2370" spans="1:10" x14ac:dyDescent="0.25">
      <c r="A2370">
        <v>61</v>
      </c>
      <c r="B2370" t="s">
        <v>28</v>
      </c>
      <c r="C2370">
        <v>4</v>
      </c>
      <c r="D2370">
        <v>2</v>
      </c>
      <c r="E2370">
        <v>41</v>
      </c>
      <c r="F2370">
        <v>43547</v>
      </c>
      <c r="G2370">
        <v>7460</v>
      </c>
      <c r="H2370">
        <v>0</v>
      </c>
      <c r="J2370" t="str">
        <f>VLOOKUP(Table3[[#This Row],[Faction ID]],Table4[],2)</f>
        <v>Ironfist-Stiffbeard Union</v>
      </c>
    </row>
    <row r="2371" spans="1:10" x14ac:dyDescent="0.25">
      <c r="A2371">
        <v>61</v>
      </c>
      <c r="B2371" t="s">
        <v>20</v>
      </c>
      <c r="C2371">
        <v>152</v>
      </c>
      <c r="D2371">
        <v>12</v>
      </c>
      <c r="E2371">
        <v>195</v>
      </c>
      <c r="F2371">
        <v>45306</v>
      </c>
      <c r="G2371">
        <v>24919</v>
      </c>
      <c r="H2371">
        <v>950</v>
      </c>
      <c r="J2371" t="str">
        <f>VLOOKUP(Table3[[#This Row],[Faction ID]],Table4[],2)</f>
        <v>Gundabad</v>
      </c>
    </row>
    <row r="2372" spans="1:10" x14ac:dyDescent="0.25">
      <c r="A2372">
        <v>61</v>
      </c>
      <c r="B2372" t="s">
        <v>34</v>
      </c>
      <c r="C2372">
        <v>0</v>
      </c>
      <c r="D2372">
        <v>0</v>
      </c>
      <c r="E2372">
        <v>3</v>
      </c>
      <c r="F2372">
        <v>71260</v>
      </c>
      <c r="G2372">
        <v>2379</v>
      </c>
      <c r="H2372">
        <v>0</v>
      </c>
      <c r="J2372" t="str">
        <f>VLOOKUP(Table3[[#This Row],[Faction ID]],Table4[],2)</f>
        <v>Scouts of Rohan</v>
      </c>
    </row>
    <row r="2373" spans="1:10" x14ac:dyDescent="0.25">
      <c r="A2373">
        <v>61</v>
      </c>
      <c r="B2373" t="s">
        <v>33</v>
      </c>
      <c r="C2373">
        <v>6</v>
      </c>
      <c r="D2373">
        <v>4</v>
      </c>
      <c r="E2373">
        <v>55</v>
      </c>
      <c r="F2373">
        <v>70628</v>
      </c>
      <c r="G2373">
        <v>11160</v>
      </c>
      <c r="H2373">
        <v>659</v>
      </c>
      <c r="J2373" t="str">
        <f>VLOOKUP(Table3[[#This Row],[Faction ID]],Table4[],2)</f>
        <v>Northern Enedwaith</v>
      </c>
    </row>
    <row r="2374" spans="1:10" x14ac:dyDescent="0.25">
      <c r="A2374">
        <v>61</v>
      </c>
      <c r="B2374" t="s">
        <v>29</v>
      </c>
      <c r="C2374">
        <v>0</v>
      </c>
      <c r="D2374">
        <v>0</v>
      </c>
      <c r="E2374">
        <v>0</v>
      </c>
      <c r="F2374">
        <v>54023</v>
      </c>
      <c r="G2374">
        <v>1750</v>
      </c>
      <c r="H2374">
        <v>0</v>
      </c>
      <c r="J2374" t="str">
        <f>VLOOKUP(Table3[[#This Row],[Faction ID]],Table4[],2)</f>
        <v>Southern Enedwaith</v>
      </c>
    </row>
    <row r="2375" spans="1:10" x14ac:dyDescent="0.25">
      <c r="A2375">
        <v>61</v>
      </c>
      <c r="B2375" t="s">
        <v>30</v>
      </c>
      <c r="C2375">
        <v>2</v>
      </c>
      <c r="D2375">
        <v>1</v>
      </c>
      <c r="E2375">
        <v>21</v>
      </c>
      <c r="F2375">
        <v>27816</v>
      </c>
      <c r="G2375">
        <v>4375</v>
      </c>
      <c r="H2375">
        <v>0</v>
      </c>
      <c r="J2375" t="str">
        <f>VLOOKUP(Table3[[#This Row],[Faction ID]],Table4[],2)</f>
        <v>Druedain</v>
      </c>
    </row>
    <row r="2376" spans="1:10" x14ac:dyDescent="0.25">
      <c r="A2376">
        <v>61</v>
      </c>
      <c r="B2376" t="s">
        <v>31</v>
      </c>
      <c r="C2376">
        <v>0</v>
      </c>
      <c r="D2376">
        <v>0</v>
      </c>
      <c r="E2376">
        <v>0</v>
      </c>
      <c r="F2376">
        <v>15146</v>
      </c>
      <c r="G2376">
        <v>1750</v>
      </c>
      <c r="H2376">
        <v>0</v>
      </c>
      <c r="J2376" t="str">
        <f>VLOOKUP(Table3[[#This Row],[Faction ID]],Table4[],2)</f>
        <v>Harondor</v>
      </c>
    </row>
    <row r="2377" spans="1:10" x14ac:dyDescent="0.25">
      <c r="A2377">
        <v>61</v>
      </c>
      <c r="B2377" t="s">
        <v>35</v>
      </c>
      <c r="C2377">
        <v>0</v>
      </c>
      <c r="D2377">
        <v>0</v>
      </c>
      <c r="E2377">
        <v>0</v>
      </c>
      <c r="F2377">
        <v>4000</v>
      </c>
      <c r="G2377">
        <v>1750</v>
      </c>
      <c r="H2377">
        <v>0</v>
      </c>
      <c r="J2377" t="str">
        <f>VLOOKUP(Table3[[#This Row],[Faction ID]],Table4[],2)</f>
        <v>Southron Nomads</v>
      </c>
    </row>
    <row r="2378" spans="1:10" x14ac:dyDescent="0.25">
      <c r="A2378">
        <v>61</v>
      </c>
      <c r="B2378" t="s">
        <v>36</v>
      </c>
      <c r="C2378">
        <v>0</v>
      </c>
      <c r="D2378">
        <v>0</v>
      </c>
      <c r="E2378">
        <v>0</v>
      </c>
      <c r="F2378">
        <v>4000</v>
      </c>
      <c r="G2378">
        <v>1750</v>
      </c>
      <c r="H2378">
        <v>0</v>
      </c>
      <c r="J2378" t="str">
        <f>VLOOKUP(Table3[[#This Row],[Faction ID]],Table4[],2)</f>
        <v>_</v>
      </c>
    </row>
    <row r="2379" spans="1:10" x14ac:dyDescent="0.25">
      <c r="A2379">
        <v>61</v>
      </c>
      <c r="B2379" t="s">
        <v>37</v>
      </c>
      <c r="C2379">
        <v>0</v>
      </c>
      <c r="D2379">
        <v>0</v>
      </c>
      <c r="E2379">
        <v>0</v>
      </c>
      <c r="F2379">
        <v>4000</v>
      </c>
      <c r="G2379">
        <v>1750</v>
      </c>
      <c r="H2379">
        <v>0</v>
      </c>
      <c r="J2379" t="str">
        <f>VLOOKUP(Table3[[#This Row],[Faction ID]],Table4[],2)</f>
        <v>_</v>
      </c>
    </row>
    <row r="2380" spans="1:10" x14ac:dyDescent="0.25">
      <c r="A2380">
        <v>61</v>
      </c>
      <c r="B2380" t="s">
        <v>38</v>
      </c>
      <c r="C2380">
        <v>0</v>
      </c>
      <c r="D2380">
        <v>0</v>
      </c>
      <c r="E2380">
        <v>0</v>
      </c>
      <c r="F2380">
        <v>4000</v>
      </c>
      <c r="G2380">
        <v>1750</v>
      </c>
      <c r="H2380">
        <v>0</v>
      </c>
      <c r="J2380" t="str">
        <f>VLOOKUP(Table3[[#This Row],[Faction ID]],Table4[],2)</f>
        <v>_</v>
      </c>
    </row>
    <row r="2381" spans="1:10" x14ac:dyDescent="0.25">
      <c r="A2381">
        <v>61</v>
      </c>
      <c r="B2381" t="s">
        <v>39</v>
      </c>
      <c r="C2381">
        <v>0</v>
      </c>
      <c r="D2381">
        <v>0</v>
      </c>
      <c r="E2381">
        <v>0</v>
      </c>
      <c r="F2381">
        <v>4000</v>
      </c>
      <c r="G2381">
        <v>1750</v>
      </c>
      <c r="H2381">
        <v>0</v>
      </c>
      <c r="J2381" t="str">
        <f>VLOOKUP(Table3[[#This Row],[Faction ID]],Table4[],2)</f>
        <v>_</v>
      </c>
    </row>
    <row r="2382" spans="1:10" x14ac:dyDescent="0.25">
      <c r="A2382">
        <v>61</v>
      </c>
      <c r="B2382" t="s">
        <v>40</v>
      </c>
      <c r="C2382">
        <v>0</v>
      </c>
      <c r="D2382">
        <v>0</v>
      </c>
      <c r="E2382">
        <v>0</v>
      </c>
      <c r="F2382">
        <v>4000</v>
      </c>
      <c r="G2382">
        <v>1750</v>
      </c>
      <c r="H2382">
        <v>0</v>
      </c>
      <c r="J2382" t="str">
        <f>VLOOKUP(Table3[[#This Row],[Faction ID]],Table4[],2)</f>
        <v>_</v>
      </c>
    </row>
    <row r="2383" spans="1:10" x14ac:dyDescent="0.25">
      <c r="A2383">
        <v>61</v>
      </c>
      <c r="B2383" t="s">
        <v>41</v>
      </c>
      <c r="C2383">
        <v>0</v>
      </c>
      <c r="D2383">
        <v>0</v>
      </c>
      <c r="E2383">
        <v>0</v>
      </c>
      <c r="F2383">
        <v>4000</v>
      </c>
      <c r="G2383">
        <v>1750</v>
      </c>
      <c r="H2383">
        <v>0</v>
      </c>
      <c r="J2383" t="str">
        <f>VLOOKUP(Table3[[#This Row],[Faction ID]],Table4[],2)</f>
        <v>_</v>
      </c>
    </row>
    <row r="2384" spans="1:10" x14ac:dyDescent="0.25">
      <c r="A2384">
        <v>61</v>
      </c>
      <c r="B2384" t="s">
        <v>42</v>
      </c>
      <c r="C2384">
        <v>0</v>
      </c>
      <c r="D2384">
        <v>0</v>
      </c>
      <c r="E2384">
        <v>0</v>
      </c>
      <c r="F2384">
        <v>4000</v>
      </c>
      <c r="G2384">
        <v>1750</v>
      </c>
      <c r="H2384">
        <v>0</v>
      </c>
      <c r="J2384" t="str">
        <f>VLOOKUP(Table3[[#This Row],[Faction ID]],Table4[],2)</f>
        <v>_</v>
      </c>
    </row>
    <row r="2385" spans="1:10" x14ac:dyDescent="0.25">
      <c r="A2385">
        <v>61</v>
      </c>
      <c r="B2385" t="s">
        <v>43</v>
      </c>
      <c r="C2385">
        <v>0</v>
      </c>
      <c r="D2385">
        <v>0</v>
      </c>
      <c r="E2385">
        <v>0</v>
      </c>
      <c r="F2385">
        <v>4000</v>
      </c>
      <c r="G2385">
        <v>1750</v>
      </c>
      <c r="H2385">
        <v>0</v>
      </c>
      <c r="J2385" t="str">
        <f>VLOOKUP(Table3[[#This Row],[Faction ID]],Table4[],2)</f>
        <v>_</v>
      </c>
    </row>
    <row r="2386" spans="1:10" x14ac:dyDescent="0.25">
      <c r="A2386">
        <v>61</v>
      </c>
      <c r="B2386" t="s">
        <v>44</v>
      </c>
      <c r="C2386">
        <v>0</v>
      </c>
      <c r="D2386">
        <v>0</v>
      </c>
      <c r="E2386">
        <v>0</v>
      </c>
      <c r="F2386">
        <v>4000</v>
      </c>
      <c r="G2386">
        <v>1750</v>
      </c>
      <c r="H2386">
        <v>0</v>
      </c>
      <c r="J2386" t="str">
        <f>VLOOKUP(Table3[[#This Row],[Faction ID]],Table4[],2)</f>
        <v>_</v>
      </c>
    </row>
    <row r="2387" spans="1:10" x14ac:dyDescent="0.25">
      <c r="A2387">
        <v>62</v>
      </c>
      <c r="B2387" t="s">
        <v>9</v>
      </c>
      <c r="C2387">
        <v>204</v>
      </c>
      <c r="D2387">
        <v>24</v>
      </c>
      <c r="E2387">
        <v>225.6</v>
      </c>
      <c r="F2387">
        <v>747</v>
      </c>
      <c r="G2387">
        <v>25427</v>
      </c>
      <c r="H2387">
        <v>1931</v>
      </c>
      <c r="J2387" t="str">
        <f>VLOOKUP(Table3[[#This Row],[Faction ID]],Table4[],2)</f>
        <v>Mordor</v>
      </c>
    </row>
    <row r="2388" spans="1:10" x14ac:dyDescent="0.25">
      <c r="A2388">
        <v>62</v>
      </c>
      <c r="B2388" t="s">
        <v>4</v>
      </c>
      <c r="C2388">
        <v>146</v>
      </c>
      <c r="D2388">
        <v>3</v>
      </c>
      <c r="E2388">
        <v>57</v>
      </c>
      <c r="F2388">
        <v>61042</v>
      </c>
      <c r="G2388">
        <v>11296</v>
      </c>
      <c r="H2388">
        <v>0</v>
      </c>
      <c r="J2388" t="str">
        <f>VLOOKUP(Table3[[#This Row],[Faction ID]],Table4[],2)</f>
        <v>Gondor</v>
      </c>
    </row>
    <row r="2389" spans="1:10" x14ac:dyDescent="0.25">
      <c r="A2389">
        <v>62</v>
      </c>
      <c r="B2389" t="s">
        <v>6</v>
      </c>
      <c r="C2389">
        <v>166</v>
      </c>
      <c r="D2389">
        <v>4</v>
      </c>
      <c r="E2389">
        <v>92</v>
      </c>
      <c r="F2389">
        <v>15806</v>
      </c>
      <c r="G2389">
        <v>14995</v>
      </c>
      <c r="H2389">
        <v>333</v>
      </c>
      <c r="J2389" t="str">
        <f>VLOOKUP(Table3[[#This Row],[Faction ID]],Table4[],2)</f>
        <v>Dale</v>
      </c>
    </row>
    <row r="2390" spans="1:10" x14ac:dyDescent="0.25">
      <c r="A2390">
        <v>62</v>
      </c>
      <c r="B2390" t="s">
        <v>21</v>
      </c>
      <c r="C2390">
        <v>166</v>
      </c>
      <c r="D2390">
        <v>4</v>
      </c>
      <c r="E2390">
        <v>37.4</v>
      </c>
      <c r="F2390">
        <v>24621</v>
      </c>
      <c r="G2390">
        <v>12790</v>
      </c>
      <c r="H2390">
        <v>440</v>
      </c>
      <c r="J2390" t="str">
        <f>VLOOKUP(Table3[[#This Row],[Faction ID]],Table4[],2)</f>
        <v>Erebor</v>
      </c>
    </row>
    <row r="2391" spans="1:10" x14ac:dyDescent="0.25">
      <c r="A2391">
        <v>62</v>
      </c>
      <c r="B2391" t="s">
        <v>5</v>
      </c>
      <c r="C2391">
        <v>150</v>
      </c>
      <c r="D2391">
        <v>2</v>
      </c>
      <c r="E2391">
        <v>13.6</v>
      </c>
      <c r="F2391">
        <v>12140</v>
      </c>
      <c r="G2391">
        <v>3599</v>
      </c>
      <c r="H2391">
        <v>0</v>
      </c>
      <c r="J2391" t="str">
        <f>VLOOKUP(Table3[[#This Row],[Faction ID]],Table4[],2)</f>
        <v>Rohan</v>
      </c>
    </row>
    <row r="2392" spans="1:10" x14ac:dyDescent="0.25">
      <c r="A2392">
        <v>62</v>
      </c>
      <c r="B2392" t="s">
        <v>12</v>
      </c>
      <c r="C2392">
        <v>184</v>
      </c>
      <c r="D2392">
        <v>14</v>
      </c>
      <c r="E2392">
        <v>203.9</v>
      </c>
      <c r="F2392">
        <v>18589</v>
      </c>
      <c r="G2392">
        <v>27934</v>
      </c>
      <c r="H2392">
        <v>1816</v>
      </c>
      <c r="J2392" t="str">
        <f>VLOOKUP(Table3[[#This Row],[Faction ID]],Table4[],2)</f>
        <v>Dol Guldur</v>
      </c>
    </row>
    <row r="2393" spans="1:10" x14ac:dyDescent="0.25">
      <c r="A2393">
        <v>62</v>
      </c>
      <c r="B2393" t="s">
        <v>10</v>
      </c>
      <c r="C2393">
        <v>58</v>
      </c>
      <c r="D2393">
        <v>0</v>
      </c>
      <c r="E2393">
        <v>0</v>
      </c>
      <c r="F2393">
        <v>4515</v>
      </c>
      <c r="G2393">
        <v>2500</v>
      </c>
      <c r="H2393">
        <v>0</v>
      </c>
      <c r="J2393" t="str">
        <f>VLOOKUP(Table3[[#This Row],[Faction ID]],Table4[],2)</f>
        <v>Anduin Vale</v>
      </c>
    </row>
    <row r="2394" spans="1:10" x14ac:dyDescent="0.25">
      <c r="A2394">
        <v>62</v>
      </c>
      <c r="B2394" t="s">
        <v>32</v>
      </c>
      <c r="C2394">
        <v>216</v>
      </c>
      <c r="D2394">
        <v>6</v>
      </c>
      <c r="E2394">
        <v>136.9</v>
      </c>
      <c r="F2394">
        <v>18635</v>
      </c>
      <c r="G2394">
        <v>20119</v>
      </c>
      <c r="H2394">
        <v>923</v>
      </c>
      <c r="J2394" t="str">
        <f>VLOOKUP(Table3[[#This Row],[Faction ID]],Table4[],2)</f>
        <v>Isengard</v>
      </c>
    </row>
    <row r="2395" spans="1:10" x14ac:dyDescent="0.25">
      <c r="A2395">
        <v>62</v>
      </c>
      <c r="B2395" t="s">
        <v>22</v>
      </c>
      <c r="C2395">
        <v>30</v>
      </c>
      <c r="D2395">
        <v>0</v>
      </c>
      <c r="E2395">
        <v>0</v>
      </c>
      <c r="F2395">
        <v>8475</v>
      </c>
      <c r="G2395">
        <v>2500</v>
      </c>
      <c r="H2395">
        <v>0</v>
      </c>
      <c r="J2395" t="str">
        <f>VLOOKUP(Table3[[#This Row],[Faction ID]],Table4[],2)</f>
        <v>Woodland Realm</v>
      </c>
    </row>
    <row r="2396" spans="1:10" x14ac:dyDescent="0.25">
      <c r="A2396">
        <v>62</v>
      </c>
      <c r="B2396" t="s">
        <v>23</v>
      </c>
      <c r="C2396">
        <v>64</v>
      </c>
      <c r="D2396">
        <v>0</v>
      </c>
      <c r="E2396">
        <v>0</v>
      </c>
      <c r="F2396">
        <v>4721</v>
      </c>
      <c r="G2396">
        <v>2500</v>
      </c>
      <c r="H2396">
        <v>0</v>
      </c>
      <c r="J2396" t="str">
        <f>VLOOKUP(Table3[[#This Row],[Faction ID]],Table4[],2)</f>
        <v>Lothlorien</v>
      </c>
    </row>
    <row r="2397" spans="1:10" x14ac:dyDescent="0.25">
      <c r="A2397">
        <v>62</v>
      </c>
      <c r="B2397" t="s">
        <v>24</v>
      </c>
      <c r="C2397">
        <v>0</v>
      </c>
      <c r="D2397">
        <v>0</v>
      </c>
      <c r="E2397">
        <v>0</v>
      </c>
      <c r="F2397">
        <v>4919</v>
      </c>
      <c r="G2397">
        <v>1750</v>
      </c>
      <c r="H2397">
        <v>0</v>
      </c>
      <c r="J2397" t="str">
        <f>VLOOKUP(Table3[[#This Row],[Faction ID]],Table4[],2)</f>
        <v>Variags (Khand)</v>
      </c>
    </row>
    <row r="2398" spans="1:10" x14ac:dyDescent="0.25">
      <c r="A2398">
        <v>62</v>
      </c>
      <c r="B2398" t="s">
        <v>14</v>
      </c>
      <c r="C2398">
        <v>10</v>
      </c>
      <c r="D2398">
        <v>7</v>
      </c>
      <c r="E2398">
        <v>117</v>
      </c>
      <c r="F2398">
        <v>34071</v>
      </c>
      <c r="G2398">
        <v>21296</v>
      </c>
      <c r="H2398">
        <v>1409</v>
      </c>
      <c r="J2398" t="str">
        <f>VLOOKUP(Table3[[#This Row],[Faction ID]],Table4[],2)</f>
        <v>Corsairs of Umbar</v>
      </c>
    </row>
    <row r="2399" spans="1:10" x14ac:dyDescent="0.25">
      <c r="A2399">
        <v>62</v>
      </c>
      <c r="B2399" t="s">
        <v>25</v>
      </c>
      <c r="C2399">
        <v>5</v>
      </c>
      <c r="D2399">
        <v>3</v>
      </c>
      <c r="E2399">
        <v>50</v>
      </c>
      <c r="F2399">
        <v>12057</v>
      </c>
      <c r="G2399">
        <v>9028</v>
      </c>
      <c r="H2399">
        <v>0</v>
      </c>
      <c r="J2399" t="str">
        <f>VLOOKUP(Table3[[#This Row],[Faction ID]],Table4[],2)</f>
        <v>Mahud</v>
      </c>
    </row>
    <row r="2400" spans="1:10" x14ac:dyDescent="0.25">
      <c r="A2400">
        <v>62</v>
      </c>
      <c r="B2400" t="s">
        <v>11</v>
      </c>
      <c r="C2400">
        <v>112</v>
      </c>
      <c r="D2400">
        <v>5</v>
      </c>
      <c r="E2400">
        <v>120</v>
      </c>
      <c r="F2400">
        <v>24702</v>
      </c>
      <c r="G2400">
        <v>15637</v>
      </c>
      <c r="H2400">
        <v>0</v>
      </c>
      <c r="J2400" t="str">
        <f>VLOOKUP(Table3[[#This Row],[Faction ID]],Table4[],2)</f>
        <v>Haradrim</v>
      </c>
    </row>
    <row r="2401" spans="1:10" x14ac:dyDescent="0.25">
      <c r="A2401">
        <v>62</v>
      </c>
      <c r="B2401" t="s">
        <v>15</v>
      </c>
      <c r="C2401">
        <v>132</v>
      </c>
      <c r="D2401">
        <v>11</v>
      </c>
      <c r="E2401">
        <v>171</v>
      </c>
      <c r="F2401">
        <v>26278</v>
      </c>
      <c r="G2401">
        <v>27180</v>
      </c>
      <c r="H2401">
        <v>1513</v>
      </c>
      <c r="J2401" t="str">
        <f>VLOOKUP(Table3[[#This Row],[Faction ID]],Table4[],2)</f>
        <v>Dunlendings</v>
      </c>
    </row>
    <row r="2402" spans="1:10" x14ac:dyDescent="0.25">
      <c r="A2402">
        <v>62</v>
      </c>
      <c r="B2402" t="s">
        <v>16</v>
      </c>
      <c r="C2402">
        <v>0</v>
      </c>
      <c r="D2402">
        <v>0</v>
      </c>
      <c r="E2402">
        <v>0</v>
      </c>
      <c r="F2402">
        <v>5352</v>
      </c>
      <c r="G2402">
        <v>1750</v>
      </c>
      <c r="H2402">
        <v>0</v>
      </c>
      <c r="J2402" t="str">
        <f>VLOOKUP(Table3[[#This Row],[Faction ID]],Table4[],2)</f>
        <v>Haerrim</v>
      </c>
    </row>
    <row r="2403" spans="1:10" x14ac:dyDescent="0.25">
      <c r="A2403">
        <v>62</v>
      </c>
      <c r="B2403" t="s">
        <v>13</v>
      </c>
      <c r="C2403">
        <v>301</v>
      </c>
      <c r="D2403">
        <v>19</v>
      </c>
      <c r="E2403">
        <v>280.8</v>
      </c>
      <c r="F2403">
        <v>27069</v>
      </c>
      <c r="G2403">
        <v>34521</v>
      </c>
      <c r="H2403">
        <v>3097</v>
      </c>
      <c r="J2403" t="str">
        <f>VLOOKUP(Table3[[#This Row],[Faction ID]],Table4[],2)</f>
        <v>Goblins</v>
      </c>
    </row>
    <row r="2404" spans="1:10" x14ac:dyDescent="0.25">
      <c r="A2404">
        <v>62</v>
      </c>
      <c r="B2404" t="s">
        <v>17</v>
      </c>
      <c r="C2404">
        <v>0</v>
      </c>
      <c r="D2404">
        <v>0</v>
      </c>
      <c r="E2404">
        <v>0</v>
      </c>
      <c r="F2404">
        <v>4872</v>
      </c>
      <c r="G2404">
        <v>1750</v>
      </c>
      <c r="H2404">
        <v>0</v>
      </c>
      <c r="J2404" t="str">
        <f>VLOOKUP(Table3[[#This Row],[Faction ID]],Table4[],2)</f>
        <v>Balchoth</v>
      </c>
    </row>
    <row r="2405" spans="1:10" x14ac:dyDescent="0.25">
      <c r="A2405">
        <v>62</v>
      </c>
      <c r="B2405" t="s">
        <v>18</v>
      </c>
      <c r="C2405">
        <v>206</v>
      </c>
      <c r="D2405">
        <v>31</v>
      </c>
      <c r="E2405">
        <v>351.5</v>
      </c>
      <c r="F2405">
        <v>80842</v>
      </c>
      <c r="G2405">
        <v>35088</v>
      </c>
      <c r="H2405">
        <v>1544</v>
      </c>
      <c r="J2405" t="str">
        <f>VLOOKUP(Table3[[#This Row],[Faction ID]],Table4[],2)</f>
        <v>Rhurim/Rhun</v>
      </c>
    </row>
    <row r="2406" spans="1:10" x14ac:dyDescent="0.25">
      <c r="A2406">
        <v>62</v>
      </c>
      <c r="B2406" t="s">
        <v>19</v>
      </c>
      <c r="C2406">
        <v>0</v>
      </c>
      <c r="D2406">
        <v>0</v>
      </c>
      <c r="E2406">
        <v>0</v>
      </c>
      <c r="F2406">
        <v>7360</v>
      </c>
      <c r="G2406">
        <v>1750</v>
      </c>
      <c r="H2406">
        <v>0</v>
      </c>
      <c r="J2406" t="str">
        <f>VLOOKUP(Table3[[#This Row],[Faction ID]],Table4[],2)</f>
        <v>Feredrim</v>
      </c>
    </row>
    <row r="2407" spans="1:10" x14ac:dyDescent="0.25">
      <c r="A2407">
        <v>62</v>
      </c>
      <c r="B2407" t="s">
        <v>26</v>
      </c>
      <c r="C2407">
        <v>0</v>
      </c>
      <c r="D2407">
        <v>0</v>
      </c>
      <c r="E2407">
        <v>0</v>
      </c>
      <c r="F2407">
        <v>6395</v>
      </c>
      <c r="G2407">
        <v>1750</v>
      </c>
      <c r="H2407">
        <v>0</v>
      </c>
      <c r="J2407" t="str">
        <f>VLOOKUP(Table3[[#This Row],[Faction ID]],Table4[],2)</f>
        <v>Rachrohir (Wainriders)</v>
      </c>
    </row>
    <row r="2408" spans="1:10" x14ac:dyDescent="0.25">
      <c r="A2408">
        <v>62</v>
      </c>
      <c r="B2408" t="s">
        <v>27</v>
      </c>
      <c r="C2408">
        <v>5</v>
      </c>
      <c r="D2408">
        <v>3</v>
      </c>
      <c r="E2408">
        <v>72</v>
      </c>
      <c r="F2408">
        <v>66486</v>
      </c>
      <c r="G2408">
        <v>15205</v>
      </c>
      <c r="H2408">
        <v>0</v>
      </c>
      <c r="J2408" t="str">
        <f>VLOOKUP(Table3[[#This Row],[Faction ID]],Table4[],2)</f>
        <v>Blacklock-Stonefoot League</v>
      </c>
    </row>
    <row r="2409" spans="1:10" x14ac:dyDescent="0.25">
      <c r="A2409">
        <v>62</v>
      </c>
      <c r="B2409" t="s">
        <v>28</v>
      </c>
      <c r="C2409">
        <v>4</v>
      </c>
      <c r="D2409">
        <v>2</v>
      </c>
      <c r="E2409">
        <v>41</v>
      </c>
      <c r="F2409">
        <v>45646</v>
      </c>
      <c r="G2409">
        <v>7885</v>
      </c>
      <c r="H2409">
        <v>0</v>
      </c>
      <c r="J2409" t="str">
        <f>VLOOKUP(Table3[[#This Row],[Faction ID]],Table4[],2)</f>
        <v>Ironfist-Stiffbeard Union</v>
      </c>
    </row>
    <row r="2410" spans="1:10" x14ac:dyDescent="0.25">
      <c r="A2410">
        <v>62</v>
      </c>
      <c r="B2410" t="s">
        <v>20</v>
      </c>
      <c r="C2410">
        <v>157</v>
      </c>
      <c r="D2410">
        <v>12</v>
      </c>
      <c r="E2410">
        <v>205.8</v>
      </c>
      <c r="F2410">
        <v>45454</v>
      </c>
      <c r="G2410">
        <v>27077</v>
      </c>
      <c r="H2410">
        <v>959</v>
      </c>
      <c r="J2410" t="str">
        <f>VLOOKUP(Table3[[#This Row],[Faction ID]],Table4[],2)</f>
        <v>Gundabad</v>
      </c>
    </row>
    <row r="2411" spans="1:10" x14ac:dyDescent="0.25">
      <c r="A2411">
        <v>62</v>
      </c>
      <c r="B2411" t="s">
        <v>34</v>
      </c>
      <c r="C2411">
        <v>0</v>
      </c>
      <c r="D2411">
        <v>0</v>
      </c>
      <c r="E2411">
        <v>3</v>
      </c>
      <c r="F2411">
        <v>72381</v>
      </c>
      <c r="G2411">
        <v>2379</v>
      </c>
      <c r="H2411">
        <v>0</v>
      </c>
      <c r="J2411" t="str">
        <f>VLOOKUP(Table3[[#This Row],[Faction ID]],Table4[],2)</f>
        <v>Scouts of Rohan</v>
      </c>
    </row>
    <row r="2412" spans="1:10" x14ac:dyDescent="0.25">
      <c r="A2412">
        <v>62</v>
      </c>
      <c r="B2412" t="s">
        <v>33</v>
      </c>
      <c r="C2412">
        <v>6</v>
      </c>
      <c r="D2412">
        <v>4</v>
      </c>
      <c r="E2412">
        <v>57</v>
      </c>
      <c r="F2412">
        <v>72990</v>
      </c>
      <c r="G2412">
        <v>11430</v>
      </c>
      <c r="H2412">
        <v>663</v>
      </c>
      <c r="J2412" t="str">
        <f>VLOOKUP(Table3[[#This Row],[Faction ID]],Table4[],2)</f>
        <v>Northern Enedwaith</v>
      </c>
    </row>
    <row r="2413" spans="1:10" x14ac:dyDescent="0.25">
      <c r="A2413">
        <v>62</v>
      </c>
      <c r="B2413" t="s">
        <v>29</v>
      </c>
      <c r="C2413">
        <v>0</v>
      </c>
      <c r="D2413">
        <v>0</v>
      </c>
      <c r="E2413">
        <v>0</v>
      </c>
      <c r="F2413">
        <v>54023</v>
      </c>
      <c r="G2413">
        <v>1750</v>
      </c>
      <c r="H2413">
        <v>0</v>
      </c>
      <c r="J2413" t="str">
        <f>VLOOKUP(Table3[[#This Row],[Faction ID]],Table4[],2)</f>
        <v>Southern Enedwaith</v>
      </c>
    </row>
    <row r="2414" spans="1:10" x14ac:dyDescent="0.25">
      <c r="A2414">
        <v>62</v>
      </c>
      <c r="B2414" t="s">
        <v>30</v>
      </c>
      <c r="C2414">
        <v>2</v>
      </c>
      <c r="D2414">
        <v>1</v>
      </c>
      <c r="E2414">
        <v>21</v>
      </c>
      <c r="F2414">
        <v>29219</v>
      </c>
      <c r="G2414">
        <v>4383</v>
      </c>
      <c r="H2414">
        <v>0</v>
      </c>
      <c r="J2414" t="str">
        <f>VLOOKUP(Table3[[#This Row],[Faction ID]],Table4[],2)</f>
        <v>Druedain</v>
      </c>
    </row>
    <row r="2415" spans="1:10" x14ac:dyDescent="0.25">
      <c r="A2415">
        <v>62</v>
      </c>
      <c r="B2415" t="s">
        <v>31</v>
      </c>
      <c r="C2415">
        <v>0</v>
      </c>
      <c r="D2415">
        <v>0</v>
      </c>
      <c r="E2415">
        <v>0</v>
      </c>
      <c r="F2415">
        <v>15146</v>
      </c>
      <c r="G2415">
        <v>1750</v>
      </c>
      <c r="H2415">
        <v>0</v>
      </c>
      <c r="J2415" t="str">
        <f>VLOOKUP(Table3[[#This Row],[Faction ID]],Table4[],2)</f>
        <v>Harondor</v>
      </c>
    </row>
    <row r="2416" spans="1:10" x14ac:dyDescent="0.25">
      <c r="A2416">
        <v>62</v>
      </c>
      <c r="B2416" t="s">
        <v>35</v>
      </c>
      <c r="C2416">
        <v>0</v>
      </c>
      <c r="D2416">
        <v>0</v>
      </c>
      <c r="E2416">
        <v>0</v>
      </c>
      <c r="F2416">
        <v>4000</v>
      </c>
      <c r="G2416">
        <v>1750</v>
      </c>
      <c r="H2416">
        <v>0</v>
      </c>
      <c r="J2416" t="str">
        <f>VLOOKUP(Table3[[#This Row],[Faction ID]],Table4[],2)</f>
        <v>Southron Nomads</v>
      </c>
    </row>
    <row r="2417" spans="1:10" x14ac:dyDescent="0.25">
      <c r="A2417">
        <v>62</v>
      </c>
      <c r="B2417" t="s">
        <v>36</v>
      </c>
      <c r="C2417">
        <v>0</v>
      </c>
      <c r="D2417">
        <v>0</v>
      </c>
      <c r="E2417">
        <v>0</v>
      </c>
      <c r="F2417">
        <v>4000</v>
      </c>
      <c r="G2417">
        <v>1750</v>
      </c>
      <c r="H2417">
        <v>0</v>
      </c>
      <c r="J2417" t="str">
        <f>VLOOKUP(Table3[[#This Row],[Faction ID]],Table4[],2)</f>
        <v>_</v>
      </c>
    </row>
    <row r="2418" spans="1:10" x14ac:dyDescent="0.25">
      <c r="A2418">
        <v>62</v>
      </c>
      <c r="B2418" t="s">
        <v>37</v>
      </c>
      <c r="C2418">
        <v>0</v>
      </c>
      <c r="D2418">
        <v>0</v>
      </c>
      <c r="E2418">
        <v>0</v>
      </c>
      <c r="F2418">
        <v>4000</v>
      </c>
      <c r="G2418">
        <v>1750</v>
      </c>
      <c r="H2418">
        <v>0</v>
      </c>
      <c r="J2418" t="str">
        <f>VLOOKUP(Table3[[#This Row],[Faction ID]],Table4[],2)</f>
        <v>_</v>
      </c>
    </row>
    <row r="2419" spans="1:10" x14ac:dyDescent="0.25">
      <c r="A2419">
        <v>62</v>
      </c>
      <c r="B2419" t="s">
        <v>38</v>
      </c>
      <c r="C2419">
        <v>0</v>
      </c>
      <c r="D2419">
        <v>0</v>
      </c>
      <c r="E2419">
        <v>0</v>
      </c>
      <c r="F2419">
        <v>4000</v>
      </c>
      <c r="G2419">
        <v>1750</v>
      </c>
      <c r="H2419">
        <v>0</v>
      </c>
      <c r="J2419" t="str">
        <f>VLOOKUP(Table3[[#This Row],[Faction ID]],Table4[],2)</f>
        <v>_</v>
      </c>
    </row>
    <row r="2420" spans="1:10" x14ac:dyDescent="0.25">
      <c r="A2420">
        <v>62</v>
      </c>
      <c r="B2420" t="s">
        <v>39</v>
      </c>
      <c r="C2420">
        <v>0</v>
      </c>
      <c r="D2420">
        <v>0</v>
      </c>
      <c r="E2420">
        <v>0</v>
      </c>
      <c r="F2420">
        <v>4000</v>
      </c>
      <c r="G2420">
        <v>1750</v>
      </c>
      <c r="H2420">
        <v>0</v>
      </c>
      <c r="J2420" t="str">
        <f>VLOOKUP(Table3[[#This Row],[Faction ID]],Table4[],2)</f>
        <v>_</v>
      </c>
    </row>
    <row r="2421" spans="1:10" x14ac:dyDescent="0.25">
      <c r="A2421">
        <v>62</v>
      </c>
      <c r="B2421" t="s">
        <v>40</v>
      </c>
      <c r="C2421">
        <v>0</v>
      </c>
      <c r="D2421">
        <v>0</v>
      </c>
      <c r="E2421">
        <v>0</v>
      </c>
      <c r="F2421">
        <v>4000</v>
      </c>
      <c r="G2421">
        <v>1750</v>
      </c>
      <c r="H2421">
        <v>0</v>
      </c>
      <c r="J2421" t="str">
        <f>VLOOKUP(Table3[[#This Row],[Faction ID]],Table4[],2)</f>
        <v>_</v>
      </c>
    </row>
    <row r="2422" spans="1:10" x14ac:dyDescent="0.25">
      <c r="A2422">
        <v>62</v>
      </c>
      <c r="B2422" t="s">
        <v>41</v>
      </c>
      <c r="C2422">
        <v>0</v>
      </c>
      <c r="D2422">
        <v>0</v>
      </c>
      <c r="E2422">
        <v>0</v>
      </c>
      <c r="F2422">
        <v>4000</v>
      </c>
      <c r="G2422">
        <v>1750</v>
      </c>
      <c r="H2422">
        <v>0</v>
      </c>
      <c r="J2422" t="str">
        <f>VLOOKUP(Table3[[#This Row],[Faction ID]],Table4[],2)</f>
        <v>_</v>
      </c>
    </row>
    <row r="2423" spans="1:10" x14ac:dyDescent="0.25">
      <c r="A2423">
        <v>62</v>
      </c>
      <c r="B2423" t="s">
        <v>42</v>
      </c>
      <c r="C2423">
        <v>0</v>
      </c>
      <c r="D2423">
        <v>0</v>
      </c>
      <c r="E2423">
        <v>0</v>
      </c>
      <c r="F2423">
        <v>4000</v>
      </c>
      <c r="G2423">
        <v>1750</v>
      </c>
      <c r="H2423">
        <v>0</v>
      </c>
      <c r="J2423" t="str">
        <f>VLOOKUP(Table3[[#This Row],[Faction ID]],Table4[],2)</f>
        <v>_</v>
      </c>
    </row>
    <row r="2424" spans="1:10" x14ac:dyDescent="0.25">
      <c r="A2424">
        <v>62</v>
      </c>
      <c r="B2424" t="s">
        <v>43</v>
      </c>
      <c r="C2424">
        <v>0</v>
      </c>
      <c r="D2424">
        <v>0</v>
      </c>
      <c r="E2424">
        <v>0</v>
      </c>
      <c r="F2424">
        <v>4000</v>
      </c>
      <c r="G2424">
        <v>1750</v>
      </c>
      <c r="H2424">
        <v>0</v>
      </c>
      <c r="J2424" t="str">
        <f>VLOOKUP(Table3[[#This Row],[Faction ID]],Table4[],2)</f>
        <v>_</v>
      </c>
    </row>
    <row r="2425" spans="1:10" x14ac:dyDescent="0.25">
      <c r="A2425">
        <v>62</v>
      </c>
      <c r="B2425" t="s">
        <v>44</v>
      </c>
      <c r="C2425">
        <v>0</v>
      </c>
      <c r="D2425">
        <v>0</v>
      </c>
      <c r="E2425">
        <v>0</v>
      </c>
      <c r="F2425">
        <v>4000</v>
      </c>
      <c r="G2425">
        <v>1750</v>
      </c>
      <c r="H2425">
        <v>0</v>
      </c>
      <c r="J2425" t="str">
        <f>VLOOKUP(Table3[[#This Row],[Faction ID]],Table4[],2)</f>
        <v>_</v>
      </c>
    </row>
    <row r="2426" spans="1:10" x14ac:dyDescent="0.25">
      <c r="A2426">
        <v>63</v>
      </c>
      <c r="B2426" t="s">
        <v>9</v>
      </c>
      <c r="C2426">
        <v>209</v>
      </c>
      <c r="D2426">
        <v>24</v>
      </c>
      <c r="E2426">
        <v>225.6</v>
      </c>
      <c r="F2426">
        <v>3310</v>
      </c>
      <c r="G2426">
        <v>26024</v>
      </c>
      <c r="H2426">
        <v>2161</v>
      </c>
      <c r="J2426" t="str">
        <f>VLOOKUP(Table3[[#This Row],[Faction ID]],Table4[],2)</f>
        <v>Mordor</v>
      </c>
    </row>
    <row r="2427" spans="1:10" x14ac:dyDescent="0.25">
      <c r="A2427">
        <v>63</v>
      </c>
      <c r="B2427" t="s">
        <v>4</v>
      </c>
      <c r="C2427">
        <v>146</v>
      </c>
      <c r="D2427">
        <v>3</v>
      </c>
      <c r="E2427">
        <v>51</v>
      </c>
      <c r="F2427">
        <v>61045</v>
      </c>
      <c r="G2427">
        <v>11160</v>
      </c>
      <c r="H2427">
        <v>0</v>
      </c>
      <c r="J2427" t="str">
        <f>VLOOKUP(Table3[[#This Row],[Faction ID]],Table4[],2)</f>
        <v>Gondor</v>
      </c>
    </row>
    <row r="2428" spans="1:10" x14ac:dyDescent="0.25">
      <c r="A2428">
        <v>63</v>
      </c>
      <c r="B2428" t="s">
        <v>6</v>
      </c>
      <c r="C2428">
        <v>166</v>
      </c>
      <c r="D2428">
        <v>4</v>
      </c>
      <c r="E2428">
        <v>99.4</v>
      </c>
      <c r="F2428">
        <v>19674</v>
      </c>
      <c r="G2428">
        <v>17033</v>
      </c>
      <c r="H2428">
        <v>333</v>
      </c>
      <c r="J2428" t="str">
        <f>VLOOKUP(Table3[[#This Row],[Faction ID]],Table4[],2)</f>
        <v>Dale</v>
      </c>
    </row>
    <row r="2429" spans="1:10" x14ac:dyDescent="0.25">
      <c r="A2429">
        <v>63</v>
      </c>
      <c r="B2429" t="s">
        <v>21</v>
      </c>
      <c r="C2429">
        <v>166</v>
      </c>
      <c r="D2429">
        <v>4</v>
      </c>
      <c r="E2429">
        <v>44</v>
      </c>
      <c r="F2429">
        <v>26843</v>
      </c>
      <c r="G2429">
        <v>12947</v>
      </c>
      <c r="H2429">
        <v>440</v>
      </c>
      <c r="J2429" t="str">
        <f>VLOOKUP(Table3[[#This Row],[Faction ID]],Table4[],2)</f>
        <v>Erebor</v>
      </c>
    </row>
    <row r="2430" spans="1:10" x14ac:dyDescent="0.25">
      <c r="A2430">
        <v>63</v>
      </c>
      <c r="B2430" t="s">
        <v>5</v>
      </c>
      <c r="C2430">
        <v>155</v>
      </c>
      <c r="D2430">
        <v>2</v>
      </c>
      <c r="E2430">
        <v>11.6</v>
      </c>
      <c r="F2430">
        <v>9166</v>
      </c>
      <c r="G2430">
        <v>3685</v>
      </c>
      <c r="H2430">
        <v>0</v>
      </c>
      <c r="J2430" t="str">
        <f>VLOOKUP(Table3[[#This Row],[Faction ID]],Table4[],2)</f>
        <v>Rohan</v>
      </c>
    </row>
    <row r="2431" spans="1:10" x14ac:dyDescent="0.25">
      <c r="A2431">
        <v>63</v>
      </c>
      <c r="B2431" t="s">
        <v>12</v>
      </c>
      <c r="C2431">
        <v>193</v>
      </c>
      <c r="D2431">
        <v>14</v>
      </c>
      <c r="E2431">
        <v>217.9</v>
      </c>
      <c r="F2431">
        <v>17174</v>
      </c>
      <c r="G2431">
        <v>29636</v>
      </c>
      <c r="H2431">
        <v>1818</v>
      </c>
      <c r="J2431" t="str">
        <f>VLOOKUP(Table3[[#This Row],[Faction ID]],Table4[],2)</f>
        <v>Dol Guldur</v>
      </c>
    </row>
    <row r="2432" spans="1:10" x14ac:dyDescent="0.25">
      <c r="A2432">
        <v>63</v>
      </c>
      <c r="B2432" t="s">
        <v>10</v>
      </c>
      <c r="C2432">
        <v>58</v>
      </c>
      <c r="D2432">
        <v>0</v>
      </c>
      <c r="E2432">
        <v>0</v>
      </c>
      <c r="F2432">
        <v>4515</v>
      </c>
      <c r="G2432">
        <v>2500</v>
      </c>
      <c r="H2432">
        <v>0</v>
      </c>
      <c r="J2432" t="str">
        <f>VLOOKUP(Table3[[#This Row],[Faction ID]],Table4[],2)</f>
        <v>Anduin Vale</v>
      </c>
    </row>
    <row r="2433" spans="1:10" x14ac:dyDescent="0.25">
      <c r="A2433">
        <v>63</v>
      </c>
      <c r="B2433" t="s">
        <v>32</v>
      </c>
      <c r="C2433">
        <v>216</v>
      </c>
      <c r="D2433">
        <v>6</v>
      </c>
      <c r="E2433">
        <v>136.9</v>
      </c>
      <c r="F2433">
        <v>26041</v>
      </c>
      <c r="G2433">
        <v>20298</v>
      </c>
      <c r="H2433">
        <v>926</v>
      </c>
      <c r="J2433" t="str">
        <f>VLOOKUP(Table3[[#This Row],[Faction ID]],Table4[],2)</f>
        <v>Isengard</v>
      </c>
    </row>
    <row r="2434" spans="1:10" x14ac:dyDescent="0.25">
      <c r="A2434">
        <v>63</v>
      </c>
      <c r="B2434" t="s">
        <v>22</v>
      </c>
      <c r="C2434">
        <v>30</v>
      </c>
      <c r="D2434">
        <v>0</v>
      </c>
      <c r="E2434">
        <v>0</v>
      </c>
      <c r="F2434">
        <v>8475</v>
      </c>
      <c r="G2434">
        <v>2500</v>
      </c>
      <c r="H2434">
        <v>0</v>
      </c>
      <c r="J2434" t="str">
        <f>VLOOKUP(Table3[[#This Row],[Faction ID]],Table4[],2)</f>
        <v>Woodland Realm</v>
      </c>
    </row>
    <row r="2435" spans="1:10" x14ac:dyDescent="0.25">
      <c r="A2435">
        <v>63</v>
      </c>
      <c r="B2435" t="s">
        <v>23</v>
      </c>
      <c r="C2435">
        <v>64</v>
      </c>
      <c r="D2435">
        <v>0</v>
      </c>
      <c r="E2435">
        <v>0</v>
      </c>
      <c r="F2435">
        <v>4721</v>
      </c>
      <c r="G2435">
        <v>2500</v>
      </c>
      <c r="H2435">
        <v>0</v>
      </c>
      <c r="J2435" t="str">
        <f>VLOOKUP(Table3[[#This Row],[Faction ID]],Table4[],2)</f>
        <v>Lothlorien</v>
      </c>
    </row>
    <row r="2436" spans="1:10" x14ac:dyDescent="0.25">
      <c r="A2436">
        <v>63</v>
      </c>
      <c r="B2436" t="s">
        <v>24</v>
      </c>
      <c r="C2436">
        <v>0</v>
      </c>
      <c r="D2436">
        <v>0</v>
      </c>
      <c r="E2436">
        <v>0</v>
      </c>
      <c r="F2436">
        <v>4919</v>
      </c>
      <c r="G2436">
        <v>1750</v>
      </c>
      <c r="H2436">
        <v>0</v>
      </c>
      <c r="J2436" t="str">
        <f>VLOOKUP(Table3[[#This Row],[Faction ID]],Table4[],2)</f>
        <v>Variags (Khand)</v>
      </c>
    </row>
    <row r="2437" spans="1:10" x14ac:dyDescent="0.25">
      <c r="A2437">
        <v>63</v>
      </c>
      <c r="B2437" t="s">
        <v>14</v>
      </c>
      <c r="C2437">
        <v>10</v>
      </c>
      <c r="D2437">
        <v>7</v>
      </c>
      <c r="E2437">
        <v>117</v>
      </c>
      <c r="F2437">
        <v>41096</v>
      </c>
      <c r="G2437">
        <v>22402</v>
      </c>
      <c r="H2437">
        <v>1418</v>
      </c>
      <c r="J2437" t="str">
        <f>VLOOKUP(Table3[[#This Row],[Faction ID]],Table4[],2)</f>
        <v>Corsairs of Umbar</v>
      </c>
    </row>
    <row r="2438" spans="1:10" x14ac:dyDescent="0.25">
      <c r="A2438">
        <v>63</v>
      </c>
      <c r="B2438" t="s">
        <v>25</v>
      </c>
      <c r="C2438">
        <v>5</v>
      </c>
      <c r="D2438">
        <v>3</v>
      </c>
      <c r="E2438">
        <v>54</v>
      </c>
      <c r="F2438">
        <v>7461</v>
      </c>
      <c r="G2438">
        <v>9532</v>
      </c>
      <c r="H2438">
        <v>0</v>
      </c>
      <c r="J2438" t="str">
        <f>VLOOKUP(Table3[[#This Row],[Faction ID]],Table4[],2)</f>
        <v>Mahud</v>
      </c>
    </row>
    <row r="2439" spans="1:10" x14ac:dyDescent="0.25">
      <c r="A2439">
        <v>63</v>
      </c>
      <c r="B2439" t="s">
        <v>11</v>
      </c>
      <c r="C2439">
        <v>112</v>
      </c>
      <c r="D2439">
        <v>5</v>
      </c>
      <c r="E2439">
        <v>121</v>
      </c>
      <c r="F2439">
        <v>24969</v>
      </c>
      <c r="G2439">
        <v>15100</v>
      </c>
      <c r="H2439">
        <v>0</v>
      </c>
      <c r="J2439" t="str">
        <f>VLOOKUP(Table3[[#This Row],[Faction ID]],Table4[],2)</f>
        <v>Haradrim</v>
      </c>
    </row>
    <row r="2440" spans="1:10" x14ac:dyDescent="0.25">
      <c r="A2440">
        <v>63</v>
      </c>
      <c r="B2440" t="s">
        <v>15</v>
      </c>
      <c r="C2440">
        <v>137</v>
      </c>
      <c r="D2440">
        <v>11</v>
      </c>
      <c r="E2440">
        <v>176</v>
      </c>
      <c r="F2440">
        <v>22349</v>
      </c>
      <c r="G2440">
        <v>27978</v>
      </c>
      <c r="H2440">
        <v>1752</v>
      </c>
      <c r="J2440" t="str">
        <f>VLOOKUP(Table3[[#This Row],[Faction ID]],Table4[],2)</f>
        <v>Dunlendings</v>
      </c>
    </row>
    <row r="2441" spans="1:10" x14ac:dyDescent="0.25">
      <c r="A2441">
        <v>63</v>
      </c>
      <c r="B2441" t="s">
        <v>16</v>
      </c>
      <c r="C2441">
        <v>0</v>
      </c>
      <c r="D2441">
        <v>0</v>
      </c>
      <c r="E2441">
        <v>0</v>
      </c>
      <c r="F2441">
        <v>5352</v>
      </c>
      <c r="G2441">
        <v>1750</v>
      </c>
      <c r="H2441">
        <v>0</v>
      </c>
      <c r="J2441" t="str">
        <f>VLOOKUP(Table3[[#This Row],[Faction ID]],Table4[],2)</f>
        <v>Haerrim</v>
      </c>
    </row>
    <row r="2442" spans="1:10" x14ac:dyDescent="0.25">
      <c r="A2442">
        <v>63</v>
      </c>
      <c r="B2442" t="s">
        <v>13</v>
      </c>
      <c r="C2442">
        <v>301</v>
      </c>
      <c r="D2442">
        <v>19</v>
      </c>
      <c r="E2442">
        <v>282.7</v>
      </c>
      <c r="F2442">
        <v>30897</v>
      </c>
      <c r="G2442">
        <v>35940</v>
      </c>
      <c r="H2442">
        <v>3107</v>
      </c>
      <c r="J2442" t="str">
        <f>VLOOKUP(Table3[[#This Row],[Faction ID]],Table4[],2)</f>
        <v>Goblins</v>
      </c>
    </row>
    <row r="2443" spans="1:10" x14ac:dyDescent="0.25">
      <c r="A2443">
        <v>63</v>
      </c>
      <c r="B2443" t="s">
        <v>17</v>
      </c>
      <c r="C2443">
        <v>0</v>
      </c>
      <c r="D2443">
        <v>0</v>
      </c>
      <c r="E2443">
        <v>0</v>
      </c>
      <c r="F2443">
        <v>4872</v>
      </c>
      <c r="G2443">
        <v>1750</v>
      </c>
      <c r="H2443">
        <v>0</v>
      </c>
      <c r="J2443" t="str">
        <f>VLOOKUP(Table3[[#This Row],[Faction ID]],Table4[],2)</f>
        <v>Balchoth</v>
      </c>
    </row>
    <row r="2444" spans="1:10" x14ac:dyDescent="0.25">
      <c r="A2444">
        <v>63</v>
      </c>
      <c r="B2444" t="s">
        <v>18</v>
      </c>
      <c r="C2444">
        <v>215</v>
      </c>
      <c r="D2444">
        <v>31</v>
      </c>
      <c r="E2444">
        <v>354.5</v>
      </c>
      <c r="F2444">
        <v>71011</v>
      </c>
      <c r="G2444">
        <v>34990</v>
      </c>
      <c r="H2444">
        <v>1545</v>
      </c>
      <c r="J2444" t="str">
        <f>VLOOKUP(Table3[[#This Row],[Faction ID]],Table4[],2)</f>
        <v>Rhurim/Rhun</v>
      </c>
    </row>
    <row r="2445" spans="1:10" x14ac:dyDescent="0.25">
      <c r="A2445">
        <v>63</v>
      </c>
      <c r="B2445" t="s">
        <v>19</v>
      </c>
      <c r="C2445">
        <v>0</v>
      </c>
      <c r="D2445">
        <v>0</v>
      </c>
      <c r="E2445">
        <v>0</v>
      </c>
      <c r="F2445">
        <v>7360</v>
      </c>
      <c r="G2445">
        <v>1750</v>
      </c>
      <c r="H2445">
        <v>0</v>
      </c>
      <c r="J2445" t="str">
        <f>VLOOKUP(Table3[[#This Row],[Faction ID]],Table4[],2)</f>
        <v>Feredrim</v>
      </c>
    </row>
    <row r="2446" spans="1:10" x14ac:dyDescent="0.25">
      <c r="A2446">
        <v>63</v>
      </c>
      <c r="B2446" t="s">
        <v>26</v>
      </c>
      <c r="C2446">
        <v>0</v>
      </c>
      <c r="D2446">
        <v>0</v>
      </c>
      <c r="E2446">
        <v>0</v>
      </c>
      <c r="F2446">
        <v>6395</v>
      </c>
      <c r="G2446">
        <v>1750</v>
      </c>
      <c r="H2446">
        <v>0</v>
      </c>
      <c r="J2446" t="str">
        <f>VLOOKUP(Table3[[#This Row],[Faction ID]],Table4[],2)</f>
        <v>Rachrohir (Wainriders)</v>
      </c>
    </row>
    <row r="2447" spans="1:10" x14ac:dyDescent="0.25">
      <c r="A2447">
        <v>63</v>
      </c>
      <c r="B2447" t="s">
        <v>27</v>
      </c>
      <c r="C2447">
        <v>5</v>
      </c>
      <c r="D2447">
        <v>3</v>
      </c>
      <c r="E2447">
        <v>72</v>
      </c>
      <c r="F2447">
        <v>66777</v>
      </c>
      <c r="G2447">
        <v>15205</v>
      </c>
      <c r="H2447">
        <v>0</v>
      </c>
      <c r="J2447" t="str">
        <f>VLOOKUP(Table3[[#This Row],[Faction ID]],Table4[],2)</f>
        <v>Blacklock-Stonefoot League</v>
      </c>
    </row>
    <row r="2448" spans="1:10" x14ac:dyDescent="0.25">
      <c r="A2448">
        <v>63</v>
      </c>
      <c r="B2448" t="s">
        <v>28</v>
      </c>
      <c r="C2448">
        <v>4</v>
      </c>
      <c r="D2448">
        <v>2</v>
      </c>
      <c r="E2448">
        <v>41</v>
      </c>
      <c r="F2448">
        <v>47875</v>
      </c>
      <c r="G2448">
        <v>7885</v>
      </c>
      <c r="H2448">
        <v>0</v>
      </c>
      <c r="J2448" t="str">
        <f>VLOOKUP(Table3[[#This Row],[Faction ID]],Table4[],2)</f>
        <v>Ironfist-Stiffbeard Union</v>
      </c>
    </row>
    <row r="2449" spans="1:10" x14ac:dyDescent="0.25">
      <c r="A2449">
        <v>63</v>
      </c>
      <c r="B2449" t="s">
        <v>20</v>
      </c>
      <c r="C2449">
        <v>157</v>
      </c>
      <c r="D2449">
        <v>12</v>
      </c>
      <c r="E2449">
        <v>208.6</v>
      </c>
      <c r="F2449">
        <v>48297</v>
      </c>
      <c r="G2449">
        <v>27754</v>
      </c>
      <c r="H2449">
        <v>963</v>
      </c>
      <c r="J2449" t="str">
        <f>VLOOKUP(Table3[[#This Row],[Faction ID]],Table4[],2)</f>
        <v>Gundabad</v>
      </c>
    </row>
    <row r="2450" spans="1:10" x14ac:dyDescent="0.25">
      <c r="A2450">
        <v>63</v>
      </c>
      <c r="B2450" t="s">
        <v>34</v>
      </c>
      <c r="C2450">
        <v>0</v>
      </c>
      <c r="D2450">
        <v>0</v>
      </c>
      <c r="E2450">
        <v>3</v>
      </c>
      <c r="F2450">
        <v>73502</v>
      </c>
      <c r="G2450">
        <v>2379</v>
      </c>
      <c r="H2450">
        <v>0</v>
      </c>
      <c r="J2450" t="str">
        <f>VLOOKUP(Table3[[#This Row],[Faction ID]],Table4[],2)</f>
        <v>Scouts of Rohan</v>
      </c>
    </row>
    <row r="2451" spans="1:10" x14ac:dyDescent="0.25">
      <c r="A2451">
        <v>63</v>
      </c>
      <c r="B2451" t="s">
        <v>33</v>
      </c>
      <c r="C2451">
        <v>6</v>
      </c>
      <c r="D2451">
        <v>4</v>
      </c>
      <c r="E2451">
        <v>59</v>
      </c>
      <c r="F2451">
        <v>77538</v>
      </c>
      <c r="G2451">
        <v>11863</v>
      </c>
      <c r="H2451">
        <v>666</v>
      </c>
      <c r="J2451" t="str">
        <f>VLOOKUP(Table3[[#This Row],[Faction ID]],Table4[],2)</f>
        <v>Northern Enedwaith</v>
      </c>
    </row>
    <row r="2452" spans="1:10" x14ac:dyDescent="0.25">
      <c r="A2452">
        <v>63</v>
      </c>
      <c r="B2452" t="s">
        <v>29</v>
      </c>
      <c r="C2452">
        <v>0</v>
      </c>
      <c r="D2452">
        <v>0</v>
      </c>
      <c r="E2452">
        <v>0</v>
      </c>
      <c r="F2452">
        <v>54023</v>
      </c>
      <c r="G2452">
        <v>1750</v>
      </c>
      <c r="H2452">
        <v>0</v>
      </c>
      <c r="J2452" t="str">
        <f>VLOOKUP(Table3[[#This Row],[Faction ID]],Table4[],2)</f>
        <v>Southern Enedwaith</v>
      </c>
    </row>
    <row r="2453" spans="1:10" x14ac:dyDescent="0.25">
      <c r="A2453">
        <v>63</v>
      </c>
      <c r="B2453" t="s">
        <v>30</v>
      </c>
      <c r="C2453">
        <v>2</v>
      </c>
      <c r="D2453">
        <v>1</v>
      </c>
      <c r="E2453">
        <v>21</v>
      </c>
      <c r="F2453">
        <v>30622</v>
      </c>
      <c r="G2453">
        <v>4383</v>
      </c>
      <c r="H2453">
        <v>0</v>
      </c>
      <c r="J2453" t="str">
        <f>VLOOKUP(Table3[[#This Row],[Faction ID]],Table4[],2)</f>
        <v>Druedain</v>
      </c>
    </row>
    <row r="2454" spans="1:10" x14ac:dyDescent="0.25">
      <c r="A2454">
        <v>63</v>
      </c>
      <c r="B2454" t="s">
        <v>31</v>
      </c>
      <c r="C2454">
        <v>0</v>
      </c>
      <c r="D2454">
        <v>0</v>
      </c>
      <c r="E2454">
        <v>0</v>
      </c>
      <c r="F2454">
        <v>15146</v>
      </c>
      <c r="G2454">
        <v>1750</v>
      </c>
      <c r="H2454">
        <v>0</v>
      </c>
      <c r="J2454" t="str">
        <f>VLOOKUP(Table3[[#This Row],[Faction ID]],Table4[],2)</f>
        <v>Harondor</v>
      </c>
    </row>
    <row r="2455" spans="1:10" x14ac:dyDescent="0.25">
      <c r="A2455">
        <v>63</v>
      </c>
      <c r="B2455" t="s">
        <v>35</v>
      </c>
      <c r="C2455">
        <v>0</v>
      </c>
      <c r="D2455">
        <v>0</v>
      </c>
      <c r="E2455">
        <v>0</v>
      </c>
      <c r="F2455">
        <v>4000</v>
      </c>
      <c r="G2455">
        <v>1750</v>
      </c>
      <c r="H2455">
        <v>0</v>
      </c>
      <c r="J2455" t="str">
        <f>VLOOKUP(Table3[[#This Row],[Faction ID]],Table4[],2)</f>
        <v>Southron Nomads</v>
      </c>
    </row>
    <row r="2456" spans="1:10" x14ac:dyDescent="0.25">
      <c r="A2456">
        <v>63</v>
      </c>
      <c r="B2456" t="s">
        <v>36</v>
      </c>
      <c r="C2456">
        <v>0</v>
      </c>
      <c r="D2456">
        <v>0</v>
      </c>
      <c r="E2456">
        <v>0</v>
      </c>
      <c r="F2456">
        <v>4000</v>
      </c>
      <c r="G2456">
        <v>1750</v>
      </c>
      <c r="H2456">
        <v>0</v>
      </c>
      <c r="J2456" t="str">
        <f>VLOOKUP(Table3[[#This Row],[Faction ID]],Table4[],2)</f>
        <v>_</v>
      </c>
    </row>
    <row r="2457" spans="1:10" x14ac:dyDescent="0.25">
      <c r="A2457">
        <v>63</v>
      </c>
      <c r="B2457" t="s">
        <v>37</v>
      </c>
      <c r="C2457">
        <v>0</v>
      </c>
      <c r="D2457">
        <v>0</v>
      </c>
      <c r="E2457">
        <v>0</v>
      </c>
      <c r="F2457">
        <v>4000</v>
      </c>
      <c r="G2457">
        <v>1750</v>
      </c>
      <c r="H2457">
        <v>0</v>
      </c>
      <c r="J2457" t="str">
        <f>VLOOKUP(Table3[[#This Row],[Faction ID]],Table4[],2)</f>
        <v>_</v>
      </c>
    </row>
    <row r="2458" spans="1:10" x14ac:dyDescent="0.25">
      <c r="A2458">
        <v>63</v>
      </c>
      <c r="B2458" t="s">
        <v>38</v>
      </c>
      <c r="C2458">
        <v>0</v>
      </c>
      <c r="D2458">
        <v>0</v>
      </c>
      <c r="E2458">
        <v>0</v>
      </c>
      <c r="F2458">
        <v>4000</v>
      </c>
      <c r="G2458">
        <v>1750</v>
      </c>
      <c r="H2458">
        <v>0</v>
      </c>
      <c r="J2458" t="str">
        <f>VLOOKUP(Table3[[#This Row],[Faction ID]],Table4[],2)</f>
        <v>_</v>
      </c>
    </row>
    <row r="2459" spans="1:10" x14ac:dyDescent="0.25">
      <c r="A2459">
        <v>63</v>
      </c>
      <c r="B2459" t="s">
        <v>39</v>
      </c>
      <c r="C2459">
        <v>0</v>
      </c>
      <c r="D2459">
        <v>0</v>
      </c>
      <c r="E2459">
        <v>0</v>
      </c>
      <c r="F2459">
        <v>4000</v>
      </c>
      <c r="G2459">
        <v>1750</v>
      </c>
      <c r="H2459">
        <v>0</v>
      </c>
      <c r="J2459" t="str">
        <f>VLOOKUP(Table3[[#This Row],[Faction ID]],Table4[],2)</f>
        <v>_</v>
      </c>
    </row>
    <row r="2460" spans="1:10" x14ac:dyDescent="0.25">
      <c r="A2460">
        <v>63</v>
      </c>
      <c r="B2460" t="s">
        <v>40</v>
      </c>
      <c r="C2460">
        <v>0</v>
      </c>
      <c r="D2460">
        <v>0</v>
      </c>
      <c r="E2460">
        <v>0</v>
      </c>
      <c r="F2460">
        <v>4000</v>
      </c>
      <c r="G2460">
        <v>1750</v>
      </c>
      <c r="H2460">
        <v>0</v>
      </c>
      <c r="J2460" t="str">
        <f>VLOOKUP(Table3[[#This Row],[Faction ID]],Table4[],2)</f>
        <v>_</v>
      </c>
    </row>
    <row r="2461" spans="1:10" x14ac:dyDescent="0.25">
      <c r="A2461">
        <v>63</v>
      </c>
      <c r="B2461" t="s">
        <v>41</v>
      </c>
      <c r="C2461">
        <v>0</v>
      </c>
      <c r="D2461">
        <v>0</v>
      </c>
      <c r="E2461">
        <v>0</v>
      </c>
      <c r="F2461">
        <v>4000</v>
      </c>
      <c r="G2461">
        <v>1750</v>
      </c>
      <c r="H2461">
        <v>0</v>
      </c>
      <c r="J2461" t="str">
        <f>VLOOKUP(Table3[[#This Row],[Faction ID]],Table4[],2)</f>
        <v>_</v>
      </c>
    </row>
    <row r="2462" spans="1:10" x14ac:dyDescent="0.25">
      <c r="A2462">
        <v>63</v>
      </c>
      <c r="B2462" t="s">
        <v>42</v>
      </c>
      <c r="C2462">
        <v>0</v>
      </c>
      <c r="D2462">
        <v>0</v>
      </c>
      <c r="E2462">
        <v>0</v>
      </c>
      <c r="F2462">
        <v>4000</v>
      </c>
      <c r="G2462">
        <v>1750</v>
      </c>
      <c r="H2462">
        <v>0</v>
      </c>
      <c r="J2462" t="str">
        <f>VLOOKUP(Table3[[#This Row],[Faction ID]],Table4[],2)</f>
        <v>_</v>
      </c>
    </row>
    <row r="2463" spans="1:10" x14ac:dyDescent="0.25">
      <c r="A2463">
        <v>63</v>
      </c>
      <c r="B2463" t="s">
        <v>43</v>
      </c>
      <c r="C2463">
        <v>0</v>
      </c>
      <c r="D2463">
        <v>0</v>
      </c>
      <c r="E2463">
        <v>0</v>
      </c>
      <c r="F2463">
        <v>4000</v>
      </c>
      <c r="G2463">
        <v>1750</v>
      </c>
      <c r="H2463">
        <v>0</v>
      </c>
      <c r="J2463" t="str">
        <f>VLOOKUP(Table3[[#This Row],[Faction ID]],Table4[],2)</f>
        <v>_</v>
      </c>
    </row>
    <row r="2464" spans="1:10" x14ac:dyDescent="0.25">
      <c r="A2464">
        <v>63</v>
      </c>
      <c r="B2464" t="s">
        <v>44</v>
      </c>
      <c r="C2464">
        <v>0</v>
      </c>
      <c r="D2464">
        <v>0</v>
      </c>
      <c r="E2464">
        <v>0</v>
      </c>
      <c r="F2464">
        <v>4000</v>
      </c>
      <c r="G2464">
        <v>1750</v>
      </c>
      <c r="H2464">
        <v>0</v>
      </c>
      <c r="J2464" t="str">
        <f>VLOOKUP(Table3[[#This Row],[Faction ID]],Table4[],2)</f>
        <v>_</v>
      </c>
    </row>
    <row r="2465" spans="1:10" x14ac:dyDescent="0.25">
      <c r="A2465">
        <v>64</v>
      </c>
      <c r="B2465" t="s">
        <v>9</v>
      </c>
      <c r="C2465">
        <v>213</v>
      </c>
      <c r="D2465">
        <v>26</v>
      </c>
      <c r="E2465">
        <v>224.3</v>
      </c>
      <c r="F2465">
        <v>4612</v>
      </c>
      <c r="G2465">
        <v>25981</v>
      </c>
      <c r="H2465">
        <v>1324</v>
      </c>
      <c r="J2465" t="str">
        <f>VLOOKUP(Table3[[#This Row],[Faction ID]],Table4[],2)</f>
        <v>Mordor</v>
      </c>
    </row>
    <row r="2466" spans="1:10" x14ac:dyDescent="0.25">
      <c r="A2466">
        <v>64</v>
      </c>
      <c r="B2466" t="s">
        <v>4</v>
      </c>
      <c r="C2466">
        <v>141</v>
      </c>
      <c r="D2466">
        <v>0</v>
      </c>
      <c r="E2466">
        <v>34</v>
      </c>
      <c r="F2466">
        <v>55361</v>
      </c>
      <c r="G2466">
        <v>8029</v>
      </c>
      <c r="H2466">
        <v>0</v>
      </c>
      <c r="J2466" t="str">
        <f>VLOOKUP(Table3[[#This Row],[Faction ID]],Table4[],2)</f>
        <v>Gondor</v>
      </c>
    </row>
    <row r="2467" spans="1:10" x14ac:dyDescent="0.25">
      <c r="A2467">
        <v>64</v>
      </c>
      <c r="B2467" t="s">
        <v>6</v>
      </c>
      <c r="C2467">
        <v>166</v>
      </c>
      <c r="D2467">
        <v>4</v>
      </c>
      <c r="E2467">
        <v>82.8</v>
      </c>
      <c r="F2467">
        <v>25846</v>
      </c>
      <c r="G2467">
        <v>15516</v>
      </c>
      <c r="H2467">
        <v>335</v>
      </c>
      <c r="J2467" t="str">
        <f>VLOOKUP(Table3[[#This Row],[Faction ID]],Table4[],2)</f>
        <v>Dale</v>
      </c>
    </row>
    <row r="2468" spans="1:10" x14ac:dyDescent="0.25">
      <c r="A2468">
        <v>64</v>
      </c>
      <c r="B2468" t="s">
        <v>21</v>
      </c>
      <c r="C2468">
        <v>171</v>
      </c>
      <c r="D2468">
        <v>4</v>
      </c>
      <c r="E2468">
        <v>44</v>
      </c>
      <c r="F2468">
        <v>26430</v>
      </c>
      <c r="G2468">
        <v>13508</v>
      </c>
      <c r="H2468">
        <v>442</v>
      </c>
      <c r="J2468" t="str">
        <f>VLOOKUP(Table3[[#This Row],[Faction ID]],Table4[],2)</f>
        <v>Erebor</v>
      </c>
    </row>
    <row r="2469" spans="1:10" x14ac:dyDescent="0.25">
      <c r="A2469">
        <v>64</v>
      </c>
      <c r="B2469" t="s">
        <v>5</v>
      </c>
      <c r="C2469">
        <v>152</v>
      </c>
      <c r="D2469">
        <v>0</v>
      </c>
      <c r="E2469">
        <v>2.6</v>
      </c>
      <c r="F2469">
        <v>8938</v>
      </c>
      <c r="G2469">
        <v>3062</v>
      </c>
      <c r="H2469">
        <v>0</v>
      </c>
      <c r="J2469" t="str">
        <f>VLOOKUP(Table3[[#This Row],[Faction ID]],Table4[],2)</f>
        <v>Rohan</v>
      </c>
    </row>
    <row r="2470" spans="1:10" x14ac:dyDescent="0.25">
      <c r="A2470">
        <v>64</v>
      </c>
      <c r="B2470" t="s">
        <v>12</v>
      </c>
      <c r="C2470">
        <v>193</v>
      </c>
      <c r="D2470">
        <v>14</v>
      </c>
      <c r="E2470">
        <v>223.7</v>
      </c>
      <c r="F2470">
        <v>17937</v>
      </c>
      <c r="G2470">
        <v>29473</v>
      </c>
      <c r="H2470">
        <v>1237</v>
      </c>
      <c r="J2470" t="str">
        <f>VLOOKUP(Table3[[#This Row],[Faction ID]],Table4[],2)</f>
        <v>Dol Guldur</v>
      </c>
    </row>
    <row r="2471" spans="1:10" x14ac:dyDescent="0.25">
      <c r="A2471">
        <v>64</v>
      </c>
      <c r="B2471" t="s">
        <v>10</v>
      </c>
      <c r="C2471">
        <v>58</v>
      </c>
      <c r="D2471">
        <v>0</v>
      </c>
      <c r="E2471">
        <v>0</v>
      </c>
      <c r="F2471">
        <v>4515</v>
      </c>
      <c r="G2471">
        <v>2500</v>
      </c>
      <c r="H2471">
        <v>0</v>
      </c>
      <c r="J2471" t="str">
        <f>VLOOKUP(Table3[[#This Row],[Faction ID]],Table4[],2)</f>
        <v>Anduin Vale</v>
      </c>
    </row>
    <row r="2472" spans="1:10" x14ac:dyDescent="0.25">
      <c r="A2472">
        <v>64</v>
      </c>
      <c r="B2472" t="s">
        <v>32</v>
      </c>
      <c r="C2472">
        <v>218</v>
      </c>
      <c r="D2472">
        <v>7</v>
      </c>
      <c r="E2472">
        <v>138.9</v>
      </c>
      <c r="F2472">
        <v>23153</v>
      </c>
      <c r="G2472">
        <v>21128</v>
      </c>
      <c r="H2472">
        <v>934</v>
      </c>
      <c r="J2472" t="str">
        <f>VLOOKUP(Table3[[#This Row],[Faction ID]],Table4[],2)</f>
        <v>Isengard</v>
      </c>
    </row>
    <row r="2473" spans="1:10" x14ac:dyDescent="0.25">
      <c r="A2473">
        <v>64</v>
      </c>
      <c r="B2473" t="s">
        <v>22</v>
      </c>
      <c r="C2473">
        <v>30</v>
      </c>
      <c r="D2473">
        <v>0</v>
      </c>
      <c r="E2473">
        <v>0</v>
      </c>
      <c r="F2473">
        <v>8475</v>
      </c>
      <c r="G2473">
        <v>2500</v>
      </c>
      <c r="H2473">
        <v>0</v>
      </c>
      <c r="J2473" t="str">
        <f>VLOOKUP(Table3[[#This Row],[Faction ID]],Table4[],2)</f>
        <v>Woodland Realm</v>
      </c>
    </row>
    <row r="2474" spans="1:10" x14ac:dyDescent="0.25">
      <c r="A2474">
        <v>64</v>
      </c>
      <c r="B2474" t="s">
        <v>23</v>
      </c>
      <c r="C2474">
        <v>64</v>
      </c>
      <c r="D2474">
        <v>0</v>
      </c>
      <c r="E2474">
        <v>0</v>
      </c>
      <c r="F2474">
        <v>4721</v>
      </c>
      <c r="G2474">
        <v>2500</v>
      </c>
      <c r="H2474">
        <v>0</v>
      </c>
      <c r="J2474" t="str">
        <f>VLOOKUP(Table3[[#This Row],[Faction ID]],Table4[],2)</f>
        <v>Lothlorien</v>
      </c>
    </row>
    <row r="2475" spans="1:10" x14ac:dyDescent="0.25">
      <c r="A2475">
        <v>64</v>
      </c>
      <c r="B2475" t="s">
        <v>24</v>
      </c>
      <c r="C2475">
        <v>0</v>
      </c>
      <c r="D2475">
        <v>0</v>
      </c>
      <c r="E2475">
        <v>0</v>
      </c>
      <c r="F2475">
        <v>4919</v>
      </c>
      <c r="G2475">
        <v>1750</v>
      </c>
      <c r="H2475">
        <v>0</v>
      </c>
      <c r="J2475" t="str">
        <f>VLOOKUP(Table3[[#This Row],[Faction ID]],Table4[],2)</f>
        <v>Variags (Khand)</v>
      </c>
    </row>
    <row r="2476" spans="1:10" x14ac:dyDescent="0.25">
      <c r="A2476">
        <v>64</v>
      </c>
      <c r="B2476" t="s">
        <v>14</v>
      </c>
      <c r="C2476">
        <v>11</v>
      </c>
      <c r="D2476">
        <v>8</v>
      </c>
      <c r="E2476">
        <v>119</v>
      </c>
      <c r="F2476">
        <v>31542</v>
      </c>
      <c r="G2476">
        <v>22019</v>
      </c>
      <c r="H2476">
        <v>1430</v>
      </c>
      <c r="J2476" t="str">
        <f>VLOOKUP(Table3[[#This Row],[Faction ID]],Table4[],2)</f>
        <v>Corsairs of Umbar</v>
      </c>
    </row>
    <row r="2477" spans="1:10" x14ac:dyDescent="0.25">
      <c r="A2477">
        <v>64</v>
      </c>
      <c r="B2477" t="s">
        <v>25</v>
      </c>
      <c r="C2477">
        <v>4</v>
      </c>
      <c r="D2477">
        <v>2</v>
      </c>
      <c r="E2477">
        <v>49</v>
      </c>
      <c r="F2477">
        <v>7010</v>
      </c>
      <c r="G2477">
        <v>7781</v>
      </c>
      <c r="H2477">
        <v>0</v>
      </c>
      <c r="J2477" t="str">
        <f>VLOOKUP(Table3[[#This Row],[Faction ID]],Table4[],2)</f>
        <v>Mahud</v>
      </c>
    </row>
    <row r="2478" spans="1:10" x14ac:dyDescent="0.25">
      <c r="A2478">
        <v>64</v>
      </c>
      <c r="B2478" t="s">
        <v>11</v>
      </c>
      <c r="C2478">
        <v>113</v>
      </c>
      <c r="D2478">
        <v>6</v>
      </c>
      <c r="E2478">
        <v>109</v>
      </c>
      <c r="F2478">
        <v>31102</v>
      </c>
      <c r="G2478">
        <v>13019</v>
      </c>
      <c r="H2478">
        <v>0</v>
      </c>
      <c r="J2478" t="str">
        <f>VLOOKUP(Table3[[#This Row],[Faction ID]],Table4[],2)</f>
        <v>Haradrim</v>
      </c>
    </row>
    <row r="2479" spans="1:10" x14ac:dyDescent="0.25">
      <c r="A2479">
        <v>64</v>
      </c>
      <c r="B2479" t="s">
        <v>15</v>
      </c>
      <c r="C2479">
        <v>137</v>
      </c>
      <c r="D2479">
        <v>11</v>
      </c>
      <c r="E2479">
        <v>177</v>
      </c>
      <c r="F2479">
        <v>29304</v>
      </c>
      <c r="G2479">
        <v>28634</v>
      </c>
      <c r="H2479">
        <v>1772</v>
      </c>
      <c r="J2479" t="str">
        <f>VLOOKUP(Table3[[#This Row],[Faction ID]],Table4[],2)</f>
        <v>Dunlendings</v>
      </c>
    </row>
    <row r="2480" spans="1:10" x14ac:dyDescent="0.25">
      <c r="A2480">
        <v>64</v>
      </c>
      <c r="B2480" t="s">
        <v>16</v>
      </c>
      <c r="C2480">
        <v>0</v>
      </c>
      <c r="D2480">
        <v>0</v>
      </c>
      <c r="E2480">
        <v>0</v>
      </c>
      <c r="F2480">
        <v>5352</v>
      </c>
      <c r="G2480">
        <v>1750</v>
      </c>
      <c r="H2480">
        <v>0</v>
      </c>
      <c r="J2480" t="str">
        <f>VLOOKUP(Table3[[#This Row],[Faction ID]],Table4[],2)</f>
        <v>Haerrim</v>
      </c>
    </row>
    <row r="2481" spans="1:10" x14ac:dyDescent="0.25">
      <c r="A2481">
        <v>64</v>
      </c>
      <c r="B2481" t="s">
        <v>13</v>
      </c>
      <c r="C2481">
        <v>302</v>
      </c>
      <c r="D2481">
        <v>20</v>
      </c>
      <c r="E2481">
        <v>284.7</v>
      </c>
      <c r="F2481">
        <v>26704</v>
      </c>
      <c r="G2481">
        <v>35761</v>
      </c>
      <c r="H2481">
        <v>3214</v>
      </c>
      <c r="J2481" t="str">
        <f>VLOOKUP(Table3[[#This Row],[Faction ID]],Table4[],2)</f>
        <v>Goblins</v>
      </c>
    </row>
    <row r="2482" spans="1:10" x14ac:dyDescent="0.25">
      <c r="A2482">
        <v>64</v>
      </c>
      <c r="B2482" t="s">
        <v>17</v>
      </c>
      <c r="C2482">
        <v>0</v>
      </c>
      <c r="D2482">
        <v>0</v>
      </c>
      <c r="E2482">
        <v>0</v>
      </c>
      <c r="F2482">
        <v>4872</v>
      </c>
      <c r="G2482">
        <v>1750</v>
      </c>
      <c r="H2482">
        <v>0</v>
      </c>
      <c r="J2482" t="str">
        <f>VLOOKUP(Table3[[#This Row],[Faction ID]],Table4[],2)</f>
        <v>Balchoth</v>
      </c>
    </row>
    <row r="2483" spans="1:10" x14ac:dyDescent="0.25">
      <c r="A2483">
        <v>64</v>
      </c>
      <c r="B2483" t="s">
        <v>18</v>
      </c>
      <c r="C2483">
        <v>215</v>
      </c>
      <c r="D2483">
        <v>31</v>
      </c>
      <c r="E2483">
        <v>361.3</v>
      </c>
      <c r="F2483">
        <v>60323</v>
      </c>
      <c r="G2483">
        <v>33583</v>
      </c>
      <c r="H2483">
        <v>0</v>
      </c>
      <c r="J2483" t="str">
        <f>VLOOKUP(Table3[[#This Row],[Faction ID]],Table4[],2)</f>
        <v>Rhurim/Rhun</v>
      </c>
    </row>
    <row r="2484" spans="1:10" x14ac:dyDescent="0.25">
      <c r="A2484">
        <v>64</v>
      </c>
      <c r="B2484" t="s">
        <v>19</v>
      </c>
      <c r="C2484">
        <v>0</v>
      </c>
      <c r="D2484">
        <v>0</v>
      </c>
      <c r="E2484">
        <v>0</v>
      </c>
      <c r="F2484">
        <v>7360</v>
      </c>
      <c r="G2484">
        <v>1750</v>
      </c>
      <c r="H2484">
        <v>0</v>
      </c>
      <c r="J2484" t="str">
        <f>VLOOKUP(Table3[[#This Row],[Faction ID]],Table4[],2)</f>
        <v>Feredrim</v>
      </c>
    </row>
    <row r="2485" spans="1:10" x14ac:dyDescent="0.25">
      <c r="A2485">
        <v>64</v>
      </c>
      <c r="B2485" t="s">
        <v>26</v>
      </c>
      <c r="C2485">
        <v>0</v>
      </c>
      <c r="D2485">
        <v>0</v>
      </c>
      <c r="E2485">
        <v>0</v>
      </c>
      <c r="F2485">
        <v>6395</v>
      </c>
      <c r="G2485">
        <v>1750</v>
      </c>
      <c r="H2485">
        <v>0</v>
      </c>
      <c r="J2485" t="str">
        <f>VLOOKUP(Table3[[#This Row],[Faction ID]],Table4[],2)</f>
        <v>Rachrohir (Wainriders)</v>
      </c>
    </row>
    <row r="2486" spans="1:10" x14ac:dyDescent="0.25">
      <c r="A2486">
        <v>64</v>
      </c>
      <c r="B2486" t="s">
        <v>27</v>
      </c>
      <c r="C2486">
        <v>5</v>
      </c>
      <c r="D2486">
        <v>3</v>
      </c>
      <c r="E2486">
        <v>72</v>
      </c>
      <c r="F2486">
        <v>67068</v>
      </c>
      <c r="G2486">
        <v>15205</v>
      </c>
      <c r="H2486">
        <v>0</v>
      </c>
      <c r="J2486" t="str">
        <f>VLOOKUP(Table3[[#This Row],[Faction ID]],Table4[],2)</f>
        <v>Blacklock-Stonefoot League</v>
      </c>
    </row>
    <row r="2487" spans="1:10" x14ac:dyDescent="0.25">
      <c r="A2487">
        <v>64</v>
      </c>
      <c r="B2487" t="s">
        <v>28</v>
      </c>
      <c r="C2487">
        <v>4</v>
      </c>
      <c r="D2487">
        <v>2</v>
      </c>
      <c r="E2487">
        <v>41</v>
      </c>
      <c r="F2487">
        <v>50130</v>
      </c>
      <c r="G2487">
        <v>7911</v>
      </c>
      <c r="H2487">
        <v>0</v>
      </c>
      <c r="J2487" t="str">
        <f>VLOOKUP(Table3[[#This Row],[Faction ID]],Table4[],2)</f>
        <v>Ironfist-Stiffbeard Union</v>
      </c>
    </row>
    <row r="2488" spans="1:10" x14ac:dyDescent="0.25">
      <c r="A2488">
        <v>64</v>
      </c>
      <c r="B2488" t="s">
        <v>20</v>
      </c>
      <c r="C2488">
        <v>157</v>
      </c>
      <c r="D2488">
        <v>12</v>
      </c>
      <c r="E2488">
        <v>214.8</v>
      </c>
      <c r="F2488">
        <v>50896</v>
      </c>
      <c r="G2488">
        <v>26649</v>
      </c>
      <c r="H2488">
        <v>963</v>
      </c>
      <c r="J2488" t="str">
        <f>VLOOKUP(Table3[[#This Row],[Faction ID]],Table4[],2)</f>
        <v>Gundabad</v>
      </c>
    </row>
    <row r="2489" spans="1:10" x14ac:dyDescent="0.25">
      <c r="A2489">
        <v>64</v>
      </c>
      <c r="B2489" t="s">
        <v>34</v>
      </c>
      <c r="C2489">
        <v>0</v>
      </c>
      <c r="D2489">
        <v>0</v>
      </c>
      <c r="E2489">
        <v>3</v>
      </c>
      <c r="F2489">
        <v>74623</v>
      </c>
      <c r="G2489">
        <v>2379</v>
      </c>
      <c r="H2489">
        <v>0</v>
      </c>
      <c r="J2489" t="str">
        <f>VLOOKUP(Table3[[#This Row],[Faction ID]],Table4[],2)</f>
        <v>Scouts of Rohan</v>
      </c>
    </row>
    <row r="2490" spans="1:10" x14ac:dyDescent="0.25">
      <c r="A2490">
        <v>64</v>
      </c>
      <c r="B2490" t="s">
        <v>33</v>
      </c>
      <c r="C2490">
        <v>6</v>
      </c>
      <c r="D2490">
        <v>4</v>
      </c>
      <c r="E2490">
        <v>58</v>
      </c>
      <c r="F2490">
        <v>82352</v>
      </c>
      <c r="G2490">
        <v>11737</v>
      </c>
      <c r="H2490">
        <v>678</v>
      </c>
      <c r="J2490" t="str">
        <f>VLOOKUP(Table3[[#This Row],[Faction ID]],Table4[],2)</f>
        <v>Northern Enedwaith</v>
      </c>
    </row>
    <row r="2491" spans="1:10" x14ac:dyDescent="0.25">
      <c r="A2491">
        <v>64</v>
      </c>
      <c r="B2491" t="s">
        <v>29</v>
      </c>
      <c r="C2491">
        <v>0</v>
      </c>
      <c r="D2491">
        <v>0</v>
      </c>
      <c r="E2491">
        <v>0</v>
      </c>
      <c r="F2491">
        <v>54023</v>
      </c>
      <c r="G2491">
        <v>1750</v>
      </c>
      <c r="H2491">
        <v>0</v>
      </c>
      <c r="J2491" t="str">
        <f>VLOOKUP(Table3[[#This Row],[Faction ID]],Table4[],2)</f>
        <v>Southern Enedwaith</v>
      </c>
    </row>
    <row r="2492" spans="1:10" x14ac:dyDescent="0.25">
      <c r="A2492">
        <v>64</v>
      </c>
      <c r="B2492" t="s">
        <v>30</v>
      </c>
      <c r="C2492">
        <v>2</v>
      </c>
      <c r="D2492">
        <v>1</v>
      </c>
      <c r="E2492">
        <v>12</v>
      </c>
      <c r="F2492">
        <v>29310</v>
      </c>
      <c r="G2492">
        <v>3437</v>
      </c>
      <c r="H2492">
        <v>0</v>
      </c>
      <c r="J2492" t="str">
        <f>VLOOKUP(Table3[[#This Row],[Faction ID]],Table4[],2)</f>
        <v>Druedain</v>
      </c>
    </row>
    <row r="2493" spans="1:10" x14ac:dyDescent="0.25">
      <c r="A2493">
        <v>64</v>
      </c>
      <c r="B2493" t="s">
        <v>31</v>
      </c>
      <c r="C2493">
        <v>0</v>
      </c>
      <c r="D2493">
        <v>0</v>
      </c>
      <c r="E2493">
        <v>0</v>
      </c>
      <c r="F2493">
        <v>15146</v>
      </c>
      <c r="G2493">
        <v>1750</v>
      </c>
      <c r="H2493">
        <v>0</v>
      </c>
      <c r="J2493" t="str">
        <f>VLOOKUP(Table3[[#This Row],[Faction ID]],Table4[],2)</f>
        <v>Harondor</v>
      </c>
    </row>
    <row r="2494" spans="1:10" x14ac:dyDescent="0.25">
      <c r="A2494">
        <v>64</v>
      </c>
      <c r="B2494" t="s">
        <v>35</v>
      </c>
      <c r="C2494">
        <v>0</v>
      </c>
      <c r="D2494">
        <v>0</v>
      </c>
      <c r="E2494">
        <v>0</v>
      </c>
      <c r="F2494">
        <v>4000</v>
      </c>
      <c r="G2494">
        <v>1750</v>
      </c>
      <c r="H2494">
        <v>0</v>
      </c>
      <c r="J2494" t="str">
        <f>VLOOKUP(Table3[[#This Row],[Faction ID]],Table4[],2)</f>
        <v>Southron Nomads</v>
      </c>
    </row>
    <row r="2495" spans="1:10" x14ac:dyDescent="0.25">
      <c r="A2495">
        <v>64</v>
      </c>
      <c r="B2495" t="s">
        <v>36</v>
      </c>
      <c r="C2495">
        <v>0</v>
      </c>
      <c r="D2495">
        <v>0</v>
      </c>
      <c r="E2495">
        <v>0</v>
      </c>
      <c r="F2495">
        <v>4000</v>
      </c>
      <c r="G2495">
        <v>1750</v>
      </c>
      <c r="H2495">
        <v>0</v>
      </c>
      <c r="J2495" t="str">
        <f>VLOOKUP(Table3[[#This Row],[Faction ID]],Table4[],2)</f>
        <v>_</v>
      </c>
    </row>
    <row r="2496" spans="1:10" x14ac:dyDescent="0.25">
      <c r="A2496">
        <v>64</v>
      </c>
      <c r="B2496" t="s">
        <v>37</v>
      </c>
      <c r="C2496">
        <v>0</v>
      </c>
      <c r="D2496">
        <v>0</v>
      </c>
      <c r="E2496">
        <v>0</v>
      </c>
      <c r="F2496">
        <v>4000</v>
      </c>
      <c r="G2496">
        <v>1750</v>
      </c>
      <c r="H2496">
        <v>0</v>
      </c>
      <c r="J2496" t="str">
        <f>VLOOKUP(Table3[[#This Row],[Faction ID]],Table4[],2)</f>
        <v>_</v>
      </c>
    </row>
    <row r="2497" spans="1:10" x14ac:dyDescent="0.25">
      <c r="A2497">
        <v>64</v>
      </c>
      <c r="B2497" t="s">
        <v>38</v>
      </c>
      <c r="C2497">
        <v>0</v>
      </c>
      <c r="D2497">
        <v>0</v>
      </c>
      <c r="E2497">
        <v>0</v>
      </c>
      <c r="F2497">
        <v>4000</v>
      </c>
      <c r="G2497">
        <v>1750</v>
      </c>
      <c r="H2497">
        <v>0</v>
      </c>
      <c r="J2497" t="str">
        <f>VLOOKUP(Table3[[#This Row],[Faction ID]],Table4[],2)</f>
        <v>_</v>
      </c>
    </row>
    <row r="2498" spans="1:10" x14ac:dyDescent="0.25">
      <c r="A2498">
        <v>64</v>
      </c>
      <c r="B2498" t="s">
        <v>39</v>
      </c>
      <c r="C2498">
        <v>0</v>
      </c>
      <c r="D2498">
        <v>0</v>
      </c>
      <c r="E2498">
        <v>0</v>
      </c>
      <c r="F2498">
        <v>4000</v>
      </c>
      <c r="G2498">
        <v>1750</v>
      </c>
      <c r="H2498">
        <v>0</v>
      </c>
      <c r="J2498" t="str">
        <f>VLOOKUP(Table3[[#This Row],[Faction ID]],Table4[],2)</f>
        <v>_</v>
      </c>
    </row>
    <row r="2499" spans="1:10" x14ac:dyDescent="0.25">
      <c r="A2499">
        <v>64</v>
      </c>
      <c r="B2499" t="s">
        <v>40</v>
      </c>
      <c r="C2499">
        <v>0</v>
      </c>
      <c r="D2499">
        <v>0</v>
      </c>
      <c r="E2499">
        <v>0</v>
      </c>
      <c r="F2499">
        <v>4000</v>
      </c>
      <c r="G2499">
        <v>1750</v>
      </c>
      <c r="H2499">
        <v>0</v>
      </c>
      <c r="J2499" t="str">
        <f>VLOOKUP(Table3[[#This Row],[Faction ID]],Table4[],2)</f>
        <v>_</v>
      </c>
    </row>
    <row r="2500" spans="1:10" x14ac:dyDescent="0.25">
      <c r="A2500">
        <v>64</v>
      </c>
      <c r="B2500" t="s">
        <v>41</v>
      </c>
      <c r="C2500">
        <v>0</v>
      </c>
      <c r="D2500">
        <v>0</v>
      </c>
      <c r="E2500">
        <v>0</v>
      </c>
      <c r="F2500">
        <v>4000</v>
      </c>
      <c r="G2500">
        <v>1750</v>
      </c>
      <c r="H2500">
        <v>0</v>
      </c>
      <c r="J2500" t="str">
        <f>VLOOKUP(Table3[[#This Row],[Faction ID]],Table4[],2)</f>
        <v>_</v>
      </c>
    </row>
    <row r="2501" spans="1:10" x14ac:dyDescent="0.25">
      <c r="A2501">
        <v>64</v>
      </c>
      <c r="B2501" t="s">
        <v>42</v>
      </c>
      <c r="C2501">
        <v>0</v>
      </c>
      <c r="D2501">
        <v>0</v>
      </c>
      <c r="E2501">
        <v>0</v>
      </c>
      <c r="F2501">
        <v>4000</v>
      </c>
      <c r="G2501">
        <v>1750</v>
      </c>
      <c r="H2501">
        <v>0</v>
      </c>
      <c r="J2501" t="str">
        <f>VLOOKUP(Table3[[#This Row],[Faction ID]],Table4[],2)</f>
        <v>_</v>
      </c>
    </row>
    <row r="2502" spans="1:10" x14ac:dyDescent="0.25">
      <c r="A2502">
        <v>64</v>
      </c>
      <c r="B2502" t="s">
        <v>43</v>
      </c>
      <c r="C2502">
        <v>0</v>
      </c>
      <c r="D2502">
        <v>0</v>
      </c>
      <c r="E2502">
        <v>0</v>
      </c>
      <c r="F2502">
        <v>4000</v>
      </c>
      <c r="G2502">
        <v>1750</v>
      </c>
      <c r="H2502">
        <v>0</v>
      </c>
      <c r="J2502" t="str">
        <f>VLOOKUP(Table3[[#This Row],[Faction ID]],Table4[],2)</f>
        <v>_</v>
      </c>
    </row>
    <row r="2503" spans="1:10" x14ac:dyDescent="0.25">
      <c r="A2503">
        <v>64</v>
      </c>
      <c r="B2503" t="s">
        <v>44</v>
      </c>
      <c r="C2503">
        <v>0</v>
      </c>
      <c r="D2503">
        <v>0</v>
      </c>
      <c r="E2503">
        <v>0</v>
      </c>
      <c r="F2503">
        <v>4000</v>
      </c>
      <c r="G2503">
        <v>1750</v>
      </c>
      <c r="H2503">
        <v>0</v>
      </c>
      <c r="J2503" t="str">
        <f>VLOOKUP(Table3[[#This Row],[Faction ID]],Table4[],2)</f>
        <v>_</v>
      </c>
    </row>
    <row r="2504" spans="1:10" x14ac:dyDescent="0.25">
      <c r="A2504">
        <v>65</v>
      </c>
      <c r="B2504" t="s">
        <v>9</v>
      </c>
      <c r="C2504">
        <v>233</v>
      </c>
      <c r="D2504">
        <v>26</v>
      </c>
      <c r="E2504">
        <v>234.3</v>
      </c>
      <c r="F2504">
        <v>1186</v>
      </c>
      <c r="G2504">
        <v>26988</v>
      </c>
      <c r="H2504">
        <v>1390</v>
      </c>
      <c r="J2504" t="str">
        <f>VLOOKUP(Table3[[#This Row],[Faction ID]],Table4[],2)</f>
        <v>Mordor</v>
      </c>
    </row>
    <row r="2505" spans="1:10" x14ac:dyDescent="0.25">
      <c r="A2505">
        <v>65</v>
      </c>
      <c r="B2505" t="s">
        <v>4</v>
      </c>
      <c r="C2505">
        <v>141</v>
      </c>
      <c r="D2505">
        <v>0</v>
      </c>
      <c r="E2505">
        <v>14</v>
      </c>
      <c r="F2505">
        <v>55717</v>
      </c>
      <c r="G2505">
        <v>4644</v>
      </c>
      <c r="H2505">
        <v>0</v>
      </c>
      <c r="J2505" t="str">
        <f>VLOOKUP(Table3[[#This Row],[Faction ID]],Table4[],2)</f>
        <v>Gondor</v>
      </c>
    </row>
    <row r="2506" spans="1:10" x14ac:dyDescent="0.25">
      <c r="A2506">
        <v>65</v>
      </c>
      <c r="B2506" t="s">
        <v>6</v>
      </c>
      <c r="C2506">
        <v>170</v>
      </c>
      <c r="D2506">
        <v>3</v>
      </c>
      <c r="E2506">
        <v>77.8</v>
      </c>
      <c r="F2506">
        <v>14960</v>
      </c>
      <c r="G2506">
        <v>13350</v>
      </c>
      <c r="H2506">
        <v>264</v>
      </c>
      <c r="J2506" t="str">
        <f>VLOOKUP(Table3[[#This Row],[Faction ID]],Table4[],2)</f>
        <v>Dale</v>
      </c>
    </row>
    <row r="2507" spans="1:10" x14ac:dyDescent="0.25">
      <c r="A2507">
        <v>65</v>
      </c>
      <c r="B2507" t="s">
        <v>21</v>
      </c>
      <c r="C2507">
        <v>170</v>
      </c>
      <c r="D2507">
        <v>3</v>
      </c>
      <c r="E2507">
        <v>34</v>
      </c>
      <c r="F2507">
        <v>26615</v>
      </c>
      <c r="G2507">
        <v>11244</v>
      </c>
      <c r="H2507">
        <v>425</v>
      </c>
      <c r="J2507" t="str">
        <f>VLOOKUP(Table3[[#This Row],[Faction ID]],Table4[],2)</f>
        <v>Erebor</v>
      </c>
    </row>
    <row r="2508" spans="1:10" x14ac:dyDescent="0.25">
      <c r="A2508">
        <v>65</v>
      </c>
      <c r="B2508" t="s">
        <v>5</v>
      </c>
      <c r="C2508">
        <v>158</v>
      </c>
      <c r="D2508">
        <v>1</v>
      </c>
      <c r="E2508">
        <v>0</v>
      </c>
      <c r="F2508">
        <v>7371</v>
      </c>
      <c r="G2508">
        <v>2880</v>
      </c>
      <c r="H2508">
        <v>0</v>
      </c>
      <c r="J2508" t="str">
        <f>VLOOKUP(Table3[[#This Row],[Faction ID]],Table4[],2)</f>
        <v>Rohan</v>
      </c>
    </row>
    <row r="2509" spans="1:10" x14ac:dyDescent="0.25">
      <c r="A2509">
        <v>65</v>
      </c>
      <c r="B2509" t="s">
        <v>12</v>
      </c>
      <c r="C2509">
        <v>193</v>
      </c>
      <c r="D2509">
        <v>14</v>
      </c>
      <c r="E2509">
        <v>222.7</v>
      </c>
      <c r="F2509">
        <v>16214</v>
      </c>
      <c r="G2509">
        <v>28935</v>
      </c>
      <c r="H2509">
        <v>1239</v>
      </c>
      <c r="J2509" t="str">
        <f>VLOOKUP(Table3[[#This Row],[Faction ID]],Table4[],2)</f>
        <v>Dol Guldur</v>
      </c>
    </row>
    <row r="2510" spans="1:10" x14ac:dyDescent="0.25">
      <c r="A2510">
        <v>65</v>
      </c>
      <c r="B2510" t="s">
        <v>10</v>
      </c>
      <c r="C2510">
        <v>58</v>
      </c>
      <c r="D2510">
        <v>0</v>
      </c>
      <c r="E2510">
        <v>0</v>
      </c>
      <c r="F2510">
        <v>4515</v>
      </c>
      <c r="G2510">
        <v>2500</v>
      </c>
      <c r="H2510">
        <v>0</v>
      </c>
      <c r="J2510" t="str">
        <f>VLOOKUP(Table3[[#This Row],[Faction ID]],Table4[],2)</f>
        <v>Anduin Vale</v>
      </c>
    </row>
    <row r="2511" spans="1:10" x14ac:dyDescent="0.25">
      <c r="A2511">
        <v>65</v>
      </c>
      <c r="B2511" t="s">
        <v>32</v>
      </c>
      <c r="C2511">
        <v>218</v>
      </c>
      <c r="D2511">
        <v>7</v>
      </c>
      <c r="E2511">
        <v>138.9</v>
      </c>
      <c r="F2511">
        <v>19516</v>
      </c>
      <c r="G2511">
        <v>21388</v>
      </c>
      <c r="H2511">
        <v>942</v>
      </c>
      <c r="J2511" t="str">
        <f>VLOOKUP(Table3[[#This Row],[Faction ID]],Table4[],2)</f>
        <v>Isengard</v>
      </c>
    </row>
    <row r="2512" spans="1:10" x14ac:dyDescent="0.25">
      <c r="A2512">
        <v>65</v>
      </c>
      <c r="B2512" t="s">
        <v>22</v>
      </c>
      <c r="C2512">
        <v>30</v>
      </c>
      <c r="D2512">
        <v>0</v>
      </c>
      <c r="E2512">
        <v>0</v>
      </c>
      <c r="F2512">
        <v>8475</v>
      </c>
      <c r="G2512">
        <v>2500</v>
      </c>
      <c r="H2512">
        <v>0</v>
      </c>
      <c r="J2512" t="str">
        <f>VLOOKUP(Table3[[#This Row],[Faction ID]],Table4[],2)</f>
        <v>Woodland Realm</v>
      </c>
    </row>
    <row r="2513" spans="1:10" x14ac:dyDescent="0.25">
      <c r="A2513">
        <v>65</v>
      </c>
      <c r="B2513" t="s">
        <v>23</v>
      </c>
      <c r="C2513">
        <v>64</v>
      </c>
      <c r="D2513">
        <v>0</v>
      </c>
      <c r="E2513">
        <v>0</v>
      </c>
      <c r="F2513">
        <v>4721</v>
      </c>
      <c r="G2513">
        <v>2500</v>
      </c>
      <c r="H2513">
        <v>0</v>
      </c>
      <c r="J2513" t="str">
        <f>VLOOKUP(Table3[[#This Row],[Faction ID]],Table4[],2)</f>
        <v>Lothlorien</v>
      </c>
    </row>
    <row r="2514" spans="1:10" x14ac:dyDescent="0.25">
      <c r="A2514">
        <v>65</v>
      </c>
      <c r="B2514" t="s">
        <v>24</v>
      </c>
      <c r="C2514">
        <v>0</v>
      </c>
      <c r="D2514">
        <v>0</v>
      </c>
      <c r="E2514">
        <v>0</v>
      </c>
      <c r="F2514">
        <v>4919</v>
      </c>
      <c r="G2514">
        <v>1750</v>
      </c>
      <c r="H2514">
        <v>0</v>
      </c>
      <c r="J2514" t="str">
        <f>VLOOKUP(Table3[[#This Row],[Faction ID]],Table4[],2)</f>
        <v>Variags (Khand)</v>
      </c>
    </row>
    <row r="2515" spans="1:10" x14ac:dyDescent="0.25">
      <c r="A2515">
        <v>65</v>
      </c>
      <c r="B2515" t="s">
        <v>14</v>
      </c>
      <c r="C2515">
        <v>11</v>
      </c>
      <c r="D2515">
        <v>8</v>
      </c>
      <c r="E2515">
        <v>125</v>
      </c>
      <c r="F2515">
        <v>25632</v>
      </c>
      <c r="G2515">
        <v>23390</v>
      </c>
      <c r="H2515">
        <v>1440</v>
      </c>
      <c r="J2515" t="str">
        <f>VLOOKUP(Table3[[#This Row],[Faction ID]],Table4[],2)</f>
        <v>Corsairs of Umbar</v>
      </c>
    </row>
    <row r="2516" spans="1:10" x14ac:dyDescent="0.25">
      <c r="A2516">
        <v>65</v>
      </c>
      <c r="B2516" t="s">
        <v>25</v>
      </c>
      <c r="C2516">
        <v>4</v>
      </c>
      <c r="D2516">
        <v>2</v>
      </c>
      <c r="E2516">
        <v>44</v>
      </c>
      <c r="F2516">
        <v>6964</v>
      </c>
      <c r="G2516">
        <v>7281</v>
      </c>
      <c r="H2516">
        <v>0</v>
      </c>
      <c r="J2516" t="str">
        <f>VLOOKUP(Table3[[#This Row],[Faction ID]],Table4[],2)</f>
        <v>Mahud</v>
      </c>
    </row>
    <row r="2517" spans="1:10" x14ac:dyDescent="0.25">
      <c r="A2517">
        <v>65</v>
      </c>
      <c r="B2517" t="s">
        <v>11</v>
      </c>
      <c r="C2517">
        <v>118</v>
      </c>
      <c r="D2517">
        <v>6</v>
      </c>
      <c r="E2517">
        <v>109</v>
      </c>
      <c r="F2517">
        <v>28958</v>
      </c>
      <c r="G2517">
        <v>13224</v>
      </c>
      <c r="H2517">
        <v>0</v>
      </c>
      <c r="J2517" t="str">
        <f>VLOOKUP(Table3[[#This Row],[Faction ID]],Table4[],2)</f>
        <v>Haradrim</v>
      </c>
    </row>
    <row r="2518" spans="1:10" x14ac:dyDescent="0.25">
      <c r="A2518">
        <v>65</v>
      </c>
      <c r="B2518" t="s">
        <v>15</v>
      </c>
      <c r="C2518">
        <v>138</v>
      </c>
      <c r="D2518">
        <v>12</v>
      </c>
      <c r="E2518">
        <v>188</v>
      </c>
      <c r="F2518">
        <v>33779</v>
      </c>
      <c r="G2518">
        <v>30507</v>
      </c>
      <c r="H2518">
        <v>1987</v>
      </c>
      <c r="J2518" t="str">
        <f>VLOOKUP(Table3[[#This Row],[Faction ID]],Table4[],2)</f>
        <v>Dunlendings</v>
      </c>
    </row>
    <row r="2519" spans="1:10" x14ac:dyDescent="0.25">
      <c r="A2519">
        <v>65</v>
      </c>
      <c r="B2519" t="s">
        <v>16</v>
      </c>
      <c r="C2519">
        <v>0</v>
      </c>
      <c r="D2519">
        <v>0</v>
      </c>
      <c r="E2519">
        <v>0</v>
      </c>
      <c r="F2519">
        <v>5352</v>
      </c>
      <c r="G2519">
        <v>1750</v>
      </c>
      <c r="H2519">
        <v>0</v>
      </c>
      <c r="J2519" t="str">
        <f>VLOOKUP(Table3[[#This Row],[Faction ID]],Table4[],2)</f>
        <v>Haerrim</v>
      </c>
    </row>
    <row r="2520" spans="1:10" x14ac:dyDescent="0.25">
      <c r="A2520">
        <v>65</v>
      </c>
      <c r="B2520" t="s">
        <v>13</v>
      </c>
      <c r="C2520">
        <v>310</v>
      </c>
      <c r="D2520">
        <v>19</v>
      </c>
      <c r="E2520">
        <v>284.7</v>
      </c>
      <c r="F2520">
        <v>31410</v>
      </c>
      <c r="G2520">
        <v>35860</v>
      </c>
      <c r="H2520">
        <v>3126</v>
      </c>
      <c r="J2520" t="str">
        <f>VLOOKUP(Table3[[#This Row],[Faction ID]],Table4[],2)</f>
        <v>Goblins</v>
      </c>
    </row>
    <row r="2521" spans="1:10" x14ac:dyDescent="0.25">
      <c r="A2521">
        <v>65</v>
      </c>
      <c r="B2521" t="s">
        <v>17</v>
      </c>
      <c r="C2521">
        <v>0</v>
      </c>
      <c r="D2521">
        <v>0</v>
      </c>
      <c r="E2521">
        <v>0</v>
      </c>
      <c r="F2521">
        <v>4872</v>
      </c>
      <c r="G2521">
        <v>1750</v>
      </c>
      <c r="H2521">
        <v>0</v>
      </c>
      <c r="J2521" t="str">
        <f>VLOOKUP(Table3[[#This Row],[Faction ID]],Table4[],2)</f>
        <v>Balchoth</v>
      </c>
    </row>
    <row r="2522" spans="1:10" x14ac:dyDescent="0.25">
      <c r="A2522">
        <v>65</v>
      </c>
      <c r="B2522" t="s">
        <v>18</v>
      </c>
      <c r="C2522">
        <v>216</v>
      </c>
      <c r="D2522">
        <v>32</v>
      </c>
      <c r="E2522">
        <v>386.2</v>
      </c>
      <c r="F2522">
        <v>59449</v>
      </c>
      <c r="G2522">
        <v>34495</v>
      </c>
      <c r="H2522">
        <v>0</v>
      </c>
      <c r="J2522" t="str">
        <f>VLOOKUP(Table3[[#This Row],[Faction ID]],Table4[],2)</f>
        <v>Rhurim/Rhun</v>
      </c>
    </row>
    <row r="2523" spans="1:10" x14ac:dyDescent="0.25">
      <c r="A2523">
        <v>65</v>
      </c>
      <c r="B2523" t="s">
        <v>19</v>
      </c>
      <c r="C2523">
        <v>0</v>
      </c>
      <c r="D2523">
        <v>0</v>
      </c>
      <c r="E2523">
        <v>0</v>
      </c>
      <c r="F2523">
        <v>7360</v>
      </c>
      <c r="G2523">
        <v>1750</v>
      </c>
      <c r="H2523">
        <v>0</v>
      </c>
      <c r="J2523" t="str">
        <f>VLOOKUP(Table3[[#This Row],[Faction ID]],Table4[],2)</f>
        <v>Feredrim</v>
      </c>
    </row>
    <row r="2524" spans="1:10" x14ac:dyDescent="0.25">
      <c r="A2524">
        <v>65</v>
      </c>
      <c r="B2524" t="s">
        <v>26</v>
      </c>
      <c r="C2524">
        <v>0</v>
      </c>
      <c r="D2524">
        <v>0</v>
      </c>
      <c r="E2524">
        <v>0</v>
      </c>
      <c r="F2524">
        <v>6395</v>
      </c>
      <c r="G2524">
        <v>1750</v>
      </c>
      <c r="H2524">
        <v>0</v>
      </c>
      <c r="J2524" t="str">
        <f>VLOOKUP(Table3[[#This Row],[Faction ID]],Table4[],2)</f>
        <v>Rachrohir (Wainriders)</v>
      </c>
    </row>
    <row r="2525" spans="1:10" x14ac:dyDescent="0.25">
      <c r="A2525">
        <v>65</v>
      </c>
      <c r="B2525" t="s">
        <v>27</v>
      </c>
      <c r="C2525">
        <v>5</v>
      </c>
      <c r="D2525">
        <v>3</v>
      </c>
      <c r="E2525">
        <v>72</v>
      </c>
      <c r="F2525">
        <v>67359</v>
      </c>
      <c r="G2525">
        <v>15205</v>
      </c>
      <c r="H2525">
        <v>0</v>
      </c>
      <c r="J2525" t="str">
        <f>VLOOKUP(Table3[[#This Row],[Faction ID]],Table4[],2)</f>
        <v>Blacklock-Stonefoot League</v>
      </c>
    </row>
    <row r="2526" spans="1:10" x14ac:dyDescent="0.25">
      <c r="A2526">
        <v>65</v>
      </c>
      <c r="B2526" t="s">
        <v>28</v>
      </c>
      <c r="C2526">
        <v>4</v>
      </c>
      <c r="D2526">
        <v>2</v>
      </c>
      <c r="E2526">
        <v>41</v>
      </c>
      <c r="F2526">
        <v>52385</v>
      </c>
      <c r="G2526">
        <v>8698</v>
      </c>
      <c r="H2526">
        <v>0</v>
      </c>
      <c r="J2526" t="str">
        <f>VLOOKUP(Table3[[#This Row],[Faction ID]],Table4[],2)</f>
        <v>Ironfist-Stiffbeard Union</v>
      </c>
    </row>
    <row r="2527" spans="1:10" x14ac:dyDescent="0.25">
      <c r="A2527">
        <v>65</v>
      </c>
      <c r="B2527" t="s">
        <v>20</v>
      </c>
      <c r="C2527">
        <v>158</v>
      </c>
      <c r="D2527">
        <v>13</v>
      </c>
      <c r="E2527">
        <v>230.3</v>
      </c>
      <c r="F2527">
        <v>64189</v>
      </c>
      <c r="G2527">
        <v>28670</v>
      </c>
      <c r="H2527">
        <v>1210</v>
      </c>
      <c r="J2527" t="str">
        <f>VLOOKUP(Table3[[#This Row],[Faction ID]],Table4[],2)</f>
        <v>Gundabad</v>
      </c>
    </row>
    <row r="2528" spans="1:10" x14ac:dyDescent="0.25">
      <c r="A2528">
        <v>65</v>
      </c>
      <c r="B2528" t="s">
        <v>34</v>
      </c>
      <c r="C2528">
        <v>0</v>
      </c>
      <c r="D2528">
        <v>0</v>
      </c>
      <c r="E2528">
        <v>3</v>
      </c>
      <c r="F2528">
        <v>75744</v>
      </c>
      <c r="G2528">
        <v>2379</v>
      </c>
      <c r="H2528">
        <v>0</v>
      </c>
      <c r="J2528" t="str">
        <f>VLOOKUP(Table3[[#This Row],[Faction ID]],Table4[],2)</f>
        <v>Scouts of Rohan</v>
      </c>
    </row>
    <row r="2529" spans="1:10" x14ac:dyDescent="0.25">
      <c r="A2529">
        <v>65</v>
      </c>
      <c r="B2529" t="s">
        <v>33</v>
      </c>
      <c r="C2529">
        <v>6</v>
      </c>
      <c r="D2529">
        <v>4</v>
      </c>
      <c r="E2529">
        <v>60</v>
      </c>
      <c r="F2529">
        <v>77311</v>
      </c>
      <c r="G2529">
        <v>12215</v>
      </c>
      <c r="H2529">
        <v>690</v>
      </c>
      <c r="J2529" t="str">
        <f>VLOOKUP(Table3[[#This Row],[Faction ID]],Table4[],2)</f>
        <v>Northern Enedwaith</v>
      </c>
    </row>
    <row r="2530" spans="1:10" x14ac:dyDescent="0.25">
      <c r="A2530">
        <v>65</v>
      </c>
      <c r="B2530" t="s">
        <v>29</v>
      </c>
      <c r="C2530">
        <v>0</v>
      </c>
      <c r="D2530">
        <v>0</v>
      </c>
      <c r="E2530">
        <v>0</v>
      </c>
      <c r="F2530">
        <v>54023</v>
      </c>
      <c r="G2530">
        <v>1750</v>
      </c>
      <c r="H2530">
        <v>0</v>
      </c>
      <c r="J2530" t="str">
        <f>VLOOKUP(Table3[[#This Row],[Faction ID]],Table4[],2)</f>
        <v>Southern Enedwaith</v>
      </c>
    </row>
    <row r="2531" spans="1:10" x14ac:dyDescent="0.25">
      <c r="A2531">
        <v>65</v>
      </c>
      <c r="B2531" t="s">
        <v>30</v>
      </c>
      <c r="C2531">
        <v>0</v>
      </c>
      <c r="D2531">
        <v>0</v>
      </c>
      <c r="E2531">
        <v>0</v>
      </c>
      <c r="F2531">
        <v>32146</v>
      </c>
      <c r="G2531">
        <v>1750</v>
      </c>
      <c r="H2531">
        <v>0</v>
      </c>
      <c r="J2531" t="str">
        <f>VLOOKUP(Table3[[#This Row],[Faction ID]],Table4[],2)</f>
        <v>Druedain</v>
      </c>
    </row>
    <row r="2532" spans="1:10" x14ac:dyDescent="0.25">
      <c r="A2532">
        <v>65</v>
      </c>
      <c r="B2532" t="s">
        <v>31</v>
      </c>
      <c r="C2532">
        <v>0</v>
      </c>
      <c r="D2532">
        <v>0</v>
      </c>
      <c r="E2532">
        <v>0</v>
      </c>
      <c r="F2532">
        <v>15146</v>
      </c>
      <c r="G2532">
        <v>1750</v>
      </c>
      <c r="H2532">
        <v>0</v>
      </c>
      <c r="J2532" t="str">
        <f>VLOOKUP(Table3[[#This Row],[Faction ID]],Table4[],2)</f>
        <v>Harondor</v>
      </c>
    </row>
    <row r="2533" spans="1:10" x14ac:dyDescent="0.25">
      <c r="A2533">
        <v>65</v>
      </c>
      <c r="B2533" t="s">
        <v>35</v>
      </c>
      <c r="C2533">
        <v>0</v>
      </c>
      <c r="D2533">
        <v>0</v>
      </c>
      <c r="E2533">
        <v>0</v>
      </c>
      <c r="F2533">
        <v>4000</v>
      </c>
      <c r="G2533">
        <v>1750</v>
      </c>
      <c r="H2533">
        <v>0</v>
      </c>
      <c r="J2533" t="str">
        <f>VLOOKUP(Table3[[#This Row],[Faction ID]],Table4[],2)</f>
        <v>Southron Nomads</v>
      </c>
    </row>
    <row r="2534" spans="1:10" x14ac:dyDescent="0.25">
      <c r="A2534">
        <v>65</v>
      </c>
      <c r="B2534" t="s">
        <v>36</v>
      </c>
      <c r="C2534">
        <v>0</v>
      </c>
      <c r="D2534">
        <v>0</v>
      </c>
      <c r="E2534">
        <v>0</v>
      </c>
      <c r="F2534">
        <v>4000</v>
      </c>
      <c r="G2534">
        <v>1750</v>
      </c>
      <c r="H2534">
        <v>0</v>
      </c>
      <c r="J2534" t="str">
        <f>VLOOKUP(Table3[[#This Row],[Faction ID]],Table4[],2)</f>
        <v>_</v>
      </c>
    </row>
    <row r="2535" spans="1:10" x14ac:dyDescent="0.25">
      <c r="A2535">
        <v>65</v>
      </c>
      <c r="B2535" t="s">
        <v>37</v>
      </c>
      <c r="C2535">
        <v>0</v>
      </c>
      <c r="D2535">
        <v>0</v>
      </c>
      <c r="E2535">
        <v>0</v>
      </c>
      <c r="F2535">
        <v>4000</v>
      </c>
      <c r="G2535">
        <v>1750</v>
      </c>
      <c r="H2535">
        <v>0</v>
      </c>
      <c r="J2535" t="str">
        <f>VLOOKUP(Table3[[#This Row],[Faction ID]],Table4[],2)</f>
        <v>_</v>
      </c>
    </row>
    <row r="2536" spans="1:10" x14ac:dyDescent="0.25">
      <c r="A2536">
        <v>65</v>
      </c>
      <c r="B2536" t="s">
        <v>38</v>
      </c>
      <c r="C2536">
        <v>0</v>
      </c>
      <c r="D2536">
        <v>0</v>
      </c>
      <c r="E2536">
        <v>0</v>
      </c>
      <c r="F2536">
        <v>4000</v>
      </c>
      <c r="G2536">
        <v>1750</v>
      </c>
      <c r="H2536">
        <v>0</v>
      </c>
      <c r="J2536" t="str">
        <f>VLOOKUP(Table3[[#This Row],[Faction ID]],Table4[],2)</f>
        <v>_</v>
      </c>
    </row>
    <row r="2537" spans="1:10" x14ac:dyDescent="0.25">
      <c r="A2537">
        <v>65</v>
      </c>
      <c r="B2537" t="s">
        <v>39</v>
      </c>
      <c r="C2537">
        <v>0</v>
      </c>
      <c r="D2537">
        <v>0</v>
      </c>
      <c r="E2537">
        <v>0</v>
      </c>
      <c r="F2537">
        <v>4000</v>
      </c>
      <c r="G2537">
        <v>1750</v>
      </c>
      <c r="H2537">
        <v>0</v>
      </c>
      <c r="J2537" t="str">
        <f>VLOOKUP(Table3[[#This Row],[Faction ID]],Table4[],2)</f>
        <v>_</v>
      </c>
    </row>
    <row r="2538" spans="1:10" x14ac:dyDescent="0.25">
      <c r="A2538">
        <v>65</v>
      </c>
      <c r="B2538" t="s">
        <v>40</v>
      </c>
      <c r="C2538">
        <v>0</v>
      </c>
      <c r="D2538">
        <v>0</v>
      </c>
      <c r="E2538">
        <v>0</v>
      </c>
      <c r="F2538">
        <v>4000</v>
      </c>
      <c r="G2538">
        <v>1750</v>
      </c>
      <c r="H2538">
        <v>0</v>
      </c>
      <c r="J2538" t="str">
        <f>VLOOKUP(Table3[[#This Row],[Faction ID]],Table4[],2)</f>
        <v>_</v>
      </c>
    </row>
    <row r="2539" spans="1:10" x14ac:dyDescent="0.25">
      <c r="A2539">
        <v>65</v>
      </c>
      <c r="B2539" t="s">
        <v>41</v>
      </c>
      <c r="C2539">
        <v>0</v>
      </c>
      <c r="D2539">
        <v>0</v>
      </c>
      <c r="E2539">
        <v>0</v>
      </c>
      <c r="F2539">
        <v>4000</v>
      </c>
      <c r="G2539">
        <v>1750</v>
      </c>
      <c r="H2539">
        <v>0</v>
      </c>
      <c r="J2539" t="str">
        <f>VLOOKUP(Table3[[#This Row],[Faction ID]],Table4[],2)</f>
        <v>_</v>
      </c>
    </row>
    <row r="2540" spans="1:10" x14ac:dyDescent="0.25">
      <c r="A2540">
        <v>65</v>
      </c>
      <c r="B2540" t="s">
        <v>42</v>
      </c>
      <c r="C2540">
        <v>0</v>
      </c>
      <c r="D2540">
        <v>0</v>
      </c>
      <c r="E2540">
        <v>0</v>
      </c>
      <c r="F2540">
        <v>4000</v>
      </c>
      <c r="G2540">
        <v>1750</v>
      </c>
      <c r="H2540">
        <v>0</v>
      </c>
      <c r="J2540" t="str">
        <f>VLOOKUP(Table3[[#This Row],[Faction ID]],Table4[],2)</f>
        <v>_</v>
      </c>
    </row>
    <row r="2541" spans="1:10" x14ac:dyDescent="0.25">
      <c r="A2541">
        <v>65</v>
      </c>
      <c r="B2541" t="s">
        <v>43</v>
      </c>
      <c r="C2541">
        <v>0</v>
      </c>
      <c r="D2541">
        <v>0</v>
      </c>
      <c r="E2541">
        <v>0</v>
      </c>
      <c r="F2541">
        <v>4000</v>
      </c>
      <c r="G2541">
        <v>1750</v>
      </c>
      <c r="H2541">
        <v>0</v>
      </c>
      <c r="J2541" t="str">
        <f>VLOOKUP(Table3[[#This Row],[Faction ID]],Table4[],2)</f>
        <v>_</v>
      </c>
    </row>
    <row r="2542" spans="1:10" x14ac:dyDescent="0.25">
      <c r="A2542">
        <v>65</v>
      </c>
      <c r="B2542" t="s">
        <v>44</v>
      </c>
      <c r="C2542">
        <v>0</v>
      </c>
      <c r="D2542">
        <v>0</v>
      </c>
      <c r="E2542">
        <v>0</v>
      </c>
      <c r="F2542">
        <v>4000</v>
      </c>
      <c r="G2542">
        <v>1750</v>
      </c>
      <c r="H2542">
        <v>0</v>
      </c>
      <c r="J2542" t="str">
        <f>VLOOKUP(Table3[[#This Row],[Faction ID]],Table4[],2)</f>
        <v>_</v>
      </c>
    </row>
    <row r="2543" spans="1:10" x14ac:dyDescent="0.25">
      <c r="A2543">
        <v>66</v>
      </c>
      <c r="B2543" t="s">
        <v>9</v>
      </c>
      <c r="C2543">
        <v>242</v>
      </c>
      <c r="D2543">
        <v>26</v>
      </c>
      <c r="E2543">
        <v>245.3</v>
      </c>
      <c r="F2543">
        <v>9617</v>
      </c>
      <c r="G2543">
        <v>27708</v>
      </c>
      <c r="H2543">
        <v>1393</v>
      </c>
      <c r="J2543" t="str">
        <f>VLOOKUP(Table3[[#This Row],[Faction ID]],Table4[],2)</f>
        <v>Mordor</v>
      </c>
    </row>
    <row r="2544" spans="1:10" x14ac:dyDescent="0.25">
      <c r="A2544">
        <v>66</v>
      </c>
      <c r="B2544" t="s">
        <v>4</v>
      </c>
      <c r="C2544">
        <v>146</v>
      </c>
      <c r="D2544">
        <v>0</v>
      </c>
      <c r="E2544">
        <v>0</v>
      </c>
      <c r="F2544">
        <v>55420</v>
      </c>
      <c r="G2544">
        <v>2500</v>
      </c>
      <c r="H2544">
        <v>0</v>
      </c>
      <c r="J2544" t="str">
        <f>VLOOKUP(Table3[[#This Row],[Faction ID]],Table4[],2)</f>
        <v>Gondor</v>
      </c>
    </row>
    <row r="2545" spans="1:10" x14ac:dyDescent="0.25">
      <c r="A2545">
        <v>66</v>
      </c>
      <c r="B2545" t="s">
        <v>6</v>
      </c>
      <c r="C2545">
        <v>170</v>
      </c>
      <c r="D2545">
        <v>3</v>
      </c>
      <c r="E2545">
        <v>82.6</v>
      </c>
      <c r="F2545">
        <v>12996</v>
      </c>
      <c r="G2545">
        <v>13211</v>
      </c>
      <c r="H2545">
        <v>261</v>
      </c>
      <c r="J2545" t="str">
        <f>VLOOKUP(Table3[[#This Row],[Faction ID]],Table4[],2)</f>
        <v>Dale</v>
      </c>
    </row>
    <row r="2546" spans="1:10" x14ac:dyDescent="0.25">
      <c r="A2546">
        <v>66</v>
      </c>
      <c r="B2546" t="s">
        <v>21</v>
      </c>
      <c r="C2546">
        <v>170</v>
      </c>
      <c r="D2546">
        <v>3</v>
      </c>
      <c r="E2546">
        <v>34</v>
      </c>
      <c r="F2546">
        <v>23148</v>
      </c>
      <c r="G2546">
        <v>11121</v>
      </c>
      <c r="H2546">
        <v>422</v>
      </c>
      <c r="J2546" t="str">
        <f>VLOOKUP(Table3[[#This Row],[Faction ID]],Table4[],2)</f>
        <v>Erebor</v>
      </c>
    </row>
    <row r="2547" spans="1:10" x14ac:dyDescent="0.25">
      <c r="A2547">
        <v>66</v>
      </c>
      <c r="B2547" t="s">
        <v>5</v>
      </c>
      <c r="C2547">
        <v>157</v>
      </c>
      <c r="D2547">
        <v>0</v>
      </c>
      <c r="E2547">
        <v>0</v>
      </c>
      <c r="F2547">
        <v>6638</v>
      </c>
      <c r="G2547">
        <v>2500</v>
      </c>
      <c r="H2547">
        <v>0</v>
      </c>
      <c r="J2547" t="str">
        <f>VLOOKUP(Table3[[#This Row],[Faction ID]],Table4[],2)</f>
        <v>Rohan</v>
      </c>
    </row>
    <row r="2548" spans="1:10" x14ac:dyDescent="0.25">
      <c r="A2548">
        <v>66</v>
      </c>
      <c r="B2548" t="s">
        <v>12</v>
      </c>
      <c r="C2548">
        <v>198</v>
      </c>
      <c r="D2548">
        <v>14</v>
      </c>
      <c r="E2548">
        <v>224.3</v>
      </c>
      <c r="F2548">
        <v>20442</v>
      </c>
      <c r="G2548">
        <v>29245</v>
      </c>
      <c r="H2548">
        <v>1528</v>
      </c>
      <c r="J2548" t="str">
        <f>VLOOKUP(Table3[[#This Row],[Faction ID]],Table4[],2)</f>
        <v>Dol Guldur</v>
      </c>
    </row>
    <row r="2549" spans="1:10" x14ac:dyDescent="0.25">
      <c r="A2549">
        <v>66</v>
      </c>
      <c r="B2549" t="s">
        <v>10</v>
      </c>
      <c r="C2549">
        <v>58</v>
      </c>
      <c r="D2549">
        <v>0</v>
      </c>
      <c r="E2549">
        <v>0</v>
      </c>
      <c r="F2549">
        <v>4515</v>
      </c>
      <c r="G2549">
        <v>2500</v>
      </c>
      <c r="H2549">
        <v>0</v>
      </c>
      <c r="J2549" t="str">
        <f>VLOOKUP(Table3[[#This Row],[Faction ID]],Table4[],2)</f>
        <v>Anduin Vale</v>
      </c>
    </row>
    <row r="2550" spans="1:10" x14ac:dyDescent="0.25">
      <c r="A2550">
        <v>66</v>
      </c>
      <c r="B2550" t="s">
        <v>32</v>
      </c>
      <c r="C2550">
        <v>219</v>
      </c>
      <c r="D2550">
        <v>8</v>
      </c>
      <c r="E2550">
        <v>137.6</v>
      </c>
      <c r="F2550">
        <v>19606</v>
      </c>
      <c r="G2550">
        <v>21879</v>
      </c>
      <c r="H2550">
        <v>1192</v>
      </c>
      <c r="J2550" t="str">
        <f>VLOOKUP(Table3[[#This Row],[Faction ID]],Table4[],2)</f>
        <v>Isengard</v>
      </c>
    </row>
    <row r="2551" spans="1:10" x14ac:dyDescent="0.25">
      <c r="A2551">
        <v>66</v>
      </c>
      <c r="B2551" t="s">
        <v>22</v>
      </c>
      <c r="C2551">
        <v>30</v>
      </c>
      <c r="D2551">
        <v>0</v>
      </c>
      <c r="E2551">
        <v>0</v>
      </c>
      <c r="F2551">
        <v>8475</v>
      </c>
      <c r="G2551">
        <v>2500</v>
      </c>
      <c r="H2551">
        <v>0</v>
      </c>
      <c r="J2551" t="str">
        <f>VLOOKUP(Table3[[#This Row],[Faction ID]],Table4[],2)</f>
        <v>Woodland Realm</v>
      </c>
    </row>
    <row r="2552" spans="1:10" x14ac:dyDescent="0.25">
      <c r="A2552">
        <v>66</v>
      </c>
      <c r="B2552" t="s">
        <v>23</v>
      </c>
      <c r="C2552">
        <v>64</v>
      </c>
      <c r="D2552">
        <v>0</v>
      </c>
      <c r="E2552">
        <v>0</v>
      </c>
      <c r="F2552">
        <v>4721</v>
      </c>
      <c r="G2552">
        <v>2500</v>
      </c>
      <c r="H2552">
        <v>0</v>
      </c>
      <c r="J2552" t="str">
        <f>VLOOKUP(Table3[[#This Row],[Faction ID]],Table4[],2)</f>
        <v>Lothlorien</v>
      </c>
    </row>
    <row r="2553" spans="1:10" x14ac:dyDescent="0.25">
      <c r="A2553">
        <v>66</v>
      </c>
      <c r="B2553" t="s">
        <v>24</v>
      </c>
      <c r="C2553">
        <v>0</v>
      </c>
      <c r="D2553">
        <v>0</v>
      </c>
      <c r="E2553">
        <v>0</v>
      </c>
      <c r="F2553">
        <v>4919</v>
      </c>
      <c r="G2553">
        <v>1750</v>
      </c>
      <c r="H2553">
        <v>0</v>
      </c>
      <c r="J2553" t="str">
        <f>VLOOKUP(Table3[[#This Row],[Faction ID]],Table4[],2)</f>
        <v>Variags (Khand)</v>
      </c>
    </row>
    <row r="2554" spans="1:10" x14ac:dyDescent="0.25">
      <c r="A2554">
        <v>66</v>
      </c>
      <c r="B2554" t="s">
        <v>14</v>
      </c>
      <c r="C2554">
        <v>11</v>
      </c>
      <c r="D2554">
        <v>8</v>
      </c>
      <c r="E2554">
        <v>129</v>
      </c>
      <c r="F2554">
        <v>33921</v>
      </c>
      <c r="G2554">
        <v>24347</v>
      </c>
      <c r="H2554">
        <v>1659</v>
      </c>
      <c r="J2554" t="str">
        <f>VLOOKUP(Table3[[#This Row],[Faction ID]],Table4[],2)</f>
        <v>Corsairs of Umbar</v>
      </c>
    </row>
    <row r="2555" spans="1:10" x14ac:dyDescent="0.25">
      <c r="A2555">
        <v>66</v>
      </c>
      <c r="B2555" t="s">
        <v>25</v>
      </c>
      <c r="C2555">
        <v>4</v>
      </c>
      <c r="D2555">
        <v>2</v>
      </c>
      <c r="E2555">
        <v>44</v>
      </c>
      <c r="F2555">
        <v>5802</v>
      </c>
      <c r="G2555">
        <v>7281</v>
      </c>
      <c r="H2555">
        <v>0</v>
      </c>
      <c r="J2555" t="str">
        <f>VLOOKUP(Table3[[#This Row],[Faction ID]],Table4[],2)</f>
        <v>Mahud</v>
      </c>
    </row>
    <row r="2556" spans="1:10" x14ac:dyDescent="0.25">
      <c r="A2556">
        <v>66</v>
      </c>
      <c r="B2556" t="s">
        <v>11</v>
      </c>
      <c r="C2556">
        <v>118</v>
      </c>
      <c r="D2556">
        <v>6</v>
      </c>
      <c r="E2556">
        <v>109</v>
      </c>
      <c r="F2556">
        <v>32354</v>
      </c>
      <c r="G2556">
        <v>13552</v>
      </c>
      <c r="H2556">
        <v>0</v>
      </c>
      <c r="J2556" t="str">
        <f>VLOOKUP(Table3[[#This Row],[Faction ID]],Table4[],2)</f>
        <v>Haradrim</v>
      </c>
    </row>
    <row r="2557" spans="1:10" x14ac:dyDescent="0.25">
      <c r="A2557">
        <v>66</v>
      </c>
      <c r="B2557" t="s">
        <v>15</v>
      </c>
      <c r="C2557">
        <v>138</v>
      </c>
      <c r="D2557">
        <v>12</v>
      </c>
      <c r="E2557">
        <v>185</v>
      </c>
      <c r="F2557">
        <v>43514</v>
      </c>
      <c r="G2557">
        <v>31309</v>
      </c>
      <c r="H2557">
        <v>2206</v>
      </c>
      <c r="J2557" t="str">
        <f>VLOOKUP(Table3[[#This Row],[Faction ID]],Table4[],2)</f>
        <v>Dunlendings</v>
      </c>
    </row>
    <row r="2558" spans="1:10" x14ac:dyDescent="0.25">
      <c r="A2558">
        <v>66</v>
      </c>
      <c r="B2558" t="s">
        <v>16</v>
      </c>
      <c r="C2558">
        <v>0</v>
      </c>
      <c r="D2558">
        <v>0</v>
      </c>
      <c r="E2558">
        <v>0</v>
      </c>
      <c r="F2558">
        <v>5352</v>
      </c>
      <c r="G2558">
        <v>1750</v>
      </c>
      <c r="H2558">
        <v>0</v>
      </c>
      <c r="J2558" t="str">
        <f>VLOOKUP(Table3[[#This Row],[Faction ID]],Table4[],2)</f>
        <v>Haerrim</v>
      </c>
    </row>
    <row r="2559" spans="1:10" x14ac:dyDescent="0.25">
      <c r="A2559">
        <v>66</v>
      </c>
      <c r="B2559" t="s">
        <v>13</v>
      </c>
      <c r="C2559">
        <v>310</v>
      </c>
      <c r="D2559">
        <v>19</v>
      </c>
      <c r="E2559">
        <v>285.7</v>
      </c>
      <c r="F2559">
        <v>24706</v>
      </c>
      <c r="G2559">
        <v>36600</v>
      </c>
      <c r="H2559">
        <v>3130</v>
      </c>
      <c r="J2559" t="str">
        <f>VLOOKUP(Table3[[#This Row],[Faction ID]],Table4[],2)</f>
        <v>Goblins</v>
      </c>
    </row>
    <row r="2560" spans="1:10" x14ac:dyDescent="0.25">
      <c r="A2560">
        <v>66</v>
      </c>
      <c r="B2560" t="s">
        <v>17</v>
      </c>
      <c r="C2560">
        <v>0</v>
      </c>
      <c r="D2560">
        <v>0</v>
      </c>
      <c r="E2560">
        <v>0</v>
      </c>
      <c r="F2560">
        <v>4872</v>
      </c>
      <c r="G2560">
        <v>1750</v>
      </c>
      <c r="H2560">
        <v>0</v>
      </c>
      <c r="J2560" t="str">
        <f>VLOOKUP(Table3[[#This Row],[Faction ID]],Table4[],2)</f>
        <v>Balchoth</v>
      </c>
    </row>
    <row r="2561" spans="1:10" x14ac:dyDescent="0.25">
      <c r="A2561">
        <v>66</v>
      </c>
      <c r="B2561" t="s">
        <v>18</v>
      </c>
      <c r="C2561">
        <v>216</v>
      </c>
      <c r="D2561">
        <v>32</v>
      </c>
      <c r="E2561">
        <v>402.8</v>
      </c>
      <c r="F2561">
        <v>60247</v>
      </c>
      <c r="G2561">
        <v>36155</v>
      </c>
      <c r="H2561">
        <v>0</v>
      </c>
      <c r="J2561" t="str">
        <f>VLOOKUP(Table3[[#This Row],[Faction ID]],Table4[],2)</f>
        <v>Rhurim/Rhun</v>
      </c>
    </row>
    <row r="2562" spans="1:10" x14ac:dyDescent="0.25">
      <c r="A2562">
        <v>66</v>
      </c>
      <c r="B2562" t="s">
        <v>19</v>
      </c>
      <c r="C2562">
        <v>0</v>
      </c>
      <c r="D2562">
        <v>0</v>
      </c>
      <c r="E2562">
        <v>0</v>
      </c>
      <c r="F2562">
        <v>7360</v>
      </c>
      <c r="G2562">
        <v>1750</v>
      </c>
      <c r="H2562">
        <v>0</v>
      </c>
      <c r="J2562" t="str">
        <f>VLOOKUP(Table3[[#This Row],[Faction ID]],Table4[],2)</f>
        <v>Feredrim</v>
      </c>
    </row>
    <row r="2563" spans="1:10" x14ac:dyDescent="0.25">
      <c r="A2563">
        <v>66</v>
      </c>
      <c r="B2563" t="s">
        <v>26</v>
      </c>
      <c r="C2563">
        <v>0</v>
      </c>
      <c r="D2563">
        <v>0</v>
      </c>
      <c r="E2563">
        <v>0</v>
      </c>
      <c r="F2563">
        <v>6395</v>
      </c>
      <c r="G2563">
        <v>1750</v>
      </c>
      <c r="H2563">
        <v>0</v>
      </c>
      <c r="J2563" t="str">
        <f>VLOOKUP(Table3[[#This Row],[Faction ID]],Table4[],2)</f>
        <v>Rachrohir (Wainriders)</v>
      </c>
    </row>
    <row r="2564" spans="1:10" x14ac:dyDescent="0.25">
      <c r="A2564">
        <v>66</v>
      </c>
      <c r="B2564" t="s">
        <v>27</v>
      </c>
      <c r="C2564">
        <v>5</v>
      </c>
      <c r="D2564">
        <v>3</v>
      </c>
      <c r="E2564">
        <v>72</v>
      </c>
      <c r="F2564">
        <v>67749</v>
      </c>
      <c r="G2564">
        <v>15319</v>
      </c>
      <c r="H2564">
        <v>0</v>
      </c>
      <c r="J2564" t="str">
        <f>VLOOKUP(Table3[[#This Row],[Faction ID]],Table4[],2)</f>
        <v>Blacklock-Stonefoot League</v>
      </c>
    </row>
    <row r="2565" spans="1:10" x14ac:dyDescent="0.25">
      <c r="A2565">
        <v>66</v>
      </c>
      <c r="B2565" t="s">
        <v>28</v>
      </c>
      <c r="C2565">
        <v>4</v>
      </c>
      <c r="D2565">
        <v>2</v>
      </c>
      <c r="E2565">
        <v>41</v>
      </c>
      <c r="F2565">
        <v>54640</v>
      </c>
      <c r="G2565">
        <v>7911</v>
      </c>
      <c r="H2565">
        <v>0</v>
      </c>
      <c r="J2565" t="str">
        <f>VLOOKUP(Table3[[#This Row],[Faction ID]],Table4[],2)</f>
        <v>Ironfist-Stiffbeard Union</v>
      </c>
    </row>
    <row r="2566" spans="1:10" x14ac:dyDescent="0.25">
      <c r="A2566">
        <v>66</v>
      </c>
      <c r="B2566" t="s">
        <v>20</v>
      </c>
      <c r="C2566">
        <v>163</v>
      </c>
      <c r="D2566">
        <v>13</v>
      </c>
      <c r="E2566">
        <v>231.7</v>
      </c>
      <c r="F2566">
        <v>57412</v>
      </c>
      <c r="G2566">
        <v>28136</v>
      </c>
      <c r="H2566">
        <v>1211</v>
      </c>
      <c r="J2566" t="str">
        <f>VLOOKUP(Table3[[#This Row],[Faction ID]],Table4[],2)</f>
        <v>Gundabad</v>
      </c>
    </row>
    <row r="2567" spans="1:10" x14ac:dyDescent="0.25">
      <c r="A2567">
        <v>66</v>
      </c>
      <c r="B2567" t="s">
        <v>34</v>
      </c>
      <c r="C2567">
        <v>0</v>
      </c>
      <c r="D2567">
        <v>0</v>
      </c>
      <c r="E2567">
        <v>3</v>
      </c>
      <c r="F2567">
        <v>76865</v>
      </c>
      <c r="G2567">
        <v>2379</v>
      </c>
      <c r="H2567">
        <v>0</v>
      </c>
      <c r="J2567" t="str">
        <f>VLOOKUP(Table3[[#This Row],[Faction ID]],Table4[],2)</f>
        <v>Scouts of Rohan</v>
      </c>
    </row>
    <row r="2568" spans="1:10" x14ac:dyDescent="0.25">
      <c r="A2568">
        <v>66</v>
      </c>
      <c r="B2568" t="s">
        <v>33</v>
      </c>
      <c r="C2568">
        <v>6</v>
      </c>
      <c r="D2568">
        <v>4</v>
      </c>
      <c r="E2568">
        <v>64</v>
      </c>
      <c r="F2568">
        <v>80739</v>
      </c>
      <c r="G2568">
        <v>13095</v>
      </c>
      <c r="H2568">
        <v>691</v>
      </c>
      <c r="J2568" t="str">
        <f>VLOOKUP(Table3[[#This Row],[Faction ID]],Table4[],2)</f>
        <v>Northern Enedwaith</v>
      </c>
    </row>
    <row r="2569" spans="1:10" x14ac:dyDescent="0.25">
      <c r="A2569">
        <v>66</v>
      </c>
      <c r="B2569" t="s">
        <v>29</v>
      </c>
      <c r="C2569">
        <v>0</v>
      </c>
      <c r="D2569">
        <v>0</v>
      </c>
      <c r="E2569">
        <v>0</v>
      </c>
      <c r="F2569">
        <v>54023</v>
      </c>
      <c r="G2569">
        <v>1750</v>
      </c>
      <c r="H2569">
        <v>0</v>
      </c>
      <c r="J2569" t="str">
        <f>VLOOKUP(Table3[[#This Row],[Faction ID]],Table4[],2)</f>
        <v>Southern Enedwaith</v>
      </c>
    </row>
    <row r="2570" spans="1:10" x14ac:dyDescent="0.25">
      <c r="A2570">
        <v>66</v>
      </c>
      <c r="B2570" t="s">
        <v>30</v>
      </c>
      <c r="C2570">
        <v>0</v>
      </c>
      <c r="D2570">
        <v>0</v>
      </c>
      <c r="E2570">
        <v>0</v>
      </c>
      <c r="F2570">
        <v>32146</v>
      </c>
      <c r="G2570">
        <v>1750</v>
      </c>
      <c r="H2570">
        <v>0</v>
      </c>
      <c r="J2570" t="str">
        <f>VLOOKUP(Table3[[#This Row],[Faction ID]],Table4[],2)</f>
        <v>Druedain</v>
      </c>
    </row>
    <row r="2571" spans="1:10" x14ac:dyDescent="0.25">
      <c r="A2571">
        <v>66</v>
      </c>
      <c r="B2571" t="s">
        <v>31</v>
      </c>
      <c r="C2571">
        <v>0</v>
      </c>
      <c r="D2571">
        <v>0</v>
      </c>
      <c r="E2571">
        <v>0</v>
      </c>
      <c r="F2571">
        <v>15146</v>
      </c>
      <c r="G2571">
        <v>1750</v>
      </c>
      <c r="H2571">
        <v>0</v>
      </c>
      <c r="J2571" t="str">
        <f>VLOOKUP(Table3[[#This Row],[Faction ID]],Table4[],2)</f>
        <v>Harondor</v>
      </c>
    </row>
    <row r="2572" spans="1:10" x14ac:dyDescent="0.25">
      <c r="A2572">
        <v>66</v>
      </c>
      <c r="B2572" t="s">
        <v>35</v>
      </c>
      <c r="C2572">
        <v>0</v>
      </c>
      <c r="D2572">
        <v>0</v>
      </c>
      <c r="E2572">
        <v>0</v>
      </c>
      <c r="F2572">
        <v>4000</v>
      </c>
      <c r="G2572">
        <v>1750</v>
      </c>
      <c r="H2572">
        <v>0</v>
      </c>
      <c r="J2572" t="str">
        <f>VLOOKUP(Table3[[#This Row],[Faction ID]],Table4[],2)</f>
        <v>Southron Nomads</v>
      </c>
    </row>
    <row r="2573" spans="1:10" x14ac:dyDescent="0.25">
      <c r="A2573">
        <v>66</v>
      </c>
      <c r="B2573" t="s">
        <v>36</v>
      </c>
      <c r="C2573">
        <v>0</v>
      </c>
      <c r="D2573">
        <v>0</v>
      </c>
      <c r="E2573">
        <v>0</v>
      </c>
      <c r="F2573">
        <v>4000</v>
      </c>
      <c r="G2573">
        <v>1750</v>
      </c>
      <c r="H2573">
        <v>0</v>
      </c>
      <c r="J2573" t="str">
        <f>VLOOKUP(Table3[[#This Row],[Faction ID]],Table4[],2)</f>
        <v>_</v>
      </c>
    </row>
    <row r="2574" spans="1:10" x14ac:dyDescent="0.25">
      <c r="A2574">
        <v>66</v>
      </c>
      <c r="B2574" t="s">
        <v>37</v>
      </c>
      <c r="C2574">
        <v>0</v>
      </c>
      <c r="D2574">
        <v>0</v>
      </c>
      <c r="E2574">
        <v>0</v>
      </c>
      <c r="F2574">
        <v>4000</v>
      </c>
      <c r="G2574">
        <v>1750</v>
      </c>
      <c r="H2574">
        <v>0</v>
      </c>
      <c r="J2574" t="str">
        <f>VLOOKUP(Table3[[#This Row],[Faction ID]],Table4[],2)</f>
        <v>_</v>
      </c>
    </row>
    <row r="2575" spans="1:10" x14ac:dyDescent="0.25">
      <c r="A2575">
        <v>66</v>
      </c>
      <c r="B2575" t="s">
        <v>38</v>
      </c>
      <c r="C2575">
        <v>0</v>
      </c>
      <c r="D2575">
        <v>0</v>
      </c>
      <c r="E2575">
        <v>0</v>
      </c>
      <c r="F2575">
        <v>4000</v>
      </c>
      <c r="G2575">
        <v>1750</v>
      </c>
      <c r="H2575">
        <v>0</v>
      </c>
      <c r="J2575" t="str">
        <f>VLOOKUP(Table3[[#This Row],[Faction ID]],Table4[],2)</f>
        <v>_</v>
      </c>
    </row>
    <row r="2576" spans="1:10" x14ac:dyDescent="0.25">
      <c r="A2576">
        <v>66</v>
      </c>
      <c r="B2576" t="s">
        <v>39</v>
      </c>
      <c r="C2576">
        <v>0</v>
      </c>
      <c r="D2576">
        <v>0</v>
      </c>
      <c r="E2576">
        <v>0</v>
      </c>
      <c r="F2576">
        <v>4000</v>
      </c>
      <c r="G2576">
        <v>1750</v>
      </c>
      <c r="H2576">
        <v>0</v>
      </c>
      <c r="J2576" t="str">
        <f>VLOOKUP(Table3[[#This Row],[Faction ID]],Table4[],2)</f>
        <v>_</v>
      </c>
    </row>
    <row r="2577" spans="1:10" x14ac:dyDescent="0.25">
      <c r="A2577">
        <v>66</v>
      </c>
      <c r="B2577" t="s">
        <v>40</v>
      </c>
      <c r="C2577">
        <v>0</v>
      </c>
      <c r="D2577">
        <v>0</v>
      </c>
      <c r="E2577">
        <v>0</v>
      </c>
      <c r="F2577">
        <v>4000</v>
      </c>
      <c r="G2577">
        <v>1750</v>
      </c>
      <c r="H2577">
        <v>0</v>
      </c>
      <c r="J2577" t="str">
        <f>VLOOKUP(Table3[[#This Row],[Faction ID]],Table4[],2)</f>
        <v>_</v>
      </c>
    </row>
    <row r="2578" spans="1:10" x14ac:dyDescent="0.25">
      <c r="A2578">
        <v>66</v>
      </c>
      <c r="B2578" t="s">
        <v>41</v>
      </c>
      <c r="C2578">
        <v>0</v>
      </c>
      <c r="D2578">
        <v>0</v>
      </c>
      <c r="E2578">
        <v>0</v>
      </c>
      <c r="F2578">
        <v>4000</v>
      </c>
      <c r="G2578">
        <v>1750</v>
      </c>
      <c r="H2578">
        <v>0</v>
      </c>
      <c r="J2578" t="str">
        <f>VLOOKUP(Table3[[#This Row],[Faction ID]],Table4[],2)</f>
        <v>_</v>
      </c>
    </row>
    <row r="2579" spans="1:10" x14ac:dyDescent="0.25">
      <c r="A2579">
        <v>66</v>
      </c>
      <c r="B2579" t="s">
        <v>42</v>
      </c>
      <c r="C2579">
        <v>0</v>
      </c>
      <c r="D2579">
        <v>0</v>
      </c>
      <c r="E2579">
        <v>0</v>
      </c>
      <c r="F2579">
        <v>4000</v>
      </c>
      <c r="G2579">
        <v>1750</v>
      </c>
      <c r="H2579">
        <v>0</v>
      </c>
      <c r="J2579" t="str">
        <f>VLOOKUP(Table3[[#This Row],[Faction ID]],Table4[],2)</f>
        <v>_</v>
      </c>
    </row>
    <row r="2580" spans="1:10" x14ac:dyDescent="0.25">
      <c r="A2580">
        <v>66</v>
      </c>
      <c r="B2580" t="s">
        <v>43</v>
      </c>
      <c r="C2580">
        <v>0</v>
      </c>
      <c r="D2580">
        <v>0</v>
      </c>
      <c r="E2580">
        <v>0</v>
      </c>
      <c r="F2580">
        <v>4000</v>
      </c>
      <c r="G2580">
        <v>1750</v>
      </c>
      <c r="H2580">
        <v>0</v>
      </c>
      <c r="J2580" t="str">
        <f>VLOOKUP(Table3[[#This Row],[Faction ID]],Table4[],2)</f>
        <v>_</v>
      </c>
    </row>
    <row r="2581" spans="1:10" x14ac:dyDescent="0.25">
      <c r="A2581">
        <v>66</v>
      </c>
      <c r="B2581" t="s">
        <v>44</v>
      </c>
      <c r="C2581">
        <v>0</v>
      </c>
      <c r="D2581">
        <v>0</v>
      </c>
      <c r="E2581">
        <v>0</v>
      </c>
      <c r="F2581">
        <v>4000</v>
      </c>
      <c r="G2581">
        <v>1750</v>
      </c>
      <c r="H2581">
        <v>0</v>
      </c>
      <c r="J2581" t="str">
        <f>VLOOKUP(Table3[[#This Row],[Faction ID]],Table4[],2)</f>
        <v>_</v>
      </c>
    </row>
    <row r="2582" spans="1:10" x14ac:dyDescent="0.25">
      <c r="A2582">
        <v>67</v>
      </c>
      <c r="B2582" t="s">
        <v>9</v>
      </c>
      <c r="C2582">
        <v>246</v>
      </c>
      <c r="D2582">
        <v>26</v>
      </c>
      <c r="E2582">
        <v>254.3</v>
      </c>
      <c r="F2582">
        <v>275</v>
      </c>
      <c r="G2582">
        <v>28286</v>
      </c>
      <c r="H2582">
        <v>2053</v>
      </c>
      <c r="J2582" t="str">
        <f>VLOOKUP(Table3[[#This Row],[Faction ID]],Table4[],2)</f>
        <v>Mordor</v>
      </c>
    </row>
    <row r="2583" spans="1:10" x14ac:dyDescent="0.25">
      <c r="A2583">
        <v>67</v>
      </c>
      <c r="B2583" t="s">
        <v>4</v>
      </c>
      <c r="C2583">
        <v>146</v>
      </c>
      <c r="D2583">
        <v>0</v>
      </c>
      <c r="E2583">
        <v>0</v>
      </c>
      <c r="F2583">
        <v>55420</v>
      </c>
      <c r="G2583">
        <v>2500</v>
      </c>
      <c r="H2583">
        <v>0</v>
      </c>
      <c r="J2583" t="str">
        <f>VLOOKUP(Table3[[#This Row],[Faction ID]],Table4[],2)</f>
        <v>Gondor</v>
      </c>
    </row>
    <row r="2584" spans="1:10" x14ac:dyDescent="0.25">
      <c r="A2584">
        <v>67</v>
      </c>
      <c r="B2584" t="s">
        <v>6</v>
      </c>
      <c r="C2584">
        <v>170</v>
      </c>
      <c r="D2584">
        <v>3</v>
      </c>
      <c r="E2584">
        <v>59</v>
      </c>
      <c r="F2584">
        <v>12487</v>
      </c>
      <c r="G2584">
        <v>10491</v>
      </c>
      <c r="H2584">
        <v>265</v>
      </c>
      <c r="J2584" t="str">
        <f>VLOOKUP(Table3[[#This Row],[Faction ID]],Table4[],2)</f>
        <v>Dale</v>
      </c>
    </row>
    <row r="2585" spans="1:10" x14ac:dyDescent="0.25">
      <c r="A2585">
        <v>67</v>
      </c>
      <c r="B2585" t="s">
        <v>21</v>
      </c>
      <c r="C2585">
        <v>170</v>
      </c>
      <c r="D2585">
        <v>3</v>
      </c>
      <c r="E2585">
        <v>32</v>
      </c>
      <c r="F2585">
        <v>26067</v>
      </c>
      <c r="G2585">
        <v>13104</v>
      </c>
      <c r="H2585">
        <v>425</v>
      </c>
      <c r="J2585" t="str">
        <f>VLOOKUP(Table3[[#This Row],[Faction ID]],Table4[],2)</f>
        <v>Erebor</v>
      </c>
    </row>
    <row r="2586" spans="1:10" x14ac:dyDescent="0.25">
      <c r="A2586">
        <v>67</v>
      </c>
      <c r="B2586" t="s">
        <v>5</v>
      </c>
      <c r="C2586">
        <v>157</v>
      </c>
      <c r="D2586">
        <v>0</v>
      </c>
      <c r="E2586">
        <v>0</v>
      </c>
      <c r="F2586">
        <v>6638</v>
      </c>
      <c r="G2586">
        <v>2500</v>
      </c>
      <c r="H2586">
        <v>0</v>
      </c>
      <c r="J2586" t="str">
        <f>VLOOKUP(Table3[[#This Row],[Faction ID]],Table4[],2)</f>
        <v>Rohan</v>
      </c>
    </row>
    <row r="2587" spans="1:10" x14ac:dyDescent="0.25">
      <c r="A2587">
        <v>67</v>
      </c>
      <c r="B2587" t="s">
        <v>12</v>
      </c>
      <c r="C2587">
        <v>198</v>
      </c>
      <c r="D2587">
        <v>14</v>
      </c>
      <c r="E2587">
        <v>221.9</v>
      </c>
      <c r="F2587">
        <v>16886</v>
      </c>
      <c r="G2587">
        <v>29850</v>
      </c>
      <c r="H2587">
        <v>2158</v>
      </c>
      <c r="J2587" t="str">
        <f>VLOOKUP(Table3[[#This Row],[Faction ID]],Table4[],2)</f>
        <v>Dol Guldur</v>
      </c>
    </row>
    <row r="2588" spans="1:10" x14ac:dyDescent="0.25">
      <c r="A2588">
        <v>67</v>
      </c>
      <c r="B2588" t="s">
        <v>10</v>
      </c>
      <c r="C2588">
        <v>58</v>
      </c>
      <c r="D2588">
        <v>0</v>
      </c>
      <c r="E2588">
        <v>0</v>
      </c>
      <c r="F2588">
        <v>4515</v>
      </c>
      <c r="G2588">
        <v>2500</v>
      </c>
      <c r="H2588">
        <v>0</v>
      </c>
      <c r="J2588" t="str">
        <f>VLOOKUP(Table3[[#This Row],[Faction ID]],Table4[],2)</f>
        <v>Anduin Vale</v>
      </c>
    </row>
    <row r="2589" spans="1:10" x14ac:dyDescent="0.25">
      <c r="A2589">
        <v>67</v>
      </c>
      <c r="B2589" t="s">
        <v>32</v>
      </c>
      <c r="C2589">
        <v>228</v>
      </c>
      <c r="D2589">
        <v>8</v>
      </c>
      <c r="E2589">
        <v>152.19999999999999</v>
      </c>
      <c r="F2589">
        <v>18028</v>
      </c>
      <c r="G2589">
        <v>22051</v>
      </c>
      <c r="H2589">
        <v>1249</v>
      </c>
      <c r="J2589" t="str">
        <f>VLOOKUP(Table3[[#This Row],[Faction ID]],Table4[],2)</f>
        <v>Isengard</v>
      </c>
    </row>
    <row r="2590" spans="1:10" x14ac:dyDescent="0.25">
      <c r="A2590">
        <v>67</v>
      </c>
      <c r="B2590" t="s">
        <v>22</v>
      </c>
      <c r="C2590">
        <v>30</v>
      </c>
      <c r="D2590">
        <v>0</v>
      </c>
      <c r="E2590">
        <v>0</v>
      </c>
      <c r="F2590">
        <v>8475</v>
      </c>
      <c r="G2590">
        <v>2500</v>
      </c>
      <c r="H2590">
        <v>0</v>
      </c>
      <c r="J2590" t="str">
        <f>VLOOKUP(Table3[[#This Row],[Faction ID]],Table4[],2)</f>
        <v>Woodland Realm</v>
      </c>
    </row>
    <row r="2591" spans="1:10" x14ac:dyDescent="0.25">
      <c r="A2591">
        <v>67</v>
      </c>
      <c r="B2591" t="s">
        <v>23</v>
      </c>
      <c r="C2591">
        <v>64</v>
      </c>
      <c r="D2591">
        <v>0</v>
      </c>
      <c r="E2591">
        <v>0</v>
      </c>
      <c r="F2591">
        <v>4721</v>
      </c>
      <c r="G2591">
        <v>2500</v>
      </c>
      <c r="H2591">
        <v>0</v>
      </c>
      <c r="J2591" t="str">
        <f>VLOOKUP(Table3[[#This Row],[Faction ID]],Table4[],2)</f>
        <v>Lothlorien</v>
      </c>
    </row>
    <row r="2592" spans="1:10" x14ac:dyDescent="0.25">
      <c r="A2592">
        <v>67</v>
      </c>
      <c r="B2592" t="s">
        <v>24</v>
      </c>
      <c r="C2592">
        <v>0</v>
      </c>
      <c r="D2592">
        <v>0</v>
      </c>
      <c r="E2592">
        <v>0</v>
      </c>
      <c r="F2592">
        <v>4919</v>
      </c>
      <c r="G2592">
        <v>1750</v>
      </c>
      <c r="H2592">
        <v>0</v>
      </c>
      <c r="J2592" t="str">
        <f>VLOOKUP(Table3[[#This Row],[Faction ID]],Table4[],2)</f>
        <v>Variags (Khand)</v>
      </c>
    </row>
    <row r="2593" spans="1:10" x14ac:dyDescent="0.25">
      <c r="A2593">
        <v>67</v>
      </c>
      <c r="B2593" t="s">
        <v>14</v>
      </c>
      <c r="C2593">
        <v>11</v>
      </c>
      <c r="D2593">
        <v>8</v>
      </c>
      <c r="E2593">
        <v>132</v>
      </c>
      <c r="F2593">
        <v>29045</v>
      </c>
      <c r="G2593">
        <v>26102</v>
      </c>
      <c r="H2593">
        <v>1670</v>
      </c>
      <c r="J2593" t="str">
        <f>VLOOKUP(Table3[[#This Row],[Faction ID]],Table4[],2)</f>
        <v>Corsairs of Umbar</v>
      </c>
    </row>
    <row r="2594" spans="1:10" x14ac:dyDescent="0.25">
      <c r="A2594">
        <v>67</v>
      </c>
      <c r="B2594" t="s">
        <v>25</v>
      </c>
      <c r="C2594">
        <v>3</v>
      </c>
      <c r="D2594">
        <v>1</v>
      </c>
      <c r="E2594">
        <v>36</v>
      </c>
      <c r="F2594">
        <v>4693</v>
      </c>
      <c r="G2594">
        <v>6140</v>
      </c>
      <c r="H2594">
        <v>0</v>
      </c>
      <c r="J2594" t="str">
        <f>VLOOKUP(Table3[[#This Row],[Faction ID]],Table4[],2)</f>
        <v>Mahud</v>
      </c>
    </row>
    <row r="2595" spans="1:10" x14ac:dyDescent="0.25">
      <c r="A2595">
        <v>67</v>
      </c>
      <c r="B2595" t="s">
        <v>11</v>
      </c>
      <c r="C2595">
        <v>119</v>
      </c>
      <c r="D2595">
        <v>7</v>
      </c>
      <c r="E2595">
        <v>119</v>
      </c>
      <c r="F2595">
        <v>34948</v>
      </c>
      <c r="G2595">
        <v>14674</v>
      </c>
      <c r="H2595">
        <v>0</v>
      </c>
      <c r="J2595" t="str">
        <f>VLOOKUP(Table3[[#This Row],[Faction ID]],Table4[],2)</f>
        <v>Haradrim</v>
      </c>
    </row>
    <row r="2596" spans="1:10" x14ac:dyDescent="0.25">
      <c r="A2596">
        <v>67</v>
      </c>
      <c r="B2596" t="s">
        <v>15</v>
      </c>
      <c r="C2596">
        <v>143</v>
      </c>
      <c r="D2596">
        <v>12</v>
      </c>
      <c r="E2596">
        <v>191</v>
      </c>
      <c r="F2596">
        <v>52836</v>
      </c>
      <c r="G2596">
        <v>31536</v>
      </c>
      <c r="H2596">
        <v>2218</v>
      </c>
      <c r="J2596" t="str">
        <f>VLOOKUP(Table3[[#This Row],[Faction ID]],Table4[],2)</f>
        <v>Dunlendings</v>
      </c>
    </row>
    <row r="2597" spans="1:10" x14ac:dyDescent="0.25">
      <c r="A2597">
        <v>67</v>
      </c>
      <c r="B2597" t="s">
        <v>16</v>
      </c>
      <c r="C2597">
        <v>0</v>
      </c>
      <c r="D2597">
        <v>0</v>
      </c>
      <c r="E2597">
        <v>0</v>
      </c>
      <c r="F2597">
        <v>5352</v>
      </c>
      <c r="G2597">
        <v>1750</v>
      </c>
      <c r="H2597">
        <v>0</v>
      </c>
      <c r="J2597" t="str">
        <f>VLOOKUP(Table3[[#This Row],[Faction ID]],Table4[],2)</f>
        <v>Haerrim</v>
      </c>
    </row>
    <row r="2598" spans="1:10" x14ac:dyDescent="0.25">
      <c r="A2598">
        <v>67</v>
      </c>
      <c r="B2598" t="s">
        <v>13</v>
      </c>
      <c r="C2598">
        <v>310</v>
      </c>
      <c r="D2598">
        <v>19</v>
      </c>
      <c r="E2598">
        <v>294.7</v>
      </c>
      <c r="F2598">
        <v>21941</v>
      </c>
      <c r="G2598">
        <v>37813</v>
      </c>
      <c r="H2598">
        <v>3255</v>
      </c>
      <c r="J2598" t="str">
        <f>VLOOKUP(Table3[[#This Row],[Faction ID]],Table4[],2)</f>
        <v>Goblins</v>
      </c>
    </row>
    <row r="2599" spans="1:10" x14ac:dyDescent="0.25">
      <c r="A2599">
        <v>67</v>
      </c>
      <c r="B2599" t="s">
        <v>17</v>
      </c>
      <c r="C2599">
        <v>0</v>
      </c>
      <c r="D2599">
        <v>0</v>
      </c>
      <c r="E2599">
        <v>0</v>
      </c>
      <c r="F2599">
        <v>4872</v>
      </c>
      <c r="G2599">
        <v>1750</v>
      </c>
      <c r="H2599">
        <v>0</v>
      </c>
      <c r="J2599" t="str">
        <f>VLOOKUP(Table3[[#This Row],[Faction ID]],Table4[],2)</f>
        <v>Balchoth</v>
      </c>
    </row>
    <row r="2600" spans="1:10" x14ac:dyDescent="0.25">
      <c r="A2600">
        <v>67</v>
      </c>
      <c r="B2600" t="s">
        <v>18</v>
      </c>
      <c r="C2600">
        <v>213</v>
      </c>
      <c r="D2600">
        <v>31</v>
      </c>
      <c r="E2600">
        <v>412.2</v>
      </c>
      <c r="F2600">
        <v>59105</v>
      </c>
      <c r="G2600">
        <v>37930</v>
      </c>
      <c r="H2600">
        <v>1030</v>
      </c>
      <c r="J2600" t="str">
        <f>VLOOKUP(Table3[[#This Row],[Faction ID]],Table4[],2)</f>
        <v>Rhurim/Rhun</v>
      </c>
    </row>
    <row r="2601" spans="1:10" x14ac:dyDescent="0.25">
      <c r="A2601">
        <v>67</v>
      </c>
      <c r="B2601" t="s">
        <v>19</v>
      </c>
      <c r="C2601">
        <v>0</v>
      </c>
      <c r="D2601">
        <v>0</v>
      </c>
      <c r="E2601">
        <v>0</v>
      </c>
      <c r="F2601">
        <v>7360</v>
      </c>
      <c r="G2601">
        <v>1750</v>
      </c>
      <c r="H2601">
        <v>0</v>
      </c>
      <c r="J2601" t="str">
        <f>VLOOKUP(Table3[[#This Row],[Faction ID]],Table4[],2)</f>
        <v>Feredrim</v>
      </c>
    </row>
    <row r="2602" spans="1:10" x14ac:dyDescent="0.25">
      <c r="A2602">
        <v>67</v>
      </c>
      <c r="B2602" t="s">
        <v>26</v>
      </c>
      <c r="C2602">
        <v>0</v>
      </c>
      <c r="D2602">
        <v>0</v>
      </c>
      <c r="E2602">
        <v>0</v>
      </c>
      <c r="F2602">
        <v>6395</v>
      </c>
      <c r="G2602">
        <v>1750</v>
      </c>
      <c r="H2602">
        <v>0</v>
      </c>
      <c r="J2602" t="str">
        <f>VLOOKUP(Table3[[#This Row],[Faction ID]],Table4[],2)</f>
        <v>Rachrohir (Wainriders)</v>
      </c>
    </row>
    <row r="2603" spans="1:10" x14ac:dyDescent="0.25">
      <c r="A2603">
        <v>67</v>
      </c>
      <c r="B2603" t="s">
        <v>27</v>
      </c>
      <c r="C2603">
        <v>7</v>
      </c>
      <c r="D2603">
        <v>4</v>
      </c>
      <c r="E2603">
        <v>73</v>
      </c>
      <c r="F2603">
        <v>64756</v>
      </c>
      <c r="G2603">
        <v>16473</v>
      </c>
      <c r="H2603">
        <v>0</v>
      </c>
      <c r="J2603" t="str">
        <f>VLOOKUP(Table3[[#This Row],[Faction ID]],Table4[],2)</f>
        <v>Blacklock-Stonefoot League</v>
      </c>
    </row>
    <row r="2604" spans="1:10" x14ac:dyDescent="0.25">
      <c r="A2604">
        <v>67</v>
      </c>
      <c r="B2604" t="s">
        <v>28</v>
      </c>
      <c r="C2604">
        <v>4</v>
      </c>
      <c r="D2604">
        <v>2</v>
      </c>
      <c r="E2604">
        <v>41</v>
      </c>
      <c r="F2604">
        <v>56895</v>
      </c>
      <c r="G2604">
        <v>7911</v>
      </c>
      <c r="H2604">
        <v>0</v>
      </c>
      <c r="J2604" t="str">
        <f>VLOOKUP(Table3[[#This Row],[Faction ID]],Table4[],2)</f>
        <v>Ironfist-Stiffbeard Union</v>
      </c>
    </row>
    <row r="2605" spans="1:10" x14ac:dyDescent="0.25">
      <c r="A2605">
        <v>67</v>
      </c>
      <c r="B2605" t="s">
        <v>20</v>
      </c>
      <c r="C2605">
        <v>163</v>
      </c>
      <c r="D2605">
        <v>13</v>
      </c>
      <c r="E2605">
        <v>218.6</v>
      </c>
      <c r="F2605">
        <v>59586</v>
      </c>
      <c r="G2605">
        <v>31055</v>
      </c>
      <c r="H2605">
        <v>1214</v>
      </c>
      <c r="J2605" t="str">
        <f>VLOOKUP(Table3[[#This Row],[Faction ID]],Table4[],2)</f>
        <v>Gundabad</v>
      </c>
    </row>
    <row r="2606" spans="1:10" x14ac:dyDescent="0.25">
      <c r="A2606">
        <v>67</v>
      </c>
      <c r="B2606" t="s">
        <v>34</v>
      </c>
      <c r="C2606">
        <v>0</v>
      </c>
      <c r="D2606">
        <v>0</v>
      </c>
      <c r="E2606">
        <v>3</v>
      </c>
      <c r="F2606">
        <v>77986</v>
      </c>
      <c r="G2606">
        <v>2379</v>
      </c>
      <c r="H2606">
        <v>0</v>
      </c>
      <c r="J2606" t="str">
        <f>VLOOKUP(Table3[[#This Row],[Faction ID]],Table4[],2)</f>
        <v>Scouts of Rohan</v>
      </c>
    </row>
    <row r="2607" spans="1:10" x14ac:dyDescent="0.25">
      <c r="A2607">
        <v>67</v>
      </c>
      <c r="B2607" t="s">
        <v>33</v>
      </c>
      <c r="C2607">
        <v>6</v>
      </c>
      <c r="D2607">
        <v>4</v>
      </c>
      <c r="E2607">
        <v>67</v>
      </c>
      <c r="F2607">
        <v>83693</v>
      </c>
      <c r="G2607">
        <v>13570</v>
      </c>
      <c r="H2607">
        <v>691</v>
      </c>
      <c r="J2607" t="str">
        <f>VLOOKUP(Table3[[#This Row],[Faction ID]],Table4[],2)</f>
        <v>Northern Enedwaith</v>
      </c>
    </row>
    <row r="2608" spans="1:10" x14ac:dyDescent="0.25">
      <c r="A2608">
        <v>67</v>
      </c>
      <c r="B2608" t="s">
        <v>29</v>
      </c>
      <c r="C2608">
        <v>0</v>
      </c>
      <c r="D2608">
        <v>0</v>
      </c>
      <c r="E2608">
        <v>0</v>
      </c>
      <c r="F2608">
        <v>54023</v>
      </c>
      <c r="G2608">
        <v>1750</v>
      </c>
      <c r="H2608">
        <v>0</v>
      </c>
      <c r="J2608" t="str">
        <f>VLOOKUP(Table3[[#This Row],[Faction ID]],Table4[],2)</f>
        <v>Southern Enedwaith</v>
      </c>
    </row>
    <row r="2609" spans="1:10" x14ac:dyDescent="0.25">
      <c r="A2609">
        <v>67</v>
      </c>
      <c r="B2609" t="s">
        <v>30</v>
      </c>
      <c r="C2609">
        <v>0</v>
      </c>
      <c r="D2609">
        <v>0</v>
      </c>
      <c r="E2609">
        <v>0</v>
      </c>
      <c r="F2609">
        <v>32146</v>
      </c>
      <c r="G2609">
        <v>1750</v>
      </c>
      <c r="H2609">
        <v>0</v>
      </c>
      <c r="J2609" t="str">
        <f>VLOOKUP(Table3[[#This Row],[Faction ID]],Table4[],2)</f>
        <v>Druedain</v>
      </c>
    </row>
    <row r="2610" spans="1:10" x14ac:dyDescent="0.25">
      <c r="A2610">
        <v>67</v>
      </c>
      <c r="B2610" t="s">
        <v>31</v>
      </c>
      <c r="C2610">
        <v>0</v>
      </c>
      <c r="D2610">
        <v>0</v>
      </c>
      <c r="E2610">
        <v>0</v>
      </c>
      <c r="F2610">
        <v>15146</v>
      </c>
      <c r="G2610">
        <v>1750</v>
      </c>
      <c r="H2610">
        <v>0</v>
      </c>
      <c r="J2610" t="str">
        <f>VLOOKUP(Table3[[#This Row],[Faction ID]],Table4[],2)</f>
        <v>Harondor</v>
      </c>
    </row>
    <row r="2611" spans="1:10" x14ac:dyDescent="0.25">
      <c r="A2611">
        <v>67</v>
      </c>
      <c r="B2611" t="s">
        <v>35</v>
      </c>
      <c r="C2611">
        <v>0</v>
      </c>
      <c r="D2611">
        <v>0</v>
      </c>
      <c r="E2611">
        <v>0</v>
      </c>
      <c r="F2611">
        <v>4000</v>
      </c>
      <c r="G2611">
        <v>1750</v>
      </c>
      <c r="H2611">
        <v>0</v>
      </c>
      <c r="J2611" t="str">
        <f>VLOOKUP(Table3[[#This Row],[Faction ID]],Table4[],2)</f>
        <v>Southron Nomads</v>
      </c>
    </row>
    <row r="2612" spans="1:10" x14ac:dyDescent="0.25">
      <c r="A2612">
        <v>67</v>
      </c>
      <c r="B2612" t="s">
        <v>36</v>
      </c>
      <c r="C2612">
        <v>0</v>
      </c>
      <c r="D2612">
        <v>0</v>
      </c>
      <c r="E2612">
        <v>0</v>
      </c>
      <c r="F2612">
        <v>4000</v>
      </c>
      <c r="G2612">
        <v>1750</v>
      </c>
      <c r="H2612">
        <v>0</v>
      </c>
      <c r="J2612" t="str">
        <f>VLOOKUP(Table3[[#This Row],[Faction ID]],Table4[],2)</f>
        <v>_</v>
      </c>
    </row>
    <row r="2613" spans="1:10" x14ac:dyDescent="0.25">
      <c r="A2613">
        <v>67</v>
      </c>
      <c r="B2613" t="s">
        <v>37</v>
      </c>
      <c r="C2613">
        <v>0</v>
      </c>
      <c r="D2613">
        <v>0</v>
      </c>
      <c r="E2613">
        <v>0</v>
      </c>
      <c r="F2613">
        <v>4000</v>
      </c>
      <c r="G2613">
        <v>1750</v>
      </c>
      <c r="H2613">
        <v>0</v>
      </c>
      <c r="J2613" t="str">
        <f>VLOOKUP(Table3[[#This Row],[Faction ID]],Table4[],2)</f>
        <v>_</v>
      </c>
    </row>
    <row r="2614" spans="1:10" x14ac:dyDescent="0.25">
      <c r="A2614">
        <v>67</v>
      </c>
      <c r="B2614" t="s">
        <v>38</v>
      </c>
      <c r="C2614">
        <v>0</v>
      </c>
      <c r="D2614">
        <v>0</v>
      </c>
      <c r="E2614">
        <v>0</v>
      </c>
      <c r="F2614">
        <v>4000</v>
      </c>
      <c r="G2614">
        <v>1750</v>
      </c>
      <c r="H2614">
        <v>0</v>
      </c>
      <c r="J2614" t="str">
        <f>VLOOKUP(Table3[[#This Row],[Faction ID]],Table4[],2)</f>
        <v>_</v>
      </c>
    </row>
    <row r="2615" spans="1:10" x14ac:dyDescent="0.25">
      <c r="A2615">
        <v>67</v>
      </c>
      <c r="B2615" t="s">
        <v>39</v>
      </c>
      <c r="C2615">
        <v>0</v>
      </c>
      <c r="D2615">
        <v>0</v>
      </c>
      <c r="E2615">
        <v>0</v>
      </c>
      <c r="F2615">
        <v>4000</v>
      </c>
      <c r="G2615">
        <v>1750</v>
      </c>
      <c r="H2615">
        <v>0</v>
      </c>
      <c r="J2615" t="str">
        <f>VLOOKUP(Table3[[#This Row],[Faction ID]],Table4[],2)</f>
        <v>_</v>
      </c>
    </row>
    <row r="2616" spans="1:10" x14ac:dyDescent="0.25">
      <c r="A2616">
        <v>67</v>
      </c>
      <c r="B2616" t="s">
        <v>40</v>
      </c>
      <c r="C2616">
        <v>0</v>
      </c>
      <c r="D2616">
        <v>0</v>
      </c>
      <c r="E2616">
        <v>0</v>
      </c>
      <c r="F2616">
        <v>4000</v>
      </c>
      <c r="G2616">
        <v>1750</v>
      </c>
      <c r="H2616">
        <v>0</v>
      </c>
      <c r="J2616" t="str">
        <f>VLOOKUP(Table3[[#This Row],[Faction ID]],Table4[],2)</f>
        <v>_</v>
      </c>
    </row>
    <row r="2617" spans="1:10" x14ac:dyDescent="0.25">
      <c r="A2617">
        <v>67</v>
      </c>
      <c r="B2617" t="s">
        <v>41</v>
      </c>
      <c r="C2617">
        <v>0</v>
      </c>
      <c r="D2617">
        <v>0</v>
      </c>
      <c r="E2617">
        <v>0</v>
      </c>
      <c r="F2617">
        <v>4000</v>
      </c>
      <c r="G2617">
        <v>1750</v>
      </c>
      <c r="H2617">
        <v>0</v>
      </c>
      <c r="J2617" t="str">
        <f>VLOOKUP(Table3[[#This Row],[Faction ID]],Table4[],2)</f>
        <v>_</v>
      </c>
    </row>
    <row r="2618" spans="1:10" x14ac:dyDescent="0.25">
      <c r="A2618">
        <v>67</v>
      </c>
      <c r="B2618" t="s">
        <v>42</v>
      </c>
      <c r="C2618">
        <v>0</v>
      </c>
      <c r="D2618">
        <v>0</v>
      </c>
      <c r="E2618">
        <v>0</v>
      </c>
      <c r="F2618">
        <v>4000</v>
      </c>
      <c r="G2618">
        <v>1750</v>
      </c>
      <c r="H2618">
        <v>0</v>
      </c>
      <c r="J2618" t="str">
        <f>VLOOKUP(Table3[[#This Row],[Faction ID]],Table4[],2)</f>
        <v>_</v>
      </c>
    </row>
    <row r="2619" spans="1:10" x14ac:dyDescent="0.25">
      <c r="A2619">
        <v>67</v>
      </c>
      <c r="B2619" t="s">
        <v>43</v>
      </c>
      <c r="C2619">
        <v>0</v>
      </c>
      <c r="D2619">
        <v>0</v>
      </c>
      <c r="E2619">
        <v>0</v>
      </c>
      <c r="F2619">
        <v>4000</v>
      </c>
      <c r="G2619">
        <v>1750</v>
      </c>
      <c r="H2619">
        <v>0</v>
      </c>
      <c r="J2619" t="str">
        <f>VLOOKUP(Table3[[#This Row],[Faction ID]],Table4[],2)</f>
        <v>_</v>
      </c>
    </row>
    <row r="2620" spans="1:10" x14ac:dyDescent="0.25">
      <c r="A2620">
        <v>67</v>
      </c>
      <c r="B2620" t="s">
        <v>44</v>
      </c>
      <c r="C2620">
        <v>0</v>
      </c>
      <c r="D2620">
        <v>0</v>
      </c>
      <c r="E2620">
        <v>0</v>
      </c>
      <c r="F2620">
        <v>4000</v>
      </c>
      <c r="G2620">
        <v>1750</v>
      </c>
      <c r="H2620">
        <v>0</v>
      </c>
      <c r="J2620" t="str">
        <f>VLOOKUP(Table3[[#This Row],[Faction ID]],Table4[],2)</f>
        <v>_</v>
      </c>
    </row>
    <row r="2621" spans="1:10" x14ac:dyDescent="0.25">
      <c r="A2621">
        <v>68</v>
      </c>
      <c r="B2621" t="s">
        <v>9</v>
      </c>
      <c r="C2621">
        <v>254</v>
      </c>
      <c r="D2621">
        <v>26</v>
      </c>
      <c r="E2621">
        <v>257.3</v>
      </c>
      <c r="F2621">
        <v>931</v>
      </c>
      <c r="G2621">
        <v>29691</v>
      </c>
      <c r="H2621">
        <v>2061</v>
      </c>
      <c r="J2621" t="str">
        <f>VLOOKUP(Table3[[#This Row],[Faction ID]],Table4[],2)</f>
        <v>Mordor</v>
      </c>
    </row>
    <row r="2622" spans="1:10" x14ac:dyDescent="0.25">
      <c r="A2622">
        <v>68</v>
      </c>
      <c r="B2622" t="s">
        <v>4</v>
      </c>
      <c r="C2622">
        <v>146</v>
      </c>
      <c r="D2622">
        <v>0</v>
      </c>
      <c r="E2622">
        <v>0</v>
      </c>
      <c r="F2622">
        <v>55420</v>
      </c>
      <c r="G2622">
        <v>2500</v>
      </c>
      <c r="H2622">
        <v>0</v>
      </c>
      <c r="J2622" t="str">
        <f>VLOOKUP(Table3[[#This Row],[Faction ID]],Table4[],2)</f>
        <v>Gondor</v>
      </c>
    </row>
    <row r="2623" spans="1:10" x14ac:dyDescent="0.25">
      <c r="A2623">
        <v>68</v>
      </c>
      <c r="B2623" t="s">
        <v>6</v>
      </c>
      <c r="C2623">
        <v>170</v>
      </c>
      <c r="D2623">
        <v>3</v>
      </c>
      <c r="E2623">
        <v>59</v>
      </c>
      <c r="F2623">
        <v>14284</v>
      </c>
      <c r="G2623">
        <v>11325</v>
      </c>
      <c r="H2623">
        <v>211</v>
      </c>
      <c r="J2623" t="str">
        <f>VLOOKUP(Table3[[#This Row],[Faction ID]],Table4[],2)</f>
        <v>Dale</v>
      </c>
    </row>
    <row r="2624" spans="1:10" x14ac:dyDescent="0.25">
      <c r="A2624">
        <v>68</v>
      </c>
      <c r="B2624" t="s">
        <v>21</v>
      </c>
      <c r="C2624">
        <v>173</v>
      </c>
      <c r="D2624">
        <v>1</v>
      </c>
      <c r="E2624">
        <v>27.6</v>
      </c>
      <c r="F2624">
        <v>27474</v>
      </c>
      <c r="G2624">
        <v>9152</v>
      </c>
      <c r="H2624">
        <v>354</v>
      </c>
      <c r="J2624" t="str">
        <f>VLOOKUP(Table3[[#This Row],[Faction ID]],Table4[],2)</f>
        <v>Erebor</v>
      </c>
    </row>
    <row r="2625" spans="1:10" x14ac:dyDescent="0.25">
      <c r="A2625">
        <v>68</v>
      </c>
      <c r="B2625" t="s">
        <v>5</v>
      </c>
      <c r="C2625">
        <v>157</v>
      </c>
      <c r="D2625">
        <v>0</v>
      </c>
      <c r="E2625">
        <v>0</v>
      </c>
      <c r="F2625">
        <v>6638</v>
      </c>
      <c r="G2625">
        <v>2500</v>
      </c>
      <c r="H2625">
        <v>0</v>
      </c>
      <c r="J2625" t="str">
        <f>VLOOKUP(Table3[[#This Row],[Faction ID]],Table4[],2)</f>
        <v>Rohan</v>
      </c>
    </row>
    <row r="2626" spans="1:10" x14ac:dyDescent="0.25">
      <c r="A2626">
        <v>68</v>
      </c>
      <c r="B2626" t="s">
        <v>12</v>
      </c>
      <c r="C2626">
        <v>198</v>
      </c>
      <c r="D2626">
        <v>14</v>
      </c>
      <c r="E2626">
        <v>222.9</v>
      </c>
      <c r="F2626">
        <v>18161</v>
      </c>
      <c r="G2626">
        <v>29698</v>
      </c>
      <c r="H2626">
        <v>2160</v>
      </c>
      <c r="J2626" t="str">
        <f>VLOOKUP(Table3[[#This Row],[Faction ID]],Table4[],2)</f>
        <v>Dol Guldur</v>
      </c>
    </row>
    <row r="2627" spans="1:10" x14ac:dyDescent="0.25">
      <c r="A2627">
        <v>68</v>
      </c>
      <c r="B2627" t="s">
        <v>10</v>
      </c>
      <c r="C2627">
        <v>58</v>
      </c>
      <c r="D2627">
        <v>0</v>
      </c>
      <c r="E2627">
        <v>0</v>
      </c>
      <c r="F2627">
        <v>4515</v>
      </c>
      <c r="G2627">
        <v>2500</v>
      </c>
      <c r="H2627">
        <v>0</v>
      </c>
      <c r="J2627" t="str">
        <f>VLOOKUP(Table3[[#This Row],[Faction ID]],Table4[],2)</f>
        <v>Anduin Vale</v>
      </c>
    </row>
    <row r="2628" spans="1:10" x14ac:dyDescent="0.25">
      <c r="A2628">
        <v>68</v>
      </c>
      <c r="B2628" t="s">
        <v>32</v>
      </c>
      <c r="C2628">
        <v>228</v>
      </c>
      <c r="D2628">
        <v>8</v>
      </c>
      <c r="E2628">
        <v>155.1</v>
      </c>
      <c r="F2628">
        <v>17129</v>
      </c>
      <c r="G2628">
        <v>22506</v>
      </c>
      <c r="H2628">
        <v>1246</v>
      </c>
      <c r="J2628" t="str">
        <f>VLOOKUP(Table3[[#This Row],[Faction ID]],Table4[],2)</f>
        <v>Isengard</v>
      </c>
    </row>
    <row r="2629" spans="1:10" x14ac:dyDescent="0.25">
      <c r="A2629">
        <v>68</v>
      </c>
      <c r="B2629" t="s">
        <v>22</v>
      </c>
      <c r="C2629">
        <v>30</v>
      </c>
      <c r="D2629">
        <v>0</v>
      </c>
      <c r="E2629">
        <v>0</v>
      </c>
      <c r="F2629">
        <v>8475</v>
      </c>
      <c r="G2629">
        <v>2500</v>
      </c>
      <c r="H2629">
        <v>0</v>
      </c>
      <c r="J2629" t="str">
        <f>VLOOKUP(Table3[[#This Row],[Faction ID]],Table4[],2)</f>
        <v>Woodland Realm</v>
      </c>
    </row>
    <row r="2630" spans="1:10" x14ac:dyDescent="0.25">
      <c r="A2630">
        <v>68</v>
      </c>
      <c r="B2630" t="s">
        <v>23</v>
      </c>
      <c r="C2630">
        <v>64</v>
      </c>
      <c r="D2630">
        <v>0</v>
      </c>
      <c r="E2630">
        <v>0</v>
      </c>
      <c r="F2630">
        <v>4721</v>
      </c>
      <c r="G2630">
        <v>2500</v>
      </c>
      <c r="H2630">
        <v>0</v>
      </c>
      <c r="J2630" t="str">
        <f>VLOOKUP(Table3[[#This Row],[Faction ID]],Table4[],2)</f>
        <v>Lothlorien</v>
      </c>
    </row>
    <row r="2631" spans="1:10" x14ac:dyDescent="0.25">
      <c r="A2631">
        <v>68</v>
      </c>
      <c r="B2631" t="s">
        <v>24</v>
      </c>
      <c r="C2631">
        <v>0</v>
      </c>
      <c r="D2631">
        <v>0</v>
      </c>
      <c r="E2631">
        <v>0</v>
      </c>
      <c r="F2631">
        <v>4919</v>
      </c>
      <c r="G2631">
        <v>1750</v>
      </c>
      <c r="H2631">
        <v>0</v>
      </c>
      <c r="J2631" t="str">
        <f>VLOOKUP(Table3[[#This Row],[Faction ID]],Table4[],2)</f>
        <v>Variags (Khand)</v>
      </c>
    </row>
    <row r="2632" spans="1:10" x14ac:dyDescent="0.25">
      <c r="A2632">
        <v>68</v>
      </c>
      <c r="B2632" t="s">
        <v>14</v>
      </c>
      <c r="C2632">
        <v>11</v>
      </c>
      <c r="D2632">
        <v>8</v>
      </c>
      <c r="E2632">
        <v>132</v>
      </c>
      <c r="F2632">
        <v>27901</v>
      </c>
      <c r="G2632">
        <v>26328</v>
      </c>
      <c r="H2632">
        <v>1756</v>
      </c>
      <c r="J2632" t="str">
        <f>VLOOKUP(Table3[[#This Row],[Faction ID]],Table4[],2)</f>
        <v>Corsairs of Umbar</v>
      </c>
    </row>
    <row r="2633" spans="1:10" x14ac:dyDescent="0.25">
      <c r="A2633">
        <v>68</v>
      </c>
      <c r="B2633" t="s">
        <v>25</v>
      </c>
      <c r="C2633">
        <v>3</v>
      </c>
      <c r="D2633">
        <v>1</v>
      </c>
      <c r="E2633">
        <v>34.4</v>
      </c>
      <c r="F2633">
        <v>6292</v>
      </c>
      <c r="G2633">
        <v>5505</v>
      </c>
      <c r="H2633">
        <v>0</v>
      </c>
      <c r="J2633" t="str">
        <f>VLOOKUP(Table3[[#This Row],[Faction ID]],Table4[],2)</f>
        <v>Mahud</v>
      </c>
    </row>
    <row r="2634" spans="1:10" x14ac:dyDescent="0.25">
      <c r="A2634">
        <v>68</v>
      </c>
      <c r="B2634" t="s">
        <v>11</v>
      </c>
      <c r="C2634">
        <v>119</v>
      </c>
      <c r="D2634">
        <v>7</v>
      </c>
      <c r="E2634">
        <v>120</v>
      </c>
      <c r="F2634">
        <v>34097</v>
      </c>
      <c r="G2634">
        <v>14346</v>
      </c>
      <c r="H2634">
        <v>0</v>
      </c>
      <c r="J2634" t="str">
        <f>VLOOKUP(Table3[[#This Row],[Faction ID]],Table4[],2)</f>
        <v>Haradrim</v>
      </c>
    </row>
    <row r="2635" spans="1:10" x14ac:dyDescent="0.25">
      <c r="A2635">
        <v>68</v>
      </c>
      <c r="B2635" t="s">
        <v>15</v>
      </c>
      <c r="C2635">
        <v>143</v>
      </c>
      <c r="D2635">
        <v>12</v>
      </c>
      <c r="E2635">
        <v>191</v>
      </c>
      <c r="F2635">
        <v>62403</v>
      </c>
      <c r="G2635">
        <v>31684</v>
      </c>
      <c r="H2635">
        <v>2220</v>
      </c>
      <c r="J2635" t="str">
        <f>VLOOKUP(Table3[[#This Row],[Faction ID]],Table4[],2)</f>
        <v>Dunlendings</v>
      </c>
    </row>
    <row r="2636" spans="1:10" x14ac:dyDescent="0.25">
      <c r="A2636">
        <v>68</v>
      </c>
      <c r="B2636" t="s">
        <v>16</v>
      </c>
      <c r="C2636">
        <v>0</v>
      </c>
      <c r="D2636">
        <v>0</v>
      </c>
      <c r="E2636">
        <v>0</v>
      </c>
      <c r="F2636">
        <v>5352</v>
      </c>
      <c r="G2636">
        <v>1750</v>
      </c>
      <c r="H2636">
        <v>0</v>
      </c>
      <c r="J2636" t="str">
        <f>VLOOKUP(Table3[[#This Row],[Faction ID]],Table4[],2)</f>
        <v>Haerrim</v>
      </c>
    </row>
    <row r="2637" spans="1:10" x14ac:dyDescent="0.25">
      <c r="A2637">
        <v>68</v>
      </c>
      <c r="B2637" t="s">
        <v>13</v>
      </c>
      <c r="C2637">
        <v>314</v>
      </c>
      <c r="D2637">
        <v>19</v>
      </c>
      <c r="E2637">
        <v>303.7</v>
      </c>
      <c r="F2637">
        <v>20768</v>
      </c>
      <c r="G2637">
        <v>39133</v>
      </c>
      <c r="H2637">
        <v>3262</v>
      </c>
      <c r="J2637" t="str">
        <f>VLOOKUP(Table3[[#This Row],[Faction ID]],Table4[],2)</f>
        <v>Goblins</v>
      </c>
    </row>
    <row r="2638" spans="1:10" x14ac:dyDescent="0.25">
      <c r="A2638">
        <v>68</v>
      </c>
      <c r="B2638" t="s">
        <v>17</v>
      </c>
      <c r="C2638">
        <v>0</v>
      </c>
      <c r="D2638">
        <v>0</v>
      </c>
      <c r="E2638">
        <v>0</v>
      </c>
      <c r="F2638">
        <v>4872</v>
      </c>
      <c r="G2638">
        <v>1750</v>
      </c>
      <c r="H2638">
        <v>0</v>
      </c>
      <c r="J2638" t="str">
        <f>VLOOKUP(Table3[[#This Row],[Faction ID]],Table4[],2)</f>
        <v>Balchoth</v>
      </c>
    </row>
    <row r="2639" spans="1:10" x14ac:dyDescent="0.25">
      <c r="A2639">
        <v>68</v>
      </c>
      <c r="B2639" t="s">
        <v>18</v>
      </c>
      <c r="C2639">
        <v>218</v>
      </c>
      <c r="D2639">
        <v>31</v>
      </c>
      <c r="E2639">
        <v>426.2</v>
      </c>
      <c r="F2639">
        <v>69190</v>
      </c>
      <c r="G2639">
        <v>38473</v>
      </c>
      <c r="H2639">
        <v>1034</v>
      </c>
      <c r="J2639" t="str">
        <f>VLOOKUP(Table3[[#This Row],[Faction ID]],Table4[],2)</f>
        <v>Rhurim/Rhun</v>
      </c>
    </row>
    <row r="2640" spans="1:10" x14ac:dyDescent="0.25">
      <c r="A2640">
        <v>68</v>
      </c>
      <c r="B2640" t="s">
        <v>19</v>
      </c>
      <c r="C2640">
        <v>0</v>
      </c>
      <c r="D2640">
        <v>0</v>
      </c>
      <c r="E2640">
        <v>0</v>
      </c>
      <c r="F2640">
        <v>7360</v>
      </c>
      <c r="G2640">
        <v>1750</v>
      </c>
      <c r="H2640">
        <v>0</v>
      </c>
      <c r="J2640" t="str">
        <f>VLOOKUP(Table3[[#This Row],[Faction ID]],Table4[],2)</f>
        <v>Feredrim</v>
      </c>
    </row>
    <row r="2641" spans="1:10" x14ac:dyDescent="0.25">
      <c r="A2641">
        <v>68</v>
      </c>
      <c r="B2641" t="s">
        <v>26</v>
      </c>
      <c r="C2641">
        <v>0</v>
      </c>
      <c r="D2641">
        <v>0</v>
      </c>
      <c r="E2641">
        <v>0</v>
      </c>
      <c r="F2641">
        <v>6395</v>
      </c>
      <c r="G2641">
        <v>1750</v>
      </c>
      <c r="H2641">
        <v>0</v>
      </c>
      <c r="J2641" t="str">
        <f>VLOOKUP(Table3[[#This Row],[Faction ID]],Table4[],2)</f>
        <v>Rachrohir (Wainriders)</v>
      </c>
    </row>
    <row r="2642" spans="1:10" x14ac:dyDescent="0.25">
      <c r="A2642">
        <v>68</v>
      </c>
      <c r="B2642" t="s">
        <v>27</v>
      </c>
      <c r="C2642">
        <v>7</v>
      </c>
      <c r="D2642">
        <v>4</v>
      </c>
      <c r="E2642">
        <v>73</v>
      </c>
      <c r="F2642">
        <v>60636</v>
      </c>
      <c r="G2642">
        <v>16590</v>
      </c>
      <c r="H2642">
        <v>0</v>
      </c>
      <c r="J2642" t="str">
        <f>VLOOKUP(Table3[[#This Row],[Faction ID]],Table4[],2)</f>
        <v>Blacklock-Stonefoot League</v>
      </c>
    </row>
    <row r="2643" spans="1:10" x14ac:dyDescent="0.25">
      <c r="A2643">
        <v>68</v>
      </c>
      <c r="B2643" t="s">
        <v>28</v>
      </c>
      <c r="C2643">
        <v>4</v>
      </c>
      <c r="D2643">
        <v>2</v>
      </c>
      <c r="E2643">
        <v>41</v>
      </c>
      <c r="F2643">
        <v>59112</v>
      </c>
      <c r="G2643">
        <v>7873</v>
      </c>
      <c r="H2643">
        <v>0</v>
      </c>
      <c r="J2643" t="str">
        <f>VLOOKUP(Table3[[#This Row],[Faction ID]],Table4[],2)</f>
        <v>Ironfist-Stiffbeard Union</v>
      </c>
    </row>
    <row r="2644" spans="1:10" x14ac:dyDescent="0.25">
      <c r="A2644">
        <v>68</v>
      </c>
      <c r="B2644" t="s">
        <v>20</v>
      </c>
      <c r="C2644">
        <v>169</v>
      </c>
      <c r="D2644">
        <v>15</v>
      </c>
      <c r="E2644">
        <v>233.6</v>
      </c>
      <c r="F2644">
        <v>60486</v>
      </c>
      <c r="G2644">
        <v>33477</v>
      </c>
      <c r="H2644">
        <v>1342</v>
      </c>
      <c r="J2644" t="str">
        <f>VLOOKUP(Table3[[#This Row],[Faction ID]],Table4[],2)</f>
        <v>Gundabad</v>
      </c>
    </row>
    <row r="2645" spans="1:10" x14ac:dyDescent="0.25">
      <c r="A2645">
        <v>68</v>
      </c>
      <c r="B2645" t="s">
        <v>34</v>
      </c>
      <c r="C2645">
        <v>0</v>
      </c>
      <c r="D2645">
        <v>0</v>
      </c>
      <c r="E2645">
        <v>3</v>
      </c>
      <c r="F2645">
        <v>79107</v>
      </c>
      <c r="G2645">
        <v>2379</v>
      </c>
      <c r="H2645">
        <v>0</v>
      </c>
      <c r="J2645" t="str">
        <f>VLOOKUP(Table3[[#This Row],[Faction ID]],Table4[],2)</f>
        <v>Scouts of Rohan</v>
      </c>
    </row>
    <row r="2646" spans="1:10" x14ac:dyDescent="0.25">
      <c r="A2646">
        <v>68</v>
      </c>
      <c r="B2646" t="s">
        <v>33</v>
      </c>
      <c r="C2646">
        <v>6</v>
      </c>
      <c r="D2646">
        <v>4</v>
      </c>
      <c r="E2646">
        <v>68</v>
      </c>
      <c r="F2646">
        <v>84391</v>
      </c>
      <c r="G2646">
        <v>13639</v>
      </c>
      <c r="H2646">
        <v>691</v>
      </c>
      <c r="J2646" t="str">
        <f>VLOOKUP(Table3[[#This Row],[Faction ID]],Table4[],2)</f>
        <v>Northern Enedwaith</v>
      </c>
    </row>
    <row r="2647" spans="1:10" x14ac:dyDescent="0.25">
      <c r="A2647">
        <v>68</v>
      </c>
      <c r="B2647" t="s">
        <v>29</v>
      </c>
      <c r="C2647">
        <v>0</v>
      </c>
      <c r="D2647">
        <v>0</v>
      </c>
      <c r="E2647">
        <v>0</v>
      </c>
      <c r="F2647">
        <v>54023</v>
      </c>
      <c r="G2647">
        <v>1750</v>
      </c>
      <c r="H2647">
        <v>0</v>
      </c>
      <c r="J2647" t="str">
        <f>VLOOKUP(Table3[[#This Row],[Faction ID]],Table4[],2)</f>
        <v>Southern Enedwaith</v>
      </c>
    </row>
    <row r="2648" spans="1:10" x14ac:dyDescent="0.25">
      <c r="A2648">
        <v>68</v>
      </c>
      <c r="B2648" t="s">
        <v>30</v>
      </c>
      <c r="C2648">
        <v>0</v>
      </c>
      <c r="D2648">
        <v>0</v>
      </c>
      <c r="E2648">
        <v>0</v>
      </c>
      <c r="F2648">
        <v>32146</v>
      </c>
      <c r="G2648">
        <v>1750</v>
      </c>
      <c r="H2648">
        <v>0</v>
      </c>
      <c r="J2648" t="str">
        <f>VLOOKUP(Table3[[#This Row],[Faction ID]],Table4[],2)</f>
        <v>Druedain</v>
      </c>
    </row>
    <row r="2649" spans="1:10" x14ac:dyDescent="0.25">
      <c r="A2649">
        <v>68</v>
      </c>
      <c r="B2649" t="s">
        <v>31</v>
      </c>
      <c r="C2649">
        <v>0</v>
      </c>
      <c r="D2649">
        <v>0</v>
      </c>
      <c r="E2649">
        <v>0</v>
      </c>
      <c r="F2649">
        <v>15146</v>
      </c>
      <c r="G2649">
        <v>1750</v>
      </c>
      <c r="H2649">
        <v>0</v>
      </c>
      <c r="J2649" t="str">
        <f>VLOOKUP(Table3[[#This Row],[Faction ID]],Table4[],2)</f>
        <v>Harondor</v>
      </c>
    </row>
    <row r="2650" spans="1:10" x14ac:dyDescent="0.25">
      <c r="A2650">
        <v>68</v>
      </c>
      <c r="B2650" t="s">
        <v>35</v>
      </c>
      <c r="C2650">
        <v>0</v>
      </c>
      <c r="D2650">
        <v>0</v>
      </c>
      <c r="E2650">
        <v>0</v>
      </c>
      <c r="F2650">
        <v>4000</v>
      </c>
      <c r="G2650">
        <v>1750</v>
      </c>
      <c r="H2650">
        <v>0</v>
      </c>
      <c r="J2650" t="str">
        <f>VLOOKUP(Table3[[#This Row],[Faction ID]],Table4[],2)</f>
        <v>Southron Nomads</v>
      </c>
    </row>
    <row r="2651" spans="1:10" x14ac:dyDescent="0.25">
      <c r="A2651">
        <v>68</v>
      </c>
      <c r="B2651" t="s">
        <v>36</v>
      </c>
      <c r="C2651">
        <v>0</v>
      </c>
      <c r="D2651">
        <v>0</v>
      </c>
      <c r="E2651">
        <v>0</v>
      </c>
      <c r="F2651">
        <v>4000</v>
      </c>
      <c r="G2651">
        <v>1750</v>
      </c>
      <c r="H2651">
        <v>0</v>
      </c>
      <c r="J2651" t="str">
        <f>VLOOKUP(Table3[[#This Row],[Faction ID]],Table4[],2)</f>
        <v>_</v>
      </c>
    </row>
    <row r="2652" spans="1:10" x14ac:dyDescent="0.25">
      <c r="A2652">
        <v>68</v>
      </c>
      <c r="B2652" t="s">
        <v>37</v>
      </c>
      <c r="C2652">
        <v>0</v>
      </c>
      <c r="D2652">
        <v>0</v>
      </c>
      <c r="E2652">
        <v>0</v>
      </c>
      <c r="F2652">
        <v>4000</v>
      </c>
      <c r="G2652">
        <v>1750</v>
      </c>
      <c r="H2652">
        <v>0</v>
      </c>
      <c r="J2652" t="str">
        <f>VLOOKUP(Table3[[#This Row],[Faction ID]],Table4[],2)</f>
        <v>_</v>
      </c>
    </row>
    <row r="2653" spans="1:10" x14ac:dyDescent="0.25">
      <c r="A2653">
        <v>68</v>
      </c>
      <c r="B2653" t="s">
        <v>38</v>
      </c>
      <c r="C2653">
        <v>0</v>
      </c>
      <c r="D2653">
        <v>0</v>
      </c>
      <c r="E2653">
        <v>0</v>
      </c>
      <c r="F2653">
        <v>4000</v>
      </c>
      <c r="G2653">
        <v>1750</v>
      </c>
      <c r="H2653">
        <v>0</v>
      </c>
      <c r="J2653" t="str">
        <f>VLOOKUP(Table3[[#This Row],[Faction ID]],Table4[],2)</f>
        <v>_</v>
      </c>
    </row>
    <row r="2654" spans="1:10" x14ac:dyDescent="0.25">
      <c r="A2654">
        <v>68</v>
      </c>
      <c r="B2654" t="s">
        <v>39</v>
      </c>
      <c r="C2654">
        <v>0</v>
      </c>
      <c r="D2654">
        <v>0</v>
      </c>
      <c r="E2654">
        <v>0</v>
      </c>
      <c r="F2654">
        <v>4000</v>
      </c>
      <c r="G2654">
        <v>1750</v>
      </c>
      <c r="H2654">
        <v>0</v>
      </c>
      <c r="J2654" t="str">
        <f>VLOOKUP(Table3[[#This Row],[Faction ID]],Table4[],2)</f>
        <v>_</v>
      </c>
    </row>
    <row r="2655" spans="1:10" x14ac:dyDescent="0.25">
      <c r="A2655">
        <v>68</v>
      </c>
      <c r="B2655" t="s">
        <v>40</v>
      </c>
      <c r="C2655">
        <v>0</v>
      </c>
      <c r="D2655">
        <v>0</v>
      </c>
      <c r="E2655">
        <v>0</v>
      </c>
      <c r="F2655">
        <v>4000</v>
      </c>
      <c r="G2655">
        <v>1750</v>
      </c>
      <c r="H2655">
        <v>0</v>
      </c>
      <c r="J2655" t="str">
        <f>VLOOKUP(Table3[[#This Row],[Faction ID]],Table4[],2)</f>
        <v>_</v>
      </c>
    </row>
    <row r="2656" spans="1:10" x14ac:dyDescent="0.25">
      <c r="A2656">
        <v>68</v>
      </c>
      <c r="B2656" t="s">
        <v>41</v>
      </c>
      <c r="C2656">
        <v>0</v>
      </c>
      <c r="D2656">
        <v>0</v>
      </c>
      <c r="E2656">
        <v>0</v>
      </c>
      <c r="F2656">
        <v>4000</v>
      </c>
      <c r="G2656">
        <v>1750</v>
      </c>
      <c r="H2656">
        <v>0</v>
      </c>
      <c r="J2656" t="str">
        <f>VLOOKUP(Table3[[#This Row],[Faction ID]],Table4[],2)</f>
        <v>_</v>
      </c>
    </row>
    <row r="2657" spans="1:10" x14ac:dyDescent="0.25">
      <c r="A2657">
        <v>68</v>
      </c>
      <c r="B2657" t="s">
        <v>42</v>
      </c>
      <c r="C2657">
        <v>0</v>
      </c>
      <c r="D2657">
        <v>0</v>
      </c>
      <c r="E2657">
        <v>0</v>
      </c>
      <c r="F2657">
        <v>4000</v>
      </c>
      <c r="G2657">
        <v>1750</v>
      </c>
      <c r="H2657">
        <v>0</v>
      </c>
      <c r="J2657" t="str">
        <f>VLOOKUP(Table3[[#This Row],[Faction ID]],Table4[],2)</f>
        <v>_</v>
      </c>
    </row>
    <row r="2658" spans="1:10" x14ac:dyDescent="0.25">
      <c r="A2658">
        <v>68</v>
      </c>
      <c r="B2658" t="s">
        <v>43</v>
      </c>
      <c r="C2658">
        <v>0</v>
      </c>
      <c r="D2658">
        <v>0</v>
      </c>
      <c r="E2658">
        <v>0</v>
      </c>
      <c r="F2658">
        <v>4000</v>
      </c>
      <c r="G2658">
        <v>1750</v>
      </c>
      <c r="H2658">
        <v>0</v>
      </c>
      <c r="J2658" t="str">
        <f>VLOOKUP(Table3[[#This Row],[Faction ID]],Table4[],2)</f>
        <v>_</v>
      </c>
    </row>
    <row r="2659" spans="1:10" x14ac:dyDescent="0.25">
      <c r="A2659">
        <v>68</v>
      </c>
      <c r="B2659" t="s">
        <v>44</v>
      </c>
      <c r="C2659">
        <v>0</v>
      </c>
      <c r="D2659">
        <v>0</v>
      </c>
      <c r="E2659">
        <v>0</v>
      </c>
      <c r="F2659">
        <v>4000</v>
      </c>
      <c r="G2659">
        <v>1750</v>
      </c>
      <c r="H2659">
        <v>0</v>
      </c>
      <c r="J2659" t="str">
        <f>VLOOKUP(Table3[[#This Row],[Faction ID]],Table4[],2)</f>
        <v>_</v>
      </c>
    </row>
    <row r="2660" spans="1:10" x14ac:dyDescent="0.25">
      <c r="A2660">
        <v>69</v>
      </c>
      <c r="B2660" t="s">
        <v>9</v>
      </c>
      <c r="C2660">
        <v>259</v>
      </c>
      <c r="D2660">
        <v>26</v>
      </c>
      <c r="E2660">
        <v>257.3</v>
      </c>
      <c r="F2660">
        <v>3371</v>
      </c>
      <c r="G2660">
        <v>30300</v>
      </c>
      <c r="H2660">
        <v>2078</v>
      </c>
      <c r="J2660" t="str">
        <f>VLOOKUP(Table3[[#This Row],[Faction ID]],Table4[],2)</f>
        <v>Mordor</v>
      </c>
    </row>
    <row r="2661" spans="1:10" x14ac:dyDescent="0.25">
      <c r="A2661">
        <v>69</v>
      </c>
      <c r="B2661" t="s">
        <v>4</v>
      </c>
      <c r="C2661">
        <v>146</v>
      </c>
      <c r="D2661">
        <v>0</v>
      </c>
      <c r="E2661">
        <v>0</v>
      </c>
      <c r="F2661">
        <v>55420</v>
      </c>
      <c r="G2661">
        <v>2500</v>
      </c>
      <c r="H2661">
        <v>0</v>
      </c>
      <c r="J2661" t="str">
        <f>VLOOKUP(Table3[[#This Row],[Faction ID]],Table4[],2)</f>
        <v>Gondor</v>
      </c>
    </row>
    <row r="2662" spans="1:10" x14ac:dyDescent="0.25">
      <c r="A2662">
        <v>69</v>
      </c>
      <c r="B2662" t="s">
        <v>6</v>
      </c>
      <c r="C2662">
        <v>174</v>
      </c>
      <c r="D2662">
        <v>2</v>
      </c>
      <c r="E2662">
        <v>65</v>
      </c>
      <c r="F2662">
        <v>8378</v>
      </c>
      <c r="G2662">
        <v>11080</v>
      </c>
      <c r="H2662">
        <v>166</v>
      </c>
      <c r="J2662" t="str">
        <f>VLOOKUP(Table3[[#This Row],[Faction ID]],Table4[],2)</f>
        <v>Dale</v>
      </c>
    </row>
    <row r="2663" spans="1:10" x14ac:dyDescent="0.25">
      <c r="A2663">
        <v>69</v>
      </c>
      <c r="B2663" t="s">
        <v>21</v>
      </c>
      <c r="C2663">
        <v>193</v>
      </c>
      <c r="D2663">
        <v>1</v>
      </c>
      <c r="E2663">
        <v>35.5</v>
      </c>
      <c r="F2663">
        <v>25385</v>
      </c>
      <c r="G2663">
        <v>10889</v>
      </c>
      <c r="H2663">
        <v>350</v>
      </c>
      <c r="J2663" t="str">
        <f>VLOOKUP(Table3[[#This Row],[Faction ID]],Table4[],2)</f>
        <v>Erebor</v>
      </c>
    </row>
    <row r="2664" spans="1:10" x14ac:dyDescent="0.25">
      <c r="A2664">
        <v>69</v>
      </c>
      <c r="B2664" t="s">
        <v>5</v>
      </c>
      <c r="C2664">
        <v>157</v>
      </c>
      <c r="D2664">
        <v>0</v>
      </c>
      <c r="E2664">
        <v>0</v>
      </c>
      <c r="F2664">
        <v>6638</v>
      </c>
      <c r="G2664">
        <v>2500</v>
      </c>
      <c r="H2664">
        <v>0</v>
      </c>
      <c r="J2664" t="str">
        <f>VLOOKUP(Table3[[#This Row],[Faction ID]],Table4[],2)</f>
        <v>Rohan</v>
      </c>
    </row>
    <row r="2665" spans="1:10" x14ac:dyDescent="0.25">
      <c r="A2665">
        <v>69</v>
      </c>
      <c r="B2665" t="s">
        <v>12</v>
      </c>
      <c r="C2665">
        <v>198</v>
      </c>
      <c r="D2665">
        <v>14</v>
      </c>
      <c r="E2665">
        <v>221.9</v>
      </c>
      <c r="F2665">
        <v>23083</v>
      </c>
      <c r="G2665">
        <v>29658</v>
      </c>
      <c r="H2665">
        <v>2170</v>
      </c>
      <c r="J2665" t="str">
        <f>VLOOKUP(Table3[[#This Row],[Faction ID]],Table4[],2)</f>
        <v>Dol Guldur</v>
      </c>
    </row>
    <row r="2666" spans="1:10" x14ac:dyDescent="0.25">
      <c r="A2666">
        <v>69</v>
      </c>
      <c r="B2666" t="s">
        <v>10</v>
      </c>
      <c r="C2666">
        <v>58</v>
      </c>
      <c r="D2666">
        <v>0</v>
      </c>
      <c r="E2666">
        <v>0</v>
      </c>
      <c r="F2666">
        <v>4515</v>
      </c>
      <c r="G2666">
        <v>2500</v>
      </c>
      <c r="H2666">
        <v>0</v>
      </c>
      <c r="J2666" t="str">
        <f>VLOOKUP(Table3[[#This Row],[Faction ID]],Table4[],2)</f>
        <v>Anduin Vale</v>
      </c>
    </row>
    <row r="2667" spans="1:10" x14ac:dyDescent="0.25">
      <c r="A2667">
        <v>69</v>
      </c>
      <c r="B2667" t="s">
        <v>32</v>
      </c>
      <c r="C2667">
        <v>228</v>
      </c>
      <c r="D2667">
        <v>8</v>
      </c>
      <c r="E2667">
        <v>160.1</v>
      </c>
      <c r="F2667">
        <v>17754</v>
      </c>
      <c r="G2667">
        <v>21621</v>
      </c>
      <c r="H2667">
        <v>1245</v>
      </c>
      <c r="J2667" t="str">
        <f>VLOOKUP(Table3[[#This Row],[Faction ID]],Table4[],2)</f>
        <v>Isengard</v>
      </c>
    </row>
    <row r="2668" spans="1:10" x14ac:dyDescent="0.25">
      <c r="A2668">
        <v>69</v>
      </c>
      <c r="B2668" t="s">
        <v>22</v>
      </c>
      <c r="C2668">
        <v>30</v>
      </c>
      <c r="D2668">
        <v>0</v>
      </c>
      <c r="E2668">
        <v>0</v>
      </c>
      <c r="F2668">
        <v>8475</v>
      </c>
      <c r="G2668">
        <v>2500</v>
      </c>
      <c r="H2668">
        <v>0</v>
      </c>
      <c r="J2668" t="str">
        <f>VLOOKUP(Table3[[#This Row],[Faction ID]],Table4[],2)</f>
        <v>Woodland Realm</v>
      </c>
    </row>
    <row r="2669" spans="1:10" x14ac:dyDescent="0.25">
      <c r="A2669">
        <v>69</v>
      </c>
      <c r="B2669" t="s">
        <v>23</v>
      </c>
      <c r="C2669">
        <v>64</v>
      </c>
      <c r="D2669">
        <v>0</v>
      </c>
      <c r="E2669">
        <v>0</v>
      </c>
      <c r="F2669">
        <v>4721</v>
      </c>
      <c r="G2669">
        <v>2500</v>
      </c>
      <c r="H2669">
        <v>0</v>
      </c>
      <c r="J2669" t="str">
        <f>VLOOKUP(Table3[[#This Row],[Faction ID]],Table4[],2)</f>
        <v>Lothlorien</v>
      </c>
    </row>
    <row r="2670" spans="1:10" x14ac:dyDescent="0.25">
      <c r="A2670">
        <v>69</v>
      </c>
      <c r="B2670" t="s">
        <v>24</v>
      </c>
      <c r="C2670">
        <v>0</v>
      </c>
      <c r="D2670">
        <v>0</v>
      </c>
      <c r="E2670">
        <v>0</v>
      </c>
      <c r="F2670">
        <v>4919</v>
      </c>
      <c r="G2670">
        <v>1750</v>
      </c>
      <c r="H2670">
        <v>0</v>
      </c>
      <c r="J2670" t="str">
        <f>VLOOKUP(Table3[[#This Row],[Faction ID]],Table4[],2)</f>
        <v>Variags (Khand)</v>
      </c>
    </row>
    <row r="2671" spans="1:10" x14ac:dyDescent="0.25">
      <c r="A2671">
        <v>69</v>
      </c>
      <c r="B2671" t="s">
        <v>14</v>
      </c>
      <c r="C2671">
        <v>11</v>
      </c>
      <c r="D2671">
        <v>8</v>
      </c>
      <c r="E2671">
        <v>138</v>
      </c>
      <c r="F2671">
        <v>33335</v>
      </c>
      <c r="G2671">
        <v>26832</v>
      </c>
      <c r="H2671">
        <v>2038</v>
      </c>
      <c r="J2671" t="str">
        <f>VLOOKUP(Table3[[#This Row],[Faction ID]],Table4[],2)</f>
        <v>Corsairs of Umbar</v>
      </c>
    </row>
    <row r="2672" spans="1:10" x14ac:dyDescent="0.25">
      <c r="A2672">
        <v>69</v>
      </c>
      <c r="B2672" t="s">
        <v>25</v>
      </c>
      <c r="C2672">
        <v>3</v>
      </c>
      <c r="D2672">
        <v>1</v>
      </c>
      <c r="E2672">
        <v>30.2</v>
      </c>
      <c r="F2672">
        <v>6033</v>
      </c>
      <c r="G2672">
        <v>5213</v>
      </c>
      <c r="H2672">
        <v>0</v>
      </c>
      <c r="J2672" t="str">
        <f>VLOOKUP(Table3[[#This Row],[Faction ID]],Table4[],2)</f>
        <v>Mahud</v>
      </c>
    </row>
    <row r="2673" spans="1:10" x14ac:dyDescent="0.25">
      <c r="A2673">
        <v>69</v>
      </c>
      <c r="B2673" t="s">
        <v>11</v>
      </c>
      <c r="C2673">
        <v>124</v>
      </c>
      <c r="D2673">
        <v>7</v>
      </c>
      <c r="E2673">
        <v>120</v>
      </c>
      <c r="F2673">
        <v>22709</v>
      </c>
      <c r="G2673">
        <v>15984</v>
      </c>
      <c r="H2673">
        <v>432</v>
      </c>
      <c r="J2673" t="str">
        <f>VLOOKUP(Table3[[#This Row],[Faction ID]],Table4[],2)</f>
        <v>Haradrim</v>
      </c>
    </row>
    <row r="2674" spans="1:10" x14ac:dyDescent="0.25">
      <c r="A2674">
        <v>69</v>
      </c>
      <c r="B2674" t="s">
        <v>15</v>
      </c>
      <c r="C2674">
        <v>143</v>
      </c>
      <c r="D2674">
        <v>12</v>
      </c>
      <c r="E2674">
        <v>191</v>
      </c>
      <c r="F2674">
        <v>72457</v>
      </c>
      <c r="G2674">
        <v>30514</v>
      </c>
      <c r="H2674">
        <v>2225</v>
      </c>
      <c r="J2674" t="str">
        <f>VLOOKUP(Table3[[#This Row],[Faction ID]],Table4[],2)</f>
        <v>Dunlendings</v>
      </c>
    </row>
    <row r="2675" spans="1:10" x14ac:dyDescent="0.25">
      <c r="A2675">
        <v>69</v>
      </c>
      <c r="B2675" t="s">
        <v>16</v>
      </c>
      <c r="C2675">
        <v>0</v>
      </c>
      <c r="D2675">
        <v>0</v>
      </c>
      <c r="E2675">
        <v>0</v>
      </c>
      <c r="F2675">
        <v>5352</v>
      </c>
      <c r="G2675">
        <v>1750</v>
      </c>
      <c r="H2675">
        <v>0</v>
      </c>
      <c r="J2675" t="str">
        <f>VLOOKUP(Table3[[#This Row],[Faction ID]],Table4[],2)</f>
        <v>Haerrim</v>
      </c>
    </row>
    <row r="2676" spans="1:10" x14ac:dyDescent="0.25">
      <c r="A2676">
        <v>69</v>
      </c>
      <c r="B2676" t="s">
        <v>13</v>
      </c>
      <c r="C2676">
        <v>334</v>
      </c>
      <c r="D2676">
        <v>19</v>
      </c>
      <c r="E2676">
        <v>314.7</v>
      </c>
      <c r="F2676">
        <v>21253</v>
      </c>
      <c r="G2676">
        <v>40451</v>
      </c>
      <c r="H2676">
        <v>3270</v>
      </c>
      <c r="J2676" t="str">
        <f>VLOOKUP(Table3[[#This Row],[Faction ID]],Table4[],2)</f>
        <v>Goblins</v>
      </c>
    </row>
    <row r="2677" spans="1:10" x14ac:dyDescent="0.25">
      <c r="A2677">
        <v>69</v>
      </c>
      <c r="B2677" t="s">
        <v>17</v>
      </c>
      <c r="C2677">
        <v>0</v>
      </c>
      <c r="D2677">
        <v>0</v>
      </c>
      <c r="E2677">
        <v>0</v>
      </c>
      <c r="F2677">
        <v>4872</v>
      </c>
      <c r="G2677">
        <v>1750</v>
      </c>
      <c r="H2677">
        <v>0</v>
      </c>
      <c r="J2677" t="str">
        <f>VLOOKUP(Table3[[#This Row],[Faction ID]],Table4[],2)</f>
        <v>Balchoth</v>
      </c>
    </row>
    <row r="2678" spans="1:10" x14ac:dyDescent="0.25">
      <c r="A2678">
        <v>69</v>
      </c>
      <c r="B2678" t="s">
        <v>18</v>
      </c>
      <c r="C2678">
        <v>218</v>
      </c>
      <c r="D2678">
        <v>31</v>
      </c>
      <c r="E2678">
        <v>435.2</v>
      </c>
      <c r="F2678">
        <v>83125</v>
      </c>
      <c r="G2678">
        <v>39233</v>
      </c>
      <c r="H2678">
        <v>1037</v>
      </c>
      <c r="J2678" t="str">
        <f>VLOOKUP(Table3[[#This Row],[Faction ID]],Table4[],2)</f>
        <v>Rhurim/Rhun</v>
      </c>
    </row>
    <row r="2679" spans="1:10" x14ac:dyDescent="0.25">
      <c r="A2679">
        <v>69</v>
      </c>
      <c r="B2679" t="s">
        <v>19</v>
      </c>
      <c r="C2679">
        <v>0</v>
      </c>
      <c r="D2679">
        <v>0</v>
      </c>
      <c r="E2679">
        <v>0</v>
      </c>
      <c r="F2679">
        <v>7360</v>
      </c>
      <c r="G2679">
        <v>1750</v>
      </c>
      <c r="H2679">
        <v>0</v>
      </c>
      <c r="J2679" t="str">
        <f>VLOOKUP(Table3[[#This Row],[Faction ID]],Table4[],2)</f>
        <v>Feredrim</v>
      </c>
    </row>
    <row r="2680" spans="1:10" x14ac:dyDescent="0.25">
      <c r="A2680">
        <v>69</v>
      </c>
      <c r="B2680" t="s">
        <v>26</v>
      </c>
      <c r="C2680">
        <v>0</v>
      </c>
      <c r="D2680">
        <v>0</v>
      </c>
      <c r="E2680">
        <v>0</v>
      </c>
      <c r="F2680">
        <v>6395</v>
      </c>
      <c r="G2680">
        <v>1750</v>
      </c>
      <c r="H2680">
        <v>0</v>
      </c>
      <c r="J2680" t="str">
        <f>VLOOKUP(Table3[[#This Row],[Faction ID]],Table4[],2)</f>
        <v>Rachrohir (Wainriders)</v>
      </c>
    </row>
    <row r="2681" spans="1:10" x14ac:dyDescent="0.25">
      <c r="A2681">
        <v>69</v>
      </c>
      <c r="B2681" t="s">
        <v>27</v>
      </c>
      <c r="C2681">
        <v>7</v>
      </c>
      <c r="D2681">
        <v>4</v>
      </c>
      <c r="E2681">
        <v>73</v>
      </c>
      <c r="F2681">
        <v>61934</v>
      </c>
      <c r="G2681">
        <v>16482</v>
      </c>
      <c r="H2681">
        <v>0</v>
      </c>
      <c r="J2681" t="str">
        <f>VLOOKUP(Table3[[#This Row],[Faction ID]],Table4[],2)</f>
        <v>Blacklock-Stonefoot League</v>
      </c>
    </row>
    <row r="2682" spans="1:10" x14ac:dyDescent="0.25">
      <c r="A2682">
        <v>69</v>
      </c>
      <c r="B2682" t="s">
        <v>28</v>
      </c>
      <c r="C2682">
        <v>4</v>
      </c>
      <c r="D2682">
        <v>2</v>
      </c>
      <c r="E2682">
        <v>41</v>
      </c>
      <c r="F2682">
        <v>50529</v>
      </c>
      <c r="G2682">
        <v>7873</v>
      </c>
      <c r="H2682">
        <v>0</v>
      </c>
      <c r="J2682" t="str">
        <f>VLOOKUP(Table3[[#This Row],[Faction ID]],Table4[],2)</f>
        <v>Ironfist-Stiffbeard Union</v>
      </c>
    </row>
    <row r="2683" spans="1:10" x14ac:dyDescent="0.25">
      <c r="A2683">
        <v>69</v>
      </c>
      <c r="B2683" t="s">
        <v>20</v>
      </c>
      <c r="C2683">
        <v>170</v>
      </c>
      <c r="D2683">
        <v>16</v>
      </c>
      <c r="E2683">
        <v>231.6</v>
      </c>
      <c r="F2683">
        <v>45148</v>
      </c>
      <c r="G2683">
        <v>36250</v>
      </c>
      <c r="H2683">
        <v>1796</v>
      </c>
      <c r="J2683" t="str">
        <f>VLOOKUP(Table3[[#This Row],[Faction ID]],Table4[],2)</f>
        <v>Gundabad</v>
      </c>
    </row>
    <row r="2684" spans="1:10" x14ac:dyDescent="0.25">
      <c r="A2684">
        <v>69</v>
      </c>
      <c r="B2684" t="s">
        <v>34</v>
      </c>
      <c r="C2684">
        <v>0</v>
      </c>
      <c r="D2684">
        <v>0</v>
      </c>
      <c r="E2684">
        <v>3</v>
      </c>
      <c r="F2684">
        <v>80228</v>
      </c>
      <c r="G2684">
        <v>2379</v>
      </c>
      <c r="H2684">
        <v>0</v>
      </c>
      <c r="J2684" t="str">
        <f>VLOOKUP(Table3[[#This Row],[Faction ID]],Table4[],2)</f>
        <v>Scouts of Rohan</v>
      </c>
    </row>
    <row r="2685" spans="1:10" x14ac:dyDescent="0.25">
      <c r="A2685">
        <v>69</v>
      </c>
      <c r="B2685" t="s">
        <v>33</v>
      </c>
      <c r="C2685">
        <v>6</v>
      </c>
      <c r="D2685">
        <v>4</v>
      </c>
      <c r="E2685">
        <v>71</v>
      </c>
      <c r="F2685">
        <v>86942</v>
      </c>
      <c r="G2685">
        <v>14128</v>
      </c>
      <c r="H2685">
        <v>695</v>
      </c>
      <c r="J2685" t="str">
        <f>VLOOKUP(Table3[[#This Row],[Faction ID]],Table4[],2)</f>
        <v>Northern Enedwaith</v>
      </c>
    </row>
    <row r="2686" spans="1:10" x14ac:dyDescent="0.25">
      <c r="A2686">
        <v>69</v>
      </c>
      <c r="B2686" t="s">
        <v>29</v>
      </c>
      <c r="C2686">
        <v>0</v>
      </c>
      <c r="D2686">
        <v>0</v>
      </c>
      <c r="E2686">
        <v>0</v>
      </c>
      <c r="F2686">
        <v>54023</v>
      </c>
      <c r="G2686">
        <v>1750</v>
      </c>
      <c r="H2686">
        <v>0</v>
      </c>
      <c r="J2686" t="str">
        <f>VLOOKUP(Table3[[#This Row],[Faction ID]],Table4[],2)</f>
        <v>Southern Enedwaith</v>
      </c>
    </row>
    <row r="2687" spans="1:10" x14ac:dyDescent="0.25">
      <c r="A2687">
        <v>69</v>
      </c>
      <c r="B2687" t="s">
        <v>30</v>
      </c>
      <c r="C2687">
        <v>0</v>
      </c>
      <c r="D2687">
        <v>0</v>
      </c>
      <c r="E2687">
        <v>0</v>
      </c>
      <c r="F2687">
        <v>32146</v>
      </c>
      <c r="G2687">
        <v>1750</v>
      </c>
      <c r="H2687">
        <v>0</v>
      </c>
      <c r="J2687" t="str">
        <f>VLOOKUP(Table3[[#This Row],[Faction ID]],Table4[],2)</f>
        <v>Druedain</v>
      </c>
    </row>
    <row r="2688" spans="1:10" x14ac:dyDescent="0.25">
      <c r="A2688">
        <v>69</v>
      </c>
      <c r="B2688" t="s">
        <v>31</v>
      </c>
      <c r="C2688">
        <v>0</v>
      </c>
      <c r="D2688">
        <v>0</v>
      </c>
      <c r="E2688">
        <v>0</v>
      </c>
      <c r="F2688">
        <v>15146</v>
      </c>
      <c r="G2688">
        <v>1750</v>
      </c>
      <c r="H2688">
        <v>0</v>
      </c>
      <c r="J2688" t="str">
        <f>VLOOKUP(Table3[[#This Row],[Faction ID]],Table4[],2)</f>
        <v>Harondor</v>
      </c>
    </row>
    <row r="2689" spans="1:10" x14ac:dyDescent="0.25">
      <c r="A2689">
        <v>69</v>
      </c>
      <c r="B2689" t="s">
        <v>35</v>
      </c>
      <c r="C2689">
        <v>0</v>
      </c>
      <c r="D2689">
        <v>0</v>
      </c>
      <c r="E2689">
        <v>0</v>
      </c>
      <c r="F2689">
        <v>4000</v>
      </c>
      <c r="G2689">
        <v>1750</v>
      </c>
      <c r="H2689">
        <v>0</v>
      </c>
      <c r="J2689" t="str">
        <f>VLOOKUP(Table3[[#This Row],[Faction ID]],Table4[],2)</f>
        <v>Southron Nomads</v>
      </c>
    </row>
    <row r="2690" spans="1:10" x14ac:dyDescent="0.25">
      <c r="A2690">
        <v>69</v>
      </c>
      <c r="B2690" t="s">
        <v>36</v>
      </c>
      <c r="C2690">
        <v>0</v>
      </c>
      <c r="D2690">
        <v>0</v>
      </c>
      <c r="E2690">
        <v>0</v>
      </c>
      <c r="F2690">
        <v>4000</v>
      </c>
      <c r="G2690">
        <v>1750</v>
      </c>
      <c r="H2690">
        <v>0</v>
      </c>
      <c r="J2690" t="str">
        <f>VLOOKUP(Table3[[#This Row],[Faction ID]],Table4[],2)</f>
        <v>_</v>
      </c>
    </row>
    <row r="2691" spans="1:10" x14ac:dyDescent="0.25">
      <c r="A2691">
        <v>69</v>
      </c>
      <c r="B2691" t="s">
        <v>37</v>
      </c>
      <c r="C2691">
        <v>0</v>
      </c>
      <c r="D2691">
        <v>0</v>
      </c>
      <c r="E2691">
        <v>0</v>
      </c>
      <c r="F2691">
        <v>4000</v>
      </c>
      <c r="G2691">
        <v>1750</v>
      </c>
      <c r="H2691">
        <v>0</v>
      </c>
      <c r="J2691" t="str">
        <f>VLOOKUP(Table3[[#This Row],[Faction ID]],Table4[],2)</f>
        <v>_</v>
      </c>
    </row>
    <row r="2692" spans="1:10" x14ac:dyDescent="0.25">
      <c r="A2692">
        <v>69</v>
      </c>
      <c r="B2692" t="s">
        <v>38</v>
      </c>
      <c r="C2692">
        <v>0</v>
      </c>
      <c r="D2692">
        <v>0</v>
      </c>
      <c r="E2692">
        <v>0</v>
      </c>
      <c r="F2692">
        <v>4000</v>
      </c>
      <c r="G2692">
        <v>1750</v>
      </c>
      <c r="H2692">
        <v>0</v>
      </c>
      <c r="J2692" t="str">
        <f>VLOOKUP(Table3[[#This Row],[Faction ID]],Table4[],2)</f>
        <v>_</v>
      </c>
    </row>
    <row r="2693" spans="1:10" x14ac:dyDescent="0.25">
      <c r="A2693">
        <v>69</v>
      </c>
      <c r="B2693" t="s">
        <v>39</v>
      </c>
      <c r="C2693">
        <v>0</v>
      </c>
      <c r="D2693">
        <v>0</v>
      </c>
      <c r="E2693">
        <v>0</v>
      </c>
      <c r="F2693">
        <v>4000</v>
      </c>
      <c r="G2693">
        <v>1750</v>
      </c>
      <c r="H2693">
        <v>0</v>
      </c>
      <c r="J2693" t="str">
        <f>VLOOKUP(Table3[[#This Row],[Faction ID]],Table4[],2)</f>
        <v>_</v>
      </c>
    </row>
    <row r="2694" spans="1:10" x14ac:dyDescent="0.25">
      <c r="A2694">
        <v>69</v>
      </c>
      <c r="B2694" t="s">
        <v>40</v>
      </c>
      <c r="C2694">
        <v>0</v>
      </c>
      <c r="D2694">
        <v>0</v>
      </c>
      <c r="E2694">
        <v>0</v>
      </c>
      <c r="F2694">
        <v>4000</v>
      </c>
      <c r="G2694">
        <v>1750</v>
      </c>
      <c r="H2694">
        <v>0</v>
      </c>
      <c r="J2694" t="str">
        <f>VLOOKUP(Table3[[#This Row],[Faction ID]],Table4[],2)</f>
        <v>_</v>
      </c>
    </row>
    <row r="2695" spans="1:10" x14ac:dyDescent="0.25">
      <c r="A2695">
        <v>69</v>
      </c>
      <c r="B2695" t="s">
        <v>41</v>
      </c>
      <c r="C2695">
        <v>0</v>
      </c>
      <c r="D2695">
        <v>0</v>
      </c>
      <c r="E2695">
        <v>0</v>
      </c>
      <c r="F2695">
        <v>4000</v>
      </c>
      <c r="G2695">
        <v>1750</v>
      </c>
      <c r="H2695">
        <v>0</v>
      </c>
      <c r="J2695" t="str">
        <f>VLOOKUP(Table3[[#This Row],[Faction ID]],Table4[],2)</f>
        <v>_</v>
      </c>
    </row>
    <row r="2696" spans="1:10" x14ac:dyDescent="0.25">
      <c r="A2696">
        <v>69</v>
      </c>
      <c r="B2696" t="s">
        <v>42</v>
      </c>
      <c r="C2696">
        <v>0</v>
      </c>
      <c r="D2696">
        <v>0</v>
      </c>
      <c r="E2696">
        <v>0</v>
      </c>
      <c r="F2696">
        <v>4000</v>
      </c>
      <c r="G2696">
        <v>1750</v>
      </c>
      <c r="H2696">
        <v>0</v>
      </c>
      <c r="J2696" t="str">
        <f>VLOOKUP(Table3[[#This Row],[Faction ID]],Table4[],2)</f>
        <v>_</v>
      </c>
    </row>
    <row r="2697" spans="1:10" x14ac:dyDescent="0.25">
      <c r="A2697">
        <v>69</v>
      </c>
      <c r="B2697" t="s">
        <v>43</v>
      </c>
      <c r="C2697">
        <v>0</v>
      </c>
      <c r="D2697">
        <v>0</v>
      </c>
      <c r="E2697">
        <v>0</v>
      </c>
      <c r="F2697">
        <v>4000</v>
      </c>
      <c r="G2697">
        <v>1750</v>
      </c>
      <c r="H2697">
        <v>0</v>
      </c>
      <c r="J2697" t="str">
        <f>VLOOKUP(Table3[[#This Row],[Faction ID]],Table4[],2)</f>
        <v>_</v>
      </c>
    </row>
    <row r="2698" spans="1:10" x14ac:dyDescent="0.25">
      <c r="A2698">
        <v>69</v>
      </c>
      <c r="B2698" t="s">
        <v>44</v>
      </c>
      <c r="C2698">
        <v>0</v>
      </c>
      <c r="D2698">
        <v>0</v>
      </c>
      <c r="E2698">
        <v>0</v>
      </c>
      <c r="F2698">
        <v>4000</v>
      </c>
      <c r="G2698">
        <v>1750</v>
      </c>
      <c r="H2698">
        <v>0</v>
      </c>
      <c r="J2698" t="str">
        <f>VLOOKUP(Table3[[#This Row],[Faction ID]],Table4[],2)</f>
        <v>_</v>
      </c>
    </row>
    <row r="2699" spans="1:10" x14ac:dyDescent="0.25">
      <c r="A2699">
        <v>70</v>
      </c>
      <c r="B2699" t="s">
        <v>9</v>
      </c>
      <c r="C2699">
        <v>259</v>
      </c>
      <c r="D2699">
        <v>26</v>
      </c>
      <c r="E2699">
        <v>258.3</v>
      </c>
      <c r="F2699">
        <v>3841</v>
      </c>
      <c r="G2699">
        <v>30286</v>
      </c>
      <c r="H2699">
        <v>2078</v>
      </c>
      <c r="J2699" t="str">
        <f>VLOOKUP(Table3[[#This Row],[Faction ID]],Table4[],2)</f>
        <v>Mordor</v>
      </c>
    </row>
    <row r="2700" spans="1:10" x14ac:dyDescent="0.25">
      <c r="A2700">
        <v>70</v>
      </c>
      <c r="B2700" t="s">
        <v>4</v>
      </c>
      <c r="C2700">
        <v>146</v>
      </c>
      <c r="D2700">
        <v>0</v>
      </c>
      <c r="E2700">
        <v>0</v>
      </c>
      <c r="F2700">
        <v>55420</v>
      </c>
      <c r="G2700">
        <v>2500</v>
      </c>
      <c r="H2700">
        <v>0</v>
      </c>
      <c r="J2700" t="str">
        <f>VLOOKUP(Table3[[#This Row],[Faction ID]],Table4[],2)</f>
        <v>Gondor</v>
      </c>
    </row>
    <row r="2701" spans="1:10" x14ac:dyDescent="0.25">
      <c r="A2701">
        <v>70</v>
      </c>
      <c r="B2701" t="s">
        <v>6</v>
      </c>
      <c r="C2701">
        <v>174</v>
      </c>
      <c r="D2701">
        <v>2</v>
      </c>
      <c r="E2701">
        <v>69</v>
      </c>
      <c r="F2701">
        <v>9000</v>
      </c>
      <c r="G2701">
        <v>11310</v>
      </c>
      <c r="H2701">
        <v>161</v>
      </c>
      <c r="J2701" t="str">
        <f>VLOOKUP(Table3[[#This Row],[Faction ID]],Table4[],2)</f>
        <v>Dale</v>
      </c>
    </row>
    <row r="2702" spans="1:10" x14ac:dyDescent="0.25">
      <c r="A2702">
        <v>70</v>
      </c>
      <c r="B2702" t="s">
        <v>21</v>
      </c>
      <c r="C2702">
        <v>193</v>
      </c>
      <c r="D2702">
        <v>1</v>
      </c>
      <c r="E2702">
        <v>40</v>
      </c>
      <c r="F2702">
        <v>27045</v>
      </c>
      <c r="G2702">
        <v>11858</v>
      </c>
      <c r="H2702">
        <v>346</v>
      </c>
      <c r="J2702" t="str">
        <f>VLOOKUP(Table3[[#This Row],[Faction ID]],Table4[],2)</f>
        <v>Erebor</v>
      </c>
    </row>
    <row r="2703" spans="1:10" x14ac:dyDescent="0.25">
      <c r="A2703">
        <v>70</v>
      </c>
      <c r="B2703" t="s">
        <v>5</v>
      </c>
      <c r="C2703">
        <v>157</v>
      </c>
      <c r="D2703">
        <v>0</v>
      </c>
      <c r="E2703">
        <v>0</v>
      </c>
      <c r="F2703">
        <v>6638</v>
      </c>
      <c r="G2703">
        <v>2500</v>
      </c>
      <c r="H2703">
        <v>0</v>
      </c>
      <c r="J2703" t="str">
        <f>VLOOKUP(Table3[[#This Row],[Faction ID]],Table4[],2)</f>
        <v>Rohan</v>
      </c>
    </row>
    <row r="2704" spans="1:10" x14ac:dyDescent="0.25">
      <c r="A2704">
        <v>70</v>
      </c>
      <c r="B2704" t="s">
        <v>12</v>
      </c>
      <c r="C2704">
        <v>203</v>
      </c>
      <c r="D2704">
        <v>14</v>
      </c>
      <c r="E2704">
        <v>221.9</v>
      </c>
      <c r="F2704">
        <v>24284</v>
      </c>
      <c r="G2704">
        <v>29503</v>
      </c>
      <c r="H2704">
        <v>2162</v>
      </c>
      <c r="J2704" t="str">
        <f>VLOOKUP(Table3[[#This Row],[Faction ID]],Table4[],2)</f>
        <v>Dol Guldur</v>
      </c>
    </row>
    <row r="2705" spans="1:10" x14ac:dyDescent="0.25">
      <c r="A2705">
        <v>70</v>
      </c>
      <c r="B2705" t="s">
        <v>10</v>
      </c>
      <c r="C2705">
        <v>58</v>
      </c>
      <c r="D2705">
        <v>0</v>
      </c>
      <c r="E2705">
        <v>0</v>
      </c>
      <c r="F2705">
        <v>4515</v>
      </c>
      <c r="G2705">
        <v>2500</v>
      </c>
      <c r="H2705">
        <v>0</v>
      </c>
      <c r="J2705" t="str">
        <f>VLOOKUP(Table3[[#This Row],[Faction ID]],Table4[],2)</f>
        <v>Anduin Vale</v>
      </c>
    </row>
    <row r="2706" spans="1:10" x14ac:dyDescent="0.25">
      <c r="A2706">
        <v>70</v>
      </c>
      <c r="B2706" t="s">
        <v>32</v>
      </c>
      <c r="C2706">
        <v>228</v>
      </c>
      <c r="D2706">
        <v>8</v>
      </c>
      <c r="E2706">
        <v>165.1</v>
      </c>
      <c r="F2706">
        <v>15826</v>
      </c>
      <c r="G2706">
        <v>22031</v>
      </c>
      <c r="H2706">
        <v>1247</v>
      </c>
      <c r="J2706" t="str">
        <f>VLOOKUP(Table3[[#This Row],[Faction ID]],Table4[],2)</f>
        <v>Isengard</v>
      </c>
    </row>
    <row r="2707" spans="1:10" x14ac:dyDescent="0.25">
      <c r="A2707">
        <v>70</v>
      </c>
      <c r="B2707" t="s">
        <v>22</v>
      </c>
      <c r="C2707">
        <v>30</v>
      </c>
      <c r="D2707">
        <v>0</v>
      </c>
      <c r="E2707">
        <v>0</v>
      </c>
      <c r="F2707">
        <v>8475</v>
      </c>
      <c r="G2707">
        <v>2500</v>
      </c>
      <c r="H2707">
        <v>0</v>
      </c>
      <c r="J2707" t="str">
        <f>VLOOKUP(Table3[[#This Row],[Faction ID]],Table4[],2)</f>
        <v>Woodland Realm</v>
      </c>
    </row>
    <row r="2708" spans="1:10" x14ac:dyDescent="0.25">
      <c r="A2708">
        <v>70</v>
      </c>
      <c r="B2708" t="s">
        <v>23</v>
      </c>
      <c r="C2708">
        <v>64</v>
      </c>
      <c r="D2708">
        <v>0</v>
      </c>
      <c r="E2708">
        <v>0</v>
      </c>
      <c r="F2708">
        <v>4721</v>
      </c>
      <c r="G2708">
        <v>2500</v>
      </c>
      <c r="H2708">
        <v>0</v>
      </c>
      <c r="J2708" t="str">
        <f>VLOOKUP(Table3[[#This Row],[Faction ID]],Table4[],2)</f>
        <v>Lothlorien</v>
      </c>
    </row>
    <row r="2709" spans="1:10" x14ac:dyDescent="0.25">
      <c r="A2709">
        <v>70</v>
      </c>
      <c r="B2709" t="s">
        <v>24</v>
      </c>
      <c r="C2709">
        <v>0</v>
      </c>
      <c r="D2709">
        <v>0</v>
      </c>
      <c r="E2709">
        <v>0</v>
      </c>
      <c r="F2709">
        <v>4919</v>
      </c>
      <c r="G2709">
        <v>1750</v>
      </c>
      <c r="H2709">
        <v>0</v>
      </c>
      <c r="J2709" t="str">
        <f>VLOOKUP(Table3[[#This Row],[Faction ID]],Table4[],2)</f>
        <v>Variags (Khand)</v>
      </c>
    </row>
    <row r="2710" spans="1:10" x14ac:dyDescent="0.25">
      <c r="A2710">
        <v>70</v>
      </c>
      <c r="B2710" t="s">
        <v>14</v>
      </c>
      <c r="C2710">
        <v>11</v>
      </c>
      <c r="D2710">
        <v>8</v>
      </c>
      <c r="E2710">
        <v>140</v>
      </c>
      <c r="F2710">
        <v>36459</v>
      </c>
      <c r="G2710">
        <v>27432</v>
      </c>
      <c r="H2710">
        <v>2047</v>
      </c>
      <c r="J2710" t="str">
        <f>VLOOKUP(Table3[[#This Row],[Faction ID]],Table4[],2)</f>
        <v>Corsairs of Umbar</v>
      </c>
    </row>
    <row r="2711" spans="1:10" x14ac:dyDescent="0.25">
      <c r="A2711">
        <v>70</v>
      </c>
      <c r="B2711" t="s">
        <v>25</v>
      </c>
      <c r="C2711">
        <v>3</v>
      </c>
      <c r="D2711">
        <v>1</v>
      </c>
      <c r="E2711">
        <v>28</v>
      </c>
      <c r="F2711">
        <v>6005</v>
      </c>
      <c r="G2711">
        <v>4657</v>
      </c>
      <c r="H2711">
        <v>0</v>
      </c>
      <c r="J2711" t="str">
        <f>VLOOKUP(Table3[[#This Row],[Faction ID]],Table4[],2)</f>
        <v>Mahud</v>
      </c>
    </row>
    <row r="2712" spans="1:10" x14ac:dyDescent="0.25">
      <c r="A2712">
        <v>70</v>
      </c>
      <c r="B2712" t="s">
        <v>11</v>
      </c>
      <c r="C2712">
        <v>124</v>
      </c>
      <c r="D2712">
        <v>7</v>
      </c>
      <c r="E2712">
        <v>130</v>
      </c>
      <c r="F2712">
        <v>21600</v>
      </c>
      <c r="G2712">
        <v>15484</v>
      </c>
      <c r="H2712">
        <v>431</v>
      </c>
      <c r="J2712" t="str">
        <f>VLOOKUP(Table3[[#This Row],[Faction ID]],Table4[],2)</f>
        <v>Haradrim</v>
      </c>
    </row>
    <row r="2713" spans="1:10" x14ac:dyDescent="0.25">
      <c r="A2713">
        <v>70</v>
      </c>
      <c r="B2713" t="s">
        <v>15</v>
      </c>
      <c r="C2713">
        <v>143</v>
      </c>
      <c r="D2713">
        <v>12</v>
      </c>
      <c r="E2713">
        <v>191</v>
      </c>
      <c r="F2713">
        <v>80641</v>
      </c>
      <c r="G2713">
        <v>30734</v>
      </c>
      <c r="H2713">
        <v>2234</v>
      </c>
      <c r="J2713" t="str">
        <f>VLOOKUP(Table3[[#This Row],[Faction ID]],Table4[],2)</f>
        <v>Dunlendings</v>
      </c>
    </row>
    <row r="2714" spans="1:10" x14ac:dyDescent="0.25">
      <c r="A2714">
        <v>70</v>
      </c>
      <c r="B2714" t="s">
        <v>16</v>
      </c>
      <c r="C2714">
        <v>0</v>
      </c>
      <c r="D2714">
        <v>0</v>
      </c>
      <c r="E2714">
        <v>0</v>
      </c>
      <c r="F2714">
        <v>5352</v>
      </c>
      <c r="G2714">
        <v>1750</v>
      </c>
      <c r="H2714">
        <v>0</v>
      </c>
      <c r="J2714" t="str">
        <f>VLOOKUP(Table3[[#This Row],[Faction ID]],Table4[],2)</f>
        <v>Haerrim</v>
      </c>
    </row>
    <row r="2715" spans="1:10" x14ac:dyDescent="0.25">
      <c r="A2715">
        <v>70</v>
      </c>
      <c r="B2715" t="s">
        <v>13</v>
      </c>
      <c r="C2715">
        <v>358</v>
      </c>
      <c r="D2715">
        <v>19</v>
      </c>
      <c r="E2715">
        <v>328.7</v>
      </c>
      <c r="F2715">
        <v>21388</v>
      </c>
      <c r="G2715">
        <v>40899</v>
      </c>
      <c r="H2715">
        <v>3278</v>
      </c>
      <c r="J2715" t="str">
        <f>VLOOKUP(Table3[[#This Row],[Faction ID]],Table4[],2)</f>
        <v>Goblins</v>
      </c>
    </row>
    <row r="2716" spans="1:10" x14ac:dyDescent="0.25">
      <c r="A2716">
        <v>70</v>
      </c>
      <c r="B2716" t="s">
        <v>17</v>
      </c>
      <c r="C2716">
        <v>0</v>
      </c>
      <c r="D2716">
        <v>0</v>
      </c>
      <c r="E2716">
        <v>0</v>
      </c>
      <c r="F2716">
        <v>4872</v>
      </c>
      <c r="G2716">
        <v>1750</v>
      </c>
      <c r="H2716">
        <v>0</v>
      </c>
      <c r="J2716" t="str">
        <f>VLOOKUP(Table3[[#This Row],[Faction ID]],Table4[],2)</f>
        <v>Balchoth</v>
      </c>
    </row>
    <row r="2717" spans="1:10" x14ac:dyDescent="0.25">
      <c r="A2717">
        <v>70</v>
      </c>
      <c r="B2717" t="s">
        <v>18</v>
      </c>
      <c r="C2717">
        <v>218</v>
      </c>
      <c r="D2717">
        <v>31</v>
      </c>
      <c r="E2717">
        <v>397</v>
      </c>
      <c r="F2717">
        <v>99199</v>
      </c>
      <c r="G2717">
        <v>32233</v>
      </c>
      <c r="H2717">
        <v>1028</v>
      </c>
      <c r="J2717" t="str">
        <f>VLOOKUP(Table3[[#This Row],[Faction ID]],Table4[],2)</f>
        <v>Rhurim/Rhun</v>
      </c>
    </row>
    <row r="2718" spans="1:10" x14ac:dyDescent="0.25">
      <c r="A2718">
        <v>70</v>
      </c>
      <c r="B2718" t="s">
        <v>19</v>
      </c>
      <c r="C2718">
        <v>0</v>
      </c>
      <c r="D2718">
        <v>0</v>
      </c>
      <c r="E2718">
        <v>0</v>
      </c>
      <c r="F2718">
        <v>7360</v>
      </c>
      <c r="G2718">
        <v>1750</v>
      </c>
      <c r="H2718">
        <v>0</v>
      </c>
      <c r="J2718" t="str">
        <f>VLOOKUP(Table3[[#This Row],[Faction ID]],Table4[],2)</f>
        <v>Feredrim</v>
      </c>
    </row>
    <row r="2719" spans="1:10" x14ac:dyDescent="0.25">
      <c r="A2719">
        <v>70</v>
      </c>
      <c r="B2719" t="s">
        <v>26</v>
      </c>
      <c r="C2719">
        <v>0</v>
      </c>
      <c r="D2719">
        <v>0</v>
      </c>
      <c r="E2719">
        <v>0</v>
      </c>
      <c r="F2719">
        <v>6395</v>
      </c>
      <c r="G2719">
        <v>1750</v>
      </c>
      <c r="H2719">
        <v>0</v>
      </c>
      <c r="J2719" t="str">
        <f>VLOOKUP(Table3[[#This Row],[Faction ID]],Table4[],2)</f>
        <v>Rachrohir (Wainriders)</v>
      </c>
    </row>
    <row r="2720" spans="1:10" x14ac:dyDescent="0.25">
      <c r="A2720">
        <v>70</v>
      </c>
      <c r="B2720" t="s">
        <v>27</v>
      </c>
      <c r="C2720">
        <v>7</v>
      </c>
      <c r="D2720">
        <v>4</v>
      </c>
      <c r="E2720">
        <v>73</v>
      </c>
      <c r="F2720">
        <v>60519</v>
      </c>
      <c r="G2720">
        <v>16401</v>
      </c>
      <c r="H2720">
        <v>0</v>
      </c>
      <c r="J2720" t="str">
        <f>VLOOKUP(Table3[[#This Row],[Faction ID]],Table4[],2)</f>
        <v>Blacklock-Stonefoot League</v>
      </c>
    </row>
    <row r="2721" spans="1:10" x14ac:dyDescent="0.25">
      <c r="A2721">
        <v>70</v>
      </c>
      <c r="B2721" t="s">
        <v>28</v>
      </c>
      <c r="C2721">
        <v>4</v>
      </c>
      <c r="D2721">
        <v>2</v>
      </c>
      <c r="E2721">
        <v>41</v>
      </c>
      <c r="F2721">
        <v>52746</v>
      </c>
      <c r="G2721">
        <v>7873</v>
      </c>
      <c r="H2721">
        <v>0</v>
      </c>
      <c r="J2721" t="str">
        <f>VLOOKUP(Table3[[#This Row],[Faction ID]],Table4[],2)</f>
        <v>Ironfist-Stiffbeard Union</v>
      </c>
    </row>
    <row r="2722" spans="1:10" x14ac:dyDescent="0.25">
      <c r="A2722">
        <v>70</v>
      </c>
      <c r="B2722" t="s">
        <v>20</v>
      </c>
      <c r="C2722">
        <v>175</v>
      </c>
      <c r="D2722">
        <v>16</v>
      </c>
      <c r="E2722">
        <v>229.2</v>
      </c>
      <c r="F2722">
        <v>37632</v>
      </c>
      <c r="G2722">
        <v>35088</v>
      </c>
      <c r="H2722">
        <v>1799</v>
      </c>
      <c r="J2722" t="str">
        <f>VLOOKUP(Table3[[#This Row],[Faction ID]],Table4[],2)</f>
        <v>Gundabad</v>
      </c>
    </row>
    <row r="2723" spans="1:10" x14ac:dyDescent="0.25">
      <c r="A2723">
        <v>70</v>
      </c>
      <c r="B2723" t="s">
        <v>34</v>
      </c>
      <c r="C2723">
        <v>0</v>
      </c>
      <c r="D2723">
        <v>0</v>
      </c>
      <c r="E2723">
        <v>3</v>
      </c>
      <c r="F2723">
        <v>81349</v>
      </c>
      <c r="G2723">
        <v>2379</v>
      </c>
      <c r="H2723">
        <v>0</v>
      </c>
      <c r="J2723" t="str">
        <f>VLOOKUP(Table3[[#This Row],[Faction ID]],Table4[],2)</f>
        <v>Scouts of Rohan</v>
      </c>
    </row>
    <row r="2724" spans="1:10" x14ac:dyDescent="0.25">
      <c r="A2724">
        <v>70</v>
      </c>
      <c r="B2724" t="s">
        <v>33</v>
      </c>
      <c r="C2724">
        <v>6</v>
      </c>
      <c r="D2724">
        <v>4</v>
      </c>
      <c r="E2724">
        <v>71</v>
      </c>
      <c r="F2724">
        <v>87693</v>
      </c>
      <c r="G2724">
        <v>13954</v>
      </c>
      <c r="H2724">
        <v>695</v>
      </c>
      <c r="J2724" t="str">
        <f>VLOOKUP(Table3[[#This Row],[Faction ID]],Table4[],2)</f>
        <v>Northern Enedwaith</v>
      </c>
    </row>
    <row r="2725" spans="1:10" x14ac:dyDescent="0.25">
      <c r="A2725">
        <v>70</v>
      </c>
      <c r="B2725" t="s">
        <v>29</v>
      </c>
      <c r="C2725">
        <v>0</v>
      </c>
      <c r="D2725">
        <v>0</v>
      </c>
      <c r="E2725">
        <v>0</v>
      </c>
      <c r="F2725">
        <v>54023</v>
      </c>
      <c r="G2725">
        <v>1750</v>
      </c>
      <c r="H2725">
        <v>0</v>
      </c>
      <c r="J2725" t="str">
        <f>VLOOKUP(Table3[[#This Row],[Faction ID]],Table4[],2)</f>
        <v>Southern Enedwaith</v>
      </c>
    </row>
    <row r="2726" spans="1:10" x14ac:dyDescent="0.25">
      <c r="A2726">
        <v>70</v>
      </c>
      <c r="B2726" t="s">
        <v>30</v>
      </c>
      <c r="C2726">
        <v>0</v>
      </c>
      <c r="D2726">
        <v>0</v>
      </c>
      <c r="E2726">
        <v>0</v>
      </c>
      <c r="F2726">
        <v>32146</v>
      </c>
      <c r="G2726">
        <v>1750</v>
      </c>
      <c r="H2726">
        <v>0</v>
      </c>
      <c r="J2726" t="str">
        <f>VLOOKUP(Table3[[#This Row],[Faction ID]],Table4[],2)</f>
        <v>Druedain</v>
      </c>
    </row>
    <row r="2727" spans="1:10" x14ac:dyDescent="0.25">
      <c r="A2727">
        <v>70</v>
      </c>
      <c r="B2727" t="s">
        <v>31</v>
      </c>
      <c r="C2727">
        <v>0</v>
      </c>
      <c r="D2727">
        <v>0</v>
      </c>
      <c r="E2727">
        <v>0</v>
      </c>
      <c r="F2727">
        <v>15146</v>
      </c>
      <c r="G2727">
        <v>1750</v>
      </c>
      <c r="H2727">
        <v>0</v>
      </c>
      <c r="J2727" t="str">
        <f>VLOOKUP(Table3[[#This Row],[Faction ID]],Table4[],2)</f>
        <v>Harondor</v>
      </c>
    </row>
    <row r="2728" spans="1:10" x14ac:dyDescent="0.25">
      <c r="A2728">
        <v>70</v>
      </c>
      <c r="B2728" t="s">
        <v>35</v>
      </c>
      <c r="C2728">
        <v>0</v>
      </c>
      <c r="D2728">
        <v>0</v>
      </c>
      <c r="E2728">
        <v>0</v>
      </c>
      <c r="F2728">
        <v>4000</v>
      </c>
      <c r="G2728">
        <v>1750</v>
      </c>
      <c r="H2728">
        <v>0</v>
      </c>
      <c r="J2728" t="str">
        <f>VLOOKUP(Table3[[#This Row],[Faction ID]],Table4[],2)</f>
        <v>Southron Nomads</v>
      </c>
    </row>
    <row r="2729" spans="1:10" x14ac:dyDescent="0.25">
      <c r="A2729">
        <v>70</v>
      </c>
      <c r="B2729" t="s">
        <v>36</v>
      </c>
      <c r="C2729">
        <v>0</v>
      </c>
      <c r="D2729">
        <v>0</v>
      </c>
      <c r="E2729">
        <v>0</v>
      </c>
      <c r="F2729">
        <v>4000</v>
      </c>
      <c r="G2729">
        <v>1750</v>
      </c>
      <c r="H2729">
        <v>0</v>
      </c>
      <c r="J2729" t="str">
        <f>VLOOKUP(Table3[[#This Row],[Faction ID]],Table4[],2)</f>
        <v>_</v>
      </c>
    </row>
    <row r="2730" spans="1:10" x14ac:dyDescent="0.25">
      <c r="A2730">
        <v>70</v>
      </c>
      <c r="B2730" t="s">
        <v>37</v>
      </c>
      <c r="C2730">
        <v>0</v>
      </c>
      <c r="D2730">
        <v>0</v>
      </c>
      <c r="E2730">
        <v>0</v>
      </c>
      <c r="F2730">
        <v>4000</v>
      </c>
      <c r="G2730">
        <v>1750</v>
      </c>
      <c r="H2730">
        <v>0</v>
      </c>
      <c r="J2730" t="str">
        <f>VLOOKUP(Table3[[#This Row],[Faction ID]],Table4[],2)</f>
        <v>_</v>
      </c>
    </row>
    <row r="2731" spans="1:10" x14ac:dyDescent="0.25">
      <c r="A2731">
        <v>70</v>
      </c>
      <c r="B2731" t="s">
        <v>38</v>
      </c>
      <c r="C2731">
        <v>0</v>
      </c>
      <c r="D2731">
        <v>0</v>
      </c>
      <c r="E2731">
        <v>0</v>
      </c>
      <c r="F2731">
        <v>4000</v>
      </c>
      <c r="G2731">
        <v>1750</v>
      </c>
      <c r="H2731">
        <v>0</v>
      </c>
      <c r="J2731" t="str">
        <f>VLOOKUP(Table3[[#This Row],[Faction ID]],Table4[],2)</f>
        <v>_</v>
      </c>
    </row>
    <row r="2732" spans="1:10" x14ac:dyDescent="0.25">
      <c r="A2732">
        <v>70</v>
      </c>
      <c r="B2732" t="s">
        <v>39</v>
      </c>
      <c r="C2732">
        <v>0</v>
      </c>
      <c r="D2732">
        <v>0</v>
      </c>
      <c r="E2732">
        <v>0</v>
      </c>
      <c r="F2732">
        <v>4000</v>
      </c>
      <c r="G2732">
        <v>1750</v>
      </c>
      <c r="H2732">
        <v>0</v>
      </c>
      <c r="J2732" t="str">
        <f>VLOOKUP(Table3[[#This Row],[Faction ID]],Table4[],2)</f>
        <v>_</v>
      </c>
    </row>
    <row r="2733" spans="1:10" x14ac:dyDescent="0.25">
      <c r="A2733">
        <v>70</v>
      </c>
      <c r="B2733" t="s">
        <v>40</v>
      </c>
      <c r="C2733">
        <v>0</v>
      </c>
      <c r="D2733">
        <v>0</v>
      </c>
      <c r="E2733">
        <v>0</v>
      </c>
      <c r="F2733">
        <v>4000</v>
      </c>
      <c r="G2733">
        <v>1750</v>
      </c>
      <c r="H2733">
        <v>0</v>
      </c>
      <c r="J2733" t="str">
        <f>VLOOKUP(Table3[[#This Row],[Faction ID]],Table4[],2)</f>
        <v>_</v>
      </c>
    </row>
    <row r="2734" spans="1:10" x14ac:dyDescent="0.25">
      <c r="A2734">
        <v>70</v>
      </c>
      <c r="B2734" t="s">
        <v>41</v>
      </c>
      <c r="C2734">
        <v>0</v>
      </c>
      <c r="D2734">
        <v>0</v>
      </c>
      <c r="E2734">
        <v>0</v>
      </c>
      <c r="F2734">
        <v>4000</v>
      </c>
      <c r="G2734">
        <v>1750</v>
      </c>
      <c r="H2734">
        <v>0</v>
      </c>
      <c r="J2734" t="str">
        <f>VLOOKUP(Table3[[#This Row],[Faction ID]],Table4[],2)</f>
        <v>_</v>
      </c>
    </row>
    <row r="2735" spans="1:10" x14ac:dyDescent="0.25">
      <c r="A2735">
        <v>70</v>
      </c>
      <c r="B2735" t="s">
        <v>42</v>
      </c>
      <c r="C2735">
        <v>0</v>
      </c>
      <c r="D2735">
        <v>0</v>
      </c>
      <c r="E2735">
        <v>0</v>
      </c>
      <c r="F2735">
        <v>4000</v>
      </c>
      <c r="G2735">
        <v>1750</v>
      </c>
      <c r="H2735">
        <v>0</v>
      </c>
      <c r="J2735" t="str">
        <f>VLOOKUP(Table3[[#This Row],[Faction ID]],Table4[],2)</f>
        <v>_</v>
      </c>
    </row>
    <row r="2736" spans="1:10" x14ac:dyDescent="0.25">
      <c r="A2736">
        <v>70</v>
      </c>
      <c r="B2736" t="s">
        <v>43</v>
      </c>
      <c r="C2736">
        <v>0</v>
      </c>
      <c r="D2736">
        <v>0</v>
      </c>
      <c r="E2736">
        <v>0</v>
      </c>
      <c r="F2736">
        <v>4000</v>
      </c>
      <c r="G2736">
        <v>1750</v>
      </c>
      <c r="H2736">
        <v>0</v>
      </c>
      <c r="J2736" t="str">
        <f>VLOOKUP(Table3[[#This Row],[Faction ID]],Table4[],2)</f>
        <v>_</v>
      </c>
    </row>
    <row r="2737" spans="1:10" x14ac:dyDescent="0.25">
      <c r="A2737">
        <v>70</v>
      </c>
      <c r="B2737" t="s">
        <v>44</v>
      </c>
      <c r="C2737">
        <v>0</v>
      </c>
      <c r="D2737">
        <v>0</v>
      </c>
      <c r="E2737">
        <v>0</v>
      </c>
      <c r="F2737">
        <v>4000</v>
      </c>
      <c r="G2737">
        <v>1750</v>
      </c>
      <c r="H2737">
        <v>0</v>
      </c>
      <c r="J2737" t="str">
        <f>VLOOKUP(Table3[[#This Row],[Faction ID]],Table4[],2)</f>
        <v>_</v>
      </c>
    </row>
    <row r="2738" spans="1:10" x14ac:dyDescent="0.25">
      <c r="A2738">
        <v>71</v>
      </c>
      <c r="B2738" t="s">
        <v>9</v>
      </c>
      <c r="C2738">
        <v>259</v>
      </c>
      <c r="D2738">
        <v>26</v>
      </c>
      <c r="E2738">
        <v>258.3</v>
      </c>
      <c r="F2738">
        <v>14051</v>
      </c>
      <c r="G2738">
        <v>30341</v>
      </c>
      <c r="H2738">
        <v>2087</v>
      </c>
      <c r="J2738" t="str">
        <f>VLOOKUP(Table3[[#This Row],[Faction ID]],Table4[],2)</f>
        <v>Mordor</v>
      </c>
    </row>
    <row r="2739" spans="1:10" x14ac:dyDescent="0.25">
      <c r="A2739">
        <v>71</v>
      </c>
      <c r="B2739" t="s">
        <v>4</v>
      </c>
      <c r="C2739">
        <v>146</v>
      </c>
      <c r="D2739">
        <v>0</v>
      </c>
      <c r="E2739">
        <v>0</v>
      </c>
      <c r="F2739">
        <v>55420</v>
      </c>
      <c r="G2739">
        <v>2500</v>
      </c>
      <c r="H2739">
        <v>0</v>
      </c>
      <c r="J2739" t="str">
        <f>VLOOKUP(Table3[[#This Row],[Faction ID]],Table4[],2)</f>
        <v>Gondor</v>
      </c>
    </row>
    <row r="2740" spans="1:10" x14ac:dyDescent="0.25">
      <c r="A2740">
        <v>71</v>
      </c>
      <c r="B2740" t="s">
        <v>6</v>
      </c>
      <c r="C2740">
        <v>175</v>
      </c>
      <c r="D2740">
        <v>3</v>
      </c>
      <c r="E2740">
        <v>71</v>
      </c>
      <c r="F2740">
        <v>8195</v>
      </c>
      <c r="G2740">
        <v>12542</v>
      </c>
      <c r="H2740">
        <v>169</v>
      </c>
      <c r="J2740" t="str">
        <f>VLOOKUP(Table3[[#This Row],[Faction ID]],Table4[],2)</f>
        <v>Dale</v>
      </c>
    </row>
    <row r="2741" spans="1:10" x14ac:dyDescent="0.25">
      <c r="A2741">
        <v>71</v>
      </c>
      <c r="B2741" t="s">
        <v>21</v>
      </c>
      <c r="C2741">
        <v>193</v>
      </c>
      <c r="D2741">
        <v>1</v>
      </c>
      <c r="E2741">
        <v>42.8</v>
      </c>
      <c r="F2741">
        <v>29991</v>
      </c>
      <c r="G2741">
        <v>12019</v>
      </c>
      <c r="H2741">
        <v>353</v>
      </c>
      <c r="J2741" t="str">
        <f>VLOOKUP(Table3[[#This Row],[Faction ID]],Table4[],2)</f>
        <v>Erebor</v>
      </c>
    </row>
    <row r="2742" spans="1:10" x14ac:dyDescent="0.25">
      <c r="A2742">
        <v>71</v>
      </c>
      <c r="B2742" t="s">
        <v>5</v>
      </c>
      <c r="C2742">
        <v>157</v>
      </c>
      <c r="D2742">
        <v>0</v>
      </c>
      <c r="E2742">
        <v>0</v>
      </c>
      <c r="F2742">
        <v>6638</v>
      </c>
      <c r="G2742">
        <v>2500</v>
      </c>
      <c r="H2742">
        <v>0</v>
      </c>
      <c r="J2742" t="str">
        <f>VLOOKUP(Table3[[#This Row],[Faction ID]],Table4[],2)</f>
        <v>Rohan</v>
      </c>
    </row>
    <row r="2743" spans="1:10" x14ac:dyDescent="0.25">
      <c r="A2743">
        <v>71</v>
      </c>
      <c r="B2743" t="s">
        <v>12</v>
      </c>
      <c r="C2743">
        <v>203</v>
      </c>
      <c r="D2743">
        <v>14</v>
      </c>
      <c r="E2743">
        <v>221.9</v>
      </c>
      <c r="F2743">
        <v>26279</v>
      </c>
      <c r="G2743">
        <v>30327</v>
      </c>
      <c r="H2743">
        <v>2170</v>
      </c>
      <c r="J2743" t="str">
        <f>VLOOKUP(Table3[[#This Row],[Faction ID]],Table4[],2)</f>
        <v>Dol Guldur</v>
      </c>
    </row>
    <row r="2744" spans="1:10" x14ac:dyDescent="0.25">
      <c r="A2744">
        <v>71</v>
      </c>
      <c r="B2744" t="s">
        <v>10</v>
      </c>
      <c r="C2744">
        <v>58</v>
      </c>
      <c r="D2744">
        <v>0</v>
      </c>
      <c r="E2744">
        <v>0</v>
      </c>
      <c r="F2744">
        <v>4515</v>
      </c>
      <c r="G2744">
        <v>2500</v>
      </c>
      <c r="H2744">
        <v>0</v>
      </c>
      <c r="J2744" t="str">
        <f>VLOOKUP(Table3[[#This Row],[Faction ID]],Table4[],2)</f>
        <v>Anduin Vale</v>
      </c>
    </row>
    <row r="2745" spans="1:10" x14ac:dyDescent="0.25">
      <c r="A2745">
        <v>71</v>
      </c>
      <c r="B2745" t="s">
        <v>32</v>
      </c>
      <c r="C2745">
        <v>228</v>
      </c>
      <c r="D2745">
        <v>8</v>
      </c>
      <c r="E2745">
        <v>173.1</v>
      </c>
      <c r="F2745">
        <v>19335</v>
      </c>
      <c r="G2745">
        <v>22768</v>
      </c>
      <c r="H2745">
        <v>1253</v>
      </c>
      <c r="J2745" t="str">
        <f>VLOOKUP(Table3[[#This Row],[Faction ID]],Table4[],2)</f>
        <v>Isengard</v>
      </c>
    </row>
    <row r="2746" spans="1:10" x14ac:dyDescent="0.25">
      <c r="A2746">
        <v>71</v>
      </c>
      <c r="B2746" t="s">
        <v>22</v>
      </c>
      <c r="C2746">
        <v>30</v>
      </c>
      <c r="D2746">
        <v>0</v>
      </c>
      <c r="E2746">
        <v>0</v>
      </c>
      <c r="F2746">
        <v>8475</v>
      </c>
      <c r="G2746">
        <v>2500</v>
      </c>
      <c r="H2746">
        <v>0</v>
      </c>
      <c r="J2746" t="str">
        <f>VLOOKUP(Table3[[#This Row],[Faction ID]],Table4[],2)</f>
        <v>Woodland Realm</v>
      </c>
    </row>
    <row r="2747" spans="1:10" x14ac:dyDescent="0.25">
      <c r="A2747">
        <v>71</v>
      </c>
      <c r="B2747" t="s">
        <v>23</v>
      </c>
      <c r="C2747">
        <v>64</v>
      </c>
      <c r="D2747">
        <v>0</v>
      </c>
      <c r="E2747">
        <v>0</v>
      </c>
      <c r="F2747">
        <v>4721</v>
      </c>
      <c r="G2747">
        <v>2500</v>
      </c>
      <c r="H2747">
        <v>0</v>
      </c>
      <c r="J2747" t="str">
        <f>VLOOKUP(Table3[[#This Row],[Faction ID]],Table4[],2)</f>
        <v>Lothlorien</v>
      </c>
    </row>
    <row r="2748" spans="1:10" x14ac:dyDescent="0.25">
      <c r="A2748">
        <v>71</v>
      </c>
      <c r="B2748" t="s">
        <v>24</v>
      </c>
      <c r="C2748">
        <v>0</v>
      </c>
      <c r="D2748">
        <v>0</v>
      </c>
      <c r="E2748">
        <v>0</v>
      </c>
      <c r="F2748">
        <v>4919</v>
      </c>
      <c r="G2748">
        <v>1750</v>
      </c>
      <c r="H2748">
        <v>0</v>
      </c>
      <c r="J2748" t="str">
        <f>VLOOKUP(Table3[[#This Row],[Faction ID]],Table4[],2)</f>
        <v>Variags (Khand)</v>
      </c>
    </row>
    <row r="2749" spans="1:10" x14ac:dyDescent="0.25">
      <c r="A2749">
        <v>71</v>
      </c>
      <c r="B2749" t="s">
        <v>14</v>
      </c>
      <c r="C2749">
        <v>11</v>
      </c>
      <c r="D2749">
        <v>8</v>
      </c>
      <c r="E2749">
        <v>143</v>
      </c>
      <c r="F2749">
        <v>36471</v>
      </c>
      <c r="G2749">
        <v>29227</v>
      </c>
      <c r="H2749">
        <v>2067</v>
      </c>
      <c r="J2749" t="str">
        <f>VLOOKUP(Table3[[#This Row],[Faction ID]],Table4[],2)</f>
        <v>Corsairs of Umbar</v>
      </c>
    </row>
    <row r="2750" spans="1:10" x14ac:dyDescent="0.25">
      <c r="A2750">
        <v>71</v>
      </c>
      <c r="B2750" t="s">
        <v>25</v>
      </c>
      <c r="C2750">
        <v>3</v>
      </c>
      <c r="D2750">
        <v>1</v>
      </c>
      <c r="E2750">
        <v>27</v>
      </c>
      <c r="F2750">
        <v>6186</v>
      </c>
      <c r="G2750">
        <v>4773</v>
      </c>
      <c r="H2750">
        <v>0</v>
      </c>
      <c r="J2750" t="str">
        <f>VLOOKUP(Table3[[#This Row],[Faction ID]],Table4[],2)</f>
        <v>Mahud</v>
      </c>
    </row>
    <row r="2751" spans="1:10" x14ac:dyDescent="0.25">
      <c r="A2751">
        <v>71</v>
      </c>
      <c r="B2751" t="s">
        <v>11</v>
      </c>
      <c r="C2751">
        <v>124</v>
      </c>
      <c r="D2751">
        <v>7</v>
      </c>
      <c r="E2751">
        <v>130</v>
      </c>
      <c r="F2751">
        <v>15100</v>
      </c>
      <c r="G2751">
        <v>16717</v>
      </c>
      <c r="H2751">
        <v>438</v>
      </c>
      <c r="J2751" t="str">
        <f>VLOOKUP(Table3[[#This Row],[Faction ID]],Table4[],2)</f>
        <v>Haradrim</v>
      </c>
    </row>
    <row r="2752" spans="1:10" x14ac:dyDescent="0.25">
      <c r="A2752">
        <v>71</v>
      </c>
      <c r="B2752" t="s">
        <v>15</v>
      </c>
      <c r="C2752">
        <v>143</v>
      </c>
      <c r="D2752">
        <v>12</v>
      </c>
      <c r="E2752">
        <v>191</v>
      </c>
      <c r="F2752">
        <v>89997</v>
      </c>
      <c r="G2752">
        <v>30536</v>
      </c>
      <c r="H2752">
        <v>2242</v>
      </c>
      <c r="J2752" t="str">
        <f>VLOOKUP(Table3[[#This Row],[Faction ID]],Table4[],2)</f>
        <v>Dunlendings</v>
      </c>
    </row>
    <row r="2753" spans="1:10" x14ac:dyDescent="0.25">
      <c r="A2753">
        <v>71</v>
      </c>
      <c r="B2753" t="s">
        <v>16</v>
      </c>
      <c r="C2753">
        <v>0</v>
      </c>
      <c r="D2753">
        <v>0</v>
      </c>
      <c r="E2753">
        <v>0</v>
      </c>
      <c r="F2753">
        <v>5352</v>
      </c>
      <c r="G2753">
        <v>1750</v>
      </c>
      <c r="H2753">
        <v>0</v>
      </c>
      <c r="J2753" t="str">
        <f>VLOOKUP(Table3[[#This Row],[Faction ID]],Table4[],2)</f>
        <v>Haerrim</v>
      </c>
    </row>
    <row r="2754" spans="1:10" x14ac:dyDescent="0.25">
      <c r="A2754">
        <v>71</v>
      </c>
      <c r="B2754" t="s">
        <v>13</v>
      </c>
      <c r="C2754">
        <v>358</v>
      </c>
      <c r="D2754">
        <v>19</v>
      </c>
      <c r="E2754">
        <v>331.7</v>
      </c>
      <c r="F2754">
        <v>23717</v>
      </c>
      <c r="G2754">
        <v>41662</v>
      </c>
      <c r="H2754">
        <v>3283</v>
      </c>
      <c r="J2754" t="str">
        <f>VLOOKUP(Table3[[#This Row],[Faction ID]],Table4[],2)</f>
        <v>Goblins</v>
      </c>
    </row>
    <row r="2755" spans="1:10" x14ac:dyDescent="0.25">
      <c r="A2755">
        <v>71</v>
      </c>
      <c r="B2755" t="s">
        <v>17</v>
      </c>
      <c r="C2755">
        <v>0</v>
      </c>
      <c r="D2755">
        <v>0</v>
      </c>
      <c r="E2755">
        <v>0</v>
      </c>
      <c r="F2755">
        <v>4872</v>
      </c>
      <c r="G2755">
        <v>1750</v>
      </c>
      <c r="H2755">
        <v>0</v>
      </c>
      <c r="J2755" t="str">
        <f>VLOOKUP(Table3[[#This Row],[Faction ID]],Table4[],2)</f>
        <v>Balchoth</v>
      </c>
    </row>
    <row r="2756" spans="1:10" x14ac:dyDescent="0.25">
      <c r="A2756">
        <v>71</v>
      </c>
      <c r="B2756" t="s">
        <v>18</v>
      </c>
      <c r="C2756">
        <v>217</v>
      </c>
      <c r="D2756">
        <v>30</v>
      </c>
      <c r="E2756">
        <v>384.5</v>
      </c>
      <c r="F2756">
        <v>144847</v>
      </c>
      <c r="G2756">
        <v>31149</v>
      </c>
      <c r="H2756">
        <v>1028</v>
      </c>
      <c r="J2756" t="str">
        <f>VLOOKUP(Table3[[#This Row],[Faction ID]],Table4[],2)</f>
        <v>Rhurim/Rhun</v>
      </c>
    </row>
    <row r="2757" spans="1:10" x14ac:dyDescent="0.25">
      <c r="A2757">
        <v>71</v>
      </c>
      <c r="B2757" t="s">
        <v>19</v>
      </c>
      <c r="C2757">
        <v>0</v>
      </c>
      <c r="D2757">
        <v>0</v>
      </c>
      <c r="E2757">
        <v>0</v>
      </c>
      <c r="F2757">
        <v>7360</v>
      </c>
      <c r="G2757">
        <v>1750</v>
      </c>
      <c r="H2757">
        <v>0</v>
      </c>
      <c r="J2757" t="str">
        <f>VLOOKUP(Table3[[#This Row],[Faction ID]],Table4[],2)</f>
        <v>Feredrim</v>
      </c>
    </row>
    <row r="2758" spans="1:10" x14ac:dyDescent="0.25">
      <c r="A2758">
        <v>71</v>
      </c>
      <c r="B2758" t="s">
        <v>26</v>
      </c>
      <c r="C2758">
        <v>0</v>
      </c>
      <c r="D2758">
        <v>0</v>
      </c>
      <c r="E2758">
        <v>0</v>
      </c>
      <c r="F2758">
        <v>6395</v>
      </c>
      <c r="G2758">
        <v>1750</v>
      </c>
      <c r="H2758">
        <v>0</v>
      </c>
      <c r="J2758" t="str">
        <f>VLOOKUP(Table3[[#This Row],[Faction ID]],Table4[],2)</f>
        <v>Rachrohir (Wainriders)</v>
      </c>
    </row>
    <row r="2759" spans="1:10" x14ac:dyDescent="0.25">
      <c r="A2759">
        <v>71</v>
      </c>
      <c r="B2759" t="s">
        <v>27</v>
      </c>
      <c r="C2759">
        <v>7</v>
      </c>
      <c r="D2759">
        <v>4</v>
      </c>
      <c r="E2759">
        <v>73</v>
      </c>
      <c r="F2759">
        <v>60680</v>
      </c>
      <c r="G2759">
        <v>16696</v>
      </c>
      <c r="H2759">
        <v>0</v>
      </c>
      <c r="J2759" t="str">
        <f>VLOOKUP(Table3[[#This Row],[Faction ID]],Table4[],2)</f>
        <v>Blacklock-Stonefoot League</v>
      </c>
    </row>
    <row r="2760" spans="1:10" x14ac:dyDescent="0.25">
      <c r="A2760">
        <v>71</v>
      </c>
      <c r="B2760" t="s">
        <v>28</v>
      </c>
      <c r="C2760">
        <v>4</v>
      </c>
      <c r="D2760">
        <v>2</v>
      </c>
      <c r="E2760">
        <v>41</v>
      </c>
      <c r="F2760">
        <v>54063</v>
      </c>
      <c r="G2760">
        <v>7873</v>
      </c>
      <c r="H2760">
        <v>0</v>
      </c>
      <c r="J2760" t="str">
        <f>VLOOKUP(Table3[[#This Row],[Faction ID]],Table4[],2)</f>
        <v>Ironfist-Stiffbeard Union</v>
      </c>
    </row>
    <row r="2761" spans="1:10" x14ac:dyDescent="0.25">
      <c r="A2761">
        <v>71</v>
      </c>
      <c r="B2761" t="s">
        <v>20</v>
      </c>
      <c r="C2761">
        <v>175</v>
      </c>
      <c r="D2761">
        <v>16</v>
      </c>
      <c r="E2761">
        <v>221.6</v>
      </c>
      <c r="F2761">
        <v>36009</v>
      </c>
      <c r="G2761">
        <v>34301</v>
      </c>
      <c r="H2761">
        <v>1803</v>
      </c>
      <c r="J2761" t="str">
        <f>VLOOKUP(Table3[[#This Row],[Faction ID]],Table4[],2)</f>
        <v>Gundabad</v>
      </c>
    </row>
    <row r="2762" spans="1:10" x14ac:dyDescent="0.25">
      <c r="A2762">
        <v>71</v>
      </c>
      <c r="B2762" t="s">
        <v>34</v>
      </c>
      <c r="C2762">
        <v>0</v>
      </c>
      <c r="D2762">
        <v>0</v>
      </c>
      <c r="E2762">
        <v>3</v>
      </c>
      <c r="F2762">
        <v>82470</v>
      </c>
      <c r="G2762">
        <v>2379</v>
      </c>
      <c r="H2762">
        <v>0</v>
      </c>
      <c r="J2762" t="str">
        <f>VLOOKUP(Table3[[#This Row],[Faction ID]],Table4[],2)</f>
        <v>Scouts of Rohan</v>
      </c>
    </row>
    <row r="2763" spans="1:10" x14ac:dyDescent="0.25">
      <c r="A2763">
        <v>71</v>
      </c>
      <c r="B2763" t="s">
        <v>33</v>
      </c>
      <c r="C2763">
        <v>6</v>
      </c>
      <c r="D2763">
        <v>4</v>
      </c>
      <c r="E2763">
        <v>74</v>
      </c>
      <c r="F2763">
        <v>89724</v>
      </c>
      <c r="G2763">
        <v>14481</v>
      </c>
      <c r="H2763">
        <v>695</v>
      </c>
      <c r="J2763" t="str">
        <f>VLOOKUP(Table3[[#This Row],[Faction ID]],Table4[],2)</f>
        <v>Northern Enedwaith</v>
      </c>
    </row>
    <row r="2764" spans="1:10" x14ac:dyDescent="0.25">
      <c r="A2764">
        <v>71</v>
      </c>
      <c r="B2764" t="s">
        <v>29</v>
      </c>
      <c r="C2764">
        <v>0</v>
      </c>
      <c r="D2764">
        <v>0</v>
      </c>
      <c r="E2764">
        <v>0</v>
      </c>
      <c r="F2764">
        <v>54023</v>
      </c>
      <c r="G2764">
        <v>1750</v>
      </c>
      <c r="H2764">
        <v>0</v>
      </c>
      <c r="J2764" t="str">
        <f>VLOOKUP(Table3[[#This Row],[Faction ID]],Table4[],2)</f>
        <v>Southern Enedwaith</v>
      </c>
    </row>
    <row r="2765" spans="1:10" x14ac:dyDescent="0.25">
      <c r="A2765">
        <v>71</v>
      </c>
      <c r="B2765" t="s">
        <v>30</v>
      </c>
      <c r="C2765">
        <v>0</v>
      </c>
      <c r="D2765">
        <v>0</v>
      </c>
      <c r="E2765">
        <v>0</v>
      </c>
      <c r="F2765">
        <v>32146</v>
      </c>
      <c r="G2765">
        <v>1750</v>
      </c>
      <c r="H2765">
        <v>0</v>
      </c>
      <c r="J2765" t="str">
        <f>VLOOKUP(Table3[[#This Row],[Faction ID]],Table4[],2)</f>
        <v>Druedain</v>
      </c>
    </row>
    <row r="2766" spans="1:10" x14ac:dyDescent="0.25">
      <c r="A2766">
        <v>71</v>
      </c>
      <c r="B2766" t="s">
        <v>31</v>
      </c>
      <c r="C2766">
        <v>0</v>
      </c>
      <c r="D2766">
        <v>0</v>
      </c>
      <c r="E2766">
        <v>0</v>
      </c>
      <c r="F2766">
        <v>15146</v>
      </c>
      <c r="G2766">
        <v>1750</v>
      </c>
      <c r="H2766">
        <v>0</v>
      </c>
      <c r="J2766" t="str">
        <f>VLOOKUP(Table3[[#This Row],[Faction ID]],Table4[],2)</f>
        <v>Harondor</v>
      </c>
    </row>
    <row r="2767" spans="1:10" x14ac:dyDescent="0.25">
      <c r="A2767">
        <v>71</v>
      </c>
      <c r="B2767" t="s">
        <v>35</v>
      </c>
      <c r="C2767">
        <v>0</v>
      </c>
      <c r="D2767">
        <v>0</v>
      </c>
      <c r="E2767">
        <v>0</v>
      </c>
      <c r="F2767">
        <v>4000</v>
      </c>
      <c r="G2767">
        <v>1750</v>
      </c>
      <c r="H2767">
        <v>0</v>
      </c>
      <c r="J2767" t="str">
        <f>VLOOKUP(Table3[[#This Row],[Faction ID]],Table4[],2)</f>
        <v>Southron Nomads</v>
      </c>
    </row>
    <row r="2768" spans="1:10" x14ac:dyDescent="0.25">
      <c r="A2768">
        <v>71</v>
      </c>
      <c r="B2768" t="s">
        <v>36</v>
      </c>
      <c r="C2768">
        <v>0</v>
      </c>
      <c r="D2768">
        <v>0</v>
      </c>
      <c r="E2768">
        <v>0</v>
      </c>
      <c r="F2768">
        <v>4000</v>
      </c>
      <c r="G2768">
        <v>1750</v>
      </c>
      <c r="H2768">
        <v>0</v>
      </c>
      <c r="J2768" t="str">
        <f>VLOOKUP(Table3[[#This Row],[Faction ID]],Table4[],2)</f>
        <v>_</v>
      </c>
    </row>
    <row r="2769" spans="1:10" x14ac:dyDescent="0.25">
      <c r="A2769">
        <v>71</v>
      </c>
      <c r="B2769" t="s">
        <v>37</v>
      </c>
      <c r="C2769">
        <v>0</v>
      </c>
      <c r="D2769">
        <v>0</v>
      </c>
      <c r="E2769">
        <v>0</v>
      </c>
      <c r="F2769">
        <v>4000</v>
      </c>
      <c r="G2769">
        <v>1750</v>
      </c>
      <c r="H2769">
        <v>0</v>
      </c>
      <c r="J2769" t="str">
        <f>VLOOKUP(Table3[[#This Row],[Faction ID]],Table4[],2)</f>
        <v>_</v>
      </c>
    </row>
    <row r="2770" spans="1:10" x14ac:dyDescent="0.25">
      <c r="A2770">
        <v>71</v>
      </c>
      <c r="B2770" t="s">
        <v>38</v>
      </c>
      <c r="C2770">
        <v>0</v>
      </c>
      <c r="D2770">
        <v>0</v>
      </c>
      <c r="E2770">
        <v>0</v>
      </c>
      <c r="F2770">
        <v>4000</v>
      </c>
      <c r="G2770">
        <v>1750</v>
      </c>
      <c r="H2770">
        <v>0</v>
      </c>
      <c r="J2770" t="str">
        <f>VLOOKUP(Table3[[#This Row],[Faction ID]],Table4[],2)</f>
        <v>_</v>
      </c>
    </row>
    <row r="2771" spans="1:10" x14ac:dyDescent="0.25">
      <c r="A2771">
        <v>71</v>
      </c>
      <c r="B2771" t="s">
        <v>39</v>
      </c>
      <c r="C2771">
        <v>0</v>
      </c>
      <c r="D2771">
        <v>0</v>
      </c>
      <c r="E2771">
        <v>0</v>
      </c>
      <c r="F2771">
        <v>4000</v>
      </c>
      <c r="G2771">
        <v>1750</v>
      </c>
      <c r="H2771">
        <v>0</v>
      </c>
      <c r="J2771" t="str">
        <f>VLOOKUP(Table3[[#This Row],[Faction ID]],Table4[],2)</f>
        <v>_</v>
      </c>
    </row>
    <row r="2772" spans="1:10" x14ac:dyDescent="0.25">
      <c r="A2772">
        <v>71</v>
      </c>
      <c r="B2772" t="s">
        <v>40</v>
      </c>
      <c r="C2772">
        <v>0</v>
      </c>
      <c r="D2772">
        <v>0</v>
      </c>
      <c r="E2772">
        <v>0</v>
      </c>
      <c r="F2772">
        <v>4000</v>
      </c>
      <c r="G2772">
        <v>1750</v>
      </c>
      <c r="H2772">
        <v>0</v>
      </c>
      <c r="J2772" t="str">
        <f>VLOOKUP(Table3[[#This Row],[Faction ID]],Table4[],2)</f>
        <v>_</v>
      </c>
    </row>
    <row r="2773" spans="1:10" x14ac:dyDescent="0.25">
      <c r="A2773">
        <v>71</v>
      </c>
      <c r="B2773" t="s">
        <v>41</v>
      </c>
      <c r="C2773">
        <v>0</v>
      </c>
      <c r="D2773">
        <v>0</v>
      </c>
      <c r="E2773">
        <v>0</v>
      </c>
      <c r="F2773">
        <v>4000</v>
      </c>
      <c r="G2773">
        <v>1750</v>
      </c>
      <c r="H2773">
        <v>0</v>
      </c>
      <c r="J2773" t="str">
        <f>VLOOKUP(Table3[[#This Row],[Faction ID]],Table4[],2)</f>
        <v>_</v>
      </c>
    </row>
    <row r="2774" spans="1:10" x14ac:dyDescent="0.25">
      <c r="A2774">
        <v>71</v>
      </c>
      <c r="B2774" t="s">
        <v>42</v>
      </c>
      <c r="C2774">
        <v>0</v>
      </c>
      <c r="D2774">
        <v>0</v>
      </c>
      <c r="E2774">
        <v>0</v>
      </c>
      <c r="F2774">
        <v>4000</v>
      </c>
      <c r="G2774">
        <v>1750</v>
      </c>
      <c r="H2774">
        <v>0</v>
      </c>
      <c r="J2774" t="str">
        <f>VLOOKUP(Table3[[#This Row],[Faction ID]],Table4[],2)</f>
        <v>_</v>
      </c>
    </row>
    <row r="2775" spans="1:10" x14ac:dyDescent="0.25">
      <c r="A2775">
        <v>71</v>
      </c>
      <c r="B2775" t="s">
        <v>43</v>
      </c>
      <c r="C2775">
        <v>0</v>
      </c>
      <c r="D2775">
        <v>0</v>
      </c>
      <c r="E2775">
        <v>0</v>
      </c>
      <c r="F2775">
        <v>4000</v>
      </c>
      <c r="G2775">
        <v>1750</v>
      </c>
      <c r="H2775">
        <v>0</v>
      </c>
      <c r="J2775" t="str">
        <f>VLOOKUP(Table3[[#This Row],[Faction ID]],Table4[],2)</f>
        <v>_</v>
      </c>
    </row>
    <row r="2776" spans="1:10" x14ac:dyDescent="0.25">
      <c r="A2776">
        <v>71</v>
      </c>
      <c r="B2776" t="s">
        <v>44</v>
      </c>
      <c r="C2776">
        <v>0</v>
      </c>
      <c r="D2776">
        <v>0</v>
      </c>
      <c r="E2776">
        <v>0</v>
      </c>
      <c r="F2776">
        <v>4000</v>
      </c>
      <c r="G2776">
        <v>1750</v>
      </c>
      <c r="H2776">
        <v>0</v>
      </c>
      <c r="J2776" t="str">
        <f>VLOOKUP(Table3[[#This Row],[Faction ID]],Table4[],2)</f>
        <v>_</v>
      </c>
    </row>
    <row r="2777" spans="1:10" x14ac:dyDescent="0.25">
      <c r="A2777">
        <v>72</v>
      </c>
      <c r="B2777" t="s">
        <v>9</v>
      </c>
      <c r="C2777">
        <v>268</v>
      </c>
      <c r="D2777">
        <v>26</v>
      </c>
      <c r="E2777">
        <v>259.3</v>
      </c>
      <c r="F2777">
        <v>10464</v>
      </c>
      <c r="G2777">
        <v>30594</v>
      </c>
      <c r="H2777">
        <v>2092</v>
      </c>
      <c r="J2777" t="str">
        <f>VLOOKUP(Table3[[#This Row],[Faction ID]],Table4[],2)</f>
        <v>Mordor</v>
      </c>
    </row>
    <row r="2778" spans="1:10" x14ac:dyDescent="0.25">
      <c r="A2778">
        <v>72</v>
      </c>
      <c r="B2778" t="s">
        <v>4</v>
      </c>
      <c r="C2778">
        <v>146</v>
      </c>
      <c r="D2778">
        <v>0</v>
      </c>
      <c r="E2778">
        <v>0</v>
      </c>
      <c r="F2778">
        <v>55420</v>
      </c>
      <c r="G2778">
        <v>2500</v>
      </c>
      <c r="H2778">
        <v>0</v>
      </c>
      <c r="J2778" t="str">
        <f>VLOOKUP(Table3[[#This Row],[Faction ID]],Table4[],2)</f>
        <v>Gondor</v>
      </c>
    </row>
    <row r="2779" spans="1:10" x14ac:dyDescent="0.25">
      <c r="A2779">
        <v>72</v>
      </c>
      <c r="B2779" t="s">
        <v>6</v>
      </c>
      <c r="C2779">
        <v>175</v>
      </c>
      <c r="D2779">
        <v>3</v>
      </c>
      <c r="E2779">
        <v>39</v>
      </c>
      <c r="F2779">
        <v>12244</v>
      </c>
      <c r="G2779">
        <v>10723</v>
      </c>
      <c r="H2779">
        <v>168</v>
      </c>
      <c r="J2779" t="str">
        <f>VLOOKUP(Table3[[#This Row],[Faction ID]],Table4[],2)</f>
        <v>Dale</v>
      </c>
    </row>
    <row r="2780" spans="1:10" x14ac:dyDescent="0.25">
      <c r="A2780">
        <v>72</v>
      </c>
      <c r="B2780" t="s">
        <v>21</v>
      </c>
      <c r="C2780">
        <v>198</v>
      </c>
      <c r="D2780">
        <v>1</v>
      </c>
      <c r="E2780">
        <v>46.4</v>
      </c>
      <c r="F2780">
        <v>32513</v>
      </c>
      <c r="G2780">
        <v>11847</v>
      </c>
      <c r="H2780">
        <v>352</v>
      </c>
      <c r="J2780" t="str">
        <f>VLOOKUP(Table3[[#This Row],[Faction ID]],Table4[],2)</f>
        <v>Erebor</v>
      </c>
    </row>
    <row r="2781" spans="1:10" x14ac:dyDescent="0.25">
      <c r="A2781">
        <v>72</v>
      </c>
      <c r="B2781" t="s">
        <v>5</v>
      </c>
      <c r="C2781">
        <v>157</v>
      </c>
      <c r="D2781">
        <v>0</v>
      </c>
      <c r="E2781">
        <v>0</v>
      </c>
      <c r="F2781">
        <v>6638</v>
      </c>
      <c r="G2781">
        <v>2500</v>
      </c>
      <c r="H2781">
        <v>0</v>
      </c>
      <c r="J2781" t="str">
        <f>VLOOKUP(Table3[[#This Row],[Faction ID]],Table4[],2)</f>
        <v>Rohan</v>
      </c>
    </row>
    <row r="2782" spans="1:10" x14ac:dyDescent="0.25">
      <c r="A2782">
        <v>72</v>
      </c>
      <c r="B2782" t="s">
        <v>12</v>
      </c>
      <c r="C2782">
        <v>203</v>
      </c>
      <c r="D2782">
        <v>14</v>
      </c>
      <c r="E2782">
        <v>221.9</v>
      </c>
      <c r="F2782">
        <v>29882</v>
      </c>
      <c r="G2782">
        <v>29988</v>
      </c>
      <c r="H2782">
        <v>2185</v>
      </c>
      <c r="J2782" t="str">
        <f>VLOOKUP(Table3[[#This Row],[Faction ID]],Table4[],2)</f>
        <v>Dol Guldur</v>
      </c>
    </row>
    <row r="2783" spans="1:10" x14ac:dyDescent="0.25">
      <c r="A2783">
        <v>72</v>
      </c>
      <c r="B2783" t="s">
        <v>10</v>
      </c>
      <c r="C2783">
        <v>58</v>
      </c>
      <c r="D2783">
        <v>0</v>
      </c>
      <c r="E2783">
        <v>0</v>
      </c>
      <c r="F2783">
        <v>4515</v>
      </c>
      <c r="G2783">
        <v>2500</v>
      </c>
      <c r="H2783">
        <v>0</v>
      </c>
      <c r="J2783" t="str">
        <f>VLOOKUP(Table3[[#This Row],[Faction ID]],Table4[],2)</f>
        <v>Anduin Vale</v>
      </c>
    </row>
    <row r="2784" spans="1:10" x14ac:dyDescent="0.25">
      <c r="A2784">
        <v>72</v>
      </c>
      <c r="B2784" t="s">
        <v>32</v>
      </c>
      <c r="C2784">
        <v>237</v>
      </c>
      <c r="D2784">
        <v>8</v>
      </c>
      <c r="E2784">
        <v>175.1</v>
      </c>
      <c r="F2784">
        <v>20643</v>
      </c>
      <c r="G2784">
        <v>23180</v>
      </c>
      <c r="H2784">
        <v>1257</v>
      </c>
      <c r="J2784" t="str">
        <f>VLOOKUP(Table3[[#This Row],[Faction ID]],Table4[],2)</f>
        <v>Isengard</v>
      </c>
    </row>
    <row r="2785" spans="1:10" x14ac:dyDescent="0.25">
      <c r="A2785">
        <v>72</v>
      </c>
      <c r="B2785" t="s">
        <v>22</v>
      </c>
      <c r="C2785">
        <v>30</v>
      </c>
      <c r="D2785">
        <v>0</v>
      </c>
      <c r="E2785">
        <v>0</v>
      </c>
      <c r="F2785">
        <v>8475</v>
      </c>
      <c r="G2785">
        <v>2500</v>
      </c>
      <c r="H2785">
        <v>0</v>
      </c>
      <c r="J2785" t="str">
        <f>VLOOKUP(Table3[[#This Row],[Faction ID]],Table4[],2)</f>
        <v>Woodland Realm</v>
      </c>
    </row>
    <row r="2786" spans="1:10" x14ac:dyDescent="0.25">
      <c r="A2786">
        <v>72</v>
      </c>
      <c r="B2786" t="s">
        <v>23</v>
      </c>
      <c r="C2786">
        <v>64</v>
      </c>
      <c r="D2786">
        <v>0</v>
      </c>
      <c r="E2786">
        <v>0</v>
      </c>
      <c r="F2786">
        <v>4721</v>
      </c>
      <c r="G2786">
        <v>2500</v>
      </c>
      <c r="H2786">
        <v>0</v>
      </c>
      <c r="J2786" t="str">
        <f>VLOOKUP(Table3[[#This Row],[Faction ID]],Table4[],2)</f>
        <v>Lothlorien</v>
      </c>
    </row>
    <row r="2787" spans="1:10" x14ac:dyDescent="0.25">
      <c r="A2787">
        <v>72</v>
      </c>
      <c r="B2787" t="s">
        <v>24</v>
      </c>
      <c r="C2787">
        <v>0</v>
      </c>
      <c r="D2787">
        <v>0</v>
      </c>
      <c r="E2787">
        <v>0</v>
      </c>
      <c r="F2787">
        <v>4919</v>
      </c>
      <c r="G2787">
        <v>1750</v>
      </c>
      <c r="H2787">
        <v>0</v>
      </c>
      <c r="J2787" t="str">
        <f>VLOOKUP(Table3[[#This Row],[Faction ID]],Table4[],2)</f>
        <v>Variags (Khand)</v>
      </c>
    </row>
    <row r="2788" spans="1:10" x14ac:dyDescent="0.25">
      <c r="A2788">
        <v>72</v>
      </c>
      <c r="B2788" t="s">
        <v>14</v>
      </c>
      <c r="C2788">
        <v>11</v>
      </c>
      <c r="D2788">
        <v>8</v>
      </c>
      <c r="E2788">
        <v>149.4</v>
      </c>
      <c r="F2788">
        <v>38491</v>
      </c>
      <c r="G2788">
        <v>29711</v>
      </c>
      <c r="H2788">
        <v>2082</v>
      </c>
      <c r="J2788" t="str">
        <f>VLOOKUP(Table3[[#This Row],[Faction ID]],Table4[],2)</f>
        <v>Corsairs of Umbar</v>
      </c>
    </row>
    <row r="2789" spans="1:10" x14ac:dyDescent="0.25">
      <c r="A2789">
        <v>72</v>
      </c>
      <c r="B2789" t="s">
        <v>25</v>
      </c>
      <c r="C2789">
        <v>0</v>
      </c>
      <c r="D2789">
        <v>0</v>
      </c>
      <c r="E2789">
        <v>11</v>
      </c>
      <c r="F2789">
        <v>6673</v>
      </c>
      <c r="G2789">
        <v>3013</v>
      </c>
      <c r="H2789">
        <v>0</v>
      </c>
      <c r="J2789" t="str">
        <f>VLOOKUP(Table3[[#This Row],[Faction ID]],Table4[],2)</f>
        <v>Mahud</v>
      </c>
    </row>
    <row r="2790" spans="1:10" x14ac:dyDescent="0.25">
      <c r="A2790">
        <v>72</v>
      </c>
      <c r="B2790" t="s">
        <v>11</v>
      </c>
      <c r="C2790">
        <v>126</v>
      </c>
      <c r="D2790">
        <v>8</v>
      </c>
      <c r="E2790">
        <v>146</v>
      </c>
      <c r="F2790">
        <v>17627</v>
      </c>
      <c r="G2790">
        <v>17583</v>
      </c>
      <c r="H2790">
        <v>544</v>
      </c>
      <c r="J2790" t="str">
        <f>VLOOKUP(Table3[[#This Row],[Faction ID]],Table4[],2)</f>
        <v>Haradrim</v>
      </c>
    </row>
    <row r="2791" spans="1:10" x14ac:dyDescent="0.25">
      <c r="A2791">
        <v>72</v>
      </c>
      <c r="B2791" t="s">
        <v>15</v>
      </c>
      <c r="C2791">
        <v>148</v>
      </c>
      <c r="D2791">
        <v>12</v>
      </c>
      <c r="E2791">
        <v>191</v>
      </c>
      <c r="F2791">
        <v>97527</v>
      </c>
      <c r="G2791">
        <v>31358</v>
      </c>
      <c r="H2791">
        <v>2254</v>
      </c>
      <c r="J2791" t="str">
        <f>VLOOKUP(Table3[[#This Row],[Faction ID]],Table4[],2)</f>
        <v>Dunlendings</v>
      </c>
    </row>
    <row r="2792" spans="1:10" x14ac:dyDescent="0.25">
      <c r="A2792">
        <v>72</v>
      </c>
      <c r="B2792" t="s">
        <v>16</v>
      </c>
      <c r="C2792">
        <v>0</v>
      </c>
      <c r="D2792">
        <v>0</v>
      </c>
      <c r="E2792">
        <v>0</v>
      </c>
      <c r="F2792">
        <v>5352</v>
      </c>
      <c r="G2792">
        <v>1750</v>
      </c>
      <c r="H2792">
        <v>0</v>
      </c>
      <c r="J2792" t="str">
        <f>VLOOKUP(Table3[[#This Row],[Faction ID]],Table4[],2)</f>
        <v>Haerrim</v>
      </c>
    </row>
    <row r="2793" spans="1:10" x14ac:dyDescent="0.25">
      <c r="A2793">
        <v>72</v>
      </c>
      <c r="B2793" t="s">
        <v>13</v>
      </c>
      <c r="C2793">
        <v>358</v>
      </c>
      <c r="D2793">
        <v>19</v>
      </c>
      <c r="E2793">
        <v>342.3</v>
      </c>
      <c r="F2793">
        <v>30098</v>
      </c>
      <c r="G2793">
        <v>43018</v>
      </c>
      <c r="H2793">
        <v>3286</v>
      </c>
      <c r="J2793" t="str">
        <f>VLOOKUP(Table3[[#This Row],[Faction ID]],Table4[],2)</f>
        <v>Goblins</v>
      </c>
    </row>
    <row r="2794" spans="1:10" x14ac:dyDescent="0.25">
      <c r="A2794">
        <v>72</v>
      </c>
      <c r="B2794" t="s">
        <v>17</v>
      </c>
      <c r="C2794">
        <v>0</v>
      </c>
      <c r="D2794">
        <v>0</v>
      </c>
      <c r="E2794">
        <v>0</v>
      </c>
      <c r="F2794">
        <v>4872</v>
      </c>
      <c r="G2794">
        <v>1750</v>
      </c>
      <c r="H2794">
        <v>0</v>
      </c>
      <c r="J2794" t="str">
        <f>VLOOKUP(Table3[[#This Row],[Faction ID]],Table4[],2)</f>
        <v>Balchoth</v>
      </c>
    </row>
    <row r="2795" spans="1:10" x14ac:dyDescent="0.25">
      <c r="A2795">
        <v>72</v>
      </c>
      <c r="B2795" t="s">
        <v>18</v>
      </c>
      <c r="C2795">
        <v>220</v>
      </c>
      <c r="D2795">
        <v>31</v>
      </c>
      <c r="E2795">
        <v>402.2</v>
      </c>
      <c r="F2795">
        <v>158001</v>
      </c>
      <c r="G2795">
        <v>37338</v>
      </c>
      <c r="H2795">
        <v>1172</v>
      </c>
      <c r="J2795" t="str">
        <f>VLOOKUP(Table3[[#This Row],[Faction ID]],Table4[],2)</f>
        <v>Rhurim/Rhun</v>
      </c>
    </row>
    <row r="2796" spans="1:10" x14ac:dyDescent="0.25">
      <c r="A2796">
        <v>72</v>
      </c>
      <c r="B2796" t="s">
        <v>19</v>
      </c>
      <c r="C2796">
        <v>0</v>
      </c>
      <c r="D2796">
        <v>0</v>
      </c>
      <c r="E2796">
        <v>0</v>
      </c>
      <c r="F2796">
        <v>7360</v>
      </c>
      <c r="G2796">
        <v>1750</v>
      </c>
      <c r="H2796">
        <v>0</v>
      </c>
      <c r="J2796" t="str">
        <f>VLOOKUP(Table3[[#This Row],[Faction ID]],Table4[],2)</f>
        <v>Feredrim</v>
      </c>
    </row>
    <row r="2797" spans="1:10" x14ac:dyDescent="0.25">
      <c r="A2797">
        <v>72</v>
      </c>
      <c r="B2797" t="s">
        <v>26</v>
      </c>
      <c r="C2797">
        <v>0</v>
      </c>
      <c r="D2797">
        <v>0</v>
      </c>
      <c r="E2797">
        <v>0</v>
      </c>
      <c r="F2797">
        <v>6395</v>
      </c>
      <c r="G2797">
        <v>1750</v>
      </c>
      <c r="H2797">
        <v>0</v>
      </c>
      <c r="J2797" t="str">
        <f>VLOOKUP(Table3[[#This Row],[Faction ID]],Table4[],2)</f>
        <v>Rachrohir (Wainriders)</v>
      </c>
    </row>
    <row r="2798" spans="1:10" x14ac:dyDescent="0.25">
      <c r="A2798">
        <v>72</v>
      </c>
      <c r="B2798" t="s">
        <v>27</v>
      </c>
      <c r="C2798">
        <v>5</v>
      </c>
      <c r="D2798">
        <v>3</v>
      </c>
      <c r="E2798">
        <v>72</v>
      </c>
      <c r="F2798">
        <v>61171</v>
      </c>
      <c r="G2798">
        <v>15196</v>
      </c>
      <c r="H2798">
        <v>0</v>
      </c>
      <c r="J2798" t="str">
        <f>VLOOKUP(Table3[[#This Row],[Faction ID]],Table4[],2)</f>
        <v>Blacklock-Stonefoot League</v>
      </c>
    </row>
    <row r="2799" spans="1:10" x14ac:dyDescent="0.25">
      <c r="A2799">
        <v>72</v>
      </c>
      <c r="B2799" t="s">
        <v>28</v>
      </c>
      <c r="C2799">
        <v>4</v>
      </c>
      <c r="D2799">
        <v>2</v>
      </c>
      <c r="E2799">
        <v>41</v>
      </c>
      <c r="F2799">
        <v>45271</v>
      </c>
      <c r="G2799">
        <v>7889</v>
      </c>
      <c r="H2799">
        <v>0</v>
      </c>
      <c r="J2799" t="str">
        <f>VLOOKUP(Table3[[#This Row],[Faction ID]],Table4[],2)</f>
        <v>Ironfist-Stiffbeard Union</v>
      </c>
    </row>
    <row r="2800" spans="1:10" x14ac:dyDescent="0.25">
      <c r="A2800">
        <v>72</v>
      </c>
      <c r="B2800" t="s">
        <v>20</v>
      </c>
      <c r="C2800">
        <v>175</v>
      </c>
      <c r="D2800">
        <v>16</v>
      </c>
      <c r="E2800">
        <v>220.6</v>
      </c>
      <c r="F2800">
        <v>49960</v>
      </c>
      <c r="G2800">
        <v>33766</v>
      </c>
      <c r="H2800">
        <v>1800</v>
      </c>
      <c r="J2800" t="str">
        <f>VLOOKUP(Table3[[#This Row],[Faction ID]],Table4[],2)</f>
        <v>Gundabad</v>
      </c>
    </row>
    <row r="2801" spans="1:10" x14ac:dyDescent="0.25">
      <c r="A2801">
        <v>72</v>
      </c>
      <c r="B2801" t="s">
        <v>34</v>
      </c>
      <c r="C2801">
        <v>0</v>
      </c>
      <c r="D2801">
        <v>0</v>
      </c>
      <c r="E2801">
        <v>3</v>
      </c>
      <c r="F2801">
        <v>83591</v>
      </c>
      <c r="G2801">
        <v>2379</v>
      </c>
      <c r="H2801">
        <v>0</v>
      </c>
      <c r="J2801" t="str">
        <f>VLOOKUP(Table3[[#This Row],[Faction ID]],Table4[],2)</f>
        <v>Scouts of Rohan</v>
      </c>
    </row>
    <row r="2802" spans="1:10" x14ac:dyDescent="0.25">
      <c r="A2802">
        <v>72</v>
      </c>
      <c r="B2802" t="s">
        <v>33</v>
      </c>
      <c r="C2802">
        <v>6</v>
      </c>
      <c r="D2802">
        <v>4</v>
      </c>
      <c r="E2802">
        <v>74</v>
      </c>
      <c r="F2802">
        <v>90509</v>
      </c>
      <c r="G2802">
        <v>14512</v>
      </c>
      <c r="H2802">
        <v>701</v>
      </c>
      <c r="J2802" t="str">
        <f>VLOOKUP(Table3[[#This Row],[Faction ID]],Table4[],2)</f>
        <v>Northern Enedwaith</v>
      </c>
    </row>
    <row r="2803" spans="1:10" x14ac:dyDescent="0.25">
      <c r="A2803">
        <v>72</v>
      </c>
      <c r="B2803" t="s">
        <v>29</v>
      </c>
      <c r="C2803">
        <v>0</v>
      </c>
      <c r="D2803">
        <v>0</v>
      </c>
      <c r="E2803">
        <v>0</v>
      </c>
      <c r="F2803">
        <v>54023</v>
      </c>
      <c r="G2803">
        <v>1750</v>
      </c>
      <c r="H2803">
        <v>0</v>
      </c>
      <c r="J2803" t="str">
        <f>VLOOKUP(Table3[[#This Row],[Faction ID]],Table4[],2)</f>
        <v>Southern Enedwaith</v>
      </c>
    </row>
    <row r="2804" spans="1:10" x14ac:dyDescent="0.25">
      <c r="A2804">
        <v>72</v>
      </c>
      <c r="B2804" t="s">
        <v>30</v>
      </c>
      <c r="C2804">
        <v>0</v>
      </c>
      <c r="D2804">
        <v>0</v>
      </c>
      <c r="E2804">
        <v>0</v>
      </c>
      <c r="F2804">
        <v>32146</v>
      </c>
      <c r="G2804">
        <v>1750</v>
      </c>
      <c r="H2804">
        <v>0</v>
      </c>
      <c r="J2804" t="str">
        <f>VLOOKUP(Table3[[#This Row],[Faction ID]],Table4[],2)</f>
        <v>Druedain</v>
      </c>
    </row>
    <row r="2805" spans="1:10" x14ac:dyDescent="0.25">
      <c r="A2805">
        <v>72</v>
      </c>
      <c r="B2805" t="s">
        <v>31</v>
      </c>
      <c r="C2805">
        <v>0</v>
      </c>
      <c r="D2805">
        <v>0</v>
      </c>
      <c r="E2805">
        <v>0</v>
      </c>
      <c r="F2805">
        <v>15146</v>
      </c>
      <c r="G2805">
        <v>1750</v>
      </c>
      <c r="H2805">
        <v>0</v>
      </c>
      <c r="J2805" t="str">
        <f>VLOOKUP(Table3[[#This Row],[Faction ID]],Table4[],2)</f>
        <v>Harondor</v>
      </c>
    </row>
    <row r="2806" spans="1:10" x14ac:dyDescent="0.25">
      <c r="A2806">
        <v>72</v>
      </c>
      <c r="B2806" t="s">
        <v>35</v>
      </c>
      <c r="C2806">
        <v>0</v>
      </c>
      <c r="D2806">
        <v>0</v>
      </c>
      <c r="E2806">
        <v>0</v>
      </c>
      <c r="F2806">
        <v>4000</v>
      </c>
      <c r="G2806">
        <v>1750</v>
      </c>
      <c r="H2806">
        <v>0</v>
      </c>
      <c r="J2806" t="str">
        <f>VLOOKUP(Table3[[#This Row],[Faction ID]],Table4[],2)</f>
        <v>Southron Nomads</v>
      </c>
    </row>
    <row r="2807" spans="1:10" x14ac:dyDescent="0.25">
      <c r="A2807">
        <v>72</v>
      </c>
      <c r="B2807" t="s">
        <v>36</v>
      </c>
      <c r="C2807">
        <v>0</v>
      </c>
      <c r="D2807">
        <v>0</v>
      </c>
      <c r="E2807">
        <v>0</v>
      </c>
      <c r="F2807">
        <v>4000</v>
      </c>
      <c r="G2807">
        <v>1750</v>
      </c>
      <c r="H2807">
        <v>0</v>
      </c>
      <c r="J2807" t="str">
        <f>VLOOKUP(Table3[[#This Row],[Faction ID]],Table4[],2)</f>
        <v>_</v>
      </c>
    </row>
    <row r="2808" spans="1:10" x14ac:dyDescent="0.25">
      <c r="A2808">
        <v>72</v>
      </c>
      <c r="B2808" t="s">
        <v>37</v>
      </c>
      <c r="C2808">
        <v>0</v>
      </c>
      <c r="D2808">
        <v>0</v>
      </c>
      <c r="E2808">
        <v>0</v>
      </c>
      <c r="F2808">
        <v>4000</v>
      </c>
      <c r="G2808">
        <v>1750</v>
      </c>
      <c r="H2808">
        <v>0</v>
      </c>
      <c r="J2808" t="str">
        <f>VLOOKUP(Table3[[#This Row],[Faction ID]],Table4[],2)</f>
        <v>_</v>
      </c>
    </row>
    <row r="2809" spans="1:10" x14ac:dyDescent="0.25">
      <c r="A2809">
        <v>72</v>
      </c>
      <c r="B2809" t="s">
        <v>38</v>
      </c>
      <c r="C2809">
        <v>0</v>
      </c>
      <c r="D2809">
        <v>0</v>
      </c>
      <c r="E2809">
        <v>0</v>
      </c>
      <c r="F2809">
        <v>4000</v>
      </c>
      <c r="G2809">
        <v>1750</v>
      </c>
      <c r="H2809">
        <v>0</v>
      </c>
      <c r="J2809" t="str">
        <f>VLOOKUP(Table3[[#This Row],[Faction ID]],Table4[],2)</f>
        <v>_</v>
      </c>
    </row>
    <row r="2810" spans="1:10" x14ac:dyDescent="0.25">
      <c r="A2810">
        <v>72</v>
      </c>
      <c r="B2810" t="s">
        <v>39</v>
      </c>
      <c r="C2810">
        <v>0</v>
      </c>
      <c r="D2810">
        <v>0</v>
      </c>
      <c r="E2810">
        <v>0</v>
      </c>
      <c r="F2810">
        <v>4000</v>
      </c>
      <c r="G2810">
        <v>1750</v>
      </c>
      <c r="H2810">
        <v>0</v>
      </c>
      <c r="J2810" t="str">
        <f>VLOOKUP(Table3[[#This Row],[Faction ID]],Table4[],2)</f>
        <v>_</v>
      </c>
    </row>
    <row r="2811" spans="1:10" x14ac:dyDescent="0.25">
      <c r="A2811">
        <v>72</v>
      </c>
      <c r="B2811" t="s">
        <v>40</v>
      </c>
      <c r="C2811">
        <v>0</v>
      </c>
      <c r="D2811">
        <v>0</v>
      </c>
      <c r="E2811">
        <v>0</v>
      </c>
      <c r="F2811">
        <v>4000</v>
      </c>
      <c r="G2811">
        <v>1750</v>
      </c>
      <c r="H2811">
        <v>0</v>
      </c>
      <c r="J2811" t="str">
        <f>VLOOKUP(Table3[[#This Row],[Faction ID]],Table4[],2)</f>
        <v>_</v>
      </c>
    </row>
    <row r="2812" spans="1:10" x14ac:dyDescent="0.25">
      <c r="A2812">
        <v>72</v>
      </c>
      <c r="B2812" t="s">
        <v>41</v>
      </c>
      <c r="C2812">
        <v>0</v>
      </c>
      <c r="D2812">
        <v>0</v>
      </c>
      <c r="E2812">
        <v>0</v>
      </c>
      <c r="F2812">
        <v>4000</v>
      </c>
      <c r="G2812">
        <v>1750</v>
      </c>
      <c r="H2812">
        <v>0</v>
      </c>
      <c r="J2812" t="str">
        <f>VLOOKUP(Table3[[#This Row],[Faction ID]],Table4[],2)</f>
        <v>_</v>
      </c>
    </row>
    <row r="2813" spans="1:10" x14ac:dyDescent="0.25">
      <c r="A2813">
        <v>72</v>
      </c>
      <c r="B2813" t="s">
        <v>42</v>
      </c>
      <c r="C2813">
        <v>0</v>
      </c>
      <c r="D2813">
        <v>0</v>
      </c>
      <c r="E2813">
        <v>0</v>
      </c>
      <c r="F2813">
        <v>4000</v>
      </c>
      <c r="G2813">
        <v>1750</v>
      </c>
      <c r="H2813">
        <v>0</v>
      </c>
      <c r="J2813" t="str">
        <f>VLOOKUP(Table3[[#This Row],[Faction ID]],Table4[],2)</f>
        <v>_</v>
      </c>
    </row>
    <row r="2814" spans="1:10" x14ac:dyDescent="0.25">
      <c r="A2814">
        <v>72</v>
      </c>
      <c r="B2814" t="s">
        <v>43</v>
      </c>
      <c r="C2814">
        <v>0</v>
      </c>
      <c r="D2814">
        <v>0</v>
      </c>
      <c r="E2814">
        <v>0</v>
      </c>
      <c r="F2814">
        <v>4000</v>
      </c>
      <c r="G2814">
        <v>1750</v>
      </c>
      <c r="H2814">
        <v>0</v>
      </c>
      <c r="J2814" t="str">
        <f>VLOOKUP(Table3[[#This Row],[Faction ID]],Table4[],2)</f>
        <v>_</v>
      </c>
    </row>
    <row r="2815" spans="1:10" x14ac:dyDescent="0.25">
      <c r="A2815">
        <v>72</v>
      </c>
      <c r="B2815" t="s">
        <v>44</v>
      </c>
      <c r="C2815">
        <v>0</v>
      </c>
      <c r="D2815">
        <v>0</v>
      </c>
      <c r="E2815">
        <v>0</v>
      </c>
      <c r="F2815">
        <v>4000</v>
      </c>
      <c r="G2815">
        <v>1750</v>
      </c>
      <c r="H2815">
        <v>0</v>
      </c>
      <c r="J2815" t="str">
        <f>VLOOKUP(Table3[[#This Row],[Faction ID]],Table4[],2)</f>
        <v>_</v>
      </c>
    </row>
    <row r="2816" spans="1:10" x14ac:dyDescent="0.25">
      <c r="A2816">
        <v>73</v>
      </c>
      <c r="B2816" t="s">
        <v>9</v>
      </c>
      <c r="C2816">
        <v>268</v>
      </c>
      <c r="D2816">
        <v>26</v>
      </c>
      <c r="E2816">
        <v>263.3</v>
      </c>
      <c r="F2816">
        <v>12449</v>
      </c>
      <c r="G2816">
        <v>30731</v>
      </c>
      <c r="H2816">
        <v>2102</v>
      </c>
      <c r="J2816" t="str">
        <f>VLOOKUP(Table3[[#This Row],[Faction ID]],Table4[],2)</f>
        <v>Mordor</v>
      </c>
    </row>
    <row r="2817" spans="1:10" x14ac:dyDescent="0.25">
      <c r="A2817">
        <v>73</v>
      </c>
      <c r="B2817" t="s">
        <v>4</v>
      </c>
      <c r="C2817">
        <v>146</v>
      </c>
      <c r="D2817">
        <v>0</v>
      </c>
      <c r="E2817">
        <v>0</v>
      </c>
      <c r="F2817">
        <v>55420</v>
      </c>
      <c r="G2817">
        <v>2500</v>
      </c>
      <c r="H2817">
        <v>0</v>
      </c>
      <c r="J2817" t="str">
        <f>VLOOKUP(Table3[[#This Row],[Faction ID]],Table4[],2)</f>
        <v>Gondor</v>
      </c>
    </row>
    <row r="2818" spans="1:10" x14ac:dyDescent="0.25">
      <c r="A2818">
        <v>73</v>
      </c>
      <c r="B2818" t="s">
        <v>6</v>
      </c>
      <c r="C2818">
        <v>180</v>
      </c>
      <c r="D2818">
        <v>3</v>
      </c>
      <c r="E2818">
        <v>55</v>
      </c>
      <c r="F2818">
        <v>15708</v>
      </c>
      <c r="G2818">
        <v>10755</v>
      </c>
      <c r="H2818">
        <v>0</v>
      </c>
      <c r="J2818" t="str">
        <f>VLOOKUP(Table3[[#This Row],[Faction ID]],Table4[],2)</f>
        <v>Dale</v>
      </c>
    </row>
    <row r="2819" spans="1:10" x14ac:dyDescent="0.25">
      <c r="A2819">
        <v>73</v>
      </c>
      <c r="B2819" t="s">
        <v>21</v>
      </c>
      <c r="C2819">
        <v>198</v>
      </c>
      <c r="D2819">
        <v>1</v>
      </c>
      <c r="E2819">
        <v>21.599999999999898</v>
      </c>
      <c r="F2819">
        <v>29497</v>
      </c>
      <c r="G2819">
        <v>7699</v>
      </c>
      <c r="H2819">
        <v>0</v>
      </c>
      <c r="J2819" t="str">
        <f>VLOOKUP(Table3[[#This Row],[Faction ID]],Table4[],2)</f>
        <v>Erebor</v>
      </c>
    </row>
    <row r="2820" spans="1:10" x14ac:dyDescent="0.25">
      <c r="A2820">
        <v>73</v>
      </c>
      <c r="B2820" t="s">
        <v>5</v>
      </c>
      <c r="C2820">
        <v>157</v>
      </c>
      <c r="D2820">
        <v>0</v>
      </c>
      <c r="E2820">
        <v>0</v>
      </c>
      <c r="F2820">
        <v>6638</v>
      </c>
      <c r="G2820">
        <v>2500</v>
      </c>
      <c r="H2820">
        <v>0</v>
      </c>
      <c r="J2820" t="str">
        <f>VLOOKUP(Table3[[#This Row],[Faction ID]],Table4[],2)</f>
        <v>Rohan</v>
      </c>
    </row>
    <row r="2821" spans="1:10" x14ac:dyDescent="0.25">
      <c r="A2821">
        <v>73</v>
      </c>
      <c r="B2821" t="s">
        <v>12</v>
      </c>
      <c r="C2821">
        <v>203</v>
      </c>
      <c r="D2821">
        <v>14</v>
      </c>
      <c r="E2821">
        <v>221.9</v>
      </c>
      <c r="F2821">
        <v>34275</v>
      </c>
      <c r="G2821">
        <v>30374</v>
      </c>
      <c r="H2821">
        <v>2291</v>
      </c>
      <c r="J2821" t="str">
        <f>VLOOKUP(Table3[[#This Row],[Faction ID]],Table4[],2)</f>
        <v>Dol Guldur</v>
      </c>
    </row>
    <row r="2822" spans="1:10" x14ac:dyDescent="0.25">
      <c r="A2822">
        <v>73</v>
      </c>
      <c r="B2822" t="s">
        <v>10</v>
      </c>
      <c r="C2822">
        <v>58</v>
      </c>
      <c r="D2822">
        <v>0</v>
      </c>
      <c r="E2822">
        <v>0</v>
      </c>
      <c r="F2822">
        <v>4515</v>
      </c>
      <c r="G2822">
        <v>2500</v>
      </c>
      <c r="H2822">
        <v>0</v>
      </c>
      <c r="J2822" t="str">
        <f>VLOOKUP(Table3[[#This Row],[Faction ID]],Table4[],2)</f>
        <v>Anduin Vale</v>
      </c>
    </row>
    <row r="2823" spans="1:10" x14ac:dyDescent="0.25">
      <c r="A2823">
        <v>73</v>
      </c>
      <c r="B2823" t="s">
        <v>32</v>
      </c>
      <c r="C2823">
        <v>237</v>
      </c>
      <c r="D2823">
        <v>8</v>
      </c>
      <c r="E2823">
        <v>179</v>
      </c>
      <c r="F2823">
        <v>21045</v>
      </c>
      <c r="G2823">
        <v>23580</v>
      </c>
      <c r="H2823">
        <v>1257</v>
      </c>
      <c r="J2823" t="str">
        <f>VLOOKUP(Table3[[#This Row],[Faction ID]],Table4[],2)</f>
        <v>Isengard</v>
      </c>
    </row>
    <row r="2824" spans="1:10" x14ac:dyDescent="0.25">
      <c r="A2824">
        <v>73</v>
      </c>
      <c r="B2824" t="s">
        <v>22</v>
      </c>
      <c r="C2824">
        <v>30</v>
      </c>
      <c r="D2824">
        <v>0</v>
      </c>
      <c r="E2824">
        <v>0</v>
      </c>
      <c r="F2824">
        <v>8475</v>
      </c>
      <c r="G2824">
        <v>2500</v>
      </c>
      <c r="H2824">
        <v>0</v>
      </c>
      <c r="J2824" t="str">
        <f>VLOOKUP(Table3[[#This Row],[Faction ID]],Table4[],2)</f>
        <v>Woodland Realm</v>
      </c>
    </row>
    <row r="2825" spans="1:10" x14ac:dyDescent="0.25">
      <c r="A2825">
        <v>73</v>
      </c>
      <c r="B2825" t="s">
        <v>23</v>
      </c>
      <c r="C2825">
        <v>64</v>
      </c>
      <c r="D2825">
        <v>0</v>
      </c>
      <c r="E2825">
        <v>0</v>
      </c>
      <c r="F2825">
        <v>4721</v>
      </c>
      <c r="G2825">
        <v>2500</v>
      </c>
      <c r="H2825">
        <v>0</v>
      </c>
      <c r="J2825" t="str">
        <f>VLOOKUP(Table3[[#This Row],[Faction ID]],Table4[],2)</f>
        <v>Lothlorien</v>
      </c>
    </row>
    <row r="2826" spans="1:10" x14ac:dyDescent="0.25">
      <c r="A2826">
        <v>73</v>
      </c>
      <c r="B2826" t="s">
        <v>24</v>
      </c>
      <c r="C2826">
        <v>0</v>
      </c>
      <c r="D2826">
        <v>0</v>
      </c>
      <c r="E2826">
        <v>0</v>
      </c>
      <c r="F2826">
        <v>4919</v>
      </c>
      <c r="G2826">
        <v>1750</v>
      </c>
      <c r="H2826">
        <v>0</v>
      </c>
      <c r="J2826" t="str">
        <f>VLOOKUP(Table3[[#This Row],[Faction ID]],Table4[],2)</f>
        <v>Variags (Khand)</v>
      </c>
    </row>
    <row r="2827" spans="1:10" x14ac:dyDescent="0.25">
      <c r="A2827">
        <v>73</v>
      </c>
      <c r="B2827" t="s">
        <v>14</v>
      </c>
      <c r="C2827">
        <v>11</v>
      </c>
      <c r="D2827">
        <v>8</v>
      </c>
      <c r="E2827">
        <v>153.4</v>
      </c>
      <c r="F2827">
        <v>42356</v>
      </c>
      <c r="G2827">
        <v>30373</v>
      </c>
      <c r="H2827">
        <v>2090</v>
      </c>
      <c r="J2827" t="str">
        <f>VLOOKUP(Table3[[#This Row],[Faction ID]],Table4[],2)</f>
        <v>Corsairs of Umbar</v>
      </c>
    </row>
    <row r="2828" spans="1:10" x14ac:dyDescent="0.25">
      <c r="A2828">
        <v>73</v>
      </c>
      <c r="B2828" t="s">
        <v>25</v>
      </c>
      <c r="C2828">
        <v>0</v>
      </c>
      <c r="D2828">
        <v>0</v>
      </c>
      <c r="E2828">
        <v>8.8000000000000007</v>
      </c>
      <c r="F2828">
        <v>7542</v>
      </c>
      <c r="G2828">
        <v>2631</v>
      </c>
      <c r="H2828">
        <v>0</v>
      </c>
      <c r="J2828" t="str">
        <f>VLOOKUP(Table3[[#This Row],[Faction ID]],Table4[],2)</f>
        <v>Mahud</v>
      </c>
    </row>
    <row r="2829" spans="1:10" x14ac:dyDescent="0.25">
      <c r="A2829">
        <v>73</v>
      </c>
      <c r="B2829" t="s">
        <v>11</v>
      </c>
      <c r="C2829">
        <v>131</v>
      </c>
      <c r="D2829">
        <v>8</v>
      </c>
      <c r="E2829">
        <v>141</v>
      </c>
      <c r="F2829">
        <v>14716</v>
      </c>
      <c r="G2829">
        <v>18572</v>
      </c>
      <c r="H2829">
        <v>547</v>
      </c>
      <c r="J2829" t="str">
        <f>VLOOKUP(Table3[[#This Row],[Faction ID]],Table4[],2)</f>
        <v>Haradrim</v>
      </c>
    </row>
    <row r="2830" spans="1:10" x14ac:dyDescent="0.25">
      <c r="A2830">
        <v>73</v>
      </c>
      <c r="B2830" t="s">
        <v>15</v>
      </c>
      <c r="C2830">
        <v>148</v>
      </c>
      <c r="D2830">
        <v>12</v>
      </c>
      <c r="E2830">
        <v>191</v>
      </c>
      <c r="F2830">
        <v>104075</v>
      </c>
      <c r="G2830">
        <v>30764</v>
      </c>
      <c r="H2830">
        <v>2251</v>
      </c>
      <c r="J2830" t="str">
        <f>VLOOKUP(Table3[[#This Row],[Faction ID]],Table4[],2)</f>
        <v>Dunlendings</v>
      </c>
    </row>
    <row r="2831" spans="1:10" x14ac:dyDescent="0.25">
      <c r="A2831">
        <v>73</v>
      </c>
      <c r="B2831" t="s">
        <v>16</v>
      </c>
      <c r="C2831">
        <v>0</v>
      </c>
      <c r="D2831">
        <v>0</v>
      </c>
      <c r="E2831">
        <v>0</v>
      </c>
      <c r="F2831">
        <v>5352</v>
      </c>
      <c r="G2831">
        <v>1750</v>
      </c>
      <c r="H2831">
        <v>0</v>
      </c>
      <c r="J2831" t="str">
        <f>VLOOKUP(Table3[[#This Row],[Faction ID]],Table4[],2)</f>
        <v>Haerrim</v>
      </c>
    </row>
    <row r="2832" spans="1:10" x14ac:dyDescent="0.25">
      <c r="A2832">
        <v>73</v>
      </c>
      <c r="B2832" t="s">
        <v>13</v>
      </c>
      <c r="C2832">
        <v>358</v>
      </c>
      <c r="D2832">
        <v>19</v>
      </c>
      <c r="E2832">
        <v>344.6</v>
      </c>
      <c r="F2832">
        <v>35966</v>
      </c>
      <c r="G2832">
        <v>43380</v>
      </c>
      <c r="H2832">
        <v>3286</v>
      </c>
      <c r="J2832" t="str">
        <f>VLOOKUP(Table3[[#This Row],[Faction ID]],Table4[],2)</f>
        <v>Goblins</v>
      </c>
    </row>
    <row r="2833" spans="1:10" x14ac:dyDescent="0.25">
      <c r="A2833">
        <v>73</v>
      </c>
      <c r="B2833" t="s">
        <v>17</v>
      </c>
      <c r="C2833">
        <v>0</v>
      </c>
      <c r="D2833">
        <v>0</v>
      </c>
      <c r="E2833">
        <v>0</v>
      </c>
      <c r="F2833">
        <v>4872</v>
      </c>
      <c r="G2833">
        <v>1750</v>
      </c>
      <c r="H2833">
        <v>0</v>
      </c>
      <c r="J2833" t="str">
        <f>VLOOKUP(Table3[[#This Row],[Faction ID]],Table4[],2)</f>
        <v>Balchoth</v>
      </c>
    </row>
    <row r="2834" spans="1:10" x14ac:dyDescent="0.25">
      <c r="A2834">
        <v>73</v>
      </c>
      <c r="B2834" t="s">
        <v>18</v>
      </c>
      <c r="C2834">
        <v>225</v>
      </c>
      <c r="D2834">
        <v>31</v>
      </c>
      <c r="E2834">
        <v>409.5</v>
      </c>
      <c r="F2834">
        <v>169390</v>
      </c>
      <c r="G2834">
        <v>38288</v>
      </c>
      <c r="H2834">
        <v>664</v>
      </c>
      <c r="J2834" t="str">
        <f>VLOOKUP(Table3[[#This Row],[Faction ID]],Table4[],2)</f>
        <v>Rhurim/Rhun</v>
      </c>
    </row>
    <row r="2835" spans="1:10" x14ac:dyDescent="0.25">
      <c r="A2835">
        <v>73</v>
      </c>
      <c r="B2835" t="s">
        <v>19</v>
      </c>
      <c r="C2835">
        <v>0</v>
      </c>
      <c r="D2835">
        <v>0</v>
      </c>
      <c r="E2835">
        <v>0</v>
      </c>
      <c r="F2835">
        <v>7360</v>
      </c>
      <c r="G2835">
        <v>1750</v>
      </c>
      <c r="H2835">
        <v>0</v>
      </c>
      <c r="J2835" t="str">
        <f>VLOOKUP(Table3[[#This Row],[Faction ID]],Table4[],2)</f>
        <v>Feredrim</v>
      </c>
    </row>
    <row r="2836" spans="1:10" x14ac:dyDescent="0.25">
      <c r="A2836">
        <v>73</v>
      </c>
      <c r="B2836" t="s">
        <v>26</v>
      </c>
      <c r="C2836">
        <v>0</v>
      </c>
      <c r="D2836">
        <v>0</v>
      </c>
      <c r="E2836">
        <v>0</v>
      </c>
      <c r="F2836">
        <v>6395</v>
      </c>
      <c r="G2836">
        <v>1750</v>
      </c>
      <c r="H2836">
        <v>0</v>
      </c>
      <c r="J2836" t="str">
        <f>VLOOKUP(Table3[[#This Row],[Faction ID]],Table4[],2)</f>
        <v>Rachrohir (Wainriders)</v>
      </c>
    </row>
    <row r="2837" spans="1:10" x14ac:dyDescent="0.25">
      <c r="A2837">
        <v>73</v>
      </c>
      <c r="B2837" t="s">
        <v>27</v>
      </c>
      <c r="C2837">
        <v>5</v>
      </c>
      <c r="D2837">
        <v>3</v>
      </c>
      <c r="E2837">
        <v>72</v>
      </c>
      <c r="F2837">
        <v>61152</v>
      </c>
      <c r="G2837">
        <v>14697</v>
      </c>
      <c r="H2837">
        <v>0</v>
      </c>
      <c r="J2837" t="str">
        <f>VLOOKUP(Table3[[#This Row],[Faction ID]],Table4[],2)</f>
        <v>Blacklock-Stonefoot League</v>
      </c>
    </row>
    <row r="2838" spans="1:10" x14ac:dyDescent="0.25">
      <c r="A2838">
        <v>73</v>
      </c>
      <c r="B2838" t="s">
        <v>28</v>
      </c>
      <c r="C2838">
        <v>4</v>
      </c>
      <c r="D2838">
        <v>2</v>
      </c>
      <c r="E2838">
        <v>41</v>
      </c>
      <c r="F2838">
        <v>42104</v>
      </c>
      <c r="G2838">
        <v>7955</v>
      </c>
      <c r="H2838">
        <v>0</v>
      </c>
      <c r="J2838" t="str">
        <f>VLOOKUP(Table3[[#This Row],[Faction ID]],Table4[],2)</f>
        <v>Ironfist-Stiffbeard Union</v>
      </c>
    </row>
    <row r="2839" spans="1:10" x14ac:dyDescent="0.25">
      <c r="A2839">
        <v>73</v>
      </c>
      <c r="B2839" t="s">
        <v>20</v>
      </c>
      <c r="C2839">
        <v>175</v>
      </c>
      <c r="D2839">
        <v>16</v>
      </c>
      <c r="E2839">
        <v>226.4</v>
      </c>
      <c r="F2839">
        <v>68894</v>
      </c>
      <c r="G2839">
        <v>33237</v>
      </c>
      <c r="H2839">
        <v>1051</v>
      </c>
      <c r="J2839" t="str">
        <f>VLOOKUP(Table3[[#This Row],[Faction ID]],Table4[],2)</f>
        <v>Gundabad</v>
      </c>
    </row>
    <row r="2840" spans="1:10" x14ac:dyDescent="0.25">
      <c r="A2840">
        <v>73</v>
      </c>
      <c r="B2840" t="s">
        <v>34</v>
      </c>
      <c r="C2840">
        <v>0</v>
      </c>
      <c r="D2840">
        <v>0</v>
      </c>
      <c r="E2840">
        <v>3</v>
      </c>
      <c r="F2840">
        <v>84712</v>
      </c>
      <c r="G2840">
        <v>2379</v>
      </c>
      <c r="H2840">
        <v>0</v>
      </c>
      <c r="J2840" t="str">
        <f>VLOOKUP(Table3[[#This Row],[Faction ID]],Table4[],2)</f>
        <v>Scouts of Rohan</v>
      </c>
    </row>
    <row r="2841" spans="1:10" x14ac:dyDescent="0.25">
      <c r="A2841">
        <v>73</v>
      </c>
      <c r="B2841" t="s">
        <v>33</v>
      </c>
      <c r="C2841">
        <v>6</v>
      </c>
      <c r="D2841">
        <v>4</v>
      </c>
      <c r="E2841">
        <v>75</v>
      </c>
      <c r="F2841">
        <v>91677</v>
      </c>
      <c r="G2841">
        <v>14610</v>
      </c>
      <c r="H2841">
        <v>702</v>
      </c>
      <c r="J2841" t="str">
        <f>VLOOKUP(Table3[[#This Row],[Faction ID]],Table4[],2)</f>
        <v>Northern Enedwaith</v>
      </c>
    </row>
    <row r="2842" spans="1:10" x14ac:dyDescent="0.25">
      <c r="A2842">
        <v>73</v>
      </c>
      <c r="B2842" t="s">
        <v>29</v>
      </c>
      <c r="C2842">
        <v>0</v>
      </c>
      <c r="D2842">
        <v>0</v>
      </c>
      <c r="E2842">
        <v>0</v>
      </c>
      <c r="F2842">
        <v>54023</v>
      </c>
      <c r="G2842">
        <v>1750</v>
      </c>
      <c r="H2842">
        <v>0</v>
      </c>
      <c r="J2842" t="str">
        <f>VLOOKUP(Table3[[#This Row],[Faction ID]],Table4[],2)</f>
        <v>Southern Enedwaith</v>
      </c>
    </row>
    <row r="2843" spans="1:10" x14ac:dyDescent="0.25">
      <c r="A2843">
        <v>73</v>
      </c>
      <c r="B2843" t="s">
        <v>30</v>
      </c>
      <c r="C2843">
        <v>0</v>
      </c>
      <c r="D2843">
        <v>0</v>
      </c>
      <c r="E2843">
        <v>0</v>
      </c>
      <c r="F2843">
        <v>32146</v>
      </c>
      <c r="G2843">
        <v>1750</v>
      </c>
      <c r="H2843">
        <v>0</v>
      </c>
      <c r="J2843" t="str">
        <f>VLOOKUP(Table3[[#This Row],[Faction ID]],Table4[],2)</f>
        <v>Druedain</v>
      </c>
    </row>
    <row r="2844" spans="1:10" x14ac:dyDescent="0.25">
      <c r="A2844">
        <v>73</v>
      </c>
      <c r="B2844" t="s">
        <v>31</v>
      </c>
      <c r="C2844">
        <v>0</v>
      </c>
      <c r="D2844">
        <v>0</v>
      </c>
      <c r="E2844">
        <v>0</v>
      </c>
      <c r="F2844">
        <v>15146</v>
      </c>
      <c r="G2844">
        <v>1750</v>
      </c>
      <c r="H2844">
        <v>0</v>
      </c>
      <c r="J2844" t="str">
        <f>VLOOKUP(Table3[[#This Row],[Faction ID]],Table4[],2)</f>
        <v>Harondor</v>
      </c>
    </row>
    <row r="2845" spans="1:10" x14ac:dyDescent="0.25">
      <c r="A2845">
        <v>73</v>
      </c>
      <c r="B2845" t="s">
        <v>35</v>
      </c>
      <c r="C2845">
        <v>0</v>
      </c>
      <c r="D2845">
        <v>0</v>
      </c>
      <c r="E2845">
        <v>0</v>
      </c>
      <c r="F2845">
        <v>4000</v>
      </c>
      <c r="G2845">
        <v>1750</v>
      </c>
      <c r="H2845">
        <v>0</v>
      </c>
      <c r="J2845" t="str">
        <f>VLOOKUP(Table3[[#This Row],[Faction ID]],Table4[],2)</f>
        <v>Southron Nomads</v>
      </c>
    </row>
    <row r="2846" spans="1:10" x14ac:dyDescent="0.25">
      <c r="A2846">
        <v>73</v>
      </c>
      <c r="B2846" t="s">
        <v>36</v>
      </c>
      <c r="C2846">
        <v>0</v>
      </c>
      <c r="D2846">
        <v>0</v>
      </c>
      <c r="E2846">
        <v>0</v>
      </c>
      <c r="F2846">
        <v>4000</v>
      </c>
      <c r="G2846">
        <v>1750</v>
      </c>
      <c r="H2846">
        <v>0</v>
      </c>
      <c r="J2846" t="str">
        <f>VLOOKUP(Table3[[#This Row],[Faction ID]],Table4[],2)</f>
        <v>_</v>
      </c>
    </row>
    <row r="2847" spans="1:10" x14ac:dyDescent="0.25">
      <c r="A2847">
        <v>73</v>
      </c>
      <c r="B2847" t="s">
        <v>37</v>
      </c>
      <c r="C2847">
        <v>0</v>
      </c>
      <c r="D2847">
        <v>0</v>
      </c>
      <c r="E2847">
        <v>0</v>
      </c>
      <c r="F2847">
        <v>4000</v>
      </c>
      <c r="G2847">
        <v>1750</v>
      </c>
      <c r="H2847">
        <v>0</v>
      </c>
      <c r="J2847" t="str">
        <f>VLOOKUP(Table3[[#This Row],[Faction ID]],Table4[],2)</f>
        <v>_</v>
      </c>
    </row>
    <row r="2848" spans="1:10" x14ac:dyDescent="0.25">
      <c r="A2848">
        <v>73</v>
      </c>
      <c r="B2848" t="s">
        <v>38</v>
      </c>
      <c r="C2848">
        <v>0</v>
      </c>
      <c r="D2848">
        <v>0</v>
      </c>
      <c r="E2848">
        <v>0</v>
      </c>
      <c r="F2848">
        <v>4000</v>
      </c>
      <c r="G2848">
        <v>1750</v>
      </c>
      <c r="H2848">
        <v>0</v>
      </c>
      <c r="J2848" t="str">
        <f>VLOOKUP(Table3[[#This Row],[Faction ID]],Table4[],2)</f>
        <v>_</v>
      </c>
    </row>
    <row r="2849" spans="1:10" x14ac:dyDescent="0.25">
      <c r="A2849">
        <v>73</v>
      </c>
      <c r="B2849" t="s">
        <v>39</v>
      </c>
      <c r="C2849">
        <v>0</v>
      </c>
      <c r="D2849">
        <v>0</v>
      </c>
      <c r="E2849">
        <v>0</v>
      </c>
      <c r="F2849">
        <v>4000</v>
      </c>
      <c r="G2849">
        <v>1750</v>
      </c>
      <c r="H2849">
        <v>0</v>
      </c>
      <c r="J2849" t="str">
        <f>VLOOKUP(Table3[[#This Row],[Faction ID]],Table4[],2)</f>
        <v>_</v>
      </c>
    </row>
    <row r="2850" spans="1:10" x14ac:dyDescent="0.25">
      <c r="A2850">
        <v>73</v>
      </c>
      <c r="B2850" t="s">
        <v>40</v>
      </c>
      <c r="C2850">
        <v>0</v>
      </c>
      <c r="D2850">
        <v>0</v>
      </c>
      <c r="E2850">
        <v>0</v>
      </c>
      <c r="F2850">
        <v>4000</v>
      </c>
      <c r="G2850">
        <v>1750</v>
      </c>
      <c r="H2850">
        <v>0</v>
      </c>
      <c r="J2850" t="str">
        <f>VLOOKUP(Table3[[#This Row],[Faction ID]],Table4[],2)</f>
        <v>_</v>
      </c>
    </row>
    <row r="2851" spans="1:10" x14ac:dyDescent="0.25">
      <c r="A2851">
        <v>73</v>
      </c>
      <c r="B2851" t="s">
        <v>41</v>
      </c>
      <c r="C2851">
        <v>0</v>
      </c>
      <c r="D2851">
        <v>0</v>
      </c>
      <c r="E2851">
        <v>0</v>
      </c>
      <c r="F2851">
        <v>4000</v>
      </c>
      <c r="G2851">
        <v>1750</v>
      </c>
      <c r="H2851">
        <v>0</v>
      </c>
      <c r="J2851" t="str">
        <f>VLOOKUP(Table3[[#This Row],[Faction ID]],Table4[],2)</f>
        <v>_</v>
      </c>
    </row>
    <row r="2852" spans="1:10" x14ac:dyDescent="0.25">
      <c r="A2852">
        <v>73</v>
      </c>
      <c r="B2852" t="s">
        <v>42</v>
      </c>
      <c r="C2852">
        <v>0</v>
      </c>
      <c r="D2852">
        <v>0</v>
      </c>
      <c r="E2852">
        <v>0</v>
      </c>
      <c r="F2852">
        <v>4000</v>
      </c>
      <c r="G2852">
        <v>1750</v>
      </c>
      <c r="H2852">
        <v>0</v>
      </c>
      <c r="J2852" t="str">
        <f>VLOOKUP(Table3[[#This Row],[Faction ID]],Table4[],2)</f>
        <v>_</v>
      </c>
    </row>
    <row r="2853" spans="1:10" x14ac:dyDescent="0.25">
      <c r="A2853">
        <v>73</v>
      </c>
      <c r="B2853" t="s">
        <v>43</v>
      </c>
      <c r="C2853">
        <v>0</v>
      </c>
      <c r="D2853">
        <v>0</v>
      </c>
      <c r="E2853">
        <v>0</v>
      </c>
      <c r="F2853">
        <v>4000</v>
      </c>
      <c r="G2853">
        <v>1750</v>
      </c>
      <c r="H2853">
        <v>0</v>
      </c>
      <c r="J2853" t="str">
        <f>VLOOKUP(Table3[[#This Row],[Faction ID]],Table4[],2)</f>
        <v>_</v>
      </c>
    </row>
    <row r="2854" spans="1:10" x14ac:dyDescent="0.25">
      <c r="A2854">
        <v>73</v>
      </c>
      <c r="B2854" t="s">
        <v>44</v>
      </c>
      <c r="C2854">
        <v>0</v>
      </c>
      <c r="D2854">
        <v>0</v>
      </c>
      <c r="E2854">
        <v>0</v>
      </c>
      <c r="F2854">
        <v>4000</v>
      </c>
      <c r="G2854">
        <v>1750</v>
      </c>
      <c r="H2854">
        <v>0</v>
      </c>
      <c r="J2854" t="str">
        <f>VLOOKUP(Table3[[#This Row],[Faction ID]],Table4[],2)</f>
        <v>_</v>
      </c>
    </row>
    <row r="2855" spans="1:10" x14ac:dyDescent="0.25">
      <c r="A2855">
        <v>74</v>
      </c>
      <c r="B2855" t="s">
        <v>9</v>
      </c>
      <c r="C2855">
        <v>268</v>
      </c>
      <c r="D2855">
        <v>26</v>
      </c>
      <c r="E2855">
        <v>263.3</v>
      </c>
      <c r="F2855">
        <v>14402</v>
      </c>
      <c r="G2855">
        <v>30901</v>
      </c>
      <c r="H2855">
        <v>2108</v>
      </c>
      <c r="J2855" t="str">
        <f>VLOOKUP(Table3[[#This Row],[Faction ID]],Table4[],2)</f>
        <v>Mordor</v>
      </c>
    </row>
    <row r="2856" spans="1:10" x14ac:dyDescent="0.25">
      <c r="A2856">
        <v>74</v>
      </c>
      <c r="B2856" t="s">
        <v>4</v>
      </c>
      <c r="C2856">
        <v>146</v>
      </c>
      <c r="D2856">
        <v>0</v>
      </c>
      <c r="E2856">
        <v>0</v>
      </c>
      <c r="F2856">
        <v>55420</v>
      </c>
      <c r="G2856">
        <v>2500</v>
      </c>
      <c r="H2856">
        <v>0</v>
      </c>
      <c r="J2856" t="str">
        <f>VLOOKUP(Table3[[#This Row],[Faction ID]],Table4[],2)</f>
        <v>Gondor</v>
      </c>
    </row>
    <row r="2857" spans="1:10" x14ac:dyDescent="0.25">
      <c r="A2857">
        <v>74</v>
      </c>
      <c r="B2857" t="s">
        <v>6</v>
      </c>
      <c r="C2857">
        <v>177</v>
      </c>
      <c r="D2857">
        <v>2</v>
      </c>
      <c r="E2857">
        <v>24.6</v>
      </c>
      <c r="F2857">
        <v>10220</v>
      </c>
      <c r="G2857">
        <v>8068</v>
      </c>
      <c r="H2857">
        <v>0</v>
      </c>
      <c r="J2857" t="str">
        <f>VLOOKUP(Table3[[#This Row],[Faction ID]],Table4[],2)</f>
        <v>Dale</v>
      </c>
    </row>
    <row r="2858" spans="1:10" x14ac:dyDescent="0.25">
      <c r="A2858">
        <v>74</v>
      </c>
      <c r="B2858" t="s">
        <v>21</v>
      </c>
      <c r="C2858">
        <v>198</v>
      </c>
      <c r="D2858">
        <v>1</v>
      </c>
      <c r="E2858">
        <v>16.399999999999999</v>
      </c>
      <c r="F2858">
        <v>21668</v>
      </c>
      <c r="G2858">
        <v>6500</v>
      </c>
      <c r="H2858">
        <v>0</v>
      </c>
      <c r="J2858" t="str">
        <f>VLOOKUP(Table3[[#This Row],[Faction ID]],Table4[],2)</f>
        <v>Erebor</v>
      </c>
    </row>
    <row r="2859" spans="1:10" x14ac:dyDescent="0.25">
      <c r="A2859">
        <v>74</v>
      </c>
      <c r="B2859" t="s">
        <v>5</v>
      </c>
      <c r="C2859">
        <v>157</v>
      </c>
      <c r="D2859">
        <v>0</v>
      </c>
      <c r="E2859">
        <v>0</v>
      </c>
      <c r="F2859">
        <v>6638</v>
      </c>
      <c r="G2859">
        <v>2500</v>
      </c>
      <c r="H2859">
        <v>0</v>
      </c>
      <c r="J2859" t="str">
        <f>VLOOKUP(Table3[[#This Row],[Faction ID]],Table4[],2)</f>
        <v>Rohan</v>
      </c>
    </row>
    <row r="2860" spans="1:10" x14ac:dyDescent="0.25">
      <c r="A2860">
        <v>74</v>
      </c>
      <c r="B2860" t="s">
        <v>12</v>
      </c>
      <c r="C2860">
        <v>208</v>
      </c>
      <c r="D2860">
        <v>14</v>
      </c>
      <c r="E2860">
        <v>222.9</v>
      </c>
      <c r="F2860">
        <v>38177</v>
      </c>
      <c r="G2860">
        <v>30679</v>
      </c>
      <c r="H2860">
        <v>2298</v>
      </c>
      <c r="J2860" t="str">
        <f>VLOOKUP(Table3[[#This Row],[Faction ID]],Table4[],2)</f>
        <v>Dol Guldur</v>
      </c>
    </row>
    <row r="2861" spans="1:10" x14ac:dyDescent="0.25">
      <c r="A2861">
        <v>74</v>
      </c>
      <c r="B2861" t="s">
        <v>10</v>
      </c>
      <c r="C2861">
        <v>58</v>
      </c>
      <c r="D2861">
        <v>0</v>
      </c>
      <c r="E2861">
        <v>0</v>
      </c>
      <c r="F2861">
        <v>4515</v>
      </c>
      <c r="G2861">
        <v>2500</v>
      </c>
      <c r="H2861">
        <v>0</v>
      </c>
      <c r="J2861" t="str">
        <f>VLOOKUP(Table3[[#This Row],[Faction ID]],Table4[],2)</f>
        <v>Anduin Vale</v>
      </c>
    </row>
    <row r="2862" spans="1:10" x14ac:dyDescent="0.25">
      <c r="A2862">
        <v>74</v>
      </c>
      <c r="B2862" t="s">
        <v>32</v>
      </c>
      <c r="C2862">
        <v>237</v>
      </c>
      <c r="D2862">
        <v>8</v>
      </c>
      <c r="E2862">
        <v>182</v>
      </c>
      <c r="F2862">
        <v>24595</v>
      </c>
      <c r="G2862">
        <v>23875</v>
      </c>
      <c r="H2862">
        <v>1258</v>
      </c>
      <c r="J2862" t="str">
        <f>VLOOKUP(Table3[[#This Row],[Faction ID]],Table4[],2)</f>
        <v>Isengard</v>
      </c>
    </row>
    <row r="2863" spans="1:10" x14ac:dyDescent="0.25">
      <c r="A2863">
        <v>74</v>
      </c>
      <c r="B2863" t="s">
        <v>22</v>
      </c>
      <c r="C2863">
        <v>30</v>
      </c>
      <c r="D2863">
        <v>0</v>
      </c>
      <c r="E2863">
        <v>0</v>
      </c>
      <c r="F2863">
        <v>8475</v>
      </c>
      <c r="G2863">
        <v>2500</v>
      </c>
      <c r="H2863">
        <v>0</v>
      </c>
      <c r="J2863" t="str">
        <f>VLOOKUP(Table3[[#This Row],[Faction ID]],Table4[],2)</f>
        <v>Woodland Realm</v>
      </c>
    </row>
    <row r="2864" spans="1:10" x14ac:dyDescent="0.25">
      <c r="A2864">
        <v>74</v>
      </c>
      <c r="B2864" t="s">
        <v>23</v>
      </c>
      <c r="C2864">
        <v>64</v>
      </c>
      <c r="D2864">
        <v>0</v>
      </c>
      <c r="E2864">
        <v>0</v>
      </c>
      <c r="F2864">
        <v>4721</v>
      </c>
      <c r="G2864">
        <v>2500</v>
      </c>
      <c r="H2864">
        <v>0</v>
      </c>
      <c r="J2864" t="str">
        <f>VLOOKUP(Table3[[#This Row],[Faction ID]],Table4[],2)</f>
        <v>Lothlorien</v>
      </c>
    </row>
    <row r="2865" spans="1:10" x14ac:dyDescent="0.25">
      <c r="A2865">
        <v>74</v>
      </c>
      <c r="B2865" t="s">
        <v>24</v>
      </c>
      <c r="C2865">
        <v>0</v>
      </c>
      <c r="D2865">
        <v>0</v>
      </c>
      <c r="E2865">
        <v>0</v>
      </c>
      <c r="F2865">
        <v>4919</v>
      </c>
      <c r="G2865">
        <v>1750</v>
      </c>
      <c r="H2865">
        <v>0</v>
      </c>
      <c r="J2865" t="str">
        <f>VLOOKUP(Table3[[#This Row],[Faction ID]],Table4[],2)</f>
        <v>Variags (Khand)</v>
      </c>
    </row>
    <row r="2866" spans="1:10" x14ac:dyDescent="0.25">
      <c r="A2866">
        <v>74</v>
      </c>
      <c r="B2866" t="s">
        <v>14</v>
      </c>
      <c r="C2866">
        <v>11</v>
      </c>
      <c r="D2866">
        <v>8</v>
      </c>
      <c r="E2866">
        <v>156.80000000000001</v>
      </c>
      <c r="F2866">
        <v>50622</v>
      </c>
      <c r="G2866">
        <v>30661</v>
      </c>
      <c r="H2866">
        <v>2091</v>
      </c>
      <c r="J2866" t="str">
        <f>VLOOKUP(Table3[[#This Row],[Faction ID]],Table4[],2)</f>
        <v>Corsairs of Umbar</v>
      </c>
    </row>
    <row r="2867" spans="1:10" x14ac:dyDescent="0.25">
      <c r="A2867">
        <v>74</v>
      </c>
      <c r="B2867" t="s">
        <v>25</v>
      </c>
      <c r="C2867">
        <v>0</v>
      </c>
      <c r="D2867">
        <v>0</v>
      </c>
      <c r="E2867">
        <v>11</v>
      </c>
      <c r="F2867">
        <v>6962</v>
      </c>
      <c r="G2867">
        <v>2847</v>
      </c>
      <c r="H2867">
        <v>0</v>
      </c>
      <c r="J2867" t="str">
        <f>VLOOKUP(Table3[[#This Row],[Faction ID]],Table4[],2)</f>
        <v>Mahud</v>
      </c>
    </row>
    <row r="2868" spans="1:10" x14ac:dyDescent="0.25">
      <c r="A2868">
        <v>74</v>
      </c>
      <c r="B2868" t="s">
        <v>11</v>
      </c>
      <c r="C2868">
        <v>131</v>
      </c>
      <c r="D2868">
        <v>8</v>
      </c>
      <c r="E2868">
        <v>147</v>
      </c>
      <c r="F2868">
        <v>13128</v>
      </c>
      <c r="G2868">
        <v>17141</v>
      </c>
      <c r="H2868">
        <v>543</v>
      </c>
      <c r="J2868" t="str">
        <f>VLOOKUP(Table3[[#This Row],[Faction ID]],Table4[],2)</f>
        <v>Haradrim</v>
      </c>
    </row>
    <row r="2869" spans="1:10" x14ac:dyDescent="0.25">
      <c r="A2869">
        <v>74</v>
      </c>
      <c r="B2869" t="s">
        <v>15</v>
      </c>
      <c r="C2869">
        <v>148</v>
      </c>
      <c r="D2869">
        <v>12</v>
      </c>
      <c r="E2869">
        <v>191</v>
      </c>
      <c r="F2869">
        <v>114429</v>
      </c>
      <c r="G2869">
        <v>30929</v>
      </c>
      <c r="H2869">
        <v>2333</v>
      </c>
      <c r="J2869" t="str">
        <f>VLOOKUP(Table3[[#This Row],[Faction ID]],Table4[],2)</f>
        <v>Dunlendings</v>
      </c>
    </row>
    <row r="2870" spans="1:10" x14ac:dyDescent="0.25">
      <c r="A2870">
        <v>74</v>
      </c>
      <c r="B2870" t="s">
        <v>16</v>
      </c>
      <c r="C2870">
        <v>0</v>
      </c>
      <c r="D2870">
        <v>0</v>
      </c>
      <c r="E2870">
        <v>0</v>
      </c>
      <c r="F2870">
        <v>5352</v>
      </c>
      <c r="G2870">
        <v>1750</v>
      </c>
      <c r="H2870">
        <v>0</v>
      </c>
      <c r="J2870" t="str">
        <f>VLOOKUP(Table3[[#This Row],[Faction ID]],Table4[],2)</f>
        <v>Haerrim</v>
      </c>
    </row>
    <row r="2871" spans="1:10" x14ac:dyDescent="0.25">
      <c r="A2871">
        <v>74</v>
      </c>
      <c r="B2871" t="s">
        <v>13</v>
      </c>
      <c r="C2871">
        <v>363</v>
      </c>
      <c r="D2871">
        <v>19</v>
      </c>
      <c r="E2871">
        <v>344.6</v>
      </c>
      <c r="F2871">
        <v>29530</v>
      </c>
      <c r="G2871">
        <v>43348</v>
      </c>
      <c r="H2871">
        <v>3294</v>
      </c>
      <c r="J2871" t="str">
        <f>VLOOKUP(Table3[[#This Row],[Faction ID]],Table4[],2)</f>
        <v>Goblins</v>
      </c>
    </row>
    <row r="2872" spans="1:10" x14ac:dyDescent="0.25">
      <c r="A2872">
        <v>74</v>
      </c>
      <c r="B2872" t="s">
        <v>17</v>
      </c>
      <c r="C2872">
        <v>0</v>
      </c>
      <c r="D2872">
        <v>0</v>
      </c>
      <c r="E2872">
        <v>0</v>
      </c>
      <c r="F2872">
        <v>4872</v>
      </c>
      <c r="G2872">
        <v>1750</v>
      </c>
      <c r="H2872">
        <v>0</v>
      </c>
      <c r="J2872" t="str">
        <f>VLOOKUP(Table3[[#This Row],[Faction ID]],Table4[],2)</f>
        <v>Balchoth</v>
      </c>
    </row>
    <row r="2873" spans="1:10" x14ac:dyDescent="0.25">
      <c r="A2873">
        <v>74</v>
      </c>
      <c r="B2873" t="s">
        <v>18</v>
      </c>
      <c r="C2873">
        <v>225</v>
      </c>
      <c r="D2873">
        <v>31</v>
      </c>
      <c r="E2873">
        <v>425.6</v>
      </c>
      <c r="F2873">
        <v>178706</v>
      </c>
      <c r="G2873">
        <v>38942</v>
      </c>
      <c r="H2873">
        <v>1509</v>
      </c>
      <c r="J2873" t="str">
        <f>VLOOKUP(Table3[[#This Row],[Faction ID]],Table4[],2)</f>
        <v>Rhurim/Rhun</v>
      </c>
    </row>
    <row r="2874" spans="1:10" x14ac:dyDescent="0.25">
      <c r="A2874">
        <v>74</v>
      </c>
      <c r="B2874" t="s">
        <v>19</v>
      </c>
      <c r="C2874">
        <v>0</v>
      </c>
      <c r="D2874">
        <v>0</v>
      </c>
      <c r="E2874">
        <v>0</v>
      </c>
      <c r="F2874">
        <v>7360</v>
      </c>
      <c r="G2874">
        <v>1750</v>
      </c>
      <c r="H2874">
        <v>0</v>
      </c>
      <c r="J2874" t="str">
        <f>VLOOKUP(Table3[[#This Row],[Faction ID]],Table4[],2)</f>
        <v>Feredrim</v>
      </c>
    </row>
    <row r="2875" spans="1:10" x14ac:dyDescent="0.25">
      <c r="A2875">
        <v>74</v>
      </c>
      <c r="B2875" t="s">
        <v>26</v>
      </c>
      <c r="C2875">
        <v>0</v>
      </c>
      <c r="D2875">
        <v>0</v>
      </c>
      <c r="E2875">
        <v>0</v>
      </c>
      <c r="F2875">
        <v>6395</v>
      </c>
      <c r="G2875">
        <v>1750</v>
      </c>
      <c r="H2875">
        <v>0</v>
      </c>
      <c r="J2875" t="str">
        <f>VLOOKUP(Table3[[#This Row],[Faction ID]],Table4[],2)</f>
        <v>Rachrohir (Wainriders)</v>
      </c>
    </row>
    <row r="2876" spans="1:10" x14ac:dyDescent="0.25">
      <c r="A2876">
        <v>74</v>
      </c>
      <c r="B2876" t="s">
        <v>27</v>
      </c>
      <c r="C2876">
        <v>5</v>
      </c>
      <c r="D2876">
        <v>3</v>
      </c>
      <c r="E2876">
        <v>72</v>
      </c>
      <c r="F2876">
        <v>64341</v>
      </c>
      <c r="G2876">
        <v>15094</v>
      </c>
      <c r="H2876">
        <v>0</v>
      </c>
      <c r="J2876" t="str">
        <f>VLOOKUP(Table3[[#This Row],[Faction ID]],Table4[],2)</f>
        <v>Blacklock-Stonefoot League</v>
      </c>
    </row>
    <row r="2877" spans="1:10" x14ac:dyDescent="0.25">
      <c r="A2877">
        <v>74</v>
      </c>
      <c r="B2877" t="s">
        <v>28</v>
      </c>
      <c r="C2877">
        <v>4</v>
      </c>
      <c r="D2877">
        <v>2</v>
      </c>
      <c r="E2877">
        <v>41</v>
      </c>
      <c r="F2877">
        <v>44403</v>
      </c>
      <c r="G2877">
        <v>7955</v>
      </c>
      <c r="H2877">
        <v>0</v>
      </c>
      <c r="J2877" t="str">
        <f>VLOOKUP(Table3[[#This Row],[Faction ID]],Table4[],2)</f>
        <v>Ironfist-Stiffbeard Union</v>
      </c>
    </row>
    <row r="2878" spans="1:10" x14ac:dyDescent="0.25">
      <c r="A2878">
        <v>74</v>
      </c>
      <c r="B2878" t="s">
        <v>20</v>
      </c>
      <c r="C2878">
        <v>190</v>
      </c>
      <c r="D2878">
        <v>17</v>
      </c>
      <c r="E2878">
        <v>230.2</v>
      </c>
      <c r="F2878">
        <v>86069</v>
      </c>
      <c r="G2878">
        <v>35189</v>
      </c>
      <c r="H2878">
        <v>2088</v>
      </c>
      <c r="J2878" t="str">
        <f>VLOOKUP(Table3[[#This Row],[Faction ID]],Table4[],2)</f>
        <v>Gundabad</v>
      </c>
    </row>
    <row r="2879" spans="1:10" x14ac:dyDescent="0.25">
      <c r="A2879">
        <v>74</v>
      </c>
      <c r="B2879" t="s">
        <v>34</v>
      </c>
      <c r="C2879">
        <v>0</v>
      </c>
      <c r="D2879">
        <v>0</v>
      </c>
      <c r="E2879">
        <v>3</v>
      </c>
      <c r="F2879">
        <v>85833</v>
      </c>
      <c r="G2879">
        <v>2379</v>
      </c>
      <c r="H2879">
        <v>0</v>
      </c>
      <c r="J2879" t="str">
        <f>VLOOKUP(Table3[[#This Row],[Faction ID]],Table4[],2)</f>
        <v>Scouts of Rohan</v>
      </c>
    </row>
    <row r="2880" spans="1:10" x14ac:dyDescent="0.25">
      <c r="A2880">
        <v>74</v>
      </c>
      <c r="B2880" t="s">
        <v>33</v>
      </c>
      <c r="C2880">
        <v>6</v>
      </c>
      <c r="D2880">
        <v>4</v>
      </c>
      <c r="E2880">
        <v>77</v>
      </c>
      <c r="F2880">
        <v>93683</v>
      </c>
      <c r="G2880">
        <v>14945</v>
      </c>
      <c r="H2880">
        <v>704</v>
      </c>
      <c r="J2880" t="str">
        <f>VLOOKUP(Table3[[#This Row],[Faction ID]],Table4[],2)</f>
        <v>Northern Enedwaith</v>
      </c>
    </row>
    <row r="2881" spans="1:10" x14ac:dyDescent="0.25">
      <c r="A2881">
        <v>74</v>
      </c>
      <c r="B2881" t="s">
        <v>29</v>
      </c>
      <c r="C2881">
        <v>0</v>
      </c>
      <c r="D2881">
        <v>0</v>
      </c>
      <c r="E2881">
        <v>0</v>
      </c>
      <c r="F2881">
        <v>54023</v>
      </c>
      <c r="G2881">
        <v>1750</v>
      </c>
      <c r="H2881">
        <v>0</v>
      </c>
      <c r="J2881" t="str">
        <f>VLOOKUP(Table3[[#This Row],[Faction ID]],Table4[],2)</f>
        <v>Southern Enedwaith</v>
      </c>
    </row>
    <row r="2882" spans="1:10" x14ac:dyDescent="0.25">
      <c r="A2882">
        <v>74</v>
      </c>
      <c r="B2882" t="s">
        <v>30</v>
      </c>
      <c r="C2882">
        <v>0</v>
      </c>
      <c r="D2882">
        <v>0</v>
      </c>
      <c r="E2882">
        <v>0</v>
      </c>
      <c r="F2882">
        <v>32146</v>
      </c>
      <c r="G2882">
        <v>1750</v>
      </c>
      <c r="H2882">
        <v>0</v>
      </c>
      <c r="J2882" t="str">
        <f>VLOOKUP(Table3[[#This Row],[Faction ID]],Table4[],2)</f>
        <v>Druedain</v>
      </c>
    </row>
    <row r="2883" spans="1:10" x14ac:dyDescent="0.25">
      <c r="A2883">
        <v>74</v>
      </c>
      <c r="B2883" t="s">
        <v>31</v>
      </c>
      <c r="C2883">
        <v>0</v>
      </c>
      <c r="D2883">
        <v>0</v>
      </c>
      <c r="E2883">
        <v>0</v>
      </c>
      <c r="F2883">
        <v>15146</v>
      </c>
      <c r="G2883">
        <v>1750</v>
      </c>
      <c r="H2883">
        <v>0</v>
      </c>
      <c r="J2883" t="str">
        <f>VLOOKUP(Table3[[#This Row],[Faction ID]],Table4[],2)</f>
        <v>Harondor</v>
      </c>
    </row>
    <row r="2884" spans="1:10" x14ac:dyDescent="0.25">
      <c r="A2884">
        <v>74</v>
      </c>
      <c r="B2884" t="s">
        <v>35</v>
      </c>
      <c r="C2884">
        <v>0</v>
      </c>
      <c r="D2884">
        <v>0</v>
      </c>
      <c r="E2884">
        <v>0</v>
      </c>
      <c r="F2884">
        <v>4000</v>
      </c>
      <c r="G2884">
        <v>1750</v>
      </c>
      <c r="H2884">
        <v>0</v>
      </c>
      <c r="J2884" t="str">
        <f>VLOOKUP(Table3[[#This Row],[Faction ID]],Table4[],2)</f>
        <v>Southron Nomads</v>
      </c>
    </row>
    <row r="2885" spans="1:10" x14ac:dyDescent="0.25">
      <c r="A2885">
        <v>74</v>
      </c>
      <c r="B2885" t="s">
        <v>36</v>
      </c>
      <c r="C2885">
        <v>0</v>
      </c>
      <c r="D2885">
        <v>0</v>
      </c>
      <c r="E2885">
        <v>0</v>
      </c>
      <c r="F2885">
        <v>4000</v>
      </c>
      <c r="G2885">
        <v>1750</v>
      </c>
      <c r="H2885">
        <v>0</v>
      </c>
      <c r="J2885" t="str">
        <f>VLOOKUP(Table3[[#This Row],[Faction ID]],Table4[],2)</f>
        <v>_</v>
      </c>
    </row>
    <row r="2886" spans="1:10" x14ac:dyDescent="0.25">
      <c r="A2886">
        <v>74</v>
      </c>
      <c r="B2886" t="s">
        <v>37</v>
      </c>
      <c r="C2886">
        <v>0</v>
      </c>
      <c r="D2886">
        <v>0</v>
      </c>
      <c r="E2886">
        <v>0</v>
      </c>
      <c r="F2886">
        <v>4000</v>
      </c>
      <c r="G2886">
        <v>1750</v>
      </c>
      <c r="H2886">
        <v>0</v>
      </c>
      <c r="J2886" t="str">
        <f>VLOOKUP(Table3[[#This Row],[Faction ID]],Table4[],2)</f>
        <v>_</v>
      </c>
    </row>
    <row r="2887" spans="1:10" x14ac:dyDescent="0.25">
      <c r="A2887">
        <v>74</v>
      </c>
      <c r="B2887" t="s">
        <v>38</v>
      </c>
      <c r="C2887">
        <v>0</v>
      </c>
      <c r="D2887">
        <v>0</v>
      </c>
      <c r="E2887">
        <v>0</v>
      </c>
      <c r="F2887">
        <v>4000</v>
      </c>
      <c r="G2887">
        <v>1750</v>
      </c>
      <c r="H2887">
        <v>0</v>
      </c>
      <c r="J2887" t="str">
        <f>VLOOKUP(Table3[[#This Row],[Faction ID]],Table4[],2)</f>
        <v>_</v>
      </c>
    </row>
    <row r="2888" spans="1:10" x14ac:dyDescent="0.25">
      <c r="A2888">
        <v>74</v>
      </c>
      <c r="B2888" t="s">
        <v>39</v>
      </c>
      <c r="C2888">
        <v>0</v>
      </c>
      <c r="D2888">
        <v>0</v>
      </c>
      <c r="E2888">
        <v>0</v>
      </c>
      <c r="F2888">
        <v>4000</v>
      </c>
      <c r="G2888">
        <v>1750</v>
      </c>
      <c r="H2888">
        <v>0</v>
      </c>
      <c r="J2888" t="str">
        <f>VLOOKUP(Table3[[#This Row],[Faction ID]],Table4[],2)</f>
        <v>_</v>
      </c>
    </row>
    <row r="2889" spans="1:10" x14ac:dyDescent="0.25">
      <c r="A2889">
        <v>74</v>
      </c>
      <c r="B2889" t="s">
        <v>40</v>
      </c>
      <c r="C2889">
        <v>0</v>
      </c>
      <c r="D2889">
        <v>0</v>
      </c>
      <c r="E2889">
        <v>0</v>
      </c>
      <c r="F2889">
        <v>4000</v>
      </c>
      <c r="G2889">
        <v>1750</v>
      </c>
      <c r="H2889">
        <v>0</v>
      </c>
      <c r="J2889" t="str">
        <f>VLOOKUP(Table3[[#This Row],[Faction ID]],Table4[],2)</f>
        <v>_</v>
      </c>
    </row>
    <row r="2890" spans="1:10" x14ac:dyDescent="0.25">
      <c r="A2890">
        <v>74</v>
      </c>
      <c r="B2890" t="s">
        <v>41</v>
      </c>
      <c r="C2890">
        <v>0</v>
      </c>
      <c r="D2890">
        <v>0</v>
      </c>
      <c r="E2890">
        <v>0</v>
      </c>
      <c r="F2890">
        <v>4000</v>
      </c>
      <c r="G2890">
        <v>1750</v>
      </c>
      <c r="H2890">
        <v>0</v>
      </c>
      <c r="J2890" t="str">
        <f>VLOOKUP(Table3[[#This Row],[Faction ID]],Table4[],2)</f>
        <v>_</v>
      </c>
    </row>
    <row r="2891" spans="1:10" x14ac:dyDescent="0.25">
      <c r="A2891">
        <v>74</v>
      </c>
      <c r="B2891" t="s">
        <v>42</v>
      </c>
      <c r="C2891">
        <v>0</v>
      </c>
      <c r="D2891">
        <v>0</v>
      </c>
      <c r="E2891">
        <v>0</v>
      </c>
      <c r="F2891">
        <v>4000</v>
      </c>
      <c r="G2891">
        <v>1750</v>
      </c>
      <c r="H2891">
        <v>0</v>
      </c>
      <c r="J2891" t="str">
        <f>VLOOKUP(Table3[[#This Row],[Faction ID]],Table4[],2)</f>
        <v>_</v>
      </c>
    </row>
    <row r="2892" spans="1:10" x14ac:dyDescent="0.25">
      <c r="A2892">
        <v>74</v>
      </c>
      <c r="B2892" t="s">
        <v>43</v>
      </c>
      <c r="C2892">
        <v>0</v>
      </c>
      <c r="D2892">
        <v>0</v>
      </c>
      <c r="E2892">
        <v>0</v>
      </c>
      <c r="F2892">
        <v>4000</v>
      </c>
      <c r="G2892">
        <v>1750</v>
      </c>
      <c r="H2892">
        <v>0</v>
      </c>
      <c r="J2892" t="str">
        <f>VLOOKUP(Table3[[#This Row],[Faction ID]],Table4[],2)</f>
        <v>_</v>
      </c>
    </row>
    <row r="2893" spans="1:10" x14ac:dyDescent="0.25">
      <c r="A2893">
        <v>74</v>
      </c>
      <c r="B2893" t="s">
        <v>44</v>
      </c>
      <c r="C2893">
        <v>0</v>
      </c>
      <c r="D2893">
        <v>0</v>
      </c>
      <c r="E2893">
        <v>0</v>
      </c>
      <c r="F2893">
        <v>4000</v>
      </c>
      <c r="G2893">
        <v>1750</v>
      </c>
      <c r="H2893">
        <v>0</v>
      </c>
      <c r="J2893" t="str">
        <f>VLOOKUP(Table3[[#This Row],[Faction ID]],Table4[],2)</f>
        <v>_</v>
      </c>
    </row>
    <row r="2894" spans="1:10" x14ac:dyDescent="0.25">
      <c r="A2894">
        <v>75</v>
      </c>
      <c r="B2894" t="s">
        <v>9</v>
      </c>
      <c r="C2894">
        <v>273</v>
      </c>
      <c r="D2894">
        <v>26</v>
      </c>
      <c r="E2894">
        <v>263.3</v>
      </c>
      <c r="F2894">
        <v>11403</v>
      </c>
      <c r="G2894">
        <v>31062</v>
      </c>
      <c r="H2894">
        <v>2114</v>
      </c>
      <c r="J2894" t="str">
        <f>VLOOKUP(Table3[[#This Row],[Faction ID]],Table4[],2)</f>
        <v>Mordor</v>
      </c>
    </row>
    <row r="2895" spans="1:10" x14ac:dyDescent="0.25">
      <c r="A2895">
        <v>75</v>
      </c>
      <c r="B2895" t="s">
        <v>4</v>
      </c>
      <c r="C2895">
        <v>146</v>
      </c>
      <c r="D2895">
        <v>0</v>
      </c>
      <c r="E2895">
        <v>0</v>
      </c>
      <c r="F2895">
        <v>55420</v>
      </c>
      <c r="G2895">
        <v>2500</v>
      </c>
      <c r="H2895">
        <v>0</v>
      </c>
      <c r="J2895" t="str">
        <f>VLOOKUP(Table3[[#This Row],[Faction ID]],Table4[],2)</f>
        <v>Gondor</v>
      </c>
    </row>
    <row r="2896" spans="1:10" x14ac:dyDescent="0.25">
      <c r="A2896">
        <v>75</v>
      </c>
      <c r="B2896" t="s">
        <v>6</v>
      </c>
      <c r="C2896">
        <v>177</v>
      </c>
      <c r="D2896">
        <v>2</v>
      </c>
      <c r="E2896">
        <v>24.6</v>
      </c>
      <c r="F2896">
        <v>10018</v>
      </c>
      <c r="G2896">
        <v>7586</v>
      </c>
      <c r="H2896">
        <v>0</v>
      </c>
      <c r="J2896" t="str">
        <f>VLOOKUP(Table3[[#This Row],[Faction ID]],Table4[],2)</f>
        <v>Dale</v>
      </c>
    </row>
    <row r="2897" spans="1:10" x14ac:dyDescent="0.25">
      <c r="A2897">
        <v>75</v>
      </c>
      <c r="B2897" t="s">
        <v>21</v>
      </c>
      <c r="C2897">
        <v>198</v>
      </c>
      <c r="D2897">
        <v>1</v>
      </c>
      <c r="E2897">
        <v>18</v>
      </c>
      <c r="F2897">
        <v>15655</v>
      </c>
      <c r="G2897">
        <v>6091</v>
      </c>
      <c r="H2897">
        <v>0</v>
      </c>
      <c r="J2897" t="str">
        <f>VLOOKUP(Table3[[#This Row],[Faction ID]],Table4[],2)</f>
        <v>Erebor</v>
      </c>
    </row>
    <row r="2898" spans="1:10" x14ac:dyDescent="0.25">
      <c r="A2898">
        <v>75</v>
      </c>
      <c r="B2898" t="s">
        <v>5</v>
      </c>
      <c r="C2898">
        <v>157</v>
      </c>
      <c r="D2898">
        <v>0</v>
      </c>
      <c r="E2898">
        <v>0</v>
      </c>
      <c r="F2898">
        <v>6638</v>
      </c>
      <c r="G2898">
        <v>2500</v>
      </c>
      <c r="H2898">
        <v>0</v>
      </c>
      <c r="J2898" t="str">
        <f>VLOOKUP(Table3[[#This Row],[Faction ID]],Table4[],2)</f>
        <v>Rohan</v>
      </c>
    </row>
    <row r="2899" spans="1:10" x14ac:dyDescent="0.25">
      <c r="A2899">
        <v>75</v>
      </c>
      <c r="B2899" t="s">
        <v>12</v>
      </c>
      <c r="C2899">
        <v>208</v>
      </c>
      <c r="D2899">
        <v>14</v>
      </c>
      <c r="E2899">
        <v>226.9</v>
      </c>
      <c r="F2899">
        <v>42854</v>
      </c>
      <c r="G2899">
        <v>31051</v>
      </c>
      <c r="H2899">
        <v>2293</v>
      </c>
      <c r="J2899" t="str">
        <f>VLOOKUP(Table3[[#This Row],[Faction ID]],Table4[],2)</f>
        <v>Dol Guldur</v>
      </c>
    </row>
    <row r="2900" spans="1:10" x14ac:dyDescent="0.25">
      <c r="A2900">
        <v>75</v>
      </c>
      <c r="B2900" t="s">
        <v>10</v>
      </c>
      <c r="C2900">
        <v>58</v>
      </c>
      <c r="D2900">
        <v>0</v>
      </c>
      <c r="E2900">
        <v>0</v>
      </c>
      <c r="F2900">
        <v>4515</v>
      </c>
      <c r="G2900">
        <v>2500</v>
      </c>
      <c r="H2900">
        <v>0</v>
      </c>
      <c r="J2900" t="str">
        <f>VLOOKUP(Table3[[#This Row],[Faction ID]],Table4[],2)</f>
        <v>Anduin Vale</v>
      </c>
    </row>
    <row r="2901" spans="1:10" x14ac:dyDescent="0.25">
      <c r="A2901">
        <v>75</v>
      </c>
      <c r="B2901" t="s">
        <v>32</v>
      </c>
      <c r="C2901">
        <v>237</v>
      </c>
      <c r="D2901">
        <v>8</v>
      </c>
      <c r="E2901">
        <v>184.4</v>
      </c>
      <c r="F2901">
        <v>27820</v>
      </c>
      <c r="G2901">
        <v>24621</v>
      </c>
      <c r="H2901">
        <v>1263</v>
      </c>
      <c r="J2901" t="str">
        <f>VLOOKUP(Table3[[#This Row],[Faction ID]],Table4[],2)</f>
        <v>Isengard</v>
      </c>
    </row>
    <row r="2902" spans="1:10" x14ac:dyDescent="0.25">
      <c r="A2902">
        <v>75</v>
      </c>
      <c r="B2902" t="s">
        <v>22</v>
      </c>
      <c r="C2902">
        <v>30</v>
      </c>
      <c r="D2902">
        <v>0</v>
      </c>
      <c r="E2902">
        <v>0</v>
      </c>
      <c r="F2902">
        <v>8475</v>
      </c>
      <c r="G2902">
        <v>2500</v>
      </c>
      <c r="H2902">
        <v>0</v>
      </c>
      <c r="J2902" t="str">
        <f>VLOOKUP(Table3[[#This Row],[Faction ID]],Table4[],2)</f>
        <v>Woodland Realm</v>
      </c>
    </row>
    <row r="2903" spans="1:10" x14ac:dyDescent="0.25">
      <c r="A2903">
        <v>75</v>
      </c>
      <c r="B2903" t="s">
        <v>23</v>
      </c>
      <c r="C2903">
        <v>64</v>
      </c>
      <c r="D2903">
        <v>0</v>
      </c>
      <c r="E2903">
        <v>0</v>
      </c>
      <c r="F2903">
        <v>4721</v>
      </c>
      <c r="G2903">
        <v>2500</v>
      </c>
      <c r="H2903">
        <v>0</v>
      </c>
      <c r="J2903" t="str">
        <f>VLOOKUP(Table3[[#This Row],[Faction ID]],Table4[],2)</f>
        <v>Lothlorien</v>
      </c>
    </row>
    <row r="2904" spans="1:10" x14ac:dyDescent="0.25">
      <c r="A2904">
        <v>75</v>
      </c>
      <c r="B2904" t="s">
        <v>24</v>
      </c>
      <c r="C2904">
        <v>0</v>
      </c>
      <c r="D2904">
        <v>0</v>
      </c>
      <c r="E2904">
        <v>0</v>
      </c>
      <c r="F2904">
        <v>4919</v>
      </c>
      <c r="G2904">
        <v>1750</v>
      </c>
      <c r="H2904">
        <v>0</v>
      </c>
      <c r="J2904" t="str">
        <f>VLOOKUP(Table3[[#This Row],[Faction ID]],Table4[],2)</f>
        <v>Variags (Khand)</v>
      </c>
    </row>
    <row r="2905" spans="1:10" x14ac:dyDescent="0.25">
      <c r="A2905">
        <v>75</v>
      </c>
      <c r="B2905" t="s">
        <v>14</v>
      </c>
      <c r="C2905">
        <v>11</v>
      </c>
      <c r="D2905">
        <v>8</v>
      </c>
      <c r="E2905">
        <v>157.80000000000001</v>
      </c>
      <c r="F2905">
        <v>58442</v>
      </c>
      <c r="G2905">
        <v>30851</v>
      </c>
      <c r="H2905">
        <v>2103</v>
      </c>
      <c r="J2905" t="str">
        <f>VLOOKUP(Table3[[#This Row],[Faction ID]],Table4[],2)</f>
        <v>Corsairs of Umbar</v>
      </c>
    </row>
    <row r="2906" spans="1:10" x14ac:dyDescent="0.25">
      <c r="A2906">
        <v>75</v>
      </c>
      <c r="B2906" t="s">
        <v>25</v>
      </c>
      <c r="C2906">
        <v>0</v>
      </c>
      <c r="D2906">
        <v>0</v>
      </c>
      <c r="E2906">
        <v>12.1</v>
      </c>
      <c r="F2906">
        <v>6683</v>
      </c>
      <c r="G2906">
        <v>2991</v>
      </c>
      <c r="H2906">
        <v>0</v>
      </c>
      <c r="J2906" t="str">
        <f>VLOOKUP(Table3[[#This Row],[Faction ID]],Table4[],2)</f>
        <v>Mahud</v>
      </c>
    </row>
    <row r="2907" spans="1:10" x14ac:dyDescent="0.25">
      <c r="A2907">
        <v>75</v>
      </c>
      <c r="B2907" t="s">
        <v>11</v>
      </c>
      <c r="C2907">
        <v>131</v>
      </c>
      <c r="D2907">
        <v>8</v>
      </c>
      <c r="E2907">
        <v>146</v>
      </c>
      <c r="F2907">
        <v>17984</v>
      </c>
      <c r="G2907">
        <v>19312</v>
      </c>
      <c r="H2907">
        <v>551</v>
      </c>
      <c r="J2907" t="str">
        <f>VLOOKUP(Table3[[#This Row],[Faction ID]],Table4[],2)</f>
        <v>Haradrim</v>
      </c>
    </row>
    <row r="2908" spans="1:10" x14ac:dyDescent="0.25">
      <c r="A2908">
        <v>75</v>
      </c>
      <c r="B2908" t="s">
        <v>15</v>
      </c>
      <c r="C2908">
        <v>148</v>
      </c>
      <c r="D2908">
        <v>12</v>
      </c>
      <c r="E2908">
        <v>191</v>
      </c>
      <c r="F2908">
        <v>124739</v>
      </c>
      <c r="G2908">
        <v>30807</v>
      </c>
      <c r="H2908">
        <v>2339</v>
      </c>
      <c r="J2908" t="str">
        <f>VLOOKUP(Table3[[#This Row],[Faction ID]],Table4[],2)</f>
        <v>Dunlendings</v>
      </c>
    </row>
    <row r="2909" spans="1:10" x14ac:dyDescent="0.25">
      <c r="A2909">
        <v>75</v>
      </c>
      <c r="B2909" t="s">
        <v>16</v>
      </c>
      <c r="C2909">
        <v>0</v>
      </c>
      <c r="D2909">
        <v>0</v>
      </c>
      <c r="E2909">
        <v>0</v>
      </c>
      <c r="F2909">
        <v>5352</v>
      </c>
      <c r="G2909">
        <v>1750</v>
      </c>
      <c r="H2909">
        <v>0</v>
      </c>
      <c r="J2909" t="str">
        <f>VLOOKUP(Table3[[#This Row],[Faction ID]],Table4[],2)</f>
        <v>Haerrim</v>
      </c>
    </row>
    <row r="2910" spans="1:10" x14ac:dyDescent="0.25">
      <c r="A2910">
        <v>75</v>
      </c>
      <c r="B2910" t="s">
        <v>13</v>
      </c>
      <c r="C2910">
        <v>363</v>
      </c>
      <c r="D2910">
        <v>19</v>
      </c>
      <c r="E2910">
        <v>346</v>
      </c>
      <c r="F2910">
        <v>30907</v>
      </c>
      <c r="G2910">
        <v>43742</v>
      </c>
      <c r="H2910">
        <v>3300</v>
      </c>
      <c r="J2910" t="str">
        <f>VLOOKUP(Table3[[#This Row],[Faction ID]],Table4[],2)</f>
        <v>Goblins</v>
      </c>
    </row>
    <row r="2911" spans="1:10" x14ac:dyDescent="0.25">
      <c r="A2911">
        <v>75</v>
      </c>
      <c r="B2911" t="s">
        <v>17</v>
      </c>
      <c r="C2911">
        <v>0</v>
      </c>
      <c r="D2911">
        <v>0</v>
      </c>
      <c r="E2911">
        <v>0</v>
      </c>
      <c r="F2911">
        <v>4872</v>
      </c>
      <c r="G2911">
        <v>1750</v>
      </c>
      <c r="H2911">
        <v>0</v>
      </c>
      <c r="J2911" t="str">
        <f>VLOOKUP(Table3[[#This Row],[Faction ID]],Table4[],2)</f>
        <v>Balchoth</v>
      </c>
    </row>
    <row r="2912" spans="1:10" x14ac:dyDescent="0.25">
      <c r="A2912">
        <v>75</v>
      </c>
      <c r="B2912" t="s">
        <v>18</v>
      </c>
      <c r="C2912">
        <v>225</v>
      </c>
      <c r="D2912">
        <v>31</v>
      </c>
      <c r="E2912">
        <v>433.3</v>
      </c>
      <c r="F2912">
        <v>178630</v>
      </c>
      <c r="G2912">
        <v>37277</v>
      </c>
      <c r="H2912">
        <v>1575</v>
      </c>
      <c r="J2912" t="str">
        <f>VLOOKUP(Table3[[#This Row],[Faction ID]],Table4[],2)</f>
        <v>Rhurim/Rhun</v>
      </c>
    </row>
    <row r="2913" spans="1:10" x14ac:dyDescent="0.25">
      <c r="A2913">
        <v>75</v>
      </c>
      <c r="B2913" t="s">
        <v>19</v>
      </c>
      <c r="C2913">
        <v>0</v>
      </c>
      <c r="D2913">
        <v>0</v>
      </c>
      <c r="E2913">
        <v>0</v>
      </c>
      <c r="F2913">
        <v>7360</v>
      </c>
      <c r="G2913">
        <v>1750</v>
      </c>
      <c r="H2913">
        <v>0</v>
      </c>
      <c r="J2913" t="str">
        <f>VLOOKUP(Table3[[#This Row],[Faction ID]],Table4[],2)</f>
        <v>Feredrim</v>
      </c>
    </row>
    <row r="2914" spans="1:10" x14ac:dyDescent="0.25">
      <c r="A2914">
        <v>75</v>
      </c>
      <c r="B2914" t="s">
        <v>26</v>
      </c>
      <c r="C2914">
        <v>0</v>
      </c>
      <c r="D2914">
        <v>0</v>
      </c>
      <c r="E2914">
        <v>0</v>
      </c>
      <c r="F2914">
        <v>6395</v>
      </c>
      <c r="G2914">
        <v>1750</v>
      </c>
      <c r="H2914">
        <v>0</v>
      </c>
      <c r="J2914" t="str">
        <f>VLOOKUP(Table3[[#This Row],[Faction ID]],Table4[],2)</f>
        <v>Rachrohir (Wainriders)</v>
      </c>
    </row>
    <row r="2915" spans="1:10" x14ac:dyDescent="0.25">
      <c r="A2915">
        <v>75</v>
      </c>
      <c r="B2915" t="s">
        <v>27</v>
      </c>
      <c r="C2915">
        <v>5</v>
      </c>
      <c r="D2915">
        <v>3</v>
      </c>
      <c r="E2915">
        <v>73</v>
      </c>
      <c r="F2915">
        <v>63208</v>
      </c>
      <c r="G2915">
        <v>13754</v>
      </c>
      <c r="H2915">
        <v>0</v>
      </c>
      <c r="J2915" t="str">
        <f>VLOOKUP(Table3[[#This Row],[Faction ID]],Table4[],2)</f>
        <v>Blacklock-Stonefoot League</v>
      </c>
    </row>
    <row r="2916" spans="1:10" x14ac:dyDescent="0.25">
      <c r="A2916">
        <v>75</v>
      </c>
      <c r="B2916" t="s">
        <v>28</v>
      </c>
      <c r="C2916">
        <v>4</v>
      </c>
      <c r="D2916">
        <v>2</v>
      </c>
      <c r="E2916">
        <v>41</v>
      </c>
      <c r="F2916">
        <v>46702</v>
      </c>
      <c r="G2916">
        <v>7955</v>
      </c>
      <c r="H2916">
        <v>0</v>
      </c>
      <c r="J2916" t="str">
        <f>VLOOKUP(Table3[[#This Row],[Faction ID]],Table4[],2)</f>
        <v>Ironfist-Stiffbeard Union</v>
      </c>
    </row>
    <row r="2917" spans="1:10" x14ac:dyDescent="0.25">
      <c r="A2917">
        <v>75</v>
      </c>
      <c r="B2917" t="s">
        <v>20</v>
      </c>
      <c r="C2917">
        <v>190</v>
      </c>
      <c r="D2917">
        <v>17</v>
      </c>
      <c r="E2917">
        <v>231.3</v>
      </c>
      <c r="F2917">
        <v>77226</v>
      </c>
      <c r="G2917">
        <v>35538</v>
      </c>
      <c r="H2917">
        <v>2084</v>
      </c>
      <c r="J2917" t="str">
        <f>VLOOKUP(Table3[[#This Row],[Faction ID]],Table4[],2)</f>
        <v>Gundabad</v>
      </c>
    </row>
    <row r="2918" spans="1:10" x14ac:dyDescent="0.25">
      <c r="A2918">
        <v>75</v>
      </c>
      <c r="B2918" t="s">
        <v>34</v>
      </c>
      <c r="C2918">
        <v>0</v>
      </c>
      <c r="D2918">
        <v>0</v>
      </c>
      <c r="E2918">
        <v>3</v>
      </c>
      <c r="F2918">
        <v>86954</v>
      </c>
      <c r="G2918">
        <v>2379</v>
      </c>
      <c r="H2918">
        <v>0</v>
      </c>
      <c r="J2918" t="str">
        <f>VLOOKUP(Table3[[#This Row],[Faction ID]],Table4[],2)</f>
        <v>Scouts of Rohan</v>
      </c>
    </row>
    <row r="2919" spans="1:10" x14ac:dyDescent="0.25">
      <c r="A2919">
        <v>75</v>
      </c>
      <c r="B2919" t="s">
        <v>33</v>
      </c>
      <c r="C2919">
        <v>6</v>
      </c>
      <c r="D2919">
        <v>4</v>
      </c>
      <c r="E2919">
        <v>77</v>
      </c>
      <c r="F2919">
        <v>94577</v>
      </c>
      <c r="G2919">
        <v>15412</v>
      </c>
      <c r="H2919">
        <v>707</v>
      </c>
      <c r="J2919" t="str">
        <f>VLOOKUP(Table3[[#This Row],[Faction ID]],Table4[],2)</f>
        <v>Northern Enedwaith</v>
      </c>
    </row>
    <row r="2920" spans="1:10" x14ac:dyDescent="0.25">
      <c r="A2920">
        <v>75</v>
      </c>
      <c r="B2920" t="s">
        <v>29</v>
      </c>
      <c r="C2920">
        <v>0</v>
      </c>
      <c r="D2920">
        <v>0</v>
      </c>
      <c r="E2920">
        <v>0</v>
      </c>
      <c r="F2920">
        <v>54023</v>
      </c>
      <c r="G2920">
        <v>1750</v>
      </c>
      <c r="H2920">
        <v>0</v>
      </c>
      <c r="J2920" t="str">
        <f>VLOOKUP(Table3[[#This Row],[Faction ID]],Table4[],2)</f>
        <v>Southern Enedwaith</v>
      </c>
    </row>
    <row r="2921" spans="1:10" x14ac:dyDescent="0.25">
      <c r="A2921">
        <v>75</v>
      </c>
      <c r="B2921" t="s">
        <v>30</v>
      </c>
      <c r="C2921">
        <v>0</v>
      </c>
      <c r="D2921">
        <v>0</v>
      </c>
      <c r="E2921">
        <v>0</v>
      </c>
      <c r="F2921">
        <v>32146</v>
      </c>
      <c r="G2921">
        <v>1750</v>
      </c>
      <c r="H2921">
        <v>0</v>
      </c>
      <c r="J2921" t="str">
        <f>VLOOKUP(Table3[[#This Row],[Faction ID]],Table4[],2)</f>
        <v>Druedain</v>
      </c>
    </row>
    <row r="2922" spans="1:10" x14ac:dyDescent="0.25">
      <c r="A2922">
        <v>75</v>
      </c>
      <c r="B2922" t="s">
        <v>31</v>
      </c>
      <c r="C2922">
        <v>0</v>
      </c>
      <c r="D2922">
        <v>0</v>
      </c>
      <c r="E2922">
        <v>0</v>
      </c>
      <c r="F2922">
        <v>15146</v>
      </c>
      <c r="G2922">
        <v>1750</v>
      </c>
      <c r="H2922">
        <v>0</v>
      </c>
      <c r="J2922" t="str">
        <f>VLOOKUP(Table3[[#This Row],[Faction ID]],Table4[],2)</f>
        <v>Harondor</v>
      </c>
    </row>
    <row r="2923" spans="1:10" x14ac:dyDescent="0.25">
      <c r="A2923">
        <v>75</v>
      </c>
      <c r="B2923" t="s">
        <v>35</v>
      </c>
      <c r="C2923">
        <v>0</v>
      </c>
      <c r="D2923">
        <v>0</v>
      </c>
      <c r="E2923">
        <v>0</v>
      </c>
      <c r="F2923">
        <v>4000</v>
      </c>
      <c r="G2923">
        <v>1750</v>
      </c>
      <c r="H2923">
        <v>0</v>
      </c>
      <c r="J2923" t="str">
        <f>VLOOKUP(Table3[[#This Row],[Faction ID]],Table4[],2)</f>
        <v>Southron Nomads</v>
      </c>
    </row>
    <row r="2924" spans="1:10" x14ac:dyDescent="0.25">
      <c r="A2924">
        <v>75</v>
      </c>
      <c r="B2924" t="s">
        <v>36</v>
      </c>
      <c r="C2924">
        <v>0</v>
      </c>
      <c r="D2924">
        <v>0</v>
      </c>
      <c r="E2924">
        <v>0</v>
      </c>
      <c r="F2924">
        <v>4000</v>
      </c>
      <c r="G2924">
        <v>1750</v>
      </c>
      <c r="H2924">
        <v>0</v>
      </c>
      <c r="J2924" t="str">
        <f>VLOOKUP(Table3[[#This Row],[Faction ID]],Table4[],2)</f>
        <v>_</v>
      </c>
    </row>
    <row r="2925" spans="1:10" x14ac:dyDescent="0.25">
      <c r="A2925">
        <v>75</v>
      </c>
      <c r="B2925" t="s">
        <v>37</v>
      </c>
      <c r="C2925">
        <v>0</v>
      </c>
      <c r="D2925">
        <v>0</v>
      </c>
      <c r="E2925">
        <v>0</v>
      </c>
      <c r="F2925">
        <v>4000</v>
      </c>
      <c r="G2925">
        <v>1750</v>
      </c>
      <c r="H2925">
        <v>0</v>
      </c>
      <c r="J2925" t="str">
        <f>VLOOKUP(Table3[[#This Row],[Faction ID]],Table4[],2)</f>
        <v>_</v>
      </c>
    </row>
    <row r="2926" spans="1:10" x14ac:dyDescent="0.25">
      <c r="A2926">
        <v>75</v>
      </c>
      <c r="B2926" t="s">
        <v>38</v>
      </c>
      <c r="C2926">
        <v>0</v>
      </c>
      <c r="D2926">
        <v>0</v>
      </c>
      <c r="E2926">
        <v>0</v>
      </c>
      <c r="F2926">
        <v>4000</v>
      </c>
      <c r="G2926">
        <v>1750</v>
      </c>
      <c r="H2926">
        <v>0</v>
      </c>
      <c r="J2926" t="str">
        <f>VLOOKUP(Table3[[#This Row],[Faction ID]],Table4[],2)</f>
        <v>_</v>
      </c>
    </row>
    <row r="2927" spans="1:10" x14ac:dyDescent="0.25">
      <c r="A2927">
        <v>75</v>
      </c>
      <c r="B2927" t="s">
        <v>39</v>
      </c>
      <c r="C2927">
        <v>0</v>
      </c>
      <c r="D2927">
        <v>0</v>
      </c>
      <c r="E2927">
        <v>0</v>
      </c>
      <c r="F2927">
        <v>4000</v>
      </c>
      <c r="G2927">
        <v>1750</v>
      </c>
      <c r="H2927">
        <v>0</v>
      </c>
      <c r="J2927" t="str">
        <f>VLOOKUP(Table3[[#This Row],[Faction ID]],Table4[],2)</f>
        <v>_</v>
      </c>
    </row>
    <row r="2928" spans="1:10" x14ac:dyDescent="0.25">
      <c r="A2928">
        <v>75</v>
      </c>
      <c r="B2928" t="s">
        <v>40</v>
      </c>
      <c r="C2928">
        <v>0</v>
      </c>
      <c r="D2928">
        <v>0</v>
      </c>
      <c r="E2928">
        <v>0</v>
      </c>
      <c r="F2928">
        <v>4000</v>
      </c>
      <c r="G2928">
        <v>1750</v>
      </c>
      <c r="H2928">
        <v>0</v>
      </c>
      <c r="J2928" t="str">
        <f>VLOOKUP(Table3[[#This Row],[Faction ID]],Table4[],2)</f>
        <v>_</v>
      </c>
    </row>
    <row r="2929" spans="1:10" x14ac:dyDescent="0.25">
      <c r="A2929">
        <v>75</v>
      </c>
      <c r="B2929" t="s">
        <v>41</v>
      </c>
      <c r="C2929">
        <v>0</v>
      </c>
      <c r="D2929">
        <v>0</v>
      </c>
      <c r="E2929">
        <v>0</v>
      </c>
      <c r="F2929">
        <v>4000</v>
      </c>
      <c r="G2929">
        <v>1750</v>
      </c>
      <c r="H2929">
        <v>0</v>
      </c>
      <c r="J2929" t="str">
        <f>VLOOKUP(Table3[[#This Row],[Faction ID]],Table4[],2)</f>
        <v>_</v>
      </c>
    </row>
    <row r="2930" spans="1:10" x14ac:dyDescent="0.25">
      <c r="A2930">
        <v>75</v>
      </c>
      <c r="B2930" t="s">
        <v>42</v>
      </c>
      <c r="C2930">
        <v>0</v>
      </c>
      <c r="D2930">
        <v>0</v>
      </c>
      <c r="E2930">
        <v>0</v>
      </c>
      <c r="F2930">
        <v>4000</v>
      </c>
      <c r="G2930">
        <v>1750</v>
      </c>
      <c r="H2930">
        <v>0</v>
      </c>
      <c r="J2930" t="str">
        <f>VLOOKUP(Table3[[#This Row],[Faction ID]],Table4[],2)</f>
        <v>_</v>
      </c>
    </row>
    <row r="2931" spans="1:10" x14ac:dyDescent="0.25">
      <c r="A2931">
        <v>75</v>
      </c>
      <c r="B2931" t="s">
        <v>43</v>
      </c>
      <c r="C2931">
        <v>0</v>
      </c>
      <c r="D2931">
        <v>0</v>
      </c>
      <c r="E2931">
        <v>0</v>
      </c>
      <c r="F2931">
        <v>4000</v>
      </c>
      <c r="G2931">
        <v>1750</v>
      </c>
      <c r="H2931">
        <v>0</v>
      </c>
      <c r="J2931" t="str">
        <f>VLOOKUP(Table3[[#This Row],[Faction ID]],Table4[],2)</f>
        <v>_</v>
      </c>
    </row>
    <row r="2932" spans="1:10" x14ac:dyDescent="0.25">
      <c r="A2932">
        <v>75</v>
      </c>
      <c r="B2932" t="s">
        <v>44</v>
      </c>
      <c r="C2932">
        <v>0</v>
      </c>
      <c r="D2932">
        <v>0</v>
      </c>
      <c r="E2932">
        <v>0</v>
      </c>
      <c r="F2932">
        <v>4000</v>
      </c>
      <c r="G2932">
        <v>1750</v>
      </c>
      <c r="H2932">
        <v>0</v>
      </c>
      <c r="J2932" t="str">
        <f>VLOOKUP(Table3[[#This Row],[Faction ID]],Table4[],2)</f>
        <v>_</v>
      </c>
    </row>
    <row r="2933" spans="1:10" x14ac:dyDescent="0.25">
      <c r="A2933">
        <v>76</v>
      </c>
      <c r="B2933" t="s">
        <v>9</v>
      </c>
      <c r="C2933">
        <v>283</v>
      </c>
      <c r="D2933">
        <v>26</v>
      </c>
      <c r="E2933">
        <v>263.3</v>
      </c>
      <c r="F2933">
        <v>8911</v>
      </c>
      <c r="G2933">
        <v>31278</v>
      </c>
      <c r="H2933">
        <v>2309</v>
      </c>
      <c r="J2933" t="str">
        <f>VLOOKUP(Table3[[#This Row],[Faction ID]],Table4[],2)</f>
        <v>Mordor</v>
      </c>
    </row>
    <row r="2934" spans="1:10" x14ac:dyDescent="0.25">
      <c r="A2934">
        <v>76</v>
      </c>
      <c r="B2934" t="s">
        <v>4</v>
      </c>
      <c r="C2934">
        <v>146</v>
      </c>
      <c r="D2934">
        <v>0</v>
      </c>
      <c r="E2934">
        <v>0</v>
      </c>
      <c r="F2934">
        <v>55420</v>
      </c>
      <c r="G2934">
        <v>2500</v>
      </c>
      <c r="H2934">
        <v>0</v>
      </c>
      <c r="J2934" t="str">
        <f>VLOOKUP(Table3[[#This Row],[Faction ID]],Table4[],2)</f>
        <v>Gondor</v>
      </c>
    </row>
    <row r="2935" spans="1:10" x14ac:dyDescent="0.25">
      <c r="A2935">
        <v>76</v>
      </c>
      <c r="B2935" t="s">
        <v>6</v>
      </c>
      <c r="C2935">
        <v>178</v>
      </c>
      <c r="D2935">
        <v>3</v>
      </c>
      <c r="E2935">
        <v>25.5</v>
      </c>
      <c r="F2935">
        <v>10006</v>
      </c>
      <c r="G2935">
        <v>6969</v>
      </c>
      <c r="H2935">
        <v>0</v>
      </c>
      <c r="J2935" t="str">
        <f>VLOOKUP(Table3[[#This Row],[Faction ID]],Table4[],2)</f>
        <v>Dale</v>
      </c>
    </row>
    <row r="2936" spans="1:10" x14ac:dyDescent="0.25">
      <c r="A2936">
        <v>76</v>
      </c>
      <c r="B2936" t="s">
        <v>21</v>
      </c>
      <c r="C2936">
        <v>203</v>
      </c>
      <c r="D2936">
        <v>1</v>
      </c>
      <c r="E2936">
        <v>18</v>
      </c>
      <c r="F2936">
        <v>14834</v>
      </c>
      <c r="G2936">
        <v>5919</v>
      </c>
      <c r="H2936">
        <v>0</v>
      </c>
      <c r="J2936" t="str">
        <f>VLOOKUP(Table3[[#This Row],[Faction ID]],Table4[],2)</f>
        <v>Erebor</v>
      </c>
    </row>
    <row r="2937" spans="1:10" x14ac:dyDescent="0.25">
      <c r="A2937">
        <v>76</v>
      </c>
      <c r="B2937" t="s">
        <v>5</v>
      </c>
      <c r="C2937">
        <v>157</v>
      </c>
      <c r="D2937">
        <v>0</v>
      </c>
      <c r="E2937">
        <v>0</v>
      </c>
      <c r="F2937">
        <v>6638</v>
      </c>
      <c r="G2937">
        <v>2500</v>
      </c>
      <c r="H2937">
        <v>0</v>
      </c>
      <c r="J2937" t="str">
        <f>VLOOKUP(Table3[[#This Row],[Faction ID]],Table4[],2)</f>
        <v>Rohan</v>
      </c>
    </row>
    <row r="2938" spans="1:10" x14ac:dyDescent="0.25">
      <c r="A2938">
        <v>76</v>
      </c>
      <c r="B2938" t="s">
        <v>12</v>
      </c>
      <c r="C2938">
        <v>208</v>
      </c>
      <c r="D2938">
        <v>14</v>
      </c>
      <c r="E2938">
        <v>226.9</v>
      </c>
      <c r="F2938">
        <v>48106</v>
      </c>
      <c r="G2938">
        <v>30896</v>
      </c>
      <c r="H2938">
        <v>2306</v>
      </c>
      <c r="J2938" t="str">
        <f>VLOOKUP(Table3[[#This Row],[Faction ID]],Table4[],2)</f>
        <v>Dol Guldur</v>
      </c>
    </row>
    <row r="2939" spans="1:10" x14ac:dyDescent="0.25">
      <c r="A2939">
        <v>76</v>
      </c>
      <c r="B2939" t="s">
        <v>10</v>
      </c>
      <c r="C2939">
        <v>58</v>
      </c>
      <c r="D2939">
        <v>0</v>
      </c>
      <c r="E2939">
        <v>0</v>
      </c>
      <c r="F2939">
        <v>4515</v>
      </c>
      <c r="G2939">
        <v>2500</v>
      </c>
      <c r="H2939">
        <v>0</v>
      </c>
      <c r="J2939" t="str">
        <f>VLOOKUP(Table3[[#This Row],[Faction ID]],Table4[],2)</f>
        <v>Anduin Vale</v>
      </c>
    </row>
    <row r="2940" spans="1:10" x14ac:dyDescent="0.25">
      <c r="A2940">
        <v>76</v>
      </c>
      <c r="B2940" t="s">
        <v>32</v>
      </c>
      <c r="C2940">
        <v>237</v>
      </c>
      <c r="D2940">
        <v>8</v>
      </c>
      <c r="E2940">
        <v>185.4</v>
      </c>
      <c r="F2940">
        <v>31374</v>
      </c>
      <c r="G2940">
        <v>24717</v>
      </c>
      <c r="H2940">
        <v>1268</v>
      </c>
      <c r="J2940" t="str">
        <f>VLOOKUP(Table3[[#This Row],[Faction ID]],Table4[],2)</f>
        <v>Isengard</v>
      </c>
    </row>
    <row r="2941" spans="1:10" x14ac:dyDescent="0.25">
      <c r="A2941">
        <v>76</v>
      </c>
      <c r="B2941" t="s">
        <v>22</v>
      </c>
      <c r="C2941">
        <v>30</v>
      </c>
      <c r="D2941">
        <v>0</v>
      </c>
      <c r="E2941">
        <v>0</v>
      </c>
      <c r="F2941">
        <v>8475</v>
      </c>
      <c r="G2941">
        <v>2500</v>
      </c>
      <c r="H2941">
        <v>0</v>
      </c>
      <c r="J2941" t="str">
        <f>VLOOKUP(Table3[[#This Row],[Faction ID]],Table4[],2)</f>
        <v>Woodland Realm</v>
      </c>
    </row>
    <row r="2942" spans="1:10" x14ac:dyDescent="0.25">
      <c r="A2942">
        <v>76</v>
      </c>
      <c r="B2942" t="s">
        <v>23</v>
      </c>
      <c r="C2942">
        <v>64</v>
      </c>
      <c r="D2942">
        <v>0</v>
      </c>
      <c r="E2942">
        <v>0</v>
      </c>
      <c r="F2942">
        <v>4721</v>
      </c>
      <c r="G2942">
        <v>2500</v>
      </c>
      <c r="H2942">
        <v>0</v>
      </c>
      <c r="J2942" t="str">
        <f>VLOOKUP(Table3[[#This Row],[Faction ID]],Table4[],2)</f>
        <v>Lothlorien</v>
      </c>
    </row>
    <row r="2943" spans="1:10" x14ac:dyDescent="0.25">
      <c r="A2943">
        <v>76</v>
      </c>
      <c r="B2943" t="s">
        <v>24</v>
      </c>
      <c r="C2943">
        <v>0</v>
      </c>
      <c r="D2943">
        <v>0</v>
      </c>
      <c r="E2943">
        <v>0</v>
      </c>
      <c r="F2943">
        <v>4919</v>
      </c>
      <c r="G2943">
        <v>1750</v>
      </c>
      <c r="H2943">
        <v>0</v>
      </c>
      <c r="J2943" t="str">
        <f>VLOOKUP(Table3[[#This Row],[Faction ID]],Table4[],2)</f>
        <v>Variags (Khand)</v>
      </c>
    </row>
    <row r="2944" spans="1:10" x14ac:dyDescent="0.25">
      <c r="A2944">
        <v>76</v>
      </c>
      <c r="B2944" t="s">
        <v>14</v>
      </c>
      <c r="C2944">
        <v>11</v>
      </c>
      <c r="D2944">
        <v>8</v>
      </c>
      <c r="E2944">
        <v>156.80000000000001</v>
      </c>
      <c r="F2944">
        <v>66818</v>
      </c>
      <c r="G2944">
        <v>30771</v>
      </c>
      <c r="H2944">
        <v>2100</v>
      </c>
      <c r="J2944" t="str">
        <f>VLOOKUP(Table3[[#This Row],[Faction ID]],Table4[],2)</f>
        <v>Corsairs of Umbar</v>
      </c>
    </row>
    <row r="2945" spans="1:10" x14ac:dyDescent="0.25">
      <c r="A2945">
        <v>76</v>
      </c>
      <c r="B2945" t="s">
        <v>25</v>
      </c>
      <c r="C2945">
        <v>0</v>
      </c>
      <c r="D2945">
        <v>0</v>
      </c>
      <c r="E2945">
        <v>12.1</v>
      </c>
      <c r="F2945">
        <v>7192</v>
      </c>
      <c r="G2945">
        <v>2991</v>
      </c>
      <c r="H2945">
        <v>0</v>
      </c>
      <c r="J2945" t="str">
        <f>VLOOKUP(Table3[[#This Row],[Faction ID]],Table4[],2)</f>
        <v>Mahud</v>
      </c>
    </row>
    <row r="2946" spans="1:10" x14ac:dyDescent="0.25">
      <c r="A2946">
        <v>76</v>
      </c>
      <c r="B2946" t="s">
        <v>11</v>
      </c>
      <c r="C2946">
        <v>131</v>
      </c>
      <c r="D2946">
        <v>8</v>
      </c>
      <c r="E2946">
        <v>149</v>
      </c>
      <c r="F2946">
        <v>14585</v>
      </c>
      <c r="G2946">
        <v>18146</v>
      </c>
      <c r="H2946">
        <v>545</v>
      </c>
      <c r="J2946" t="str">
        <f>VLOOKUP(Table3[[#This Row],[Faction ID]],Table4[],2)</f>
        <v>Haradrim</v>
      </c>
    </row>
    <row r="2947" spans="1:10" x14ac:dyDescent="0.25">
      <c r="A2947">
        <v>76</v>
      </c>
      <c r="B2947" t="s">
        <v>15</v>
      </c>
      <c r="C2947">
        <v>148</v>
      </c>
      <c r="D2947">
        <v>12</v>
      </c>
      <c r="E2947">
        <v>191</v>
      </c>
      <c r="F2947">
        <v>135292</v>
      </c>
      <c r="G2947">
        <v>31258</v>
      </c>
      <c r="H2947">
        <v>2348</v>
      </c>
      <c r="J2947" t="str">
        <f>VLOOKUP(Table3[[#This Row],[Faction ID]],Table4[],2)</f>
        <v>Dunlendings</v>
      </c>
    </row>
    <row r="2948" spans="1:10" x14ac:dyDescent="0.25">
      <c r="A2948">
        <v>76</v>
      </c>
      <c r="B2948" t="s">
        <v>16</v>
      </c>
      <c r="C2948">
        <v>0</v>
      </c>
      <c r="D2948">
        <v>0</v>
      </c>
      <c r="E2948">
        <v>0</v>
      </c>
      <c r="F2948">
        <v>5352</v>
      </c>
      <c r="G2948">
        <v>1750</v>
      </c>
      <c r="H2948">
        <v>0</v>
      </c>
      <c r="J2948" t="str">
        <f>VLOOKUP(Table3[[#This Row],[Faction ID]],Table4[],2)</f>
        <v>Haerrim</v>
      </c>
    </row>
    <row r="2949" spans="1:10" x14ac:dyDescent="0.25">
      <c r="A2949">
        <v>76</v>
      </c>
      <c r="B2949" t="s">
        <v>13</v>
      </c>
      <c r="C2949">
        <v>363</v>
      </c>
      <c r="D2949">
        <v>19</v>
      </c>
      <c r="E2949">
        <v>350.2</v>
      </c>
      <c r="F2949">
        <v>24867</v>
      </c>
      <c r="G2949">
        <v>46961</v>
      </c>
      <c r="H2949">
        <v>4641</v>
      </c>
      <c r="J2949" t="str">
        <f>VLOOKUP(Table3[[#This Row],[Faction ID]],Table4[],2)</f>
        <v>Goblins</v>
      </c>
    </row>
    <row r="2950" spans="1:10" x14ac:dyDescent="0.25">
      <c r="A2950">
        <v>76</v>
      </c>
      <c r="B2950" t="s">
        <v>17</v>
      </c>
      <c r="C2950">
        <v>0</v>
      </c>
      <c r="D2950">
        <v>0</v>
      </c>
      <c r="E2950">
        <v>0</v>
      </c>
      <c r="F2950">
        <v>4872</v>
      </c>
      <c r="G2950">
        <v>1750</v>
      </c>
      <c r="H2950">
        <v>0</v>
      </c>
      <c r="J2950" t="str">
        <f>VLOOKUP(Table3[[#This Row],[Faction ID]],Table4[],2)</f>
        <v>Balchoth</v>
      </c>
    </row>
    <row r="2951" spans="1:10" x14ac:dyDescent="0.25">
      <c r="A2951">
        <v>76</v>
      </c>
      <c r="B2951" t="s">
        <v>18</v>
      </c>
      <c r="C2951">
        <v>224</v>
      </c>
      <c r="D2951">
        <v>30</v>
      </c>
      <c r="E2951">
        <v>431</v>
      </c>
      <c r="F2951">
        <v>181313</v>
      </c>
      <c r="G2951">
        <v>40099</v>
      </c>
      <c r="H2951">
        <v>1545</v>
      </c>
      <c r="J2951" t="str">
        <f>VLOOKUP(Table3[[#This Row],[Faction ID]],Table4[],2)</f>
        <v>Rhurim/Rhun</v>
      </c>
    </row>
    <row r="2952" spans="1:10" x14ac:dyDescent="0.25">
      <c r="A2952">
        <v>76</v>
      </c>
      <c r="B2952" t="s">
        <v>19</v>
      </c>
      <c r="C2952">
        <v>0</v>
      </c>
      <c r="D2952">
        <v>0</v>
      </c>
      <c r="E2952">
        <v>0</v>
      </c>
      <c r="F2952">
        <v>7360</v>
      </c>
      <c r="G2952">
        <v>1750</v>
      </c>
      <c r="H2952">
        <v>0</v>
      </c>
      <c r="J2952" t="str">
        <f>VLOOKUP(Table3[[#This Row],[Faction ID]],Table4[],2)</f>
        <v>Feredrim</v>
      </c>
    </row>
    <row r="2953" spans="1:10" x14ac:dyDescent="0.25">
      <c r="A2953">
        <v>76</v>
      </c>
      <c r="B2953" t="s">
        <v>26</v>
      </c>
      <c r="C2953">
        <v>0</v>
      </c>
      <c r="D2953">
        <v>0</v>
      </c>
      <c r="E2953">
        <v>0</v>
      </c>
      <c r="F2953">
        <v>6395</v>
      </c>
      <c r="G2953">
        <v>1750</v>
      </c>
      <c r="H2953">
        <v>0</v>
      </c>
      <c r="J2953" t="str">
        <f>VLOOKUP(Table3[[#This Row],[Faction ID]],Table4[],2)</f>
        <v>Rachrohir (Wainriders)</v>
      </c>
    </row>
    <row r="2954" spans="1:10" x14ac:dyDescent="0.25">
      <c r="A2954">
        <v>76</v>
      </c>
      <c r="B2954" t="s">
        <v>27</v>
      </c>
      <c r="C2954">
        <v>5</v>
      </c>
      <c r="D2954">
        <v>3</v>
      </c>
      <c r="E2954">
        <v>73</v>
      </c>
      <c r="F2954">
        <v>62169</v>
      </c>
      <c r="G2954">
        <v>14253</v>
      </c>
      <c r="H2954">
        <v>0</v>
      </c>
      <c r="J2954" t="str">
        <f>VLOOKUP(Table3[[#This Row],[Faction ID]],Table4[],2)</f>
        <v>Blacklock-Stonefoot League</v>
      </c>
    </row>
    <row r="2955" spans="1:10" x14ac:dyDescent="0.25">
      <c r="A2955">
        <v>76</v>
      </c>
      <c r="B2955" t="s">
        <v>28</v>
      </c>
      <c r="C2955">
        <v>4</v>
      </c>
      <c r="D2955">
        <v>2</v>
      </c>
      <c r="E2955">
        <v>40</v>
      </c>
      <c r="F2955">
        <v>45401</v>
      </c>
      <c r="G2955">
        <v>8282</v>
      </c>
      <c r="H2955">
        <v>0</v>
      </c>
      <c r="J2955" t="str">
        <f>VLOOKUP(Table3[[#This Row],[Faction ID]],Table4[],2)</f>
        <v>Ironfist-Stiffbeard Union</v>
      </c>
    </row>
    <row r="2956" spans="1:10" x14ac:dyDescent="0.25">
      <c r="A2956">
        <v>76</v>
      </c>
      <c r="B2956" t="s">
        <v>20</v>
      </c>
      <c r="C2956">
        <v>190</v>
      </c>
      <c r="D2956">
        <v>17</v>
      </c>
      <c r="E2956">
        <v>232.3</v>
      </c>
      <c r="F2956">
        <v>88169</v>
      </c>
      <c r="G2956">
        <v>35261</v>
      </c>
      <c r="H2956">
        <v>2100</v>
      </c>
      <c r="J2956" t="str">
        <f>VLOOKUP(Table3[[#This Row],[Faction ID]],Table4[],2)</f>
        <v>Gundabad</v>
      </c>
    </row>
    <row r="2957" spans="1:10" x14ac:dyDescent="0.25">
      <c r="A2957">
        <v>76</v>
      </c>
      <c r="B2957" t="s">
        <v>34</v>
      </c>
      <c r="C2957">
        <v>0</v>
      </c>
      <c r="D2957">
        <v>0</v>
      </c>
      <c r="E2957">
        <v>3</v>
      </c>
      <c r="F2957">
        <v>88075</v>
      </c>
      <c r="G2957">
        <v>2379</v>
      </c>
      <c r="H2957">
        <v>0</v>
      </c>
      <c r="J2957" t="str">
        <f>VLOOKUP(Table3[[#This Row],[Faction ID]],Table4[],2)</f>
        <v>Scouts of Rohan</v>
      </c>
    </row>
    <row r="2958" spans="1:10" x14ac:dyDescent="0.25">
      <c r="A2958">
        <v>76</v>
      </c>
      <c r="B2958" t="s">
        <v>33</v>
      </c>
      <c r="C2958">
        <v>6</v>
      </c>
      <c r="D2958">
        <v>4</v>
      </c>
      <c r="E2958">
        <v>77</v>
      </c>
      <c r="F2958">
        <v>96686</v>
      </c>
      <c r="G2958">
        <v>15414</v>
      </c>
      <c r="H2958">
        <v>709</v>
      </c>
      <c r="J2958" t="str">
        <f>VLOOKUP(Table3[[#This Row],[Faction ID]],Table4[],2)</f>
        <v>Northern Enedwaith</v>
      </c>
    </row>
    <row r="2959" spans="1:10" x14ac:dyDescent="0.25">
      <c r="A2959">
        <v>76</v>
      </c>
      <c r="B2959" t="s">
        <v>29</v>
      </c>
      <c r="C2959">
        <v>0</v>
      </c>
      <c r="D2959">
        <v>0</v>
      </c>
      <c r="E2959">
        <v>0</v>
      </c>
      <c r="F2959">
        <v>54023</v>
      </c>
      <c r="G2959">
        <v>1750</v>
      </c>
      <c r="H2959">
        <v>0</v>
      </c>
      <c r="J2959" t="str">
        <f>VLOOKUP(Table3[[#This Row],[Faction ID]],Table4[],2)</f>
        <v>Southern Enedwaith</v>
      </c>
    </row>
    <row r="2960" spans="1:10" x14ac:dyDescent="0.25">
      <c r="A2960">
        <v>76</v>
      </c>
      <c r="B2960" t="s">
        <v>30</v>
      </c>
      <c r="C2960">
        <v>0</v>
      </c>
      <c r="D2960">
        <v>0</v>
      </c>
      <c r="E2960">
        <v>0</v>
      </c>
      <c r="F2960">
        <v>32146</v>
      </c>
      <c r="G2960">
        <v>1750</v>
      </c>
      <c r="H2960">
        <v>0</v>
      </c>
      <c r="J2960" t="str">
        <f>VLOOKUP(Table3[[#This Row],[Faction ID]],Table4[],2)</f>
        <v>Druedain</v>
      </c>
    </row>
    <row r="2961" spans="1:10" x14ac:dyDescent="0.25">
      <c r="A2961">
        <v>76</v>
      </c>
      <c r="B2961" t="s">
        <v>31</v>
      </c>
      <c r="C2961">
        <v>0</v>
      </c>
      <c r="D2961">
        <v>0</v>
      </c>
      <c r="E2961">
        <v>0</v>
      </c>
      <c r="F2961">
        <v>15146</v>
      </c>
      <c r="G2961">
        <v>1750</v>
      </c>
      <c r="H2961">
        <v>0</v>
      </c>
      <c r="J2961" t="str">
        <f>VLOOKUP(Table3[[#This Row],[Faction ID]],Table4[],2)</f>
        <v>Harondor</v>
      </c>
    </row>
    <row r="2962" spans="1:10" x14ac:dyDescent="0.25">
      <c r="A2962">
        <v>76</v>
      </c>
      <c r="B2962" t="s">
        <v>35</v>
      </c>
      <c r="C2962">
        <v>0</v>
      </c>
      <c r="D2962">
        <v>0</v>
      </c>
      <c r="E2962">
        <v>0</v>
      </c>
      <c r="F2962">
        <v>4000</v>
      </c>
      <c r="G2962">
        <v>1750</v>
      </c>
      <c r="H2962">
        <v>0</v>
      </c>
      <c r="J2962" t="str">
        <f>VLOOKUP(Table3[[#This Row],[Faction ID]],Table4[],2)</f>
        <v>Southron Nomads</v>
      </c>
    </row>
    <row r="2963" spans="1:10" x14ac:dyDescent="0.25">
      <c r="A2963">
        <v>76</v>
      </c>
      <c r="B2963" t="s">
        <v>36</v>
      </c>
      <c r="C2963">
        <v>0</v>
      </c>
      <c r="D2963">
        <v>0</v>
      </c>
      <c r="E2963">
        <v>0</v>
      </c>
      <c r="F2963">
        <v>4000</v>
      </c>
      <c r="G2963">
        <v>1750</v>
      </c>
      <c r="H2963">
        <v>0</v>
      </c>
      <c r="J2963" t="str">
        <f>VLOOKUP(Table3[[#This Row],[Faction ID]],Table4[],2)</f>
        <v>_</v>
      </c>
    </row>
    <row r="2964" spans="1:10" x14ac:dyDescent="0.25">
      <c r="A2964">
        <v>76</v>
      </c>
      <c r="B2964" t="s">
        <v>37</v>
      </c>
      <c r="C2964">
        <v>0</v>
      </c>
      <c r="D2964">
        <v>0</v>
      </c>
      <c r="E2964">
        <v>0</v>
      </c>
      <c r="F2964">
        <v>4000</v>
      </c>
      <c r="G2964">
        <v>1750</v>
      </c>
      <c r="H2964">
        <v>0</v>
      </c>
      <c r="J2964" t="str">
        <f>VLOOKUP(Table3[[#This Row],[Faction ID]],Table4[],2)</f>
        <v>_</v>
      </c>
    </row>
    <row r="2965" spans="1:10" x14ac:dyDescent="0.25">
      <c r="A2965">
        <v>76</v>
      </c>
      <c r="B2965" t="s">
        <v>38</v>
      </c>
      <c r="C2965">
        <v>0</v>
      </c>
      <c r="D2965">
        <v>0</v>
      </c>
      <c r="E2965">
        <v>0</v>
      </c>
      <c r="F2965">
        <v>4000</v>
      </c>
      <c r="G2965">
        <v>1750</v>
      </c>
      <c r="H2965">
        <v>0</v>
      </c>
      <c r="J2965" t="str">
        <f>VLOOKUP(Table3[[#This Row],[Faction ID]],Table4[],2)</f>
        <v>_</v>
      </c>
    </row>
    <row r="2966" spans="1:10" x14ac:dyDescent="0.25">
      <c r="A2966">
        <v>76</v>
      </c>
      <c r="B2966" t="s">
        <v>39</v>
      </c>
      <c r="C2966">
        <v>0</v>
      </c>
      <c r="D2966">
        <v>0</v>
      </c>
      <c r="E2966">
        <v>0</v>
      </c>
      <c r="F2966">
        <v>4000</v>
      </c>
      <c r="G2966">
        <v>1750</v>
      </c>
      <c r="H2966">
        <v>0</v>
      </c>
      <c r="J2966" t="str">
        <f>VLOOKUP(Table3[[#This Row],[Faction ID]],Table4[],2)</f>
        <v>_</v>
      </c>
    </row>
    <row r="2967" spans="1:10" x14ac:dyDescent="0.25">
      <c r="A2967">
        <v>76</v>
      </c>
      <c r="B2967" t="s">
        <v>40</v>
      </c>
      <c r="C2967">
        <v>0</v>
      </c>
      <c r="D2967">
        <v>0</v>
      </c>
      <c r="E2967">
        <v>0</v>
      </c>
      <c r="F2967">
        <v>4000</v>
      </c>
      <c r="G2967">
        <v>1750</v>
      </c>
      <c r="H2967">
        <v>0</v>
      </c>
      <c r="J2967" t="str">
        <f>VLOOKUP(Table3[[#This Row],[Faction ID]],Table4[],2)</f>
        <v>_</v>
      </c>
    </row>
    <row r="2968" spans="1:10" x14ac:dyDescent="0.25">
      <c r="A2968">
        <v>76</v>
      </c>
      <c r="B2968" t="s">
        <v>41</v>
      </c>
      <c r="C2968">
        <v>0</v>
      </c>
      <c r="D2968">
        <v>0</v>
      </c>
      <c r="E2968">
        <v>0</v>
      </c>
      <c r="F2968">
        <v>4000</v>
      </c>
      <c r="G2968">
        <v>1750</v>
      </c>
      <c r="H2968">
        <v>0</v>
      </c>
      <c r="J2968" t="str">
        <f>VLOOKUP(Table3[[#This Row],[Faction ID]],Table4[],2)</f>
        <v>_</v>
      </c>
    </row>
    <row r="2969" spans="1:10" x14ac:dyDescent="0.25">
      <c r="A2969">
        <v>76</v>
      </c>
      <c r="B2969" t="s">
        <v>42</v>
      </c>
      <c r="C2969">
        <v>0</v>
      </c>
      <c r="D2969">
        <v>0</v>
      </c>
      <c r="E2969">
        <v>0</v>
      </c>
      <c r="F2969">
        <v>4000</v>
      </c>
      <c r="G2969">
        <v>1750</v>
      </c>
      <c r="H2969">
        <v>0</v>
      </c>
      <c r="J2969" t="str">
        <f>VLOOKUP(Table3[[#This Row],[Faction ID]],Table4[],2)</f>
        <v>_</v>
      </c>
    </row>
    <row r="2970" spans="1:10" x14ac:dyDescent="0.25">
      <c r="A2970">
        <v>76</v>
      </c>
      <c r="B2970" t="s">
        <v>43</v>
      </c>
      <c r="C2970">
        <v>0</v>
      </c>
      <c r="D2970">
        <v>0</v>
      </c>
      <c r="E2970">
        <v>0</v>
      </c>
      <c r="F2970">
        <v>4000</v>
      </c>
      <c r="G2970">
        <v>1750</v>
      </c>
      <c r="H2970">
        <v>0</v>
      </c>
      <c r="J2970" t="str">
        <f>VLOOKUP(Table3[[#This Row],[Faction ID]],Table4[],2)</f>
        <v>_</v>
      </c>
    </row>
    <row r="2971" spans="1:10" x14ac:dyDescent="0.25">
      <c r="A2971">
        <v>76</v>
      </c>
      <c r="B2971" t="s">
        <v>44</v>
      </c>
      <c r="C2971">
        <v>0</v>
      </c>
      <c r="D2971">
        <v>0</v>
      </c>
      <c r="E2971">
        <v>0</v>
      </c>
      <c r="F2971">
        <v>4000</v>
      </c>
      <c r="G2971">
        <v>1750</v>
      </c>
      <c r="H2971">
        <v>0</v>
      </c>
      <c r="J2971" t="str">
        <f>VLOOKUP(Table3[[#This Row],[Faction ID]],Table4[],2)</f>
        <v>_</v>
      </c>
    </row>
    <row r="2972" spans="1:10" x14ac:dyDescent="0.25">
      <c r="A2972">
        <v>77</v>
      </c>
      <c r="B2972" t="s">
        <v>9</v>
      </c>
      <c r="C2972">
        <v>283</v>
      </c>
      <c r="D2972">
        <v>26</v>
      </c>
      <c r="E2972">
        <v>263.3</v>
      </c>
      <c r="F2972">
        <v>12215</v>
      </c>
      <c r="G2972">
        <v>31359</v>
      </c>
      <c r="H2972">
        <v>2410</v>
      </c>
      <c r="J2972" t="str">
        <f>VLOOKUP(Table3[[#This Row],[Faction ID]],Table4[],2)</f>
        <v>Mordor</v>
      </c>
    </row>
    <row r="2973" spans="1:10" x14ac:dyDescent="0.25">
      <c r="A2973">
        <v>77</v>
      </c>
      <c r="B2973" t="s">
        <v>4</v>
      </c>
      <c r="C2973">
        <v>146</v>
      </c>
      <c r="D2973">
        <v>0</v>
      </c>
      <c r="E2973">
        <v>0</v>
      </c>
      <c r="F2973">
        <v>55420</v>
      </c>
      <c r="G2973">
        <v>2500</v>
      </c>
      <c r="H2973">
        <v>0</v>
      </c>
      <c r="J2973" t="str">
        <f>VLOOKUP(Table3[[#This Row],[Faction ID]],Table4[],2)</f>
        <v>Gondor</v>
      </c>
    </row>
    <row r="2974" spans="1:10" x14ac:dyDescent="0.25">
      <c r="A2974">
        <v>77</v>
      </c>
      <c r="B2974" t="s">
        <v>6</v>
      </c>
      <c r="C2974">
        <v>177</v>
      </c>
      <c r="D2974">
        <v>2</v>
      </c>
      <c r="E2974">
        <v>25.5</v>
      </c>
      <c r="F2974">
        <v>9070</v>
      </c>
      <c r="G2974">
        <v>6507</v>
      </c>
      <c r="H2974">
        <v>0</v>
      </c>
      <c r="J2974" t="str">
        <f>VLOOKUP(Table3[[#This Row],[Faction ID]],Table4[],2)</f>
        <v>Dale</v>
      </c>
    </row>
    <row r="2975" spans="1:10" x14ac:dyDescent="0.25">
      <c r="A2975">
        <v>77</v>
      </c>
      <c r="B2975" t="s">
        <v>21</v>
      </c>
      <c r="C2975">
        <v>203</v>
      </c>
      <c r="D2975">
        <v>1</v>
      </c>
      <c r="E2975">
        <v>0</v>
      </c>
      <c r="F2975">
        <v>16701</v>
      </c>
      <c r="G2975">
        <v>2767</v>
      </c>
      <c r="H2975">
        <v>0</v>
      </c>
      <c r="J2975" t="str">
        <f>VLOOKUP(Table3[[#This Row],[Faction ID]],Table4[],2)</f>
        <v>Erebor</v>
      </c>
    </row>
    <row r="2976" spans="1:10" x14ac:dyDescent="0.25">
      <c r="A2976">
        <v>77</v>
      </c>
      <c r="B2976" t="s">
        <v>5</v>
      </c>
      <c r="C2976">
        <v>157</v>
      </c>
      <c r="D2976">
        <v>0</v>
      </c>
      <c r="E2976">
        <v>0</v>
      </c>
      <c r="F2976">
        <v>6638</v>
      </c>
      <c r="G2976">
        <v>2500</v>
      </c>
      <c r="H2976">
        <v>0</v>
      </c>
      <c r="J2976" t="str">
        <f>VLOOKUP(Table3[[#This Row],[Faction ID]],Table4[],2)</f>
        <v>Rohan</v>
      </c>
    </row>
    <row r="2977" spans="1:10" x14ac:dyDescent="0.25">
      <c r="A2977">
        <v>77</v>
      </c>
      <c r="B2977" t="s">
        <v>12</v>
      </c>
      <c r="C2977">
        <v>208</v>
      </c>
      <c r="D2977">
        <v>14</v>
      </c>
      <c r="E2977">
        <v>227.9</v>
      </c>
      <c r="F2977">
        <v>52386</v>
      </c>
      <c r="G2977">
        <v>31014</v>
      </c>
      <c r="H2977">
        <v>2310</v>
      </c>
      <c r="J2977" t="str">
        <f>VLOOKUP(Table3[[#This Row],[Faction ID]],Table4[],2)</f>
        <v>Dol Guldur</v>
      </c>
    </row>
    <row r="2978" spans="1:10" x14ac:dyDescent="0.25">
      <c r="A2978">
        <v>77</v>
      </c>
      <c r="B2978" t="s">
        <v>10</v>
      </c>
      <c r="C2978">
        <v>58</v>
      </c>
      <c r="D2978">
        <v>0</v>
      </c>
      <c r="E2978">
        <v>0</v>
      </c>
      <c r="F2978">
        <v>4515</v>
      </c>
      <c r="G2978">
        <v>2500</v>
      </c>
      <c r="H2978">
        <v>0</v>
      </c>
      <c r="J2978" t="str">
        <f>VLOOKUP(Table3[[#This Row],[Faction ID]],Table4[],2)</f>
        <v>Anduin Vale</v>
      </c>
    </row>
    <row r="2979" spans="1:10" x14ac:dyDescent="0.25">
      <c r="A2979">
        <v>77</v>
      </c>
      <c r="B2979" t="s">
        <v>32</v>
      </c>
      <c r="C2979">
        <v>242</v>
      </c>
      <c r="D2979">
        <v>8</v>
      </c>
      <c r="E2979">
        <v>189.6</v>
      </c>
      <c r="F2979">
        <v>32701</v>
      </c>
      <c r="G2979">
        <v>24763</v>
      </c>
      <c r="H2979">
        <v>1267</v>
      </c>
      <c r="J2979" t="str">
        <f>VLOOKUP(Table3[[#This Row],[Faction ID]],Table4[],2)</f>
        <v>Isengard</v>
      </c>
    </row>
    <row r="2980" spans="1:10" x14ac:dyDescent="0.25">
      <c r="A2980">
        <v>77</v>
      </c>
      <c r="B2980" t="s">
        <v>22</v>
      </c>
      <c r="C2980">
        <v>30</v>
      </c>
      <c r="D2980">
        <v>0</v>
      </c>
      <c r="E2980">
        <v>0</v>
      </c>
      <c r="F2980">
        <v>8475</v>
      </c>
      <c r="G2980">
        <v>2500</v>
      </c>
      <c r="H2980">
        <v>0</v>
      </c>
      <c r="J2980" t="str">
        <f>VLOOKUP(Table3[[#This Row],[Faction ID]],Table4[],2)</f>
        <v>Woodland Realm</v>
      </c>
    </row>
    <row r="2981" spans="1:10" x14ac:dyDescent="0.25">
      <c r="A2981">
        <v>77</v>
      </c>
      <c r="B2981" t="s">
        <v>23</v>
      </c>
      <c r="C2981">
        <v>64</v>
      </c>
      <c r="D2981">
        <v>0</v>
      </c>
      <c r="E2981">
        <v>0</v>
      </c>
      <c r="F2981">
        <v>4721</v>
      </c>
      <c r="G2981">
        <v>2500</v>
      </c>
      <c r="H2981">
        <v>0</v>
      </c>
      <c r="J2981" t="str">
        <f>VLOOKUP(Table3[[#This Row],[Faction ID]],Table4[],2)</f>
        <v>Lothlorien</v>
      </c>
    </row>
    <row r="2982" spans="1:10" x14ac:dyDescent="0.25">
      <c r="A2982">
        <v>77</v>
      </c>
      <c r="B2982" t="s">
        <v>24</v>
      </c>
      <c r="C2982">
        <v>0</v>
      </c>
      <c r="D2982">
        <v>0</v>
      </c>
      <c r="E2982">
        <v>0</v>
      </c>
      <c r="F2982">
        <v>4919</v>
      </c>
      <c r="G2982">
        <v>1750</v>
      </c>
      <c r="H2982">
        <v>0</v>
      </c>
      <c r="J2982" t="str">
        <f>VLOOKUP(Table3[[#This Row],[Faction ID]],Table4[],2)</f>
        <v>Variags (Khand)</v>
      </c>
    </row>
    <row r="2983" spans="1:10" x14ac:dyDescent="0.25">
      <c r="A2983">
        <v>77</v>
      </c>
      <c r="B2983" t="s">
        <v>14</v>
      </c>
      <c r="C2983">
        <v>11</v>
      </c>
      <c r="D2983">
        <v>8</v>
      </c>
      <c r="E2983">
        <v>157.80000000000001</v>
      </c>
      <c r="F2983">
        <v>66357</v>
      </c>
      <c r="G2983">
        <v>30850</v>
      </c>
      <c r="H2983">
        <v>2111</v>
      </c>
      <c r="J2983" t="str">
        <f>VLOOKUP(Table3[[#This Row],[Faction ID]],Table4[],2)</f>
        <v>Corsairs of Umbar</v>
      </c>
    </row>
    <row r="2984" spans="1:10" x14ac:dyDescent="0.25">
      <c r="A2984">
        <v>77</v>
      </c>
      <c r="B2984" t="s">
        <v>25</v>
      </c>
      <c r="C2984">
        <v>0</v>
      </c>
      <c r="D2984">
        <v>0</v>
      </c>
      <c r="E2984">
        <v>12.1</v>
      </c>
      <c r="F2984">
        <v>7701</v>
      </c>
      <c r="G2984">
        <v>2991</v>
      </c>
      <c r="H2984">
        <v>0</v>
      </c>
      <c r="J2984" t="str">
        <f>VLOOKUP(Table3[[#This Row],[Faction ID]],Table4[],2)</f>
        <v>Mahud</v>
      </c>
    </row>
    <row r="2985" spans="1:10" x14ac:dyDescent="0.25">
      <c r="A2985">
        <v>77</v>
      </c>
      <c r="B2985" t="s">
        <v>11</v>
      </c>
      <c r="C2985">
        <v>136</v>
      </c>
      <c r="D2985">
        <v>8</v>
      </c>
      <c r="E2985">
        <v>147</v>
      </c>
      <c r="F2985">
        <v>17495</v>
      </c>
      <c r="G2985">
        <v>20551</v>
      </c>
      <c r="H2985">
        <v>554</v>
      </c>
      <c r="J2985" t="str">
        <f>VLOOKUP(Table3[[#This Row],[Faction ID]],Table4[],2)</f>
        <v>Haradrim</v>
      </c>
    </row>
    <row r="2986" spans="1:10" x14ac:dyDescent="0.25">
      <c r="A2986">
        <v>77</v>
      </c>
      <c r="B2986" t="s">
        <v>15</v>
      </c>
      <c r="C2986">
        <v>153</v>
      </c>
      <c r="D2986">
        <v>12</v>
      </c>
      <c r="E2986">
        <v>191</v>
      </c>
      <c r="F2986">
        <v>145799</v>
      </c>
      <c r="G2986">
        <v>31002</v>
      </c>
      <c r="H2986">
        <v>2346</v>
      </c>
      <c r="J2986" t="str">
        <f>VLOOKUP(Table3[[#This Row],[Faction ID]],Table4[],2)</f>
        <v>Dunlendings</v>
      </c>
    </row>
    <row r="2987" spans="1:10" x14ac:dyDescent="0.25">
      <c r="A2987">
        <v>77</v>
      </c>
      <c r="B2987" t="s">
        <v>16</v>
      </c>
      <c r="C2987">
        <v>0</v>
      </c>
      <c r="D2987">
        <v>0</v>
      </c>
      <c r="E2987">
        <v>0</v>
      </c>
      <c r="F2987">
        <v>5352</v>
      </c>
      <c r="G2987">
        <v>1750</v>
      </c>
      <c r="H2987">
        <v>0</v>
      </c>
      <c r="J2987" t="str">
        <f>VLOOKUP(Table3[[#This Row],[Faction ID]],Table4[],2)</f>
        <v>Haerrim</v>
      </c>
    </row>
    <row r="2988" spans="1:10" x14ac:dyDescent="0.25">
      <c r="A2988">
        <v>77</v>
      </c>
      <c r="B2988" t="s">
        <v>13</v>
      </c>
      <c r="C2988">
        <v>363</v>
      </c>
      <c r="D2988">
        <v>19</v>
      </c>
      <c r="E2988">
        <v>353.6</v>
      </c>
      <c r="F2988">
        <v>31148</v>
      </c>
      <c r="G2988">
        <v>47250</v>
      </c>
      <c r="H2988">
        <v>4643</v>
      </c>
      <c r="J2988" t="str">
        <f>VLOOKUP(Table3[[#This Row],[Faction ID]],Table4[],2)</f>
        <v>Goblins</v>
      </c>
    </row>
    <row r="2989" spans="1:10" x14ac:dyDescent="0.25">
      <c r="A2989">
        <v>77</v>
      </c>
      <c r="B2989" t="s">
        <v>17</v>
      </c>
      <c r="C2989">
        <v>0</v>
      </c>
      <c r="D2989">
        <v>0</v>
      </c>
      <c r="E2989">
        <v>0</v>
      </c>
      <c r="F2989">
        <v>4872</v>
      </c>
      <c r="G2989">
        <v>1750</v>
      </c>
      <c r="H2989">
        <v>0</v>
      </c>
      <c r="J2989" t="str">
        <f>VLOOKUP(Table3[[#This Row],[Faction ID]],Table4[],2)</f>
        <v>Balchoth</v>
      </c>
    </row>
    <row r="2990" spans="1:10" x14ac:dyDescent="0.25">
      <c r="A2990">
        <v>77</v>
      </c>
      <c r="B2990" t="s">
        <v>18</v>
      </c>
      <c r="C2990">
        <v>227</v>
      </c>
      <c r="D2990">
        <v>32</v>
      </c>
      <c r="E2990">
        <v>433.8</v>
      </c>
      <c r="F2990">
        <v>193192</v>
      </c>
      <c r="G2990">
        <v>39791</v>
      </c>
      <c r="H2990">
        <v>1910</v>
      </c>
      <c r="J2990" t="str">
        <f>VLOOKUP(Table3[[#This Row],[Faction ID]],Table4[],2)</f>
        <v>Rhurim/Rhun</v>
      </c>
    </row>
    <row r="2991" spans="1:10" x14ac:dyDescent="0.25">
      <c r="A2991">
        <v>77</v>
      </c>
      <c r="B2991" t="s">
        <v>19</v>
      </c>
      <c r="C2991">
        <v>0</v>
      </c>
      <c r="D2991">
        <v>0</v>
      </c>
      <c r="E2991">
        <v>0</v>
      </c>
      <c r="F2991">
        <v>7360</v>
      </c>
      <c r="G2991">
        <v>1750</v>
      </c>
      <c r="H2991">
        <v>0</v>
      </c>
      <c r="J2991" t="str">
        <f>VLOOKUP(Table3[[#This Row],[Faction ID]],Table4[],2)</f>
        <v>Feredrim</v>
      </c>
    </row>
    <row r="2992" spans="1:10" x14ac:dyDescent="0.25">
      <c r="A2992">
        <v>77</v>
      </c>
      <c r="B2992" t="s">
        <v>26</v>
      </c>
      <c r="C2992">
        <v>0</v>
      </c>
      <c r="D2992">
        <v>0</v>
      </c>
      <c r="E2992">
        <v>0</v>
      </c>
      <c r="F2992">
        <v>6395</v>
      </c>
      <c r="G2992">
        <v>1750</v>
      </c>
      <c r="H2992">
        <v>0</v>
      </c>
      <c r="J2992" t="str">
        <f>VLOOKUP(Table3[[#This Row],[Faction ID]],Table4[],2)</f>
        <v>Rachrohir (Wainriders)</v>
      </c>
    </row>
    <row r="2993" spans="1:10" x14ac:dyDescent="0.25">
      <c r="A2993">
        <v>77</v>
      </c>
      <c r="B2993" t="s">
        <v>27</v>
      </c>
      <c r="C2993">
        <v>1</v>
      </c>
      <c r="D2993">
        <v>1</v>
      </c>
      <c r="E2993">
        <v>38</v>
      </c>
      <c r="F2993">
        <v>55846</v>
      </c>
      <c r="G2993">
        <v>7318</v>
      </c>
      <c r="H2993">
        <v>0</v>
      </c>
      <c r="J2993" t="str">
        <f>VLOOKUP(Table3[[#This Row],[Faction ID]],Table4[],2)</f>
        <v>Blacklock-Stonefoot League</v>
      </c>
    </row>
    <row r="2994" spans="1:10" x14ac:dyDescent="0.25">
      <c r="A2994">
        <v>77</v>
      </c>
      <c r="B2994" t="s">
        <v>28</v>
      </c>
      <c r="C2994">
        <v>4</v>
      </c>
      <c r="D2994">
        <v>2</v>
      </c>
      <c r="E2994">
        <v>40</v>
      </c>
      <c r="F2994">
        <v>48027</v>
      </c>
      <c r="G2994">
        <v>8446</v>
      </c>
      <c r="H2994">
        <v>0</v>
      </c>
      <c r="J2994" t="str">
        <f>VLOOKUP(Table3[[#This Row],[Faction ID]],Table4[],2)</f>
        <v>Ironfist-Stiffbeard Union</v>
      </c>
    </row>
    <row r="2995" spans="1:10" x14ac:dyDescent="0.25">
      <c r="A2995">
        <v>77</v>
      </c>
      <c r="B2995" t="s">
        <v>20</v>
      </c>
      <c r="C2995">
        <v>191</v>
      </c>
      <c r="D2995">
        <v>18</v>
      </c>
      <c r="E2995">
        <v>241.6</v>
      </c>
      <c r="F2995">
        <v>88053</v>
      </c>
      <c r="G2995">
        <v>37662</v>
      </c>
      <c r="H2995">
        <v>2112</v>
      </c>
      <c r="J2995" t="str">
        <f>VLOOKUP(Table3[[#This Row],[Faction ID]],Table4[],2)</f>
        <v>Gundabad</v>
      </c>
    </row>
    <row r="2996" spans="1:10" x14ac:dyDescent="0.25">
      <c r="A2996">
        <v>77</v>
      </c>
      <c r="B2996" t="s">
        <v>34</v>
      </c>
      <c r="C2996">
        <v>0</v>
      </c>
      <c r="D2996">
        <v>0</v>
      </c>
      <c r="E2996">
        <v>3</v>
      </c>
      <c r="F2996">
        <v>89196</v>
      </c>
      <c r="G2996">
        <v>2379</v>
      </c>
      <c r="H2996">
        <v>0</v>
      </c>
      <c r="J2996" t="str">
        <f>VLOOKUP(Table3[[#This Row],[Faction ID]],Table4[],2)</f>
        <v>Scouts of Rohan</v>
      </c>
    </row>
    <row r="2997" spans="1:10" x14ac:dyDescent="0.25">
      <c r="A2997">
        <v>77</v>
      </c>
      <c r="B2997" t="s">
        <v>33</v>
      </c>
      <c r="C2997">
        <v>6</v>
      </c>
      <c r="D2997">
        <v>4</v>
      </c>
      <c r="E2997">
        <v>77</v>
      </c>
      <c r="F2997">
        <v>96298</v>
      </c>
      <c r="G2997">
        <v>15414</v>
      </c>
      <c r="H2997">
        <v>709</v>
      </c>
      <c r="J2997" t="str">
        <f>VLOOKUP(Table3[[#This Row],[Faction ID]],Table4[],2)</f>
        <v>Northern Enedwaith</v>
      </c>
    </row>
    <row r="2998" spans="1:10" x14ac:dyDescent="0.25">
      <c r="A2998">
        <v>77</v>
      </c>
      <c r="B2998" t="s">
        <v>29</v>
      </c>
      <c r="C2998">
        <v>0</v>
      </c>
      <c r="D2998">
        <v>0</v>
      </c>
      <c r="E2998">
        <v>0</v>
      </c>
      <c r="F2998">
        <v>54023</v>
      </c>
      <c r="G2998">
        <v>1750</v>
      </c>
      <c r="H2998">
        <v>0</v>
      </c>
      <c r="J2998" t="str">
        <f>VLOOKUP(Table3[[#This Row],[Faction ID]],Table4[],2)</f>
        <v>Southern Enedwaith</v>
      </c>
    </row>
    <row r="2999" spans="1:10" x14ac:dyDescent="0.25">
      <c r="A2999">
        <v>77</v>
      </c>
      <c r="B2999" t="s">
        <v>30</v>
      </c>
      <c r="C2999">
        <v>0</v>
      </c>
      <c r="D2999">
        <v>0</v>
      </c>
      <c r="E2999">
        <v>0</v>
      </c>
      <c r="F2999">
        <v>32146</v>
      </c>
      <c r="G2999">
        <v>1750</v>
      </c>
      <c r="H2999">
        <v>0</v>
      </c>
      <c r="J2999" t="str">
        <f>VLOOKUP(Table3[[#This Row],[Faction ID]],Table4[],2)</f>
        <v>Druedain</v>
      </c>
    </row>
    <row r="3000" spans="1:10" x14ac:dyDescent="0.25">
      <c r="A3000">
        <v>77</v>
      </c>
      <c r="B3000" t="s">
        <v>31</v>
      </c>
      <c r="C3000">
        <v>0</v>
      </c>
      <c r="D3000">
        <v>0</v>
      </c>
      <c r="E3000">
        <v>0</v>
      </c>
      <c r="F3000">
        <v>15146</v>
      </c>
      <c r="G3000">
        <v>1750</v>
      </c>
      <c r="H3000">
        <v>0</v>
      </c>
      <c r="J3000" t="str">
        <f>VLOOKUP(Table3[[#This Row],[Faction ID]],Table4[],2)</f>
        <v>Harondor</v>
      </c>
    </row>
    <row r="3001" spans="1:10" x14ac:dyDescent="0.25">
      <c r="A3001">
        <v>77</v>
      </c>
      <c r="B3001" t="s">
        <v>35</v>
      </c>
      <c r="C3001">
        <v>0</v>
      </c>
      <c r="D3001">
        <v>0</v>
      </c>
      <c r="E3001">
        <v>0</v>
      </c>
      <c r="F3001">
        <v>4000</v>
      </c>
      <c r="G3001">
        <v>1750</v>
      </c>
      <c r="H3001">
        <v>0</v>
      </c>
      <c r="J3001" t="str">
        <f>VLOOKUP(Table3[[#This Row],[Faction ID]],Table4[],2)</f>
        <v>Southron Nomads</v>
      </c>
    </row>
    <row r="3002" spans="1:10" x14ac:dyDescent="0.25">
      <c r="A3002">
        <v>77</v>
      </c>
      <c r="B3002" t="s">
        <v>36</v>
      </c>
      <c r="C3002">
        <v>0</v>
      </c>
      <c r="D3002">
        <v>0</v>
      </c>
      <c r="E3002">
        <v>0</v>
      </c>
      <c r="F3002">
        <v>4000</v>
      </c>
      <c r="G3002">
        <v>1750</v>
      </c>
      <c r="H3002">
        <v>0</v>
      </c>
      <c r="J3002" t="str">
        <f>VLOOKUP(Table3[[#This Row],[Faction ID]],Table4[],2)</f>
        <v>_</v>
      </c>
    </row>
    <row r="3003" spans="1:10" x14ac:dyDescent="0.25">
      <c r="A3003">
        <v>77</v>
      </c>
      <c r="B3003" t="s">
        <v>37</v>
      </c>
      <c r="C3003">
        <v>0</v>
      </c>
      <c r="D3003">
        <v>0</v>
      </c>
      <c r="E3003">
        <v>0</v>
      </c>
      <c r="F3003">
        <v>4000</v>
      </c>
      <c r="G3003">
        <v>1750</v>
      </c>
      <c r="H3003">
        <v>0</v>
      </c>
      <c r="J3003" t="str">
        <f>VLOOKUP(Table3[[#This Row],[Faction ID]],Table4[],2)</f>
        <v>_</v>
      </c>
    </row>
    <row r="3004" spans="1:10" x14ac:dyDescent="0.25">
      <c r="A3004">
        <v>77</v>
      </c>
      <c r="B3004" t="s">
        <v>38</v>
      </c>
      <c r="C3004">
        <v>0</v>
      </c>
      <c r="D3004">
        <v>0</v>
      </c>
      <c r="E3004">
        <v>0</v>
      </c>
      <c r="F3004">
        <v>4000</v>
      </c>
      <c r="G3004">
        <v>1750</v>
      </c>
      <c r="H3004">
        <v>0</v>
      </c>
      <c r="J3004" t="str">
        <f>VLOOKUP(Table3[[#This Row],[Faction ID]],Table4[],2)</f>
        <v>_</v>
      </c>
    </row>
    <row r="3005" spans="1:10" x14ac:dyDescent="0.25">
      <c r="A3005">
        <v>77</v>
      </c>
      <c r="B3005" t="s">
        <v>39</v>
      </c>
      <c r="C3005">
        <v>0</v>
      </c>
      <c r="D3005">
        <v>0</v>
      </c>
      <c r="E3005">
        <v>0</v>
      </c>
      <c r="F3005">
        <v>4000</v>
      </c>
      <c r="G3005">
        <v>1750</v>
      </c>
      <c r="H3005">
        <v>0</v>
      </c>
      <c r="J3005" t="str">
        <f>VLOOKUP(Table3[[#This Row],[Faction ID]],Table4[],2)</f>
        <v>_</v>
      </c>
    </row>
    <row r="3006" spans="1:10" x14ac:dyDescent="0.25">
      <c r="A3006">
        <v>77</v>
      </c>
      <c r="B3006" t="s">
        <v>40</v>
      </c>
      <c r="C3006">
        <v>0</v>
      </c>
      <c r="D3006">
        <v>0</v>
      </c>
      <c r="E3006">
        <v>0</v>
      </c>
      <c r="F3006">
        <v>4000</v>
      </c>
      <c r="G3006">
        <v>1750</v>
      </c>
      <c r="H3006">
        <v>0</v>
      </c>
      <c r="J3006" t="str">
        <f>VLOOKUP(Table3[[#This Row],[Faction ID]],Table4[],2)</f>
        <v>_</v>
      </c>
    </row>
    <row r="3007" spans="1:10" x14ac:dyDescent="0.25">
      <c r="A3007">
        <v>77</v>
      </c>
      <c r="B3007" t="s">
        <v>41</v>
      </c>
      <c r="C3007">
        <v>0</v>
      </c>
      <c r="D3007">
        <v>0</v>
      </c>
      <c r="E3007">
        <v>0</v>
      </c>
      <c r="F3007">
        <v>4000</v>
      </c>
      <c r="G3007">
        <v>1750</v>
      </c>
      <c r="H3007">
        <v>0</v>
      </c>
      <c r="J3007" t="str">
        <f>VLOOKUP(Table3[[#This Row],[Faction ID]],Table4[],2)</f>
        <v>_</v>
      </c>
    </row>
    <row r="3008" spans="1:10" x14ac:dyDescent="0.25">
      <c r="A3008">
        <v>77</v>
      </c>
      <c r="B3008" t="s">
        <v>42</v>
      </c>
      <c r="C3008">
        <v>0</v>
      </c>
      <c r="D3008">
        <v>0</v>
      </c>
      <c r="E3008">
        <v>0</v>
      </c>
      <c r="F3008">
        <v>4000</v>
      </c>
      <c r="G3008">
        <v>1750</v>
      </c>
      <c r="H3008">
        <v>0</v>
      </c>
      <c r="J3008" t="str">
        <f>VLOOKUP(Table3[[#This Row],[Faction ID]],Table4[],2)</f>
        <v>_</v>
      </c>
    </row>
    <row r="3009" spans="1:10" x14ac:dyDescent="0.25">
      <c r="A3009">
        <v>77</v>
      </c>
      <c r="B3009" t="s">
        <v>43</v>
      </c>
      <c r="C3009">
        <v>0</v>
      </c>
      <c r="D3009">
        <v>0</v>
      </c>
      <c r="E3009">
        <v>0</v>
      </c>
      <c r="F3009">
        <v>4000</v>
      </c>
      <c r="G3009">
        <v>1750</v>
      </c>
      <c r="H3009">
        <v>0</v>
      </c>
      <c r="J3009" t="str">
        <f>VLOOKUP(Table3[[#This Row],[Faction ID]],Table4[],2)</f>
        <v>_</v>
      </c>
    </row>
    <row r="3010" spans="1:10" x14ac:dyDescent="0.25">
      <c r="A3010">
        <v>77</v>
      </c>
      <c r="B3010" t="s">
        <v>44</v>
      </c>
      <c r="C3010">
        <v>0</v>
      </c>
      <c r="D3010">
        <v>0</v>
      </c>
      <c r="E3010">
        <v>0</v>
      </c>
      <c r="F3010">
        <v>4000</v>
      </c>
      <c r="G3010">
        <v>1750</v>
      </c>
      <c r="H3010">
        <v>0</v>
      </c>
      <c r="J3010" t="str">
        <f>VLOOKUP(Table3[[#This Row],[Faction ID]],Table4[],2)</f>
        <v>_</v>
      </c>
    </row>
    <row r="3011" spans="1:10" x14ac:dyDescent="0.25">
      <c r="A3011">
        <v>78</v>
      </c>
      <c r="B3011" t="s">
        <v>9</v>
      </c>
      <c r="C3011">
        <v>288</v>
      </c>
      <c r="D3011">
        <v>26</v>
      </c>
      <c r="E3011">
        <v>263.3</v>
      </c>
      <c r="F3011">
        <v>13271</v>
      </c>
      <c r="G3011">
        <v>32630</v>
      </c>
      <c r="H3011">
        <v>2429</v>
      </c>
      <c r="J3011" t="str">
        <f>VLOOKUP(Table3[[#This Row],[Faction ID]],Table4[],2)</f>
        <v>Mordor</v>
      </c>
    </row>
    <row r="3012" spans="1:10" x14ac:dyDescent="0.25">
      <c r="A3012">
        <v>78</v>
      </c>
      <c r="B3012" t="s">
        <v>4</v>
      </c>
      <c r="C3012">
        <v>146</v>
      </c>
      <c r="D3012">
        <v>0</v>
      </c>
      <c r="E3012">
        <v>0</v>
      </c>
      <c r="F3012">
        <v>55420</v>
      </c>
      <c r="G3012">
        <v>2500</v>
      </c>
      <c r="H3012">
        <v>0</v>
      </c>
      <c r="J3012" t="str">
        <f>VLOOKUP(Table3[[#This Row],[Faction ID]],Table4[],2)</f>
        <v>Gondor</v>
      </c>
    </row>
    <row r="3013" spans="1:10" x14ac:dyDescent="0.25">
      <c r="A3013">
        <v>78</v>
      </c>
      <c r="B3013" t="s">
        <v>6</v>
      </c>
      <c r="C3013">
        <v>181</v>
      </c>
      <c r="D3013">
        <v>1</v>
      </c>
      <c r="E3013">
        <v>21.8</v>
      </c>
      <c r="F3013">
        <v>8298</v>
      </c>
      <c r="G3013">
        <v>5772</v>
      </c>
      <c r="H3013">
        <v>0</v>
      </c>
      <c r="J3013" t="str">
        <f>VLOOKUP(Table3[[#This Row],[Faction ID]],Table4[],2)</f>
        <v>Dale</v>
      </c>
    </row>
    <row r="3014" spans="1:10" x14ac:dyDescent="0.25">
      <c r="A3014">
        <v>78</v>
      </c>
      <c r="B3014" t="s">
        <v>21</v>
      </c>
      <c r="C3014">
        <v>200</v>
      </c>
      <c r="D3014">
        <v>0</v>
      </c>
      <c r="E3014">
        <v>1.2</v>
      </c>
      <c r="F3014">
        <v>10040</v>
      </c>
      <c r="G3014">
        <v>2792</v>
      </c>
      <c r="H3014">
        <v>0</v>
      </c>
      <c r="J3014" t="str">
        <f>VLOOKUP(Table3[[#This Row],[Faction ID]],Table4[],2)</f>
        <v>Erebor</v>
      </c>
    </row>
    <row r="3015" spans="1:10" x14ac:dyDescent="0.25">
      <c r="A3015">
        <v>78</v>
      </c>
      <c r="B3015" t="s">
        <v>5</v>
      </c>
      <c r="C3015">
        <v>157</v>
      </c>
      <c r="D3015">
        <v>0</v>
      </c>
      <c r="E3015">
        <v>0</v>
      </c>
      <c r="F3015">
        <v>6638</v>
      </c>
      <c r="G3015">
        <v>2500</v>
      </c>
      <c r="H3015">
        <v>0</v>
      </c>
      <c r="J3015" t="str">
        <f>VLOOKUP(Table3[[#This Row],[Faction ID]],Table4[],2)</f>
        <v>Rohan</v>
      </c>
    </row>
    <row r="3016" spans="1:10" x14ac:dyDescent="0.25">
      <c r="A3016">
        <v>78</v>
      </c>
      <c r="B3016" t="s">
        <v>12</v>
      </c>
      <c r="C3016">
        <v>213</v>
      </c>
      <c r="D3016">
        <v>14</v>
      </c>
      <c r="E3016">
        <v>227.9</v>
      </c>
      <c r="F3016">
        <v>48331</v>
      </c>
      <c r="G3016">
        <v>30553</v>
      </c>
      <c r="H3016">
        <v>2091</v>
      </c>
      <c r="J3016" t="str">
        <f>VLOOKUP(Table3[[#This Row],[Faction ID]],Table4[],2)</f>
        <v>Dol Guldur</v>
      </c>
    </row>
    <row r="3017" spans="1:10" x14ac:dyDescent="0.25">
      <c r="A3017">
        <v>78</v>
      </c>
      <c r="B3017" t="s">
        <v>10</v>
      </c>
      <c r="C3017">
        <v>58</v>
      </c>
      <c r="D3017">
        <v>0</v>
      </c>
      <c r="E3017">
        <v>0</v>
      </c>
      <c r="F3017">
        <v>4515</v>
      </c>
      <c r="G3017">
        <v>2500</v>
      </c>
      <c r="H3017">
        <v>0</v>
      </c>
      <c r="J3017" t="str">
        <f>VLOOKUP(Table3[[#This Row],[Faction ID]],Table4[],2)</f>
        <v>Anduin Vale</v>
      </c>
    </row>
    <row r="3018" spans="1:10" x14ac:dyDescent="0.25">
      <c r="A3018">
        <v>78</v>
      </c>
      <c r="B3018" t="s">
        <v>32</v>
      </c>
      <c r="C3018">
        <v>242</v>
      </c>
      <c r="D3018">
        <v>8</v>
      </c>
      <c r="E3018">
        <v>193</v>
      </c>
      <c r="F3018">
        <v>34996</v>
      </c>
      <c r="G3018">
        <v>24927</v>
      </c>
      <c r="H3018">
        <v>1269</v>
      </c>
      <c r="J3018" t="str">
        <f>VLOOKUP(Table3[[#This Row],[Faction ID]],Table4[],2)</f>
        <v>Isengard</v>
      </c>
    </row>
    <row r="3019" spans="1:10" x14ac:dyDescent="0.25">
      <c r="A3019">
        <v>78</v>
      </c>
      <c r="B3019" t="s">
        <v>22</v>
      </c>
      <c r="C3019">
        <v>30</v>
      </c>
      <c r="D3019">
        <v>0</v>
      </c>
      <c r="E3019">
        <v>0</v>
      </c>
      <c r="F3019">
        <v>8475</v>
      </c>
      <c r="G3019">
        <v>2500</v>
      </c>
      <c r="H3019">
        <v>0</v>
      </c>
      <c r="J3019" t="str">
        <f>VLOOKUP(Table3[[#This Row],[Faction ID]],Table4[],2)</f>
        <v>Woodland Realm</v>
      </c>
    </row>
    <row r="3020" spans="1:10" x14ac:dyDescent="0.25">
      <c r="A3020">
        <v>78</v>
      </c>
      <c r="B3020" t="s">
        <v>23</v>
      </c>
      <c r="C3020">
        <v>64</v>
      </c>
      <c r="D3020">
        <v>0</v>
      </c>
      <c r="E3020">
        <v>0</v>
      </c>
      <c r="F3020">
        <v>4721</v>
      </c>
      <c r="G3020">
        <v>2500</v>
      </c>
      <c r="H3020">
        <v>0</v>
      </c>
      <c r="J3020" t="str">
        <f>VLOOKUP(Table3[[#This Row],[Faction ID]],Table4[],2)</f>
        <v>Lothlorien</v>
      </c>
    </row>
    <row r="3021" spans="1:10" x14ac:dyDescent="0.25">
      <c r="A3021">
        <v>78</v>
      </c>
      <c r="B3021" t="s">
        <v>24</v>
      </c>
      <c r="C3021">
        <v>0</v>
      </c>
      <c r="D3021">
        <v>0</v>
      </c>
      <c r="E3021">
        <v>0</v>
      </c>
      <c r="F3021">
        <v>4919</v>
      </c>
      <c r="G3021">
        <v>1750</v>
      </c>
      <c r="H3021">
        <v>0</v>
      </c>
      <c r="J3021" t="str">
        <f>VLOOKUP(Table3[[#This Row],[Faction ID]],Table4[],2)</f>
        <v>Variags (Khand)</v>
      </c>
    </row>
    <row r="3022" spans="1:10" x14ac:dyDescent="0.25">
      <c r="A3022">
        <v>78</v>
      </c>
      <c r="B3022" t="s">
        <v>14</v>
      </c>
      <c r="C3022">
        <v>11</v>
      </c>
      <c r="D3022">
        <v>8</v>
      </c>
      <c r="E3022">
        <v>156.80000000000001</v>
      </c>
      <c r="F3022">
        <v>74734</v>
      </c>
      <c r="G3022">
        <v>31312</v>
      </c>
      <c r="H3022">
        <v>2356</v>
      </c>
      <c r="J3022" t="str">
        <f>VLOOKUP(Table3[[#This Row],[Faction ID]],Table4[],2)</f>
        <v>Corsairs of Umbar</v>
      </c>
    </row>
    <row r="3023" spans="1:10" x14ac:dyDescent="0.25">
      <c r="A3023">
        <v>78</v>
      </c>
      <c r="B3023" t="s">
        <v>25</v>
      </c>
      <c r="C3023">
        <v>0</v>
      </c>
      <c r="D3023">
        <v>0</v>
      </c>
      <c r="E3023">
        <v>12.1</v>
      </c>
      <c r="F3023">
        <v>8210</v>
      </c>
      <c r="G3023">
        <v>2991</v>
      </c>
      <c r="H3023">
        <v>0</v>
      </c>
      <c r="J3023" t="str">
        <f>VLOOKUP(Table3[[#This Row],[Faction ID]],Table4[],2)</f>
        <v>Mahud</v>
      </c>
    </row>
    <row r="3024" spans="1:10" x14ac:dyDescent="0.25">
      <c r="A3024">
        <v>78</v>
      </c>
      <c r="B3024" t="s">
        <v>11</v>
      </c>
      <c r="C3024">
        <v>136</v>
      </c>
      <c r="D3024">
        <v>8</v>
      </c>
      <c r="E3024">
        <v>150</v>
      </c>
      <c r="F3024">
        <v>17990</v>
      </c>
      <c r="G3024">
        <v>19426</v>
      </c>
      <c r="H3024">
        <v>552</v>
      </c>
      <c r="J3024" t="str">
        <f>VLOOKUP(Table3[[#This Row],[Faction ID]],Table4[],2)</f>
        <v>Haradrim</v>
      </c>
    </row>
    <row r="3025" spans="1:10" x14ac:dyDescent="0.25">
      <c r="A3025">
        <v>78</v>
      </c>
      <c r="B3025" t="s">
        <v>15</v>
      </c>
      <c r="C3025">
        <v>153</v>
      </c>
      <c r="D3025">
        <v>12</v>
      </c>
      <c r="E3025">
        <v>191</v>
      </c>
      <c r="F3025">
        <v>149884</v>
      </c>
      <c r="G3025">
        <v>31091</v>
      </c>
      <c r="H3025">
        <v>2351</v>
      </c>
      <c r="J3025" t="str">
        <f>VLOOKUP(Table3[[#This Row],[Faction ID]],Table4[],2)</f>
        <v>Dunlendings</v>
      </c>
    </row>
    <row r="3026" spans="1:10" x14ac:dyDescent="0.25">
      <c r="A3026">
        <v>78</v>
      </c>
      <c r="B3026" t="s">
        <v>16</v>
      </c>
      <c r="C3026">
        <v>0</v>
      </c>
      <c r="D3026">
        <v>0</v>
      </c>
      <c r="E3026">
        <v>0</v>
      </c>
      <c r="F3026">
        <v>5352</v>
      </c>
      <c r="G3026">
        <v>1750</v>
      </c>
      <c r="H3026">
        <v>0</v>
      </c>
      <c r="J3026" t="str">
        <f>VLOOKUP(Table3[[#This Row],[Faction ID]],Table4[],2)</f>
        <v>Haerrim</v>
      </c>
    </row>
    <row r="3027" spans="1:10" x14ac:dyDescent="0.25">
      <c r="A3027">
        <v>78</v>
      </c>
      <c r="B3027" t="s">
        <v>13</v>
      </c>
      <c r="C3027">
        <v>368</v>
      </c>
      <c r="D3027">
        <v>19</v>
      </c>
      <c r="E3027">
        <v>362.6</v>
      </c>
      <c r="F3027">
        <v>20630</v>
      </c>
      <c r="G3027">
        <v>49062</v>
      </c>
      <c r="H3027">
        <v>4770</v>
      </c>
      <c r="J3027" t="str">
        <f>VLOOKUP(Table3[[#This Row],[Faction ID]],Table4[],2)</f>
        <v>Goblins</v>
      </c>
    </row>
    <row r="3028" spans="1:10" x14ac:dyDescent="0.25">
      <c r="A3028">
        <v>78</v>
      </c>
      <c r="B3028" t="s">
        <v>17</v>
      </c>
      <c r="C3028">
        <v>0</v>
      </c>
      <c r="D3028">
        <v>0</v>
      </c>
      <c r="E3028">
        <v>0</v>
      </c>
      <c r="F3028">
        <v>4872</v>
      </c>
      <c r="G3028">
        <v>1750</v>
      </c>
      <c r="H3028">
        <v>0</v>
      </c>
      <c r="J3028" t="str">
        <f>VLOOKUP(Table3[[#This Row],[Faction ID]],Table4[],2)</f>
        <v>Balchoth</v>
      </c>
    </row>
    <row r="3029" spans="1:10" x14ac:dyDescent="0.25">
      <c r="A3029">
        <v>78</v>
      </c>
      <c r="B3029" t="s">
        <v>18</v>
      </c>
      <c r="C3029">
        <v>229</v>
      </c>
      <c r="D3029">
        <v>33</v>
      </c>
      <c r="E3029">
        <v>446.4</v>
      </c>
      <c r="F3029">
        <v>168266</v>
      </c>
      <c r="G3029">
        <v>42927</v>
      </c>
      <c r="H3029">
        <v>900</v>
      </c>
      <c r="J3029" t="str">
        <f>VLOOKUP(Table3[[#This Row],[Faction ID]],Table4[],2)</f>
        <v>Rhurim/Rhun</v>
      </c>
    </row>
    <row r="3030" spans="1:10" x14ac:dyDescent="0.25">
      <c r="A3030">
        <v>78</v>
      </c>
      <c r="B3030" t="s">
        <v>19</v>
      </c>
      <c r="C3030">
        <v>0</v>
      </c>
      <c r="D3030">
        <v>0</v>
      </c>
      <c r="E3030">
        <v>0</v>
      </c>
      <c r="F3030">
        <v>7360</v>
      </c>
      <c r="G3030">
        <v>1750</v>
      </c>
      <c r="H3030">
        <v>0</v>
      </c>
      <c r="J3030" t="str">
        <f>VLOOKUP(Table3[[#This Row],[Faction ID]],Table4[],2)</f>
        <v>Feredrim</v>
      </c>
    </row>
    <row r="3031" spans="1:10" x14ac:dyDescent="0.25">
      <c r="A3031">
        <v>78</v>
      </c>
      <c r="B3031" t="s">
        <v>26</v>
      </c>
      <c r="C3031">
        <v>0</v>
      </c>
      <c r="D3031">
        <v>0</v>
      </c>
      <c r="E3031">
        <v>0</v>
      </c>
      <c r="F3031">
        <v>6395</v>
      </c>
      <c r="G3031">
        <v>1750</v>
      </c>
      <c r="H3031">
        <v>0</v>
      </c>
      <c r="J3031" t="str">
        <f>VLOOKUP(Table3[[#This Row],[Faction ID]],Table4[],2)</f>
        <v>Rachrohir (Wainriders)</v>
      </c>
    </row>
    <row r="3032" spans="1:10" x14ac:dyDescent="0.25">
      <c r="A3032">
        <v>78</v>
      </c>
      <c r="B3032" t="s">
        <v>27</v>
      </c>
      <c r="C3032">
        <v>1</v>
      </c>
      <c r="D3032">
        <v>1</v>
      </c>
      <c r="E3032">
        <v>42</v>
      </c>
      <c r="F3032">
        <v>52101</v>
      </c>
      <c r="G3032">
        <v>7880</v>
      </c>
      <c r="H3032">
        <v>0</v>
      </c>
      <c r="J3032" t="str">
        <f>VLOOKUP(Table3[[#This Row],[Faction ID]],Table4[],2)</f>
        <v>Blacklock-Stonefoot League</v>
      </c>
    </row>
    <row r="3033" spans="1:10" x14ac:dyDescent="0.25">
      <c r="A3033">
        <v>78</v>
      </c>
      <c r="B3033" t="s">
        <v>28</v>
      </c>
      <c r="C3033">
        <v>4</v>
      </c>
      <c r="D3033">
        <v>2</v>
      </c>
      <c r="E3033">
        <v>40</v>
      </c>
      <c r="F3033">
        <v>50464</v>
      </c>
      <c r="G3033">
        <v>8217</v>
      </c>
      <c r="H3033">
        <v>0</v>
      </c>
      <c r="J3033" t="str">
        <f>VLOOKUP(Table3[[#This Row],[Faction ID]],Table4[],2)</f>
        <v>Ironfist-Stiffbeard Union</v>
      </c>
    </row>
    <row r="3034" spans="1:10" x14ac:dyDescent="0.25">
      <c r="A3034">
        <v>78</v>
      </c>
      <c r="B3034" t="s">
        <v>20</v>
      </c>
      <c r="C3034">
        <v>197</v>
      </c>
      <c r="D3034">
        <v>19</v>
      </c>
      <c r="E3034">
        <v>257.39999999999998</v>
      </c>
      <c r="F3034">
        <v>63552</v>
      </c>
      <c r="G3034">
        <v>37541</v>
      </c>
      <c r="H3034">
        <v>740</v>
      </c>
      <c r="J3034" t="str">
        <f>VLOOKUP(Table3[[#This Row],[Faction ID]],Table4[],2)</f>
        <v>Gundabad</v>
      </c>
    </row>
    <row r="3035" spans="1:10" x14ac:dyDescent="0.25">
      <c r="A3035">
        <v>78</v>
      </c>
      <c r="B3035" t="s">
        <v>34</v>
      </c>
      <c r="C3035">
        <v>0</v>
      </c>
      <c r="D3035">
        <v>0</v>
      </c>
      <c r="E3035">
        <v>3</v>
      </c>
      <c r="F3035">
        <v>90317</v>
      </c>
      <c r="G3035">
        <v>2379</v>
      </c>
      <c r="H3035">
        <v>0</v>
      </c>
      <c r="J3035" t="str">
        <f>VLOOKUP(Table3[[#This Row],[Faction ID]],Table4[],2)</f>
        <v>Scouts of Rohan</v>
      </c>
    </row>
    <row r="3036" spans="1:10" x14ac:dyDescent="0.25">
      <c r="A3036">
        <v>78</v>
      </c>
      <c r="B3036" t="s">
        <v>33</v>
      </c>
      <c r="C3036">
        <v>6</v>
      </c>
      <c r="D3036">
        <v>4</v>
      </c>
      <c r="E3036">
        <v>78</v>
      </c>
      <c r="F3036">
        <v>98304</v>
      </c>
      <c r="G3036">
        <v>15527</v>
      </c>
      <c r="H3036">
        <v>714</v>
      </c>
      <c r="J3036" t="str">
        <f>VLOOKUP(Table3[[#This Row],[Faction ID]],Table4[],2)</f>
        <v>Northern Enedwaith</v>
      </c>
    </row>
    <row r="3037" spans="1:10" x14ac:dyDescent="0.25">
      <c r="A3037">
        <v>78</v>
      </c>
      <c r="B3037" t="s">
        <v>29</v>
      </c>
      <c r="C3037">
        <v>0</v>
      </c>
      <c r="D3037">
        <v>0</v>
      </c>
      <c r="E3037">
        <v>0</v>
      </c>
      <c r="F3037">
        <v>54023</v>
      </c>
      <c r="G3037">
        <v>1750</v>
      </c>
      <c r="H3037">
        <v>0</v>
      </c>
      <c r="J3037" t="str">
        <f>VLOOKUP(Table3[[#This Row],[Faction ID]],Table4[],2)</f>
        <v>Southern Enedwaith</v>
      </c>
    </row>
    <row r="3038" spans="1:10" x14ac:dyDescent="0.25">
      <c r="A3038">
        <v>78</v>
      </c>
      <c r="B3038" t="s">
        <v>30</v>
      </c>
      <c r="C3038">
        <v>0</v>
      </c>
      <c r="D3038">
        <v>0</v>
      </c>
      <c r="E3038">
        <v>0</v>
      </c>
      <c r="F3038">
        <v>32146</v>
      </c>
      <c r="G3038">
        <v>1750</v>
      </c>
      <c r="H3038">
        <v>0</v>
      </c>
      <c r="J3038" t="str">
        <f>VLOOKUP(Table3[[#This Row],[Faction ID]],Table4[],2)</f>
        <v>Druedain</v>
      </c>
    </row>
    <row r="3039" spans="1:10" x14ac:dyDescent="0.25">
      <c r="A3039">
        <v>78</v>
      </c>
      <c r="B3039" t="s">
        <v>31</v>
      </c>
      <c r="C3039">
        <v>0</v>
      </c>
      <c r="D3039">
        <v>0</v>
      </c>
      <c r="E3039">
        <v>0</v>
      </c>
      <c r="F3039">
        <v>15146</v>
      </c>
      <c r="G3039">
        <v>1750</v>
      </c>
      <c r="H3039">
        <v>0</v>
      </c>
      <c r="J3039" t="str">
        <f>VLOOKUP(Table3[[#This Row],[Faction ID]],Table4[],2)</f>
        <v>Harondor</v>
      </c>
    </row>
    <row r="3040" spans="1:10" x14ac:dyDescent="0.25">
      <c r="A3040">
        <v>78</v>
      </c>
      <c r="B3040" t="s">
        <v>35</v>
      </c>
      <c r="C3040">
        <v>0</v>
      </c>
      <c r="D3040">
        <v>0</v>
      </c>
      <c r="E3040">
        <v>0</v>
      </c>
      <c r="F3040">
        <v>4000</v>
      </c>
      <c r="G3040">
        <v>1750</v>
      </c>
      <c r="H3040">
        <v>0</v>
      </c>
      <c r="J3040" t="str">
        <f>VLOOKUP(Table3[[#This Row],[Faction ID]],Table4[],2)</f>
        <v>Southron Nomads</v>
      </c>
    </row>
    <row r="3041" spans="1:10" x14ac:dyDescent="0.25">
      <c r="A3041">
        <v>78</v>
      </c>
      <c r="B3041" t="s">
        <v>36</v>
      </c>
      <c r="C3041">
        <v>0</v>
      </c>
      <c r="D3041">
        <v>0</v>
      </c>
      <c r="E3041">
        <v>0</v>
      </c>
      <c r="F3041">
        <v>4000</v>
      </c>
      <c r="G3041">
        <v>1750</v>
      </c>
      <c r="H3041">
        <v>0</v>
      </c>
      <c r="J3041" t="str">
        <f>VLOOKUP(Table3[[#This Row],[Faction ID]],Table4[],2)</f>
        <v>_</v>
      </c>
    </row>
    <row r="3042" spans="1:10" x14ac:dyDescent="0.25">
      <c r="A3042">
        <v>78</v>
      </c>
      <c r="B3042" t="s">
        <v>37</v>
      </c>
      <c r="C3042">
        <v>0</v>
      </c>
      <c r="D3042">
        <v>0</v>
      </c>
      <c r="E3042">
        <v>0</v>
      </c>
      <c r="F3042">
        <v>4000</v>
      </c>
      <c r="G3042">
        <v>1750</v>
      </c>
      <c r="H3042">
        <v>0</v>
      </c>
      <c r="J3042" t="str">
        <f>VLOOKUP(Table3[[#This Row],[Faction ID]],Table4[],2)</f>
        <v>_</v>
      </c>
    </row>
    <row r="3043" spans="1:10" x14ac:dyDescent="0.25">
      <c r="A3043">
        <v>78</v>
      </c>
      <c r="B3043" t="s">
        <v>38</v>
      </c>
      <c r="C3043">
        <v>0</v>
      </c>
      <c r="D3043">
        <v>0</v>
      </c>
      <c r="E3043">
        <v>0</v>
      </c>
      <c r="F3043">
        <v>4000</v>
      </c>
      <c r="G3043">
        <v>1750</v>
      </c>
      <c r="H3043">
        <v>0</v>
      </c>
      <c r="J3043" t="str">
        <f>VLOOKUP(Table3[[#This Row],[Faction ID]],Table4[],2)</f>
        <v>_</v>
      </c>
    </row>
    <row r="3044" spans="1:10" x14ac:dyDescent="0.25">
      <c r="A3044">
        <v>78</v>
      </c>
      <c r="B3044" t="s">
        <v>39</v>
      </c>
      <c r="C3044">
        <v>0</v>
      </c>
      <c r="D3044">
        <v>0</v>
      </c>
      <c r="E3044">
        <v>0</v>
      </c>
      <c r="F3044">
        <v>4000</v>
      </c>
      <c r="G3044">
        <v>1750</v>
      </c>
      <c r="H3044">
        <v>0</v>
      </c>
      <c r="J3044" t="str">
        <f>VLOOKUP(Table3[[#This Row],[Faction ID]],Table4[],2)</f>
        <v>_</v>
      </c>
    </row>
    <row r="3045" spans="1:10" x14ac:dyDescent="0.25">
      <c r="A3045">
        <v>78</v>
      </c>
      <c r="B3045" t="s">
        <v>40</v>
      </c>
      <c r="C3045">
        <v>0</v>
      </c>
      <c r="D3045">
        <v>0</v>
      </c>
      <c r="E3045">
        <v>0</v>
      </c>
      <c r="F3045">
        <v>4000</v>
      </c>
      <c r="G3045">
        <v>1750</v>
      </c>
      <c r="H3045">
        <v>0</v>
      </c>
      <c r="J3045" t="str">
        <f>VLOOKUP(Table3[[#This Row],[Faction ID]],Table4[],2)</f>
        <v>_</v>
      </c>
    </row>
    <row r="3046" spans="1:10" x14ac:dyDescent="0.25">
      <c r="A3046">
        <v>78</v>
      </c>
      <c r="B3046" t="s">
        <v>41</v>
      </c>
      <c r="C3046">
        <v>0</v>
      </c>
      <c r="D3046">
        <v>0</v>
      </c>
      <c r="E3046">
        <v>0</v>
      </c>
      <c r="F3046">
        <v>4000</v>
      </c>
      <c r="G3046">
        <v>1750</v>
      </c>
      <c r="H3046">
        <v>0</v>
      </c>
      <c r="J3046" t="str">
        <f>VLOOKUP(Table3[[#This Row],[Faction ID]],Table4[],2)</f>
        <v>_</v>
      </c>
    </row>
    <row r="3047" spans="1:10" x14ac:dyDescent="0.25">
      <c r="A3047">
        <v>78</v>
      </c>
      <c r="B3047" t="s">
        <v>42</v>
      </c>
      <c r="C3047">
        <v>0</v>
      </c>
      <c r="D3047">
        <v>0</v>
      </c>
      <c r="E3047">
        <v>0</v>
      </c>
      <c r="F3047">
        <v>4000</v>
      </c>
      <c r="G3047">
        <v>1750</v>
      </c>
      <c r="H3047">
        <v>0</v>
      </c>
      <c r="J3047" t="str">
        <f>VLOOKUP(Table3[[#This Row],[Faction ID]],Table4[],2)</f>
        <v>_</v>
      </c>
    </row>
    <row r="3048" spans="1:10" x14ac:dyDescent="0.25">
      <c r="A3048">
        <v>78</v>
      </c>
      <c r="B3048" t="s">
        <v>43</v>
      </c>
      <c r="C3048">
        <v>0</v>
      </c>
      <c r="D3048">
        <v>0</v>
      </c>
      <c r="E3048">
        <v>0</v>
      </c>
      <c r="F3048">
        <v>4000</v>
      </c>
      <c r="G3048">
        <v>1750</v>
      </c>
      <c r="H3048">
        <v>0</v>
      </c>
      <c r="J3048" t="str">
        <f>VLOOKUP(Table3[[#This Row],[Faction ID]],Table4[],2)</f>
        <v>_</v>
      </c>
    </row>
    <row r="3049" spans="1:10" x14ac:dyDescent="0.25">
      <c r="A3049">
        <v>78</v>
      </c>
      <c r="B3049" t="s">
        <v>44</v>
      </c>
      <c r="C3049">
        <v>0</v>
      </c>
      <c r="D3049">
        <v>0</v>
      </c>
      <c r="E3049">
        <v>0</v>
      </c>
      <c r="F3049">
        <v>4000</v>
      </c>
      <c r="G3049">
        <v>1750</v>
      </c>
      <c r="H3049">
        <v>0</v>
      </c>
      <c r="J3049" t="str">
        <f>VLOOKUP(Table3[[#This Row],[Faction ID]],Table4[],2)</f>
        <v>_</v>
      </c>
    </row>
    <row r="3050" spans="1:10" x14ac:dyDescent="0.25">
      <c r="A3050">
        <v>79</v>
      </c>
      <c r="B3050" t="s">
        <v>9</v>
      </c>
      <c r="C3050">
        <v>288</v>
      </c>
      <c r="D3050">
        <v>26</v>
      </c>
      <c r="E3050">
        <v>263.3</v>
      </c>
      <c r="F3050">
        <v>7205</v>
      </c>
      <c r="G3050">
        <v>32519</v>
      </c>
      <c r="H3050">
        <v>2433</v>
      </c>
      <c r="J3050" t="str">
        <f>VLOOKUP(Table3[[#This Row],[Faction ID]],Table4[],2)</f>
        <v>Mordor</v>
      </c>
    </row>
    <row r="3051" spans="1:10" x14ac:dyDescent="0.25">
      <c r="A3051">
        <v>79</v>
      </c>
      <c r="B3051" t="s">
        <v>4</v>
      </c>
      <c r="C3051">
        <v>146</v>
      </c>
      <c r="D3051">
        <v>0</v>
      </c>
      <c r="E3051">
        <v>0</v>
      </c>
      <c r="F3051">
        <v>55420</v>
      </c>
      <c r="G3051">
        <v>2500</v>
      </c>
      <c r="H3051">
        <v>0</v>
      </c>
      <c r="J3051" t="str">
        <f>VLOOKUP(Table3[[#This Row],[Faction ID]],Table4[],2)</f>
        <v>Gondor</v>
      </c>
    </row>
    <row r="3052" spans="1:10" x14ac:dyDescent="0.25">
      <c r="A3052">
        <v>79</v>
      </c>
      <c r="B3052" t="s">
        <v>6</v>
      </c>
      <c r="C3052">
        <v>181</v>
      </c>
      <c r="D3052">
        <v>1</v>
      </c>
      <c r="E3052">
        <v>28.4</v>
      </c>
      <c r="F3052">
        <v>475</v>
      </c>
      <c r="G3052">
        <v>6398</v>
      </c>
      <c r="H3052">
        <v>0</v>
      </c>
      <c r="J3052" t="str">
        <f>VLOOKUP(Table3[[#This Row],[Faction ID]],Table4[],2)</f>
        <v>Dale</v>
      </c>
    </row>
    <row r="3053" spans="1:10" x14ac:dyDescent="0.25">
      <c r="A3053">
        <v>79</v>
      </c>
      <c r="B3053" t="s">
        <v>21</v>
      </c>
      <c r="C3053">
        <v>200</v>
      </c>
      <c r="D3053">
        <v>0</v>
      </c>
      <c r="E3053">
        <v>0</v>
      </c>
      <c r="F3053">
        <v>10040</v>
      </c>
      <c r="G3053">
        <v>2500</v>
      </c>
      <c r="H3053">
        <v>0</v>
      </c>
      <c r="J3053" t="str">
        <f>VLOOKUP(Table3[[#This Row],[Faction ID]],Table4[],2)</f>
        <v>Erebor</v>
      </c>
    </row>
    <row r="3054" spans="1:10" x14ac:dyDescent="0.25">
      <c r="A3054">
        <v>79</v>
      </c>
      <c r="B3054" t="s">
        <v>5</v>
      </c>
      <c r="C3054">
        <v>157</v>
      </c>
      <c r="D3054">
        <v>0</v>
      </c>
      <c r="E3054">
        <v>0</v>
      </c>
      <c r="F3054">
        <v>6638</v>
      </c>
      <c r="G3054">
        <v>2500</v>
      </c>
      <c r="H3054">
        <v>0</v>
      </c>
      <c r="J3054" t="str">
        <f>VLOOKUP(Table3[[#This Row],[Faction ID]],Table4[],2)</f>
        <v>Rohan</v>
      </c>
    </row>
    <row r="3055" spans="1:10" x14ac:dyDescent="0.25">
      <c r="A3055">
        <v>79</v>
      </c>
      <c r="B3055" t="s">
        <v>12</v>
      </c>
      <c r="C3055">
        <v>213</v>
      </c>
      <c r="D3055">
        <v>14</v>
      </c>
      <c r="E3055">
        <v>230.9</v>
      </c>
      <c r="F3055">
        <v>15588</v>
      </c>
      <c r="G3055">
        <v>31361</v>
      </c>
      <c r="H3055">
        <v>2103</v>
      </c>
      <c r="J3055" t="str">
        <f>VLOOKUP(Table3[[#This Row],[Faction ID]],Table4[],2)</f>
        <v>Dol Guldur</v>
      </c>
    </row>
    <row r="3056" spans="1:10" x14ac:dyDescent="0.25">
      <c r="A3056">
        <v>79</v>
      </c>
      <c r="B3056" t="s">
        <v>10</v>
      </c>
      <c r="C3056">
        <v>58</v>
      </c>
      <c r="D3056">
        <v>0</v>
      </c>
      <c r="E3056">
        <v>0</v>
      </c>
      <c r="F3056">
        <v>4515</v>
      </c>
      <c r="G3056">
        <v>2500</v>
      </c>
      <c r="H3056">
        <v>0</v>
      </c>
      <c r="J3056" t="str">
        <f>VLOOKUP(Table3[[#This Row],[Faction ID]],Table4[],2)</f>
        <v>Anduin Vale</v>
      </c>
    </row>
    <row r="3057" spans="1:10" x14ac:dyDescent="0.25">
      <c r="A3057">
        <v>79</v>
      </c>
      <c r="B3057" t="s">
        <v>32</v>
      </c>
      <c r="C3057">
        <v>242</v>
      </c>
      <c r="D3057">
        <v>8</v>
      </c>
      <c r="E3057">
        <v>193</v>
      </c>
      <c r="F3057">
        <v>38000</v>
      </c>
      <c r="G3057">
        <v>25320</v>
      </c>
      <c r="H3057">
        <v>1275</v>
      </c>
      <c r="J3057" t="str">
        <f>VLOOKUP(Table3[[#This Row],[Faction ID]],Table4[],2)</f>
        <v>Isengard</v>
      </c>
    </row>
    <row r="3058" spans="1:10" x14ac:dyDescent="0.25">
      <c r="A3058">
        <v>79</v>
      </c>
      <c r="B3058" t="s">
        <v>22</v>
      </c>
      <c r="C3058">
        <v>30</v>
      </c>
      <c r="D3058">
        <v>0</v>
      </c>
      <c r="E3058">
        <v>0</v>
      </c>
      <c r="F3058">
        <v>8475</v>
      </c>
      <c r="G3058">
        <v>2500</v>
      </c>
      <c r="H3058">
        <v>0</v>
      </c>
      <c r="J3058" t="str">
        <f>VLOOKUP(Table3[[#This Row],[Faction ID]],Table4[],2)</f>
        <v>Woodland Realm</v>
      </c>
    </row>
    <row r="3059" spans="1:10" x14ac:dyDescent="0.25">
      <c r="A3059">
        <v>79</v>
      </c>
      <c r="B3059" t="s">
        <v>23</v>
      </c>
      <c r="C3059">
        <v>64</v>
      </c>
      <c r="D3059">
        <v>0</v>
      </c>
      <c r="E3059">
        <v>0</v>
      </c>
      <c r="F3059">
        <v>4721</v>
      </c>
      <c r="G3059">
        <v>2500</v>
      </c>
      <c r="H3059">
        <v>0</v>
      </c>
      <c r="J3059" t="str">
        <f>VLOOKUP(Table3[[#This Row],[Faction ID]],Table4[],2)</f>
        <v>Lothlorien</v>
      </c>
    </row>
    <row r="3060" spans="1:10" x14ac:dyDescent="0.25">
      <c r="A3060">
        <v>79</v>
      </c>
      <c r="B3060" t="s">
        <v>24</v>
      </c>
      <c r="C3060">
        <v>0</v>
      </c>
      <c r="D3060">
        <v>0</v>
      </c>
      <c r="E3060">
        <v>0</v>
      </c>
      <c r="F3060">
        <v>4919</v>
      </c>
      <c r="G3060">
        <v>1750</v>
      </c>
      <c r="H3060">
        <v>0</v>
      </c>
      <c r="J3060" t="str">
        <f>VLOOKUP(Table3[[#This Row],[Faction ID]],Table4[],2)</f>
        <v>Variags (Khand)</v>
      </c>
    </row>
    <row r="3061" spans="1:10" x14ac:dyDescent="0.25">
      <c r="A3061">
        <v>79</v>
      </c>
      <c r="B3061" t="s">
        <v>14</v>
      </c>
      <c r="C3061">
        <v>11</v>
      </c>
      <c r="D3061">
        <v>8</v>
      </c>
      <c r="E3061">
        <v>157.80000000000001</v>
      </c>
      <c r="F3061">
        <v>81862</v>
      </c>
      <c r="G3061">
        <v>31388</v>
      </c>
      <c r="H3061">
        <v>2364</v>
      </c>
      <c r="J3061" t="str">
        <f>VLOOKUP(Table3[[#This Row],[Faction ID]],Table4[],2)</f>
        <v>Corsairs of Umbar</v>
      </c>
    </row>
    <row r="3062" spans="1:10" x14ac:dyDescent="0.25">
      <c r="A3062">
        <v>79</v>
      </c>
      <c r="B3062" t="s">
        <v>25</v>
      </c>
      <c r="C3062">
        <v>0</v>
      </c>
      <c r="D3062">
        <v>0</v>
      </c>
      <c r="E3062">
        <v>12.1</v>
      </c>
      <c r="F3062">
        <v>8719</v>
      </c>
      <c r="G3062">
        <v>2991</v>
      </c>
      <c r="H3062">
        <v>0</v>
      </c>
      <c r="J3062" t="str">
        <f>VLOOKUP(Table3[[#This Row],[Faction ID]],Table4[],2)</f>
        <v>Mahud</v>
      </c>
    </row>
    <row r="3063" spans="1:10" x14ac:dyDescent="0.25">
      <c r="A3063">
        <v>79</v>
      </c>
      <c r="B3063" t="s">
        <v>11</v>
      </c>
      <c r="C3063">
        <v>136</v>
      </c>
      <c r="D3063">
        <v>8</v>
      </c>
      <c r="E3063">
        <v>149</v>
      </c>
      <c r="F3063">
        <v>24401</v>
      </c>
      <c r="G3063">
        <v>19628</v>
      </c>
      <c r="H3063">
        <v>557</v>
      </c>
      <c r="J3063" t="str">
        <f>VLOOKUP(Table3[[#This Row],[Faction ID]],Table4[],2)</f>
        <v>Haradrim</v>
      </c>
    </row>
    <row r="3064" spans="1:10" x14ac:dyDescent="0.25">
      <c r="A3064">
        <v>79</v>
      </c>
      <c r="B3064" t="s">
        <v>15</v>
      </c>
      <c r="C3064">
        <v>153</v>
      </c>
      <c r="D3064">
        <v>12</v>
      </c>
      <c r="E3064">
        <v>191</v>
      </c>
      <c r="F3064">
        <v>160378</v>
      </c>
      <c r="G3064">
        <v>30989</v>
      </c>
      <c r="H3064">
        <v>2353</v>
      </c>
      <c r="J3064" t="str">
        <f>VLOOKUP(Table3[[#This Row],[Faction ID]],Table4[],2)</f>
        <v>Dunlendings</v>
      </c>
    </row>
    <row r="3065" spans="1:10" x14ac:dyDescent="0.25">
      <c r="A3065">
        <v>79</v>
      </c>
      <c r="B3065" t="s">
        <v>16</v>
      </c>
      <c r="C3065">
        <v>0</v>
      </c>
      <c r="D3065">
        <v>0</v>
      </c>
      <c r="E3065">
        <v>0</v>
      </c>
      <c r="F3065">
        <v>5352</v>
      </c>
      <c r="G3065">
        <v>1750</v>
      </c>
      <c r="H3065">
        <v>0</v>
      </c>
      <c r="J3065" t="str">
        <f>VLOOKUP(Table3[[#This Row],[Faction ID]],Table4[],2)</f>
        <v>Haerrim</v>
      </c>
    </row>
    <row r="3066" spans="1:10" x14ac:dyDescent="0.25">
      <c r="A3066">
        <v>79</v>
      </c>
      <c r="B3066" t="s">
        <v>13</v>
      </c>
      <c r="C3066">
        <v>368</v>
      </c>
      <c r="D3066">
        <v>19</v>
      </c>
      <c r="E3066">
        <v>365.6</v>
      </c>
      <c r="F3066">
        <v>20904</v>
      </c>
      <c r="G3066">
        <v>49641</v>
      </c>
      <c r="H3066">
        <v>4777</v>
      </c>
      <c r="J3066" t="str">
        <f>VLOOKUP(Table3[[#This Row],[Faction ID]],Table4[],2)</f>
        <v>Goblins</v>
      </c>
    </row>
    <row r="3067" spans="1:10" x14ac:dyDescent="0.25">
      <c r="A3067">
        <v>79</v>
      </c>
      <c r="B3067" t="s">
        <v>17</v>
      </c>
      <c r="C3067">
        <v>0</v>
      </c>
      <c r="D3067">
        <v>0</v>
      </c>
      <c r="E3067">
        <v>0</v>
      </c>
      <c r="F3067">
        <v>4872</v>
      </c>
      <c r="G3067">
        <v>1750</v>
      </c>
      <c r="H3067">
        <v>0</v>
      </c>
      <c r="J3067" t="str">
        <f>VLOOKUP(Table3[[#This Row],[Faction ID]],Table4[],2)</f>
        <v>Balchoth</v>
      </c>
    </row>
    <row r="3068" spans="1:10" x14ac:dyDescent="0.25">
      <c r="A3068">
        <v>79</v>
      </c>
      <c r="B3068" t="s">
        <v>18</v>
      </c>
      <c r="C3068">
        <v>234</v>
      </c>
      <c r="D3068">
        <v>33</v>
      </c>
      <c r="E3068">
        <v>432.1</v>
      </c>
      <c r="F3068">
        <v>163111</v>
      </c>
      <c r="G3068">
        <v>42759</v>
      </c>
      <c r="H3068">
        <v>903</v>
      </c>
      <c r="J3068" t="str">
        <f>VLOOKUP(Table3[[#This Row],[Faction ID]],Table4[],2)</f>
        <v>Rhurim/Rhun</v>
      </c>
    </row>
    <row r="3069" spans="1:10" x14ac:dyDescent="0.25">
      <c r="A3069">
        <v>79</v>
      </c>
      <c r="B3069" t="s">
        <v>19</v>
      </c>
      <c r="C3069">
        <v>0</v>
      </c>
      <c r="D3069">
        <v>0</v>
      </c>
      <c r="E3069">
        <v>0</v>
      </c>
      <c r="F3069">
        <v>7360</v>
      </c>
      <c r="G3069">
        <v>1750</v>
      </c>
      <c r="H3069">
        <v>0</v>
      </c>
      <c r="J3069" t="str">
        <f>VLOOKUP(Table3[[#This Row],[Faction ID]],Table4[],2)</f>
        <v>Feredrim</v>
      </c>
    </row>
    <row r="3070" spans="1:10" x14ac:dyDescent="0.25">
      <c r="A3070">
        <v>79</v>
      </c>
      <c r="B3070" t="s">
        <v>26</v>
      </c>
      <c r="C3070">
        <v>0</v>
      </c>
      <c r="D3070">
        <v>0</v>
      </c>
      <c r="E3070">
        <v>0</v>
      </c>
      <c r="F3070">
        <v>6395</v>
      </c>
      <c r="G3070">
        <v>1750</v>
      </c>
      <c r="H3070">
        <v>0</v>
      </c>
      <c r="J3070" t="str">
        <f>VLOOKUP(Table3[[#This Row],[Faction ID]],Table4[],2)</f>
        <v>Rachrohir (Wainriders)</v>
      </c>
    </row>
    <row r="3071" spans="1:10" x14ac:dyDescent="0.25">
      <c r="A3071">
        <v>79</v>
      </c>
      <c r="B3071" t="s">
        <v>27</v>
      </c>
      <c r="C3071">
        <v>1</v>
      </c>
      <c r="D3071">
        <v>1</v>
      </c>
      <c r="E3071">
        <v>42</v>
      </c>
      <c r="F3071">
        <v>51180</v>
      </c>
      <c r="G3071">
        <v>8156</v>
      </c>
      <c r="H3071">
        <v>0</v>
      </c>
      <c r="J3071" t="str">
        <f>VLOOKUP(Table3[[#This Row],[Faction ID]],Table4[],2)</f>
        <v>Blacklock-Stonefoot League</v>
      </c>
    </row>
    <row r="3072" spans="1:10" x14ac:dyDescent="0.25">
      <c r="A3072">
        <v>79</v>
      </c>
      <c r="B3072" t="s">
        <v>28</v>
      </c>
      <c r="C3072">
        <v>4</v>
      </c>
      <c r="D3072">
        <v>2</v>
      </c>
      <c r="E3072">
        <v>40</v>
      </c>
      <c r="F3072">
        <v>53391</v>
      </c>
      <c r="G3072">
        <v>8583</v>
      </c>
      <c r="H3072">
        <v>0</v>
      </c>
      <c r="J3072" t="str">
        <f>VLOOKUP(Table3[[#This Row],[Faction ID]],Table4[],2)</f>
        <v>Ironfist-Stiffbeard Union</v>
      </c>
    </row>
    <row r="3073" spans="1:10" x14ac:dyDescent="0.25">
      <c r="A3073">
        <v>79</v>
      </c>
      <c r="B3073" t="s">
        <v>20</v>
      </c>
      <c r="C3073">
        <v>197</v>
      </c>
      <c r="D3073">
        <v>19</v>
      </c>
      <c r="E3073">
        <v>285.8</v>
      </c>
      <c r="F3073">
        <v>61441</v>
      </c>
      <c r="G3073">
        <v>38159</v>
      </c>
      <c r="H3073">
        <v>740</v>
      </c>
      <c r="J3073" t="str">
        <f>VLOOKUP(Table3[[#This Row],[Faction ID]],Table4[],2)</f>
        <v>Gundabad</v>
      </c>
    </row>
    <row r="3074" spans="1:10" x14ac:dyDescent="0.25">
      <c r="A3074">
        <v>79</v>
      </c>
      <c r="B3074" t="s">
        <v>34</v>
      </c>
      <c r="C3074">
        <v>0</v>
      </c>
      <c r="D3074">
        <v>0</v>
      </c>
      <c r="E3074">
        <v>3</v>
      </c>
      <c r="F3074">
        <v>91438</v>
      </c>
      <c r="G3074">
        <v>2379</v>
      </c>
      <c r="H3074">
        <v>0</v>
      </c>
      <c r="J3074" t="str">
        <f>VLOOKUP(Table3[[#This Row],[Faction ID]],Table4[],2)</f>
        <v>Scouts of Rohan</v>
      </c>
    </row>
    <row r="3075" spans="1:10" x14ac:dyDescent="0.25">
      <c r="A3075">
        <v>79</v>
      </c>
      <c r="B3075" t="s">
        <v>33</v>
      </c>
      <c r="C3075">
        <v>6</v>
      </c>
      <c r="D3075">
        <v>4</v>
      </c>
      <c r="E3075">
        <v>78</v>
      </c>
      <c r="F3075">
        <v>99907</v>
      </c>
      <c r="G3075">
        <v>15669</v>
      </c>
      <c r="H3075">
        <v>715</v>
      </c>
      <c r="J3075" t="str">
        <f>VLOOKUP(Table3[[#This Row],[Faction ID]],Table4[],2)</f>
        <v>Northern Enedwaith</v>
      </c>
    </row>
    <row r="3076" spans="1:10" x14ac:dyDescent="0.25">
      <c r="A3076">
        <v>79</v>
      </c>
      <c r="B3076" t="s">
        <v>29</v>
      </c>
      <c r="C3076">
        <v>0</v>
      </c>
      <c r="D3076">
        <v>0</v>
      </c>
      <c r="E3076">
        <v>0</v>
      </c>
      <c r="F3076">
        <v>54023</v>
      </c>
      <c r="G3076">
        <v>1750</v>
      </c>
      <c r="H3076">
        <v>0</v>
      </c>
      <c r="J3076" t="str">
        <f>VLOOKUP(Table3[[#This Row],[Faction ID]],Table4[],2)</f>
        <v>Southern Enedwaith</v>
      </c>
    </row>
    <row r="3077" spans="1:10" x14ac:dyDescent="0.25">
      <c r="A3077">
        <v>79</v>
      </c>
      <c r="B3077" t="s">
        <v>30</v>
      </c>
      <c r="C3077">
        <v>0</v>
      </c>
      <c r="D3077">
        <v>0</v>
      </c>
      <c r="E3077">
        <v>0</v>
      </c>
      <c r="F3077">
        <v>32146</v>
      </c>
      <c r="G3077">
        <v>1750</v>
      </c>
      <c r="H3077">
        <v>0</v>
      </c>
      <c r="J3077" t="str">
        <f>VLOOKUP(Table3[[#This Row],[Faction ID]],Table4[],2)</f>
        <v>Druedain</v>
      </c>
    </row>
    <row r="3078" spans="1:10" x14ac:dyDescent="0.25">
      <c r="A3078">
        <v>79</v>
      </c>
      <c r="B3078" t="s">
        <v>31</v>
      </c>
      <c r="C3078">
        <v>0</v>
      </c>
      <c r="D3078">
        <v>0</v>
      </c>
      <c r="E3078">
        <v>0</v>
      </c>
      <c r="F3078">
        <v>15146</v>
      </c>
      <c r="G3078">
        <v>1750</v>
      </c>
      <c r="H3078">
        <v>0</v>
      </c>
      <c r="J3078" t="str">
        <f>VLOOKUP(Table3[[#This Row],[Faction ID]],Table4[],2)</f>
        <v>Harondor</v>
      </c>
    </row>
    <row r="3079" spans="1:10" x14ac:dyDescent="0.25">
      <c r="A3079">
        <v>79</v>
      </c>
      <c r="B3079" t="s">
        <v>35</v>
      </c>
      <c r="C3079">
        <v>0</v>
      </c>
      <c r="D3079">
        <v>0</v>
      </c>
      <c r="E3079">
        <v>0</v>
      </c>
      <c r="F3079">
        <v>4000</v>
      </c>
      <c r="G3079">
        <v>1750</v>
      </c>
      <c r="H3079">
        <v>0</v>
      </c>
      <c r="J3079" t="str">
        <f>VLOOKUP(Table3[[#This Row],[Faction ID]],Table4[],2)</f>
        <v>Southron Nomads</v>
      </c>
    </row>
    <row r="3080" spans="1:10" x14ac:dyDescent="0.25">
      <c r="A3080">
        <v>79</v>
      </c>
      <c r="B3080" t="s">
        <v>36</v>
      </c>
      <c r="C3080">
        <v>0</v>
      </c>
      <c r="D3080">
        <v>0</v>
      </c>
      <c r="E3080">
        <v>0</v>
      </c>
      <c r="F3080">
        <v>4000</v>
      </c>
      <c r="G3080">
        <v>1750</v>
      </c>
      <c r="H3080">
        <v>0</v>
      </c>
      <c r="J3080" t="str">
        <f>VLOOKUP(Table3[[#This Row],[Faction ID]],Table4[],2)</f>
        <v>_</v>
      </c>
    </row>
    <row r="3081" spans="1:10" x14ac:dyDescent="0.25">
      <c r="A3081">
        <v>79</v>
      </c>
      <c r="B3081" t="s">
        <v>37</v>
      </c>
      <c r="C3081">
        <v>0</v>
      </c>
      <c r="D3081">
        <v>0</v>
      </c>
      <c r="E3081">
        <v>0</v>
      </c>
      <c r="F3081">
        <v>4000</v>
      </c>
      <c r="G3081">
        <v>1750</v>
      </c>
      <c r="H3081">
        <v>0</v>
      </c>
      <c r="J3081" t="str">
        <f>VLOOKUP(Table3[[#This Row],[Faction ID]],Table4[],2)</f>
        <v>_</v>
      </c>
    </row>
    <row r="3082" spans="1:10" x14ac:dyDescent="0.25">
      <c r="A3082">
        <v>79</v>
      </c>
      <c r="B3082" t="s">
        <v>38</v>
      </c>
      <c r="C3082">
        <v>0</v>
      </c>
      <c r="D3082">
        <v>0</v>
      </c>
      <c r="E3082">
        <v>0</v>
      </c>
      <c r="F3082">
        <v>4000</v>
      </c>
      <c r="G3082">
        <v>1750</v>
      </c>
      <c r="H3082">
        <v>0</v>
      </c>
      <c r="J3082" t="str">
        <f>VLOOKUP(Table3[[#This Row],[Faction ID]],Table4[],2)</f>
        <v>_</v>
      </c>
    </row>
    <row r="3083" spans="1:10" x14ac:dyDescent="0.25">
      <c r="A3083">
        <v>79</v>
      </c>
      <c r="B3083" t="s">
        <v>39</v>
      </c>
      <c r="C3083">
        <v>0</v>
      </c>
      <c r="D3083">
        <v>0</v>
      </c>
      <c r="E3083">
        <v>0</v>
      </c>
      <c r="F3083">
        <v>4000</v>
      </c>
      <c r="G3083">
        <v>1750</v>
      </c>
      <c r="H3083">
        <v>0</v>
      </c>
      <c r="J3083" t="str">
        <f>VLOOKUP(Table3[[#This Row],[Faction ID]],Table4[],2)</f>
        <v>_</v>
      </c>
    </row>
    <row r="3084" spans="1:10" x14ac:dyDescent="0.25">
      <c r="A3084">
        <v>79</v>
      </c>
      <c r="B3084" t="s">
        <v>40</v>
      </c>
      <c r="C3084">
        <v>0</v>
      </c>
      <c r="D3084">
        <v>0</v>
      </c>
      <c r="E3084">
        <v>0</v>
      </c>
      <c r="F3084">
        <v>4000</v>
      </c>
      <c r="G3084">
        <v>1750</v>
      </c>
      <c r="H3084">
        <v>0</v>
      </c>
      <c r="J3084" t="str">
        <f>VLOOKUP(Table3[[#This Row],[Faction ID]],Table4[],2)</f>
        <v>_</v>
      </c>
    </row>
    <row r="3085" spans="1:10" x14ac:dyDescent="0.25">
      <c r="A3085">
        <v>79</v>
      </c>
      <c r="B3085" t="s">
        <v>41</v>
      </c>
      <c r="C3085">
        <v>0</v>
      </c>
      <c r="D3085">
        <v>0</v>
      </c>
      <c r="E3085">
        <v>0</v>
      </c>
      <c r="F3085">
        <v>4000</v>
      </c>
      <c r="G3085">
        <v>1750</v>
      </c>
      <c r="H3085">
        <v>0</v>
      </c>
      <c r="J3085" t="str">
        <f>VLOOKUP(Table3[[#This Row],[Faction ID]],Table4[],2)</f>
        <v>_</v>
      </c>
    </row>
    <row r="3086" spans="1:10" x14ac:dyDescent="0.25">
      <c r="A3086">
        <v>79</v>
      </c>
      <c r="B3086" t="s">
        <v>42</v>
      </c>
      <c r="C3086">
        <v>0</v>
      </c>
      <c r="D3086">
        <v>0</v>
      </c>
      <c r="E3086">
        <v>0</v>
      </c>
      <c r="F3086">
        <v>4000</v>
      </c>
      <c r="G3086">
        <v>1750</v>
      </c>
      <c r="H3086">
        <v>0</v>
      </c>
      <c r="J3086" t="str">
        <f>VLOOKUP(Table3[[#This Row],[Faction ID]],Table4[],2)</f>
        <v>_</v>
      </c>
    </row>
    <row r="3087" spans="1:10" x14ac:dyDescent="0.25">
      <c r="A3087">
        <v>79</v>
      </c>
      <c r="B3087" t="s">
        <v>43</v>
      </c>
      <c r="C3087">
        <v>0</v>
      </c>
      <c r="D3087">
        <v>0</v>
      </c>
      <c r="E3087">
        <v>0</v>
      </c>
      <c r="F3087">
        <v>4000</v>
      </c>
      <c r="G3087">
        <v>1750</v>
      </c>
      <c r="H3087">
        <v>0</v>
      </c>
      <c r="J3087" t="str">
        <f>VLOOKUP(Table3[[#This Row],[Faction ID]],Table4[],2)</f>
        <v>_</v>
      </c>
    </row>
    <row r="3088" spans="1:10" x14ac:dyDescent="0.25">
      <c r="A3088">
        <v>79</v>
      </c>
      <c r="B3088" t="s">
        <v>44</v>
      </c>
      <c r="C3088">
        <v>0</v>
      </c>
      <c r="D3088">
        <v>0</v>
      </c>
      <c r="E3088">
        <v>0</v>
      </c>
      <c r="F3088">
        <v>4000</v>
      </c>
      <c r="G3088">
        <v>1750</v>
      </c>
      <c r="H3088">
        <v>0</v>
      </c>
      <c r="J3088" t="str">
        <f>VLOOKUP(Table3[[#This Row],[Faction ID]],Table4[],2)</f>
        <v>_</v>
      </c>
    </row>
    <row r="3089" spans="1:10" x14ac:dyDescent="0.25">
      <c r="A3089">
        <v>80</v>
      </c>
      <c r="B3089" t="s">
        <v>9</v>
      </c>
      <c r="C3089">
        <v>288</v>
      </c>
      <c r="D3089">
        <v>26</v>
      </c>
      <c r="E3089">
        <v>263.3</v>
      </c>
      <c r="F3089">
        <v>12222</v>
      </c>
      <c r="G3089">
        <v>32271</v>
      </c>
      <c r="H3089">
        <v>2438</v>
      </c>
      <c r="J3089" t="str">
        <f>VLOOKUP(Table3[[#This Row],[Faction ID]],Table4[],2)</f>
        <v>Mordor</v>
      </c>
    </row>
    <row r="3090" spans="1:10" x14ac:dyDescent="0.25">
      <c r="A3090">
        <v>80</v>
      </c>
      <c r="B3090" t="s">
        <v>4</v>
      </c>
      <c r="C3090">
        <v>146</v>
      </c>
      <c r="D3090">
        <v>0</v>
      </c>
      <c r="E3090">
        <v>0</v>
      </c>
      <c r="F3090">
        <v>55420</v>
      </c>
      <c r="G3090">
        <v>2500</v>
      </c>
      <c r="H3090">
        <v>0</v>
      </c>
      <c r="J3090" t="str">
        <f>VLOOKUP(Table3[[#This Row],[Faction ID]],Table4[],2)</f>
        <v>Gondor</v>
      </c>
    </row>
    <row r="3091" spans="1:10" x14ac:dyDescent="0.25">
      <c r="A3091">
        <v>80</v>
      </c>
      <c r="B3091" t="s">
        <v>6</v>
      </c>
      <c r="C3091">
        <v>181</v>
      </c>
      <c r="D3091">
        <v>1</v>
      </c>
      <c r="E3091">
        <v>19.399999999999999</v>
      </c>
      <c r="F3091">
        <v>278</v>
      </c>
      <c r="G3091">
        <v>5901</v>
      </c>
      <c r="H3091">
        <v>0</v>
      </c>
      <c r="J3091" t="str">
        <f>VLOOKUP(Table3[[#This Row],[Faction ID]],Table4[],2)</f>
        <v>Dale</v>
      </c>
    </row>
    <row r="3092" spans="1:10" x14ac:dyDescent="0.25">
      <c r="A3092">
        <v>80</v>
      </c>
      <c r="B3092" t="s">
        <v>21</v>
      </c>
      <c r="C3092">
        <v>200</v>
      </c>
      <c r="D3092">
        <v>0</v>
      </c>
      <c r="E3092">
        <v>0</v>
      </c>
      <c r="F3092">
        <v>10040</v>
      </c>
      <c r="G3092">
        <v>2500</v>
      </c>
      <c r="H3092">
        <v>0</v>
      </c>
      <c r="J3092" t="str">
        <f>VLOOKUP(Table3[[#This Row],[Faction ID]],Table4[],2)</f>
        <v>Erebor</v>
      </c>
    </row>
    <row r="3093" spans="1:10" x14ac:dyDescent="0.25">
      <c r="A3093">
        <v>80</v>
      </c>
      <c r="B3093" t="s">
        <v>5</v>
      </c>
      <c r="C3093">
        <v>157</v>
      </c>
      <c r="D3093">
        <v>0</v>
      </c>
      <c r="E3093">
        <v>0</v>
      </c>
      <c r="F3093">
        <v>6638</v>
      </c>
      <c r="G3093">
        <v>2500</v>
      </c>
      <c r="H3093">
        <v>0</v>
      </c>
      <c r="J3093" t="str">
        <f>VLOOKUP(Table3[[#This Row],[Faction ID]],Table4[],2)</f>
        <v>Rohan</v>
      </c>
    </row>
    <row r="3094" spans="1:10" x14ac:dyDescent="0.25">
      <c r="A3094">
        <v>80</v>
      </c>
      <c r="B3094" t="s">
        <v>12</v>
      </c>
      <c r="C3094">
        <v>214</v>
      </c>
      <c r="D3094">
        <v>15</v>
      </c>
      <c r="E3094">
        <v>224.9</v>
      </c>
      <c r="F3094">
        <v>14081</v>
      </c>
      <c r="G3094">
        <v>32574</v>
      </c>
      <c r="H3094">
        <v>2205</v>
      </c>
      <c r="J3094" t="str">
        <f>VLOOKUP(Table3[[#This Row],[Faction ID]],Table4[],2)</f>
        <v>Dol Guldur</v>
      </c>
    </row>
    <row r="3095" spans="1:10" x14ac:dyDescent="0.25">
      <c r="A3095">
        <v>80</v>
      </c>
      <c r="B3095" t="s">
        <v>10</v>
      </c>
      <c r="C3095">
        <v>58</v>
      </c>
      <c r="D3095">
        <v>0</v>
      </c>
      <c r="E3095">
        <v>0</v>
      </c>
      <c r="F3095">
        <v>4515</v>
      </c>
      <c r="G3095">
        <v>2500</v>
      </c>
      <c r="H3095">
        <v>0</v>
      </c>
      <c r="J3095" t="str">
        <f>VLOOKUP(Table3[[#This Row],[Faction ID]],Table4[],2)</f>
        <v>Anduin Vale</v>
      </c>
    </row>
    <row r="3096" spans="1:10" x14ac:dyDescent="0.25">
      <c r="A3096">
        <v>80</v>
      </c>
      <c r="B3096" t="s">
        <v>32</v>
      </c>
      <c r="C3096">
        <v>242</v>
      </c>
      <c r="D3096">
        <v>8</v>
      </c>
      <c r="E3096">
        <v>194</v>
      </c>
      <c r="F3096">
        <v>39553</v>
      </c>
      <c r="G3096">
        <v>25334</v>
      </c>
      <c r="H3096">
        <v>1275</v>
      </c>
      <c r="J3096" t="str">
        <f>VLOOKUP(Table3[[#This Row],[Faction ID]],Table4[],2)</f>
        <v>Isengard</v>
      </c>
    </row>
    <row r="3097" spans="1:10" x14ac:dyDescent="0.25">
      <c r="A3097">
        <v>80</v>
      </c>
      <c r="B3097" t="s">
        <v>22</v>
      </c>
      <c r="C3097">
        <v>30</v>
      </c>
      <c r="D3097">
        <v>0</v>
      </c>
      <c r="E3097">
        <v>0</v>
      </c>
      <c r="F3097">
        <v>8475</v>
      </c>
      <c r="G3097">
        <v>2500</v>
      </c>
      <c r="H3097">
        <v>0</v>
      </c>
      <c r="J3097" t="str">
        <f>VLOOKUP(Table3[[#This Row],[Faction ID]],Table4[],2)</f>
        <v>Woodland Realm</v>
      </c>
    </row>
    <row r="3098" spans="1:10" x14ac:dyDescent="0.25">
      <c r="A3098">
        <v>80</v>
      </c>
      <c r="B3098" t="s">
        <v>23</v>
      </c>
      <c r="C3098">
        <v>64</v>
      </c>
      <c r="D3098">
        <v>0</v>
      </c>
      <c r="E3098">
        <v>0</v>
      </c>
      <c r="F3098">
        <v>4721</v>
      </c>
      <c r="G3098">
        <v>2500</v>
      </c>
      <c r="H3098">
        <v>0</v>
      </c>
      <c r="J3098" t="str">
        <f>VLOOKUP(Table3[[#This Row],[Faction ID]],Table4[],2)</f>
        <v>Lothlorien</v>
      </c>
    </row>
    <row r="3099" spans="1:10" x14ac:dyDescent="0.25">
      <c r="A3099">
        <v>80</v>
      </c>
      <c r="B3099" t="s">
        <v>24</v>
      </c>
      <c r="C3099">
        <v>0</v>
      </c>
      <c r="D3099">
        <v>0</v>
      </c>
      <c r="E3099">
        <v>0</v>
      </c>
      <c r="F3099">
        <v>4919</v>
      </c>
      <c r="G3099">
        <v>1750</v>
      </c>
      <c r="H3099">
        <v>0</v>
      </c>
      <c r="J3099" t="str">
        <f>VLOOKUP(Table3[[#This Row],[Faction ID]],Table4[],2)</f>
        <v>Variags (Khand)</v>
      </c>
    </row>
    <row r="3100" spans="1:10" x14ac:dyDescent="0.25">
      <c r="A3100">
        <v>80</v>
      </c>
      <c r="B3100" t="s">
        <v>14</v>
      </c>
      <c r="C3100">
        <v>11</v>
      </c>
      <c r="D3100">
        <v>8</v>
      </c>
      <c r="E3100">
        <v>161</v>
      </c>
      <c r="F3100">
        <v>85301</v>
      </c>
      <c r="G3100">
        <v>31749</v>
      </c>
      <c r="H3100">
        <v>2370</v>
      </c>
      <c r="J3100" t="str">
        <f>VLOOKUP(Table3[[#This Row],[Faction ID]],Table4[],2)</f>
        <v>Corsairs of Umbar</v>
      </c>
    </row>
    <row r="3101" spans="1:10" x14ac:dyDescent="0.25">
      <c r="A3101">
        <v>80</v>
      </c>
      <c r="B3101" t="s">
        <v>25</v>
      </c>
      <c r="C3101">
        <v>0</v>
      </c>
      <c r="D3101">
        <v>0</v>
      </c>
      <c r="E3101">
        <v>12.1</v>
      </c>
      <c r="F3101">
        <v>9228</v>
      </c>
      <c r="G3101">
        <v>2991</v>
      </c>
      <c r="H3101">
        <v>0</v>
      </c>
      <c r="J3101" t="str">
        <f>VLOOKUP(Table3[[#This Row],[Faction ID]],Table4[],2)</f>
        <v>Mahud</v>
      </c>
    </row>
    <row r="3102" spans="1:10" x14ac:dyDescent="0.25">
      <c r="A3102">
        <v>80</v>
      </c>
      <c r="B3102" t="s">
        <v>11</v>
      </c>
      <c r="C3102">
        <v>136</v>
      </c>
      <c r="D3102">
        <v>8</v>
      </c>
      <c r="E3102">
        <v>149</v>
      </c>
      <c r="F3102">
        <v>24376</v>
      </c>
      <c r="G3102">
        <v>19582</v>
      </c>
      <c r="H3102">
        <v>557</v>
      </c>
      <c r="J3102" t="str">
        <f>VLOOKUP(Table3[[#This Row],[Faction ID]],Table4[],2)</f>
        <v>Haradrim</v>
      </c>
    </row>
    <row r="3103" spans="1:10" x14ac:dyDescent="0.25">
      <c r="A3103">
        <v>80</v>
      </c>
      <c r="B3103" t="s">
        <v>15</v>
      </c>
      <c r="C3103">
        <v>153</v>
      </c>
      <c r="D3103">
        <v>12</v>
      </c>
      <c r="E3103">
        <v>191</v>
      </c>
      <c r="F3103">
        <v>170939</v>
      </c>
      <c r="G3103">
        <v>31061</v>
      </c>
      <c r="H3103">
        <v>2358</v>
      </c>
      <c r="J3103" t="str">
        <f>VLOOKUP(Table3[[#This Row],[Faction ID]],Table4[],2)</f>
        <v>Dunlendings</v>
      </c>
    </row>
    <row r="3104" spans="1:10" x14ac:dyDescent="0.25">
      <c r="A3104">
        <v>80</v>
      </c>
      <c r="B3104" t="s">
        <v>16</v>
      </c>
      <c r="C3104">
        <v>0</v>
      </c>
      <c r="D3104">
        <v>0</v>
      </c>
      <c r="E3104">
        <v>0</v>
      </c>
      <c r="F3104">
        <v>5352</v>
      </c>
      <c r="G3104">
        <v>1750</v>
      </c>
      <c r="H3104">
        <v>0</v>
      </c>
      <c r="J3104" t="str">
        <f>VLOOKUP(Table3[[#This Row],[Faction ID]],Table4[],2)</f>
        <v>Haerrim</v>
      </c>
    </row>
    <row r="3105" spans="1:10" x14ac:dyDescent="0.25">
      <c r="A3105">
        <v>80</v>
      </c>
      <c r="B3105" t="s">
        <v>13</v>
      </c>
      <c r="C3105">
        <v>368</v>
      </c>
      <c r="D3105">
        <v>19</v>
      </c>
      <c r="E3105">
        <v>366.79999999999899</v>
      </c>
      <c r="F3105">
        <v>25373</v>
      </c>
      <c r="G3105">
        <v>50521</v>
      </c>
      <c r="H3105">
        <v>5176</v>
      </c>
      <c r="J3105" t="str">
        <f>VLOOKUP(Table3[[#This Row],[Faction ID]],Table4[],2)</f>
        <v>Goblins</v>
      </c>
    </row>
    <row r="3106" spans="1:10" x14ac:dyDescent="0.25">
      <c r="A3106">
        <v>80</v>
      </c>
      <c r="B3106" t="s">
        <v>17</v>
      </c>
      <c r="C3106">
        <v>0</v>
      </c>
      <c r="D3106">
        <v>0</v>
      </c>
      <c r="E3106">
        <v>0</v>
      </c>
      <c r="F3106">
        <v>4872</v>
      </c>
      <c r="G3106">
        <v>1750</v>
      </c>
      <c r="H3106">
        <v>0</v>
      </c>
      <c r="J3106" t="str">
        <f>VLOOKUP(Table3[[#This Row],[Faction ID]],Table4[],2)</f>
        <v>Balchoth</v>
      </c>
    </row>
    <row r="3107" spans="1:10" x14ac:dyDescent="0.25">
      <c r="A3107">
        <v>80</v>
      </c>
      <c r="B3107" t="s">
        <v>18</v>
      </c>
      <c r="C3107">
        <v>242</v>
      </c>
      <c r="D3107">
        <v>33</v>
      </c>
      <c r="E3107">
        <v>449.4</v>
      </c>
      <c r="F3107">
        <v>157662</v>
      </c>
      <c r="G3107">
        <v>43016</v>
      </c>
      <c r="H3107">
        <v>933</v>
      </c>
      <c r="J3107" t="str">
        <f>VLOOKUP(Table3[[#This Row],[Faction ID]],Table4[],2)</f>
        <v>Rhurim/Rhun</v>
      </c>
    </row>
    <row r="3108" spans="1:10" x14ac:dyDescent="0.25">
      <c r="A3108">
        <v>80</v>
      </c>
      <c r="B3108" t="s">
        <v>19</v>
      </c>
      <c r="C3108">
        <v>0</v>
      </c>
      <c r="D3108">
        <v>0</v>
      </c>
      <c r="E3108">
        <v>0</v>
      </c>
      <c r="F3108">
        <v>7360</v>
      </c>
      <c r="G3108">
        <v>1750</v>
      </c>
      <c r="H3108">
        <v>0</v>
      </c>
      <c r="J3108" t="str">
        <f>VLOOKUP(Table3[[#This Row],[Faction ID]],Table4[],2)</f>
        <v>Feredrim</v>
      </c>
    </row>
    <row r="3109" spans="1:10" x14ac:dyDescent="0.25">
      <c r="A3109">
        <v>80</v>
      </c>
      <c r="B3109" t="s">
        <v>26</v>
      </c>
      <c r="C3109">
        <v>0</v>
      </c>
      <c r="D3109">
        <v>0</v>
      </c>
      <c r="E3109">
        <v>0</v>
      </c>
      <c r="F3109">
        <v>6395</v>
      </c>
      <c r="G3109">
        <v>1750</v>
      </c>
      <c r="H3109">
        <v>0</v>
      </c>
      <c r="J3109" t="str">
        <f>VLOOKUP(Table3[[#This Row],[Faction ID]],Table4[],2)</f>
        <v>Rachrohir (Wainriders)</v>
      </c>
    </row>
    <row r="3110" spans="1:10" x14ac:dyDescent="0.25">
      <c r="A3110">
        <v>80</v>
      </c>
      <c r="B3110" t="s">
        <v>27</v>
      </c>
      <c r="C3110">
        <v>1</v>
      </c>
      <c r="D3110">
        <v>1</v>
      </c>
      <c r="E3110">
        <v>41</v>
      </c>
      <c r="F3110">
        <v>47370</v>
      </c>
      <c r="G3110">
        <v>8052</v>
      </c>
      <c r="H3110">
        <v>0</v>
      </c>
      <c r="J3110" t="str">
        <f>VLOOKUP(Table3[[#This Row],[Faction ID]],Table4[],2)</f>
        <v>Blacklock-Stonefoot League</v>
      </c>
    </row>
    <row r="3111" spans="1:10" x14ac:dyDescent="0.25">
      <c r="A3111">
        <v>80</v>
      </c>
      <c r="B3111" t="s">
        <v>28</v>
      </c>
      <c r="C3111">
        <v>4</v>
      </c>
      <c r="D3111">
        <v>2</v>
      </c>
      <c r="E3111">
        <v>40</v>
      </c>
      <c r="F3111">
        <v>56318</v>
      </c>
      <c r="G3111">
        <v>8583</v>
      </c>
      <c r="H3111">
        <v>0</v>
      </c>
      <c r="J3111" t="str">
        <f>VLOOKUP(Table3[[#This Row],[Faction ID]],Table4[],2)</f>
        <v>Ironfist-Stiffbeard Union</v>
      </c>
    </row>
    <row r="3112" spans="1:10" x14ac:dyDescent="0.25">
      <c r="A3112">
        <v>80</v>
      </c>
      <c r="B3112" t="s">
        <v>20</v>
      </c>
      <c r="C3112">
        <v>200</v>
      </c>
      <c r="D3112">
        <v>18</v>
      </c>
      <c r="E3112">
        <v>302</v>
      </c>
      <c r="F3112">
        <v>56756</v>
      </c>
      <c r="G3112">
        <v>38798</v>
      </c>
      <c r="H3112">
        <v>702</v>
      </c>
      <c r="J3112" t="str">
        <f>VLOOKUP(Table3[[#This Row],[Faction ID]],Table4[],2)</f>
        <v>Gundabad</v>
      </c>
    </row>
    <row r="3113" spans="1:10" x14ac:dyDescent="0.25">
      <c r="A3113">
        <v>80</v>
      </c>
      <c r="B3113" t="s">
        <v>34</v>
      </c>
      <c r="C3113">
        <v>0</v>
      </c>
      <c r="D3113">
        <v>0</v>
      </c>
      <c r="E3113">
        <v>3</v>
      </c>
      <c r="F3113">
        <v>92559</v>
      </c>
      <c r="G3113">
        <v>2379</v>
      </c>
      <c r="H3113">
        <v>0</v>
      </c>
      <c r="J3113" t="str">
        <f>VLOOKUP(Table3[[#This Row],[Faction ID]],Table4[],2)</f>
        <v>Scouts of Rohan</v>
      </c>
    </row>
    <row r="3114" spans="1:10" x14ac:dyDescent="0.25">
      <c r="A3114">
        <v>80</v>
      </c>
      <c r="B3114" t="s">
        <v>33</v>
      </c>
      <c r="C3114">
        <v>6</v>
      </c>
      <c r="D3114">
        <v>4</v>
      </c>
      <c r="E3114">
        <v>79</v>
      </c>
      <c r="F3114">
        <v>101935</v>
      </c>
      <c r="G3114">
        <v>15767</v>
      </c>
      <c r="H3114">
        <v>717</v>
      </c>
      <c r="J3114" t="str">
        <f>VLOOKUP(Table3[[#This Row],[Faction ID]],Table4[],2)</f>
        <v>Northern Enedwaith</v>
      </c>
    </row>
    <row r="3115" spans="1:10" x14ac:dyDescent="0.25">
      <c r="A3115">
        <v>80</v>
      </c>
      <c r="B3115" t="s">
        <v>29</v>
      </c>
      <c r="C3115">
        <v>0</v>
      </c>
      <c r="D3115">
        <v>0</v>
      </c>
      <c r="E3115">
        <v>0</v>
      </c>
      <c r="F3115">
        <v>54023</v>
      </c>
      <c r="G3115">
        <v>1750</v>
      </c>
      <c r="H3115">
        <v>0</v>
      </c>
      <c r="J3115" t="str">
        <f>VLOOKUP(Table3[[#This Row],[Faction ID]],Table4[],2)</f>
        <v>Southern Enedwaith</v>
      </c>
    </row>
    <row r="3116" spans="1:10" x14ac:dyDescent="0.25">
      <c r="A3116">
        <v>80</v>
      </c>
      <c r="B3116" t="s">
        <v>30</v>
      </c>
      <c r="C3116">
        <v>0</v>
      </c>
      <c r="D3116">
        <v>0</v>
      </c>
      <c r="E3116">
        <v>0</v>
      </c>
      <c r="F3116">
        <v>32146</v>
      </c>
      <c r="G3116">
        <v>1750</v>
      </c>
      <c r="H3116">
        <v>0</v>
      </c>
      <c r="J3116" t="str">
        <f>VLOOKUP(Table3[[#This Row],[Faction ID]],Table4[],2)</f>
        <v>Druedain</v>
      </c>
    </row>
    <row r="3117" spans="1:10" x14ac:dyDescent="0.25">
      <c r="A3117">
        <v>80</v>
      </c>
      <c r="B3117" t="s">
        <v>31</v>
      </c>
      <c r="C3117">
        <v>0</v>
      </c>
      <c r="D3117">
        <v>0</v>
      </c>
      <c r="E3117">
        <v>0</v>
      </c>
      <c r="F3117">
        <v>15146</v>
      </c>
      <c r="G3117">
        <v>1750</v>
      </c>
      <c r="H3117">
        <v>0</v>
      </c>
      <c r="J3117" t="str">
        <f>VLOOKUP(Table3[[#This Row],[Faction ID]],Table4[],2)</f>
        <v>Harondor</v>
      </c>
    </row>
    <row r="3118" spans="1:10" x14ac:dyDescent="0.25">
      <c r="A3118">
        <v>80</v>
      </c>
      <c r="B3118" t="s">
        <v>35</v>
      </c>
      <c r="C3118">
        <v>0</v>
      </c>
      <c r="D3118">
        <v>0</v>
      </c>
      <c r="E3118">
        <v>0</v>
      </c>
      <c r="F3118">
        <v>4000</v>
      </c>
      <c r="G3118">
        <v>1750</v>
      </c>
      <c r="H3118">
        <v>0</v>
      </c>
      <c r="J3118" t="str">
        <f>VLOOKUP(Table3[[#This Row],[Faction ID]],Table4[],2)</f>
        <v>Southron Nomads</v>
      </c>
    </row>
    <row r="3119" spans="1:10" x14ac:dyDescent="0.25">
      <c r="A3119">
        <v>80</v>
      </c>
      <c r="B3119" t="s">
        <v>36</v>
      </c>
      <c r="C3119">
        <v>0</v>
      </c>
      <c r="D3119">
        <v>0</v>
      </c>
      <c r="E3119">
        <v>0</v>
      </c>
      <c r="F3119">
        <v>4000</v>
      </c>
      <c r="G3119">
        <v>1750</v>
      </c>
      <c r="H3119">
        <v>0</v>
      </c>
      <c r="J3119" t="str">
        <f>VLOOKUP(Table3[[#This Row],[Faction ID]],Table4[],2)</f>
        <v>_</v>
      </c>
    </row>
    <row r="3120" spans="1:10" x14ac:dyDescent="0.25">
      <c r="A3120">
        <v>80</v>
      </c>
      <c r="B3120" t="s">
        <v>37</v>
      </c>
      <c r="C3120">
        <v>0</v>
      </c>
      <c r="D3120">
        <v>0</v>
      </c>
      <c r="E3120">
        <v>0</v>
      </c>
      <c r="F3120">
        <v>4000</v>
      </c>
      <c r="G3120">
        <v>1750</v>
      </c>
      <c r="H3120">
        <v>0</v>
      </c>
      <c r="J3120" t="str">
        <f>VLOOKUP(Table3[[#This Row],[Faction ID]],Table4[],2)</f>
        <v>_</v>
      </c>
    </row>
    <row r="3121" spans="1:10" x14ac:dyDescent="0.25">
      <c r="A3121">
        <v>80</v>
      </c>
      <c r="B3121" t="s">
        <v>38</v>
      </c>
      <c r="C3121">
        <v>0</v>
      </c>
      <c r="D3121">
        <v>0</v>
      </c>
      <c r="E3121">
        <v>0</v>
      </c>
      <c r="F3121">
        <v>4000</v>
      </c>
      <c r="G3121">
        <v>1750</v>
      </c>
      <c r="H3121">
        <v>0</v>
      </c>
      <c r="J3121" t="str">
        <f>VLOOKUP(Table3[[#This Row],[Faction ID]],Table4[],2)</f>
        <v>_</v>
      </c>
    </row>
    <row r="3122" spans="1:10" x14ac:dyDescent="0.25">
      <c r="A3122">
        <v>80</v>
      </c>
      <c r="B3122" t="s">
        <v>39</v>
      </c>
      <c r="C3122">
        <v>0</v>
      </c>
      <c r="D3122">
        <v>0</v>
      </c>
      <c r="E3122">
        <v>0</v>
      </c>
      <c r="F3122">
        <v>4000</v>
      </c>
      <c r="G3122">
        <v>1750</v>
      </c>
      <c r="H3122">
        <v>0</v>
      </c>
      <c r="J3122" t="str">
        <f>VLOOKUP(Table3[[#This Row],[Faction ID]],Table4[],2)</f>
        <v>_</v>
      </c>
    </row>
    <row r="3123" spans="1:10" x14ac:dyDescent="0.25">
      <c r="A3123">
        <v>80</v>
      </c>
      <c r="B3123" t="s">
        <v>40</v>
      </c>
      <c r="C3123">
        <v>0</v>
      </c>
      <c r="D3123">
        <v>0</v>
      </c>
      <c r="E3123">
        <v>0</v>
      </c>
      <c r="F3123">
        <v>4000</v>
      </c>
      <c r="G3123">
        <v>1750</v>
      </c>
      <c r="H3123">
        <v>0</v>
      </c>
      <c r="J3123" t="str">
        <f>VLOOKUP(Table3[[#This Row],[Faction ID]],Table4[],2)</f>
        <v>_</v>
      </c>
    </row>
    <row r="3124" spans="1:10" x14ac:dyDescent="0.25">
      <c r="A3124">
        <v>80</v>
      </c>
      <c r="B3124" t="s">
        <v>41</v>
      </c>
      <c r="C3124">
        <v>0</v>
      </c>
      <c r="D3124">
        <v>0</v>
      </c>
      <c r="E3124">
        <v>0</v>
      </c>
      <c r="F3124">
        <v>4000</v>
      </c>
      <c r="G3124">
        <v>1750</v>
      </c>
      <c r="H3124">
        <v>0</v>
      </c>
      <c r="J3124" t="str">
        <f>VLOOKUP(Table3[[#This Row],[Faction ID]],Table4[],2)</f>
        <v>_</v>
      </c>
    </row>
    <row r="3125" spans="1:10" x14ac:dyDescent="0.25">
      <c r="A3125">
        <v>80</v>
      </c>
      <c r="B3125" t="s">
        <v>42</v>
      </c>
      <c r="C3125">
        <v>0</v>
      </c>
      <c r="D3125">
        <v>0</v>
      </c>
      <c r="E3125">
        <v>0</v>
      </c>
      <c r="F3125">
        <v>4000</v>
      </c>
      <c r="G3125">
        <v>1750</v>
      </c>
      <c r="H3125">
        <v>0</v>
      </c>
      <c r="J3125" t="str">
        <f>VLOOKUP(Table3[[#This Row],[Faction ID]],Table4[],2)</f>
        <v>_</v>
      </c>
    </row>
    <row r="3126" spans="1:10" x14ac:dyDescent="0.25">
      <c r="A3126">
        <v>80</v>
      </c>
      <c r="B3126" t="s">
        <v>43</v>
      </c>
      <c r="C3126">
        <v>0</v>
      </c>
      <c r="D3126">
        <v>0</v>
      </c>
      <c r="E3126">
        <v>0</v>
      </c>
      <c r="F3126">
        <v>4000</v>
      </c>
      <c r="G3126">
        <v>1750</v>
      </c>
      <c r="H3126">
        <v>0</v>
      </c>
      <c r="J3126" t="str">
        <f>VLOOKUP(Table3[[#This Row],[Faction ID]],Table4[],2)</f>
        <v>_</v>
      </c>
    </row>
    <row r="3127" spans="1:10" x14ac:dyDescent="0.25">
      <c r="A3127">
        <v>80</v>
      </c>
      <c r="B3127" t="s">
        <v>44</v>
      </c>
      <c r="C3127">
        <v>0</v>
      </c>
      <c r="D3127">
        <v>0</v>
      </c>
      <c r="E3127">
        <v>0</v>
      </c>
      <c r="F3127">
        <v>4000</v>
      </c>
      <c r="G3127">
        <v>1750</v>
      </c>
      <c r="H3127">
        <v>0</v>
      </c>
      <c r="J3127" t="str">
        <f>VLOOKUP(Table3[[#This Row],[Faction ID]],Table4[],2)</f>
        <v>_</v>
      </c>
    </row>
    <row r="3128" spans="1:10" x14ac:dyDescent="0.25">
      <c r="A3128">
        <v>81</v>
      </c>
      <c r="B3128" t="s">
        <v>9</v>
      </c>
      <c r="C3128">
        <v>301</v>
      </c>
      <c r="D3128">
        <v>26</v>
      </c>
      <c r="E3128">
        <v>288.3</v>
      </c>
      <c r="F3128">
        <v>13722</v>
      </c>
      <c r="G3128">
        <v>37553</v>
      </c>
      <c r="H3128">
        <v>2707</v>
      </c>
      <c r="J3128" t="str">
        <f>VLOOKUP(Table3[[#This Row],[Faction ID]],Table4[],2)</f>
        <v>Mordor</v>
      </c>
    </row>
    <row r="3129" spans="1:10" x14ac:dyDescent="0.25">
      <c r="A3129">
        <v>81</v>
      </c>
      <c r="B3129" t="s">
        <v>4</v>
      </c>
      <c r="C3129">
        <v>146</v>
      </c>
      <c r="D3129">
        <v>0</v>
      </c>
      <c r="E3129">
        <v>0</v>
      </c>
      <c r="F3129">
        <v>55420</v>
      </c>
      <c r="G3129">
        <v>2500</v>
      </c>
      <c r="H3129">
        <v>0</v>
      </c>
      <c r="J3129" t="str">
        <f>VLOOKUP(Table3[[#This Row],[Faction ID]],Table4[],2)</f>
        <v>Gondor</v>
      </c>
    </row>
    <row r="3130" spans="1:10" x14ac:dyDescent="0.25">
      <c r="A3130">
        <v>81</v>
      </c>
      <c r="B3130" t="s">
        <v>6</v>
      </c>
      <c r="C3130">
        <v>181</v>
      </c>
      <c r="D3130">
        <v>1</v>
      </c>
      <c r="E3130">
        <v>17</v>
      </c>
      <c r="F3130">
        <v>47</v>
      </c>
      <c r="G3130">
        <v>5510</v>
      </c>
      <c r="H3130">
        <v>0</v>
      </c>
      <c r="J3130" t="str">
        <f>VLOOKUP(Table3[[#This Row],[Faction ID]],Table4[],2)</f>
        <v>Dale</v>
      </c>
    </row>
    <row r="3131" spans="1:10" x14ac:dyDescent="0.25">
      <c r="A3131">
        <v>81</v>
      </c>
      <c r="B3131" t="s">
        <v>21</v>
      </c>
      <c r="C3131">
        <v>200</v>
      </c>
      <c r="D3131">
        <v>0</v>
      </c>
      <c r="E3131">
        <v>0</v>
      </c>
      <c r="F3131">
        <v>10040</v>
      </c>
      <c r="G3131">
        <v>2500</v>
      </c>
      <c r="H3131">
        <v>0</v>
      </c>
      <c r="J3131" t="str">
        <f>VLOOKUP(Table3[[#This Row],[Faction ID]],Table4[],2)</f>
        <v>Erebor</v>
      </c>
    </row>
    <row r="3132" spans="1:10" x14ac:dyDescent="0.25">
      <c r="A3132">
        <v>81</v>
      </c>
      <c r="B3132" t="s">
        <v>5</v>
      </c>
      <c r="C3132">
        <v>157</v>
      </c>
      <c r="D3132">
        <v>0</v>
      </c>
      <c r="E3132">
        <v>0</v>
      </c>
      <c r="F3132">
        <v>6638</v>
      </c>
      <c r="G3132">
        <v>2500</v>
      </c>
      <c r="H3132">
        <v>0</v>
      </c>
      <c r="J3132" t="str">
        <f>VLOOKUP(Table3[[#This Row],[Faction ID]],Table4[],2)</f>
        <v>Rohan</v>
      </c>
    </row>
    <row r="3133" spans="1:10" x14ac:dyDescent="0.25">
      <c r="A3133">
        <v>81</v>
      </c>
      <c r="B3133" t="s">
        <v>12</v>
      </c>
      <c r="C3133">
        <v>223</v>
      </c>
      <c r="D3133">
        <v>16</v>
      </c>
      <c r="E3133">
        <v>229.4</v>
      </c>
      <c r="F3133">
        <v>19222</v>
      </c>
      <c r="G3133">
        <v>31918</v>
      </c>
      <c r="H3133">
        <v>2316</v>
      </c>
      <c r="J3133" t="str">
        <f>VLOOKUP(Table3[[#This Row],[Faction ID]],Table4[],2)</f>
        <v>Dol Guldur</v>
      </c>
    </row>
    <row r="3134" spans="1:10" x14ac:dyDescent="0.25">
      <c r="A3134">
        <v>81</v>
      </c>
      <c r="B3134" t="s">
        <v>10</v>
      </c>
      <c r="C3134">
        <v>58</v>
      </c>
      <c r="D3134">
        <v>0</v>
      </c>
      <c r="E3134">
        <v>0</v>
      </c>
      <c r="F3134">
        <v>4515</v>
      </c>
      <c r="G3134">
        <v>2500</v>
      </c>
      <c r="H3134">
        <v>0</v>
      </c>
      <c r="J3134" t="str">
        <f>VLOOKUP(Table3[[#This Row],[Faction ID]],Table4[],2)</f>
        <v>Anduin Vale</v>
      </c>
    </row>
    <row r="3135" spans="1:10" x14ac:dyDescent="0.25">
      <c r="A3135">
        <v>81</v>
      </c>
      <c r="B3135" t="s">
        <v>32</v>
      </c>
      <c r="C3135">
        <v>242</v>
      </c>
      <c r="D3135">
        <v>8</v>
      </c>
      <c r="E3135">
        <v>194</v>
      </c>
      <c r="F3135">
        <v>43183</v>
      </c>
      <c r="G3135">
        <v>25525</v>
      </c>
      <c r="H3135">
        <v>1280</v>
      </c>
      <c r="J3135" t="str">
        <f>VLOOKUP(Table3[[#This Row],[Faction ID]],Table4[],2)</f>
        <v>Isengard</v>
      </c>
    </row>
    <row r="3136" spans="1:10" x14ac:dyDescent="0.25">
      <c r="A3136">
        <v>81</v>
      </c>
      <c r="B3136" t="s">
        <v>22</v>
      </c>
      <c r="C3136">
        <v>30</v>
      </c>
      <c r="D3136">
        <v>0</v>
      </c>
      <c r="E3136">
        <v>0</v>
      </c>
      <c r="F3136">
        <v>8475</v>
      </c>
      <c r="G3136">
        <v>2500</v>
      </c>
      <c r="H3136">
        <v>0</v>
      </c>
      <c r="J3136" t="str">
        <f>VLOOKUP(Table3[[#This Row],[Faction ID]],Table4[],2)</f>
        <v>Woodland Realm</v>
      </c>
    </row>
    <row r="3137" spans="1:10" x14ac:dyDescent="0.25">
      <c r="A3137">
        <v>81</v>
      </c>
      <c r="B3137" t="s">
        <v>23</v>
      </c>
      <c r="C3137">
        <v>64</v>
      </c>
      <c r="D3137">
        <v>0</v>
      </c>
      <c r="E3137">
        <v>0</v>
      </c>
      <c r="F3137">
        <v>4721</v>
      </c>
      <c r="G3137">
        <v>2500</v>
      </c>
      <c r="H3137">
        <v>0</v>
      </c>
      <c r="J3137" t="str">
        <f>VLOOKUP(Table3[[#This Row],[Faction ID]],Table4[],2)</f>
        <v>Lothlorien</v>
      </c>
    </row>
    <row r="3138" spans="1:10" x14ac:dyDescent="0.25">
      <c r="A3138">
        <v>81</v>
      </c>
      <c r="B3138" t="s">
        <v>24</v>
      </c>
      <c r="C3138">
        <v>0</v>
      </c>
      <c r="D3138">
        <v>0</v>
      </c>
      <c r="E3138">
        <v>0</v>
      </c>
      <c r="F3138">
        <v>4919</v>
      </c>
      <c r="G3138">
        <v>1750</v>
      </c>
      <c r="H3138">
        <v>0</v>
      </c>
      <c r="J3138" t="str">
        <f>VLOOKUP(Table3[[#This Row],[Faction ID]],Table4[],2)</f>
        <v>Variags (Khand)</v>
      </c>
    </row>
    <row r="3139" spans="1:10" x14ac:dyDescent="0.25">
      <c r="A3139">
        <v>81</v>
      </c>
      <c r="B3139" t="s">
        <v>14</v>
      </c>
      <c r="C3139">
        <v>11</v>
      </c>
      <c r="D3139">
        <v>8</v>
      </c>
      <c r="E3139">
        <v>163</v>
      </c>
      <c r="F3139">
        <v>90694</v>
      </c>
      <c r="G3139">
        <v>32235</v>
      </c>
      <c r="H3139">
        <v>2382</v>
      </c>
      <c r="J3139" t="str">
        <f>VLOOKUP(Table3[[#This Row],[Faction ID]],Table4[],2)</f>
        <v>Corsairs of Umbar</v>
      </c>
    </row>
    <row r="3140" spans="1:10" x14ac:dyDescent="0.25">
      <c r="A3140">
        <v>81</v>
      </c>
      <c r="B3140" t="s">
        <v>25</v>
      </c>
      <c r="C3140">
        <v>0</v>
      </c>
      <c r="D3140">
        <v>0</v>
      </c>
      <c r="E3140">
        <v>0</v>
      </c>
      <c r="F3140">
        <v>9228</v>
      </c>
      <c r="G3140">
        <v>1750</v>
      </c>
      <c r="H3140">
        <v>0</v>
      </c>
      <c r="J3140" t="str">
        <f>VLOOKUP(Table3[[#This Row],[Faction ID]],Table4[],2)</f>
        <v>Mahud</v>
      </c>
    </row>
    <row r="3141" spans="1:10" x14ac:dyDescent="0.25">
      <c r="A3141">
        <v>81</v>
      </c>
      <c r="B3141" t="s">
        <v>11</v>
      </c>
      <c r="C3141">
        <v>141</v>
      </c>
      <c r="D3141">
        <v>8</v>
      </c>
      <c r="E3141">
        <v>154</v>
      </c>
      <c r="F3141">
        <v>17528</v>
      </c>
      <c r="G3141">
        <v>21233</v>
      </c>
      <c r="H3141">
        <v>558</v>
      </c>
      <c r="J3141" t="str">
        <f>VLOOKUP(Table3[[#This Row],[Faction ID]],Table4[],2)</f>
        <v>Haradrim</v>
      </c>
    </row>
    <row r="3142" spans="1:10" x14ac:dyDescent="0.25">
      <c r="A3142">
        <v>81</v>
      </c>
      <c r="B3142" t="s">
        <v>15</v>
      </c>
      <c r="C3142">
        <v>153</v>
      </c>
      <c r="D3142">
        <v>12</v>
      </c>
      <c r="E3142">
        <v>191</v>
      </c>
      <c r="F3142">
        <v>181617</v>
      </c>
      <c r="G3142">
        <v>31180</v>
      </c>
      <c r="H3142">
        <v>2372</v>
      </c>
      <c r="J3142" t="str">
        <f>VLOOKUP(Table3[[#This Row],[Faction ID]],Table4[],2)</f>
        <v>Dunlendings</v>
      </c>
    </row>
    <row r="3143" spans="1:10" x14ac:dyDescent="0.25">
      <c r="A3143">
        <v>81</v>
      </c>
      <c r="B3143" t="s">
        <v>16</v>
      </c>
      <c r="C3143">
        <v>0</v>
      </c>
      <c r="D3143">
        <v>0</v>
      </c>
      <c r="E3143">
        <v>0</v>
      </c>
      <c r="F3143">
        <v>5352</v>
      </c>
      <c r="G3143">
        <v>1750</v>
      </c>
      <c r="H3143">
        <v>0</v>
      </c>
      <c r="J3143" t="str">
        <f>VLOOKUP(Table3[[#This Row],[Faction ID]],Table4[],2)</f>
        <v>Haerrim</v>
      </c>
    </row>
    <row r="3144" spans="1:10" x14ac:dyDescent="0.25">
      <c r="A3144">
        <v>81</v>
      </c>
      <c r="B3144" t="s">
        <v>13</v>
      </c>
      <c r="C3144">
        <v>388</v>
      </c>
      <c r="D3144">
        <v>19</v>
      </c>
      <c r="E3144">
        <v>372.2</v>
      </c>
      <c r="F3144">
        <v>21586</v>
      </c>
      <c r="G3144">
        <v>51971</v>
      </c>
      <c r="H3144">
        <v>5315</v>
      </c>
      <c r="J3144" t="str">
        <f>VLOOKUP(Table3[[#This Row],[Faction ID]],Table4[],2)</f>
        <v>Goblins</v>
      </c>
    </row>
    <row r="3145" spans="1:10" x14ac:dyDescent="0.25">
      <c r="A3145">
        <v>81</v>
      </c>
      <c r="B3145" t="s">
        <v>17</v>
      </c>
      <c r="C3145">
        <v>0</v>
      </c>
      <c r="D3145">
        <v>0</v>
      </c>
      <c r="E3145">
        <v>0</v>
      </c>
      <c r="F3145">
        <v>4872</v>
      </c>
      <c r="G3145">
        <v>1750</v>
      </c>
      <c r="H3145">
        <v>0</v>
      </c>
      <c r="J3145" t="str">
        <f>VLOOKUP(Table3[[#This Row],[Faction ID]],Table4[],2)</f>
        <v>Balchoth</v>
      </c>
    </row>
    <row r="3146" spans="1:10" x14ac:dyDescent="0.25">
      <c r="A3146">
        <v>81</v>
      </c>
      <c r="B3146" t="s">
        <v>18</v>
      </c>
      <c r="C3146">
        <v>242</v>
      </c>
      <c r="D3146">
        <v>33</v>
      </c>
      <c r="E3146">
        <v>456</v>
      </c>
      <c r="F3146">
        <v>156962</v>
      </c>
      <c r="G3146">
        <v>44139</v>
      </c>
      <c r="H3146">
        <v>1237</v>
      </c>
      <c r="J3146" t="str">
        <f>VLOOKUP(Table3[[#This Row],[Faction ID]],Table4[],2)</f>
        <v>Rhurim/Rhun</v>
      </c>
    </row>
    <row r="3147" spans="1:10" x14ac:dyDescent="0.25">
      <c r="A3147">
        <v>81</v>
      </c>
      <c r="B3147" t="s">
        <v>19</v>
      </c>
      <c r="C3147">
        <v>0</v>
      </c>
      <c r="D3147">
        <v>0</v>
      </c>
      <c r="E3147">
        <v>0</v>
      </c>
      <c r="F3147">
        <v>7360</v>
      </c>
      <c r="G3147">
        <v>1750</v>
      </c>
      <c r="H3147">
        <v>0</v>
      </c>
      <c r="J3147" t="str">
        <f>VLOOKUP(Table3[[#This Row],[Faction ID]],Table4[],2)</f>
        <v>Feredrim</v>
      </c>
    </row>
    <row r="3148" spans="1:10" x14ac:dyDescent="0.25">
      <c r="A3148">
        <v>81</v>
      </c>
      <c r="B3148" t="s">
        <v>26</v>
      </c>
      <c r="C3148">
        <v>0</v>
      </c>
      <c r="D3148">
        <v>0</v>
      </c>
      <c r="E3148">
        <v>0</v>
      </c>
      <c r="F3148">
        <v>6395</v>
      </c>
      <c r="G3148">
        <v>1750</v>
      </c>
      <c r="H3148">
        <v>0</v>
      </c>
      <c r="J3148" t="str">
        <f>VLOOKUP(Table3[[#This Row],[Faction ID]],Table4[],2)</f>
        <v>Rachrohir (Wainriders)</v>
      </c>
    </row>
    <row r="3149" spans="1:10" x14ac:dyDescent="0.25">
      <c r="A3149">
        <v>81</v>
      </c>
      <c r="B3149" t="s">
        <v>27</v>
      </c>
      <c r="C3149">
        <v>1</v>
      </c>
      <c r="D3149">
        <v>1</v>
      </c>
      <c r="E3149">
        <v>44</v>
      </c>
      <c r="F3149">
        <v>44651</v>
      </c>
      <c r="G3149">
        <v>8137</v>
      </c>
      <c r="H3149">
        <v>0</v>
      </c>
      <c r="J3149" t="str">
        <f>VLOOKUP(Table3[[#This Row],[Faction ID]],Table4[],2)</f>
        <v>Blacklock-Stonefoot League</v>
      </c>
    </row>
    <row r="3150" spans="1:10" x14ac:dyDescent="0.25">
      <c r="A3150">
        <v>81</v>
      </c>
      <c r="B3150" t="s">
        <v>28</v>
      </c>
      <c r="C3150">
        <v>4</v>
      </c>
      <c r="D3150">
        <v>2</v>
      </c>
      <c r="E3150">
        <v>40</v>
      </c>
      <c r="F3150">
        <v>59245</v>
      </c>
      <c r="G3150">
        <v>8583</v>
      </c>
      <c r="H3150">
        <v>0</v>
      </c>
      <c r="J3150" t="str">
        <f>VLOOKUP(Table3[[#This Row],[Faction ID]],Table4[],2)</f>
        <v>Ironfist-Stiffbeard Union</v>
      </c>
    </row>
    <row r="3151" spans="1:10" x14ac:dyDescent="0.25">
      <c r="A3151">
        <v>81</v>
      </c>
      <c r="B3151" t="s">
        <v>20</v>
      </c>
      <c r="C3151">
        <v>199</v>
      </c>
      <c r="D3151">
        <v>17</v>
      </c>
      <c r="E3151">
        <v>307</v>
      </c>
      <c r="F3151">
        <v>61169</v>
      </c>
      <c r="G3151">
        <v>39832</v>
      </c>
      <c r="H3151">
        <v>635</v>
      </c>
      <c r="J3151" t="str">
        <f>VLOOKUP(Table3[[#This Row],[Faction ID]],Table4[],2)</f>
        <v>Gundabad</v>
      </c>
    </row>
    <row r="3152" spans="1:10" x14ac:dyDescent="0.25">
      <c r="A3152">
        <v>81</v>
      </c>
      <c r="B3152" t="s">
        <v>34</v>
      </c>
      <c r="C3152">
        <v>0</v>
      </c>
      <c r="D3152">
        <v>0</v>
      </c>
      <c r="E3152">
        <v>3</v>
      </c>
      <c r="F3152">
        <v>93680</v>
      </c>
      <c r="G3152">
        <v>2379</v>
      </c>
      <c r="H3152">
        <v>0</v>
      </c>
      <c r="J3152" t="str">
        <f>VLOOKUP(Table3[[#This Row],[Faction ID]],Table4[],2)</f>
        <v>Scouts of Rohan</v>
      </c>
    </row>
    <row r="3153" spans="1:10" x14ac:dyDescent="0.25">
      <c r="A3153">
        <v>81</v>
      </c>
      <c r="B3153" t="s">
        <v>33</v>
      </c>
      <c r="C3153">
        <v>6</v>
      </c>
      <c r="D3153">
        <v>4</v>
      </c>
      <c r="E3153">
        <v>79</v>
      </c>
      <c r="F3153">
        <v>103482</v>
      </c>
      <c r="G3153">
        <v>15775</v>
      </c>
      <c r="H3153">
        <v>725</v>
      </c>
      <c r="J3153" t="str">
        <f>VLOOKUP(Table3[[#This Row],[Faction ID]],Table4[],2)</f>
        <v>Northern Enedwaith</v>
      </c>
    </row>
    <row r="3154" spans="1:10" x14ac:dyDescent="0.25">
      <c r="A3154">
        <v>81</v>
      </c>
      <c r="B3154" t="s">
        <v>29</v>
      </c>
      <c r="C3154">
        <v>0</v>
      </c>
      <c r="D3154">
        <v>0</v>
      </c>
      <c r="E3154">
        <v>0</v>
      </c>
      <c r="F3154">
        <v>54023</v>
      </c>
      <c r="G3154">
        <v>1750</v>
      </c>
      <c r="H3154">
        <v>0</v>
      </c>
      <c r="J3154" t="str">
        <f>VLOOKUP(Table3[[#This Row],[Faction ID]],Table4[],2)</f>
        <v>Southern Enedwaith</v>
      </c>
    </row>
    <row r="3155" spans="1:10" x14ac:dyDescent="0.25">
      <c r="A3155">
        <v>81</v>
      </c>
      <c r="B3155" t="s">
        <v>30</v>
      </c>
      <c r="C3155">
        <v>0</v>
      </c>
      <c r="D3155">
        <v>0</v>
      </c>
      <c r="E3155">
        <v>0</v>
      </c>
      <c r="F3155">
        <v>32146</v>
      </c>
      <c r="G3155">
        <v>1750</v>
      </c>
      <c r="H3155">
        <v>0</v>
      </c>
      <c r="J3155" t="str">
        <f>VLOOKUP(Table3[[#This Row],[Faction ID]],Table4[],2)</f>
        <v>Druedain</v>
      </c>
    </row>
    <row r="3156" spans="1:10" x14ac:dyDescent="0.25">
      <c r="A3156">
        <v>81</v>
      </c>
      <c r="B3156" t="s">
        <v>31</v>
      </c>
      <c r="C3156">
        <v>0</v>
      </c>
      <c r="D3156">
        <v>0</v>
      </c>
      <c r="E3156">
        <v>0</v>
      </c>
      <c r="F3156">
        <v>15146</v>
      </c>
      <c r="G3156">
        <v>1750</v>
      </c>
      <c r="H3156">
        <v>0</v>
      </c>
      <c r="J3156" t="str">
        <f>VLOOKUP(Table3[[#This Row],[Faction ID]],Table4[],2)</f>
        <v>Harondor</v>
      </c>
    </row>
    <row r="3157" spans="1:10" x14ac:dyDescent="0.25">
      <c r="A3157">
        <v>81</v>
      </c>
      <c r="B3157" t="s">
        <v>35</v>
      </c>
      <c r="C3157">
        <v>0</v>
      </c>
      <c r="D3157">
        <v>0</v>
      </c>
      <c r="E3157">
        <v>0</v>
      </c>
      <c r="F3157">
        <v>4000</v>
      </c>
      <c r="G3157">
        <v>1750</v>
      </c>
      <c r="H3157">
        <v>0</v>
      </c>
      <c r="J3157" t="str">
        <f>VLOOKUP(Table3[[#This Row],[Faction ID]],Table4[],2)</f>
        <v>Southron Nomads</v>
      </c>
    </row>
    <row r="3158" spans="1:10" x14ac:dyDescent="0.25">
      <c r="A3158">
        <v>81</v>
      </c>
      <c r="B3158" t="s">
        <v>36</v>
      </c>
      <c r="C3158">
        <v>0</v>
      </c>
      <c r="D3158">
        <v>0</v>
      </c>
      <c r="E3158">
        <v>0</v>
      </c>
      <c r="F3158">
        <v>4000</v>
      </c>
      <c r="G3158">
        <v>1750</v>
      </c>
      <c r="H3158">
        <v>0</v>
      </c>
      <c r="J3158" t="str">
        <f>VLOOKUP(Table3[[#This Row],[Faction ID]],Table4[],2)</f>
        <v>_</v>
      </c>
    </row>
    <row r="3159" spans="1:10" x14ac:dyDescent="0.25">
      <c r="A3159">
        <v>81</v>
      </c>
      <c r="B3159" t="s">
        <v>37</v>
      </c>
      <c r="C3159">
        <v>0</v>
      </c>
      <c r="D3159">
        <v>0</v>
      </c>
      <c r="E3159">
        <v>0</v>
      </c>
      <c r="F3159">
        <v>4000</v>
      </c>
      <c r="G3159">
        <v>1750</v>
      </c>
      <c r="H3159">
        <v>0</v>
      </c>
      <c r="J3159" t="str">
        <f>VLOOKUP(Table3[[#This Row],[Faction ID]],Table4[],2)</f>
        <v>_</v>
      </c>
    </row>
    <row r="3160" spans="1:10" x14ac:dyDescent="0.25">
      <c r="A3160">
        <v>81</v>
      </c>
      <c r="B3160" t="s">
        <v>38</v>
      </c>
      <c r="C3160">
        <v>0</v>
      </c>
      <c r="D3160">
        <v>0</v>
      </c>
      <c r="E3160">
        <v>0</v>
      </c>
      <c r="F3160">
        <v>4000</v>
      </c>
      <c r="G3160">
        <v>1750</v>
      </c>
      <c r="H3160">
        <v>0</v>
      </c>
      <c r="J3160" t="str">
        <f>VLOOKUP(Table3[[#This Row],[Faction ID]],Table4[],2)</f>
        <v>_</v>
      </c>
    </row>
    <row r="3161" spans="1:10" x14ac:dyDescent="0.25">
      <c r="A3161">
        <v>81</v>
      </c>
      <c r="B3161" t="s">
        <v>39</v>
      </c>
      <c r="C3161">
        <v>0</v>
      </c>
      <c r="D3161">
        <v>0</v>
      </c>
      <c r="E3161">
        <v>0</v>
      </c>
      <c r="F3161">
        <v>4000</v>
      </c>
      <c r="G3161">
        <v>1750</v>
      </c>
      <c r="H3161">
        <v>0</v>
      </c>
      <c r="J3161" t="str">
        <f>VLOOKUP(Table3[[#This Row],[Faction ID]],Table4[],2)</f>
        <v>_</v>
      </c>
    </row>
    <row r="3162" spans="1:10" x14ac:dyDescent="0.25">
      <c r="A3162">
        <v>81</v>
      </c>
      <c r="B3162" t="s">
        <v>40</v>
      </c>
      <c r="C3162">
        <v>0</v>
      </c>
      <c r="D3162">
        <v>0</v>
      </c>
      <c r="E3162">
        <v>0</v>
      </c>
      <c r="F3162">
        <v>4000</v>
      </c>
      <c r="G3162">
        <v>1750</v>
      </c>
      <c r="H3162">
        <v>0</v>
      </c>
      <c r="J3162" t="str">
        <f>VLOOKUP(Table3[[#This Row],[Faction ID]],Table4[],2)</f>
        <v>_</v>
      </c>
    </row>
    <row r="3163" spans="1:10" x14ac:dyDescent="0.25">
      <c r="A3163">
        <v>81</v>
      </c>
      <c r="B3163" t="s">
        <v>41</v>
      </c>
      <c r="C3163">
        <v>0</v>
      </c>
      <c r="D3163">
        <v>0</v>
      </c>
      <c r="E3163">
        <v>0</v>
      </c>
      <c r="F3163">
        <v>4000</v>
      </c>
      <c r="G3163">
        <v>1750</v>
      </c>
      <c r="H3163">
        <v>0</v>
      </c>
      <c r="J3163" t="str">
        <f>VLOOKUP(Table3[[#This Row],[Faction ID]],Table4[],2)</f>
        <v>_</v>
      </c>
    </row>
    <row r="3164" spans="1:10" x14ac:dyDescent="0.25">
      <c r="A3164">
        <v>81</v>
      </c>
      <c r="B3164" t="s">
        <v>42</v>
      </c>
      <c r="C3164">
        <v>0</v>
      </c>
      <c r="D3164">
        <v>0</v>
      </c>
      <c r="E3164">
        <v>0</v>
      </c>
      <c r="F3164">
        <v>4000</v>
      </c>
      <c r="G3164">
        <v>1750</v>
      </c>
      <c r="H3164">
        <v>0</v>
      </c>
      <c r="J3164" t="str">
        <f>VLOOKUP(Table3[[#This Row],[Faction ID]],Table4[],2)</f>
        <v>_</v>
      </c>
    </row>
    <row r="3165" spans="1:10" x14ac:dyDescent="0.25">
      <c r="A3165">
        <v>81</v>
      </c>
      <c r="B3165" t="s">
        <v>43</v>
      </c>
      <c r="C3165">
        <v>0</v>
      </c>
      <c r="D3165">
        <v>0</v>
      </c>
      <c r="E3165">
        <v>0</v>
      </c>
      <c r="F3165">
        <v>4000</v>
      </c>
      <c r="G3165">
        <v>1750</v>
      </c>
      <c r="H3165">
        <v>0</v>
      </c>
      <c r="J3165" t="str">
        <f>VLOOKUP(Table3[[#This Row],[Faction ID]],Table4[],2)</f>
        <v>_</v>
      </c>
    </row>
    <row r="3166" spans="1:10" x14ac:dyDescent="0.25">
      <c r="A3166">
        <v>81</v>
      </c>
      <c r="B3166" t="s">
        <v>44</v>
      </c>
      <c r="C3166">
        <v>0</v>
      </c>
      <c r="D3166">
        <v>0</v>
      </c>
      <c r="E3166">
        <v>0</v>
      </c>
      <c r="F3166">
        <v>4000</v>
      </c>
      <c r="G3166">
        <v>1750</v>
      </c>
      <c r="H3166">
        <v>0</v>
      </c>
      <c r="J3166" t="str">
        <f>VLOOKUP(Table3[[#This Row],[Faction ID]],Table4[],2)</f>
        <v>_</v>
      </c>
    </row>
    <row r="3167" spans="1:10" x14ac:dyDescent="0.25">
      <c r="A3167">
        <v>82</v>
      </c>
      <c r="B3167" t="s">
        <v>9</v>
      </c>
      <c r="C3167">
        <v>309</v>
      </c>
      <c r="D3167">
        <v>26</v>
      </c>
      <c r="E3167">
        <v>292.89999999999998</v>
      </c>
      <c r="F3167">
        <v>9283</v>
      </c>
      <c r="G3167">
        <v>39662</v>
      </c>
      <c r="H3167">
        <v>2721</v>
      </c>
      <c r="J3167" t="str">
        <f>VLOOKUP(Table3[[#This Row],[Faction ID]],Table4[],2)</f>
        <v>Mordor</v>
      </c>
    </row>
    <row r="3168" spans="1:10" x14ac:dyDescent="0.25">
      <c r="A3168">
        <v>82</v>
      </c>
      <c r="B3168" t="s">
        <v>4</v>
      </c>
      <c r="C3168">
        <v>146</v>
      </c>
      <c r="D3168">
        <v>0</v>
      </c>
      <c r="E3168">
        <v>0</v>
      </c>
      <c r="F3168">
        <v>55420</v>
      </c>
      <c r="G3168">
        <v>2500</v>
      </c>
      <c r="H3168">
        <v>0</v>
      </c>
      <c r="J3168" t="str">
        <f>VLOOKUP(Table3[[#This Row],[Faction ID]],Table4[],2)</f>
        <v>Gondor</v>
      </c>
    </row>
    <row r="3169" spans="1:10" x14ac:dyDescent="0.25">
      <c r="A3169">
        <v>82</v>
      </c>
      <c r="B3169" t="s">
        <v>6</v>
      </c>
      <c r="C3169">
        <v>181</v>
      </c>
      <c r="D3169">
        <v>1</v>
      </c>
      <c r="E3169">
        <v>19.600000000000001</v>
      </c>
      <c r="F3169">
        <v>351</v>
      </c>
      <c r="G3169">
        <v>5182</v>
      </c>
      <c r="H3169">
        <v>0</v>
      </c>
      <c r="J3169" t="str">
        <f>VLOOKUP(Table3[[#This Row],[Faction ID]],Table4[],2)</f>
        <v>Dale</v>
      </c>
    </row>
    <row r="3170" spans="1:10" x14ac:dyDescent="0.25">
      <c r="A3170">
        <v>82</v>
      </c>
      <c r="B3170" t="s">
        <v>21</v>
      </c>
      <c r="C3170">
        <v>200</v>
      </c>
      <c r="D3170">
        <v>0</v>
      </c>
      <c r="E3170">
        <v>0</v>
      </c>
      <c r="F3170">
        <v>10040</v>
      </c>
      <c r="G3170">
        <v>2500</v>
      </c>
      <c r="H3170">
        <v>0</v>
      </c>
      <c r="J3170" t="str">
        <f>VLOOKUP(Table3[[#This Row],[Faction ID]],Table4[],2)</f>
        <v>Erebor</v>
      </c>
    </row>
    <row r="3171" spans="1:10" x14ac:dyDescent="0.25">
      <c r="A3171">
        <v>82</v>
      </c>
      <c r="B3171" t="s">
        <v>5</v>
      </c>
      <c r="C3171">
        <v>157</v>
      </c>
      <c r="D3171">
        <v>0</v>
      </c>
      <c r="E3171">
        <v>0</v>
      </c>
      <c r="F3171">
        <v>6638</v>
      </c>
      <c r="G3171">
        <v>2500</v>
      </c>
      <c r="H3171">
        <v>0</v>
      </c>
      <c r="J3171" t="str">
        <f>VLOOKUP(Table3[[#This Row],[Faction ID]],Table4[],2)</f>
        <v>Rohan</v>
      </c>
    </row>
    <row r="3172" spans="1:10" x14ac:dyDescent="0.25">
      <c r="A3172">
        <v>82</v>
      </c>
      <c r="B3172" t="s">
        <v>12</v>
      </c>
      <c r="C3172">
        <v>252</v>
      </c>
      <c r="D3172">
        <v>16</v>
      </c>
      <c r="E3172">
        <v>254.1</v>
      </c>
      <c r="F3172">
        <v>17914</v>
      </c>
      <c r="G3172">
        <v>33986</v>
      </c>
      <c r="H3172">
        <v>2332</v>
      </c>
      <c r="J3172" t="str">
        <f>VLOOKUP(Table3[[#This Row],[Faction ID]],Table4[],2)</f>
        <v>Dol Guldur</v>
      </c>
    </row>
    <row r="3173" spans="1:10" x14ac:dyDescent="0.25">
      <c r="A3173">
        <v>82</v>
      </c>
      <c r="B3173" t="s">
        <v>10</v>
      </c>
      <c r="C3173">
        <v>58</v>
      </c>
      <c r="D3173">
        <v>0</v>
      </c>
      <c r="E3173">
        <v>0</v>
      </c>
      <c r="F3173">
        <v>4515</v>
      </c>
      <c r="G3173">
        <v>2500</v>
      </c>
      <c r="H3173">
        <v>0</v>
      </c>
      <c r="J3173" t="str">
        <f>VLOOKUP(Table3[[#This Row],[Faction ID]],Table4[],2)</f>
        <v>Anduin Vale</v>
      </c>
    </row>
    <row r="3174" spans="1:10" x14ac:dyDescent="0.25">
      <c r="A3174">
        <v>82</v>
      </c>
      <c r="B3174" t="s">
        <v>32</v>
      </c>
      <c r="C3174">
        <v>247</v>
      </c>
      <c r="D3174">
        <v>8</v>
      </c>
      <c r="E3174">
        <v>194</v>
      </c>
      <c r="F3174">
        <v>46758</v>
      </c>
      <c r="G3174">
        <v>25542</v>
      </c>
      <c r="H3174">
        <v>1278</v>
      </c>
      <c r="J3174" t="str">
        <f>VLOOKUP(Table3[[#This Row],[Faction ID]],Table4[],2)</f>
        <v>Isengard</v>
      </c>
    </row>
    <row r="3175" spans="1:10" x14ac:dyDescent="0.25">
      <c r="A3175">
        <v>82</v>
      </c>
      <c r="B3175" t="s">
        <v>22</v>
      </c>
      <c r="C3175">
        <v>30</v>
      </c>
      <c r="D3175">
        <v>0</v>
      </c>
      <c r="E3175">
        <v>0</v>
      </c>
      <c r="F3175">
        <v>8475</v>
      </c>
      <c r="G3175">
        <v>2500</v>
      </c>
      <c r="H3175">
        <v>0</v>
      </c>
      <c r="J3175" t="str">
        <f>VLOOKUP(Table3[[#This Row],[Faction ID]],Table4[],2)</f>
        <v>Woodland Realm</v>
      </c>
    </row>
    <row r="3176" spans="1:10" x14ac:dyDescent="0.25">
      <c r="A3176">
        <v>82</v>
      </c>
      <c r="B3176" t="s">
        <v>23</v>
      </c>
      <c r="C3176">
        <v>64</v>
      </c>
      <c r="D3176">
        <v>0</v>
      </c>
      <c r="E3176">
        <v>0</v>
      </c>
      <c r="F3176">
        <v>4721</v>
      </c>
      <c r="G3176">
        <v>2500</v>
      </c>
      <c r="H3176">
        <v>0</v>
      </c>
      <c r="J3176" t="str">
        <f>VLOOKUP(Table3[[#This Row],[Faction ID]],Table4[],2)</f>
        <v>Lothlorien</v>
      </c>
    </row>
    <row r="3177" spans="1:10" x14ac:dyDescent="0.25">
      <c r="A3177">
        <v>82</v>
      </c>
      <c r="B3177" t="s">
        <v>24</v>
      </c>
      <c r="C3177">
        <v>0</v>
      </c>
      <c r="D3177">
        <v>0</v>
      </c>
      <c r="E3177">
        <v>0</v>
      </c>
      <c r="F3177">
        <v>4919</v>
      </c>
      <c r="G3177">
        <v>1750</v>
      </c>
      <c r="H3177">
        <v>0</v>
      </c>
      <c r="J3177" t="str">
        <f>VLOOKUP(Table3[[#This Row],[Faction ID]],Table4[],2)</f>
        <v>Variags (Khand)</v>
      </c>
    </row>
    <row r="3178" spans="1:10" x14ac:dyDescent="0.25">
      <c r="A3178">
        <v>82</v>
      </c>
      <c r="B3178" t="s">
        <v>14</v>
      </c>
      <c r="C3178">
        <v>11</v>
      </c>
      <c r="D3178">
        <v>8</v>
      </c>
      <c r="E3178">
        <v>162</v>
      </c>
      <c r="F3178">
        <v>92961</v>
      </c>
      <c r="G3178">
        <v>31765</v>
      </c>
      <c r="H3178">
        <v>2383</v>
      </c>
      <c r="J3178" t="str">
        <f>VLOOKUP(Table3[[#This Row],[Faction ID]],Table4[],2)</f>
        <v>Corsairs of Umbar</v>
      </c>
    </row>
    <row r="3179" spans="1:10" x14ac:dyDescent="0.25">
      <c r="A3179">
        <v>82</v>
      </c>
      <c r="B3179" t="s">
        <v>25</v>
      </c>
      <c r="C3179">
        <v>0</v>
      </c>
      <c r="D3179">
        <v>0</v>
      </c>
      <c r="E3179">
        <v>0</v>
      </c>
      <c r="F3179">
        <v>9228</v>
      </c>
      <c r="G3179">
        <v>1750</v>
      </c>
      <c r="H3179">
        <v>0</v>
      </c>
      <c r="J3179" t="str">
        <f>VLOOKUP(Table3[[#This Row],[Faction ID]],Table4[],2)</f>
        <v>Mahud</v>
      </c>
    </row>
    <row r="3180" spans="1:10" x14ac:dyDescent="0.25">
      <c r="A3180">
        <v>82</v>
      </c>
      <c r="B3180" t="s">
        <v>11</v>
      </c>
      <c r="C3180">
        <v>141</v>
      </c>
      <c r="D3180">
        <v>8</v>
      </c>
      <c r="E3180">
        <v>162</v>
      </c>
      <c r="F3180">
        <v>15591</v>
      </c>
      <c r="G3180">
        <v>22613</v>
      </c>
      <c r="H3180">
        <v>557</v>
      </c>
      <c r="J3180" t="str">
        <f>VLOOKUP(Table3[[#This Row],[Faction ID]],Table4[],2)</f>
        <v>Haradrim</v>
      </c>
    </row>
    <row r="3181" spans="1:10" x14ac:dyDescent="0.25">
      <c r="A3181">
        <v>82</v>
      </c>
      <c r="B3181" t="s">
        <v>15</v>
      </c>
      <c r="C3181">
        <v>158</v>
      </c>
      <c r="D3181">
        <v>12</v>
      </c>
      <c r="E3181">
        <v>191</v>
      </c>
      <c r="F3181">
        <v>192178</v>
      </c>
      <c r="G3181">
        <v>30872</v>
      </c>
      <c r="H3181">
        <v>2366</v>
      </c>
      <c r="J3181" t="str">
        <f>VLOOKUP(Table3[[#This Row],[Faction ID]],Table4[],2)</f>
        <v>Dunlendings</v>
      </c>
    </row>
    <row r="3182" spans="1:10" x14ac:dyDescent="0.25">
      <c r="A3182">
        <v>82</v>
      </c>
      <c r="B3182" t="s">
        <v>16</v>
      </c>
      <c r="C3182">
        <v>0</v>
      </c>
      <c r="D3182">
        <v>0</v>
      </c>
      <c r="E3182">
        <v>0</v>
      </c>
      <c r="F3182">
        <v>5352</v>
      </c>
      <c r="G3182">
        <v>1750</v>
      </c>
      <c r="H3182">
        <v>0</v>
      </c>
      <c r="J3182" t="str">
        <f>VLOOKUP(Table3[[#This Row],[Faction ID]],Table4[],2)</f>
        <v>Haerrim</v>
      </c>
    </row>
    <row r="3183" spans="1:10" x14ac:dyDescent="0.25">
      <c r="A3183">
        <v>82</v>
      </c>
      <c r="B3183" t="s">
        <v>13</v>
      </c>
      <c r="C3183">
        <v>393</v>
      </c>
      <c r="D3183">
        <v>19</v>
      </c>
      <c r="E3183">
        <v>373.4</v>
      </c>
      <c r="F3183">
        <v>19002</v>
      </c>
      <c r="G3183">
        <v>49905</v>
      </c>
      <c r="H3183">
        <v>5298</v>
      </c>
      <c r="J3183" t="str">
        <f>VLOOKUP(Table3[[#This Row],[Faction ID]],Table4[],2)</f>
        <v>Goblins</v>
      </c>
    </row>
    <row r="3184" spans="1:10" x14ac:dyDescent="0.25">
      <c r="A3184">
        <v>82</v>
      </c>
      <c r="B3184" t="s">
        <v>17</v>
      </c>
      <c r="C3184">
        <v>0</v>
      </c>
      <c r="D3184">
        <v>0</v>
      </c>
      <c r="E3184">
        <v>0</v>
      </c>
      <c r="F3184">
        <v>4872</v>
      </c>
      <c r="G3184">
        <v>1750</v>
      </c>
      <c r="H3184">
        <v>0</v>
      </c>
      <c r="J3184" t="str">
        <f>VLOOKUP(Table3[[#This Row],[Faction ID]],Table4[],2)</f>
        <v>Balchoth</v>
      </c>
    </row>
    <row r="3185" spans="1:10" x14ac:dyDescent="0.25">
      <c r="A3185">
        <v>82</v>
      </c>
      <c r="B3185" t="s">
        <v>18</v>
      </c>
      <c r="C3185">
        <v>242</v>
      </c>
      <c r="D3185">
        <v>33</v>
      </c>
      <c r="E3185">
        <v>440.1</v>
      </c>
      <c r="F3185">
        <v>142849</v>
      </c>
      <c r="G3185">
        <v>45493</v>
      </c>
      <c r="H3185">
        <v>2531</v>
      </c>
      <c r="J3185" t="str">
        <f>VLOOKUP(Table3[[#This Row],[Faction ID]],Table4[],2)</f>
        <v>Rhurim/Rhun</v>
      </c>
    </row>
    <row r="3186" spans="1:10" x14ac:dyDescent="0.25">
      <c r="A3186">
        <v>82</v>
      </c>
      <c r="B3186" t="s">
        <v>19</v>
      </c>
      <c r="C3186">
        <v>0</v>
      </c>
      <c r="D3186">
        <v>0</v>
      </c>
      <c r="E3186">
        <v>0</v>
      </c>
      <c r="F3186">
        <v>7360</v>
      </c>
      <c r="G3186">
        <v>1750</v>
      </c>
      <c r="H3186">
        <v>0</v>
      </c>
      <c r="J3186" t="str">
        <f>VLOOKUP(Table3[[#This Row],[Faction ID]],Table4[],2)</f>
        <v>Feredrim</v>
      </c>
    </row>
    <row r="3187" spans="1:10" x14ac:dyDescent="0.25">
      <c r="A3187">
        <v>82</v>
      </c>
      <c r="B3187" t="s">
        <v>26</v>
      </c>
      <c r="C3187">
        <v>0</v>
      </c>
      <c r="D3187">
        <v>0</v>
      </c>
      <c r="E3187">
        <v>0</v>
      </c>
      <c r="F3187">
        <v>6395</v>
      </c>
      <c r="G3187">
        <v>1750</v>
      </c>
      <c r="H3187">
        <v>0</v>
      </c>
      <c r="J3187" t="str">
        <f>VLOOKUP(Table3[[#This Row],[Faction ID]],Table4[],2)</f>
        <v>Rachrohir (Wainriders)</v>
      </c>
    </row>
    <row r="3188" spans="1:10" x14ac:dyDescent="0.25">
      <c r="A3188">
        <v>82</v>
      </c>
      <c r="B3188" t="s">
        <v>27</v>
      </c>
      <c r="C3188">
        <v>1</v>
      </c>
      <c r="D3188">
        <v>1</v>
      </c>
      <c r="E3188">
        <v>37.700000000000003</v>
      </c>
      <c r="F3188">
        <v>42260</v>
      </c>
      <c r="G3188">
        <v>7738</v>
      </c>
      <c r="H3188">
        <v>0</v>
      </c>
      <c r="J3188" t="str">
        <f>VLOOKUP(Table3[[#This Row],[Faction ID]],Table4[],2)</f>
        <v>Blacklock-Stonefoot League</v>
      </c>
    </row>
    <row r="3189" spans="1:10" x14ac:dyDescent="0.25">
      <c r="A3189">
        <v>82</v>
      </c>
      <c r="B3189" t="s">
        <v>28</v>
      </c>
      <c r="C3189">
        <v>4</v>
      </c>
      <c r="D3189">
        <v>2</v>
      </c>
      <c r="E3189">
        <v>40</v>
      </c>
      <c r="F3189">
        <v>58572</v>
      </c>
      <c r="G3189">
        <v>8583</v>
      </c>
      <c r="H3189">
        <v>0</v>
      </c>
      <c r="J3189" t="str">
        <f>VLOOKUP(Table3[[#This Row],[Faction ID]],Table4[],2)</f>
        <v>Ironfist-Stiffbeard Union</v>
      </c>
    </row>
    <row r="3190" spans="1:10" x14ac:dyDescent="0.25">
      <c r="A3190">
        <v>82</v>
      </c>
      <c r="B3190" t="s">
        <v>20</v>
      </c>
      <c r="C3190">
        <v>228</v>
      </c>
      <c r="D3190">
        <v>17</v>
      </c>
      <c r="E3190">
        <v>320.2</v>
      </c>
      <c r="F3190">
        <v>48293</v>
      </c>
      <c r="G3190">
        <v>41656</v>
      </c>
      <c r="H3190">
        <v>1682</v>
      </c>
      <c r="J3190" t="str">
        <f>VLOOKUP(Table3[[#This Row],[Faction ID]],Table4[],2)</f>
        <v>Gundabad</v>
      </c>
    </row>
    <row r="3191" spans="1:10" x14ac:dyDescent="0.25">
      <c r="A3191">
        <v>82</v>
      </c>
      <c r="B3191" t="s">
        <v>34</v>
      </c>
      <c r="C3191">
        <v>0</v>
      </c>
      <c r="D3191">
        <v>0</v>
      </c>
      <c r="E3191">
        <v>3</v>
      </c>
      <c r="F3191">
        <v>94801</v>
      </c>
      <c r="G3191">
        <v>2379</v>
      </c>
      <c r="H3191">
        <v>0</v>
      </c>
      <c r="J3191" t="str">
        <f>VLOOKUP(Table3[[#This Row],[Faction ID]],Table4[],2)</f>
        <v>Scouts of Rohan</v>
      </c>
    </row>
    <row r="3192" spans="1:10" x14ac:dyDescent="0.25">
      <c r="A3192">
        <v>82</v>
      </c>
      <c r="B3192" t="s">
        <v>33</v>
      </c>
      <c r="C3192">
        <v>6</v>
      </c>
      <c r="D3192">
        <v>4</v>
      </c>
      <c r="E3192">
        <v>80</v>
      </c>
      <c r="F3192">
        <v>86211</v>
      </c>
      <c r="G3192">
        <v>16039</v>
      </c>
      <c r="H3192">
        <v>728</v>
      </c>
      <c r="J3192" t="str">
        <f>VLOOKUP(Table3[[#This Row],[Faction ID]],Table4[],2)</f>
        <v>Northern Enedwaith</v>
      </c>
    </row>
    <row r="3193" spans="1:10" x14ac:dyDescent="0.25">
      <c r="A3193">
        <v>82</v>
      </c>
      <c r="B3193" t="s">
        <v>29</v>
      </c>
      <c r="C3193">
        <v>0</v>
      </c>
      <c r="D3193">
        <v>0</v>
      </c>
      <c r="E3193">
        <v>0</v>
      </c>
      <c r="F3193">
        <v>54023</v>
      </c>
      <c r="G3193">
        <v>1750</v>
      </c>
      <c r="H3193">
        <v>0</v>
      </c>
      <c r="J3193" t="str">
        <f>VLOOKUP(Table3[[#This Row],[Faction ID]],Table4[],2)</f>
        <v>Southern Enedwaith</v>
      </c>
    </row>
    <row r="3194" spans="1:10" x14ac:dyDescent="0.25">
      <c r="A3194">
        <v>82</v>
      </c>
      <c r="B3194" t="s">
        <v>30</v>
      </c>
      <c r="C3194">
        <v>0</v>
      </c>
      <c r="D3194">
        <v>0</v>
      </c>
      <c r="E3194">
        <v>0</v>
      </c>
      <c r="F3194">
        <v>32146</v>
      </c>
      <c r="G3194">
        <v>1750</v>
      </c>
      <c r="H3194">
        <v>0</v>
      </c>
      <c r="J3194" t="str">
        <f>VLOOKUP(Table3[[#This Row],[Faction ID]],Table4[],2)</f>
        <v>Druedain</v>
      </c>
    </row>
    <row r="3195" spans="1:10" x14ac:dyDescent="0.25">
      <c r="A3195">
        <v>82</v>
      </c>
      <c r="B3195" t="s">
        <v>31</v>
      </c>
      <c r="C3195">
        <v>0</v>
      </c>
      <c r="D3195">
        <v>0</v>
      </c>
      <c r="E3195">
        <v>0</v>
      </c>
      <c r="F3195">
        <v>15146</v>
      </c>
      <c r="G3195">
        <v>1750</v>
      </c>
      <c r="H3195">
        <v>0</v>
      </c>
      <c r="J3195" t="str">
        <f>VLOOKUP(Table3[[#This Row],[Faction ID]],Table4[],2)</f>
        <v>Harondor</v>
      </c>
    </row>
    <row r="3196" spans="1:10" x14ac:dyDescent="0.25">
      <c r="A3196">
        <v>82</v>
      </c>
      <c r="B3196" t="s">
        <v>35</v>
      </c>
      <c r="C3196">
        <v>0</v>
      </c>
      <c r="D3196">
        <v>0</v>
      </c>
      <c r="E3196">
        <v>0</v>
      </c>
      <c r="F3196">
        <v>4000</v>
      </c>
      <c r="G3196">
        <v>1750</v>
      </c>
      <c r="H3196">
        <v>0</v>
      </c>
      <c r="J3196" t="str">
        <f>VLOOKUP(Table3[[#This Row],[Faction ID]],Table4[],2)</f>
        <v>Southron Nomads</v>
      </c>
    </row>
    <row r="3197" spans="1:10" x14ac:dyDescent="0.25">
      <c r="A3197">
        <v>82</v>
      </c>
      <c r="B3197" t="s">
        <v>36</v>
      </c>
      <c r="C3197">
        <v>0</v>
      </c>
      <c r="D3197">
        <v>0</v>
      </c>
      <c r="E3197">
        <v>0</v>
      </c>
      <c r="F3197">
        <v>4000</v>
      </c>
      <c r="G3197">
        <v>1750</v>
      </c>
      <c r="H3197">
        <v>0</v>
      </c>
      <c r="J3197" t="str">
        <f>VLOOKUP(Table3[[#This Row],[Faction ID]],Table4[],2)</f>
        <v>_</v>
      </c>
    </row>
    <row r="3198" spans="1:10" x14ac:dyDescent="0.25">
      <c r="A3198">
        <v>82</v>
      </c>
      <c r="B3198" t="s">
        <v>37</v>
      </c>
      <c r="C3198">
        <v>0</v>
      </c>
      <c r="D3198">
        <v>0</v>
      </c>
      <c r="E3198">
        <v>0</v>
      </c>
      <c r="F3198">
        <v>4000</v>
      </c>
      <c r="G3198">
        <v>1750</v>
      </c>
      <c r="H3198">
        <v>0</v>
      </c>
      <c r="J3198" t="str">
        <f>VLOOKUP(Table3[[#This Row],[Faction ID]],Table4[],2)</f>
        <v>_</v>
      </c>
    </row>
    <row r="3199" spans="1:10" x14ac:dyDescent="0.25">
      <c r="A3199">
        <v>82</v>
      </c>
      <c r="B3199" t="s">
        <v>38</v>
      </c>
      <c r="C3199">
        <v>0</v>
      </c>
      <c r="D3199">
        <v>0</v>
      </c>
      <c r="E3199">
        <v>0</v>
      </c>
      <c r="F3199">
        <v>4000</v>
      </c>
      <c r="G3199">
        <v>1750</v>
      </c>
      <c r="H3199">
        <v>0</v>
      </c>
      <c r="J3199" t="str">
        <f>VLOOKUP(Table3[[#This Row],[Faction ID]],Table4[],2)</f>
        <v>_</v>
      </c>
    </row>
    <row r="3200" spans="1:10" x14ac:dyDescent="0.25">
      <c r="A3200">
        <v>82</v>
      </c>
      <c r="B3200" t="s">
        <v>39</v>
      </c>
      <c r="C3200">
        <v>0</v>
      </c>
      <c r="D3200">
        <v>0</v>
      </c>
      <c r="E3200">
        <v>0</v>
      </c>
      <c r="F3200">
        <v>4000</v>
      </c>
      <c r="G3200">
        <v>1750</v>
      </c>
      <c r="H3200">
        <v>0</v>
      </c>
      <c r="J3200" t="str">
        <f>VLOOKUP(Table3[[#This Row],[Faction ID]],Table4[],2)</f>
        <v>_</v>
      </c>
    </row>
    <row r="3201" spans="1:10" x14ac:dyDescent="0.25">
      <c r="A3201">
        <v>82</v>
      </c>
      <c r="B3201" t="s">
        <v>40</v>
      </c>
      <c r="C3201">
        <v>0</v>
      </c>
      <c r="D3201">
        <v>0</v>
      </c>
      <c r="E3201">
        <v>0</v>
      </c>
      <c r="F3201">
        <v>4000</v>
      </c>
      <c r="G3201">
        <v>1750</v>
      </c>
      <c r="H3201">
        <v>0</v>
      </c>
      <c r="J3201" t="str">
        <f>VLOOKUP(Table3[[#This Row],[Faction ID]],Table4[],2)</f>
        <v>_</v>
      </c>
    </row>
    <row r="3202" spans="1:10" x14ac:dyDescent="0.25">
      <c r="A3202">
        <v>82</v>
      </c>
      <c r="B3202" t="s">
        <v>41</v>
      </c>
      <c r="C3202">
        <v>0</v>
      </c>
      <c r="D3202">
        <v>0</v>
      </c>
      <c r="E3202">
        <v>0</v>
      </c>
      <c r="F3202">
        <v>4000</v>
      </c>
      <c r="G3202">
        <v>1750</v>
      </c>
      <c r="H3202">
        <v>0</v>
      </c>
      <c r="J3202" t="str">
        <f>VLOOKUP(Table3[[#This Row],[Faction ID]],Table4[],2)</f>
        <v>_</v>
      </c>
    </row>
    <row r="3203" spans="1:10" x14ac:dyDescent="0.25">
      <c r="A3203">
        <v>82</v>
      </c>
      <c r="B3203" t="s">
        <v>42</v>
      </c>
      <c r="C3203">
        <v>0</v>
      </c>
      <c r="D3203">
        <v>0</v>
      </c>
      <c r="E3203">
        <v>0</v>
      </c>
      <c r="F3203">
        <v>4000</v>
      </c>
      <c r="G3203">
        <v>1750</v>
      </c>
      <c r="H3203">
        <v>0</v>
      </c>
      <c r="J3203" t="str">
        <f>VLOOKUP(Table3[[#This Row],[Faction ID]],Table4[],2)</f>
        <v>_</v>
      </c>
    </row>
    <row r="3204" spans="1:10" x14ac:dyDescent="0.25">
      <c r="A3204">
        <v>82</v>
      </c>
      <c r="B3204" t="s">
        <v>43</v>
      </c>
      <c r="C3204">
        <v>0</v>
      </c>
      <c r="D3204">
        <v>0</v>
      </c>
      <c r="E3204">
        <v>0</v>
      </c>
      <c r="F3204">
        <v>4000</v>
      </c>
      <c r="G3204">
        <v>1750</v>
      </c>
      <c r="H3204">
        <v>0</v>
      </c>
      <c r="J3204" t="str">
        <f>VLOOKUP(Table3[[#This Row],[Faction ID]],Table4[],2)</f>
        <v>_</v>
      </c>
    </row>
    <row r="3205" spans="1:10" x14ac:dyDescent="0.25">
      <c r="A3205">
        <v>82</v>
      </c>
      <c r="B3205" t="s">
        <v>44</v>
      </c>
      <c r="C3205">
        <v>0</v>
      </c>
      <c r="D3205">
        <v>0</v>
      </c>
      <c r="E3205">
        <v>0</v>
      </c>
      <c r="F3205">
        <v>4000</v>
      </c>
      <c r="G3205">
        <v>1750</v>
      </c>
      <c r="H3205">
        <v>0</v>
      </c>
      <c r="J3205" t="str">
        <f>VLOOKUP(Table3[[#This Row],[Faction ID]],Table4[],2)</f>
        <v>_</v>
      </c>
    </row>
    <row r="3206" spans="1:10" x14ac:dyDescent="0.25">
      <c r="A3206">
        <v>83</v>
      </c>
      <c r="B3206" t="s">
        <v>9</v>
      </c>
      <c r="C3206">
        <v>309</v>
      </c>
      <c r="D3206">
        <v>26</v>
      </c>
      <c r="E3206">
        <v>295.10000000000002</v>
      </c>
      <c r="F3206">
        <v>7970</v>
      </c>
      <c r="G3206">
        <v>40566</v>
      </c>
      <c r="H3206">
        <v>2838</v>
      </c>
      <c r="J3206" t="str">
        <f>VLOOKUP(Table3[[#This Row],[Faction ID]],Table4[],2)</f>
        <v>Mordor</v>
      </c>
    </row>
    <row r="3207" spans="1:10" x14ac:dyDescent="0.25">
      <c r="A3207">
        <v>83</v>
      </c>
      <c r="B3207" t="s">
        <v>4</v>
      </c>
      <c r="C3207">
        <v>146</v>
      </c>
      <c r="D3207">
        <v>0</v>
      </c>
      <c r="E3207">
        <v>0</v>
      </c>
      <c r="F3207">
        <v>55420</v>
      </c>
      <c r="G3207">
        <v>2500</v>
      </c>
      <c r="H3207">
        <v>0</v>
      </c>
      <c r="J3207" t="str">
        <f>VLOOKUP(Table3[[#This Row],[Faction ID]],Table4[],2)</f>
        <v>Gondor</v>
      </c>
    </row>
    <row r="3208" spans="1:10" x14ac:dyDescent="0.25">
      <c r="A3208">
        <v>83</v>
      </c>
      <c r="B3208" t="s">
        <v>6</v>
      </c>
      <c r="C3208">
        <v>186</v>
      </c>
      <c r="D3208">
        <v>1</v>
      </c>
      <c r="E3208">
        <v>14.6</v>
      </c>
      <c r="F3208">
        <v>809</v>
      </c>
      <c r="G3208">
        <v>4939</v>
      </c>
      <c r="H3208">
        <v>0</v>
      </c>
      <c r="J3208" t="str">
        <f>VLOOKUP(Table3[[#This Row],[Faction ID]],Table4[],2)</f>
        <v>Dale</v>
      </c>
    </row>
    <row r="3209" spans="1:10" x14ac:dyDescent="0.25">
      <c r="A3209">
        <v>83</v>
      </c>
      <c r="B3209" t="s">
        <v>21</v>
      </c>
      <c r="C3209">
        <v>200</v>
      </c>
      <c r="D3209">
        <v>0</v>
      </c>
      <c r="E3209">
        <v>0</v>
      </c>
      <c r="F3209">
        <v>10040</v>
      </c>
      <c r="G3209">
        <v>2500</v>
      </c>
      <c r="H3209">
        <v>0</v>
      </c>
      <c r="J3209" t="str">
        <f>VLOOKUP(Table3[[#This Row],[Faction ID]],Table4[],2)</f>
        <v>Erebor</v>
      </c>
    </row>
    <row r="3210" spans="1:10" x14ac:dyDescent="0.25">
      <c r="A3210">
        <v>83</v>
      </c>
      <c r="B3210" t="s">
        <v>5</v>
      </c>
      <c r="C3210">
        <v>157</v>
      </c>
      <c r="D3210">
        <v>0</v>
      </c>
      <c r="E3210">
        <v>0</v>
      </c>
      <c r="F3210">
        <v>6638</v>
      </c>
      <c r="G3210">
        <v>2500</v>
      </c>
      <c r="H3210">
        <v>0</v>
      </c>
      <c r="J3210" t="str">
        <f>VLOOKUP(Table3[[#This Row],[Faction ID]],Table4[],2)</f>
        <v>Rohan</v>
      </c>
    </row>
    <row r="3211" spans="1:10" x14ac:dyDescent="0.25">
      <c r="A3211">
        <v>83</v>
      </c>
      <c r="B3211" t="s">
        <v>12</v>
      </c>
      <c r="C3211">
        <v>252</v>
      </c>
      <c r="D3211">
        <v>16</v>
      </c>
      <c r="E3211">
        <v>245.1</v>
      </c>
      <c r="F3211">
        <v>17850</v>
      </c>
      <c r="G3211">
        <v>34347</v>
      </c>
      <c r="H3211">
        <v>2442</v>
      </c>
      <c r="J3211" t="str">
        <f>VLOOKUP(Table3[[#This Row],[Faction ID]],Table4[],2)</f>
        <v>Dol Guldur</v>
      </c>
    </row>
    <row r="3212" spans="1:10" x14ac:dyDescent="0.25">
      <c r="A3212">
        <v>83</v>
      </c>
      <c r="B3212" t="s">
        <v>10</v>
      </c>
      <c r="C3212">
        <v>58</v>
      </c>
      <c r="D3212">
        <v>0</v>
      </c>
      <c r="E3212">
        <v>0</v>
      </c>
      <c r="F3212">
        <v>4515</v>
      </c>
      <c r="G3212">
        <v>2500</v>
      </c>
      <c r="H3212">
        <v>0</v>
      </c>
      <c r="J3212" t="str">
        <f>VLOOKUP(Table3[[#This Row],[Faction ID]],Table4[],2)</f>
        <v>Anduin Vale</v>
      </c>
    </row>
    <row r="3213" spans="1:10" x14ac:dyDescent="0.25">
      <c r="A3213">
        <v>83</v>
      </c>
      <c r="B3213" t="s">
        <v>32</v>
      </c>
      <c r="C3213">
        <v>247</v>
      </c>
      <c r="D3213">
        <v>8</v>
      </c>
      <c r="E3213">
        <v>194</v>
      </c>
      <c r="F3213">
        <v>50370</v>
      </c>
      <c r="G3213">
        <v>25521</v>
      </c>
      <c r="H3213">
        <v>1286</v>
      </c>
      <c r="J3213" t="str">
        <f>VLOOKUP(Table3[[#This Row],[Faction ID]],Table4[],2)</f>
        <v>Isengard</v>
      </c>
    </row>
    <row r="3214" spans="1:10" x14ac:dyDescent="0.25">
      <c r="A3214">
        <v>83</v>
      </c>
      <c r="B3214" t="s">
        <v>22</v>
      </c>
      <c r="C3214">
        <v>30</v>
      </c>
      <c r="D3214">
        <v>0</v>
      </c>
      <c r="E3214">
        <v>0</v>
      </c>
      <c r="F3214">
        <v>8475</v>
      </c>
      <c r="G3214">
        <v>2500</v>
      </c>
      <c r="H3214">
        <v>0</v>
      </c>
      <c r="J3214" t="str">
        <f>VLOOKUP(Table3[[#This Row],[Faction ID]],Table4[],2)</f>
        <v>Woodland Realm</v>
      </c>
    </row>
    <row r="3215" spans="1:10" x14ac:dyDescent="0.25">
      <c r="A3215">
        <v>83</v>
      </c>
      <c r="B3215" t="s">
        <v>23</v>
      </c>
      <c r="C3215">
        <v>64</v>
      </c>
      <c r="D3215">
        <v>0</v>
      </c>
      <c r="E3215">
        <v>0</v>
      </c>
      <c r="F3215">
        <v>4721</v>
      </c>
      <c r="G3215">
        <v>2500</v>
      </c>
      <c r="H3215">
        <v>0</v>
      </c>
      <c r="J3215" t="str">
        <f>VLOOKUP(Table3[[#This Row],[Faction ID]],Table4[],2)</f>
        <v>Lothlorien</v>
      </c>
    </row>
    <row r="3216" spans="1:10" x14ac:dyDescent="0.25">
      <c r="A3216">
        <v>83</v>
      </c>
      <c r="B3216" t="s">
        <v>24</v>
      </c>
      <c r="C3216">
        <v>0</v>
      </c>
      <c r="D3216">
        <v>0</v>
      </c>
      <c r="E3216">
        <v>0</v>
      </c>
      <c r="F3216">
        <v>4919</v>
      </c>
      <c r="G3216">
        <v>1750</v>
      </c>
      <c r="H3216">
        <v>0</v>
      </c>
      <c r="J3216" t="str">
        <f>VLOOKUP(Table3[[#This Row],[Faction ID]],Table4[],2)</f>
        <v>Variags (Khand)</v>
      </c>
    </row>
    <row r="3217" spans="1:10" x14ac:dyDescent="0.25">
      <c r="A3217">
        <v>83</v>
      </c>
      <c r="B3217" t="s">
        <v>14</v>
      </c>
      <c r="C3217">
        <v>11</v>
      </c>
      <c r="D3217">
        <v>8</v>
      </c>
      <c r="E3217">
        <v>163</v>
      </c>
      <c r="F3217">
        <v>99592</v>
      </c>
      <c r="G3217">
        <v>32731</v>
      </c>
      <c r="H3217">
        <v>2397</v>
      </c>
      <c r="J3217" t="str">
        <f>VLOOKUP(Table3[[#This Row],[Faction ID]],Table4[],2)</f>
        <v>Corsairs of Umbar</v>
      </c>
    </row>
    <row r="3218" spans="1:10" x14ac:dyDescent="0.25">
      <c r="A3218">
        <v>83</v>
      </c>
      <c r="B3218" t="s">
        <v>25</v>
      </c>
      <c r="C3218">
        <v>0</v>
      </c>
      <c r="D3218">
        <v>0</v>
      </c>
      <c r="E3218">
        <v>0</v>
      </c>
      <c r="F3218">
        <v>9228</v>
      </c>
      <c r="G3218">
        <v>1750</v>
      </c>
      <c r="H3218">
        <v>0</v>
      </c>
      <c r="J3218" t="str">
        <f>VLOOKUP(Table3[[#This Row],[Faction ID]],Table4[],2)</f>
        <v>Mahud</v>
      </c>
    </row>
    <row r="3219" spans="1:10" x14ac:dyDescent="0.25">
      <c r="A3219">
        <v>83</v>
      </c>
      <c r="B3219" t="s">
        <v>11</v>
      </c>
      <c r="C3219">
        <v>141</v>
      </c>
      <c r="D3219">
        <v>8</v>
      </c>
      <c r="E3219">
        <v>168</v>
      </c>
      <c r="F3219">
        <v>16515</v>
      </c>
      <c r="G3219">
        <v>22445</v>
      </c>
      <c r="H3219">
        <v>560</v>
      </c>
      <c r="J3219" t="str">
        <f>VLOOKUP(Table3[[#This Row],[Faction ID]],Table4[],2)</f>
        <v>Haradrim</v>
      </c>
    </row>
    <row r="3220" spans="1:10" x14ac:dyDescent="0.25">
      <c r="A3220">
        <v>83</v>
      </c>
      <c r="B3220" t="s">
        <v>15</v>
      </c>
      <c r="C3220">
        <v>158</v>
      </c>
      <c r="D3220">
        <v>12</v>
      </c>
      <c r="E3220">
        <v>191</v>
      </c>
      <c r="F3220">
        <v>202985</v>
      </c>
      <c r="G3220">
        <v>31120</v>
      </c>
      <c r="H3220">
        <v>2383</v>
      </c>
      <c r="J3220" t="str">
        <f>VLOOKUP(Table3[[#This Row],[Faction ID]],Table4[],2)</f>
        <v>Dunlendings</v>
      </c>
    </row>
    <row r="3221" spans="1:10" x14ac:dyDescent="0.25">
      <c r="A3221">
        <v>83</v>
      </c>
      <c r="B3221" t="s">
        <v>16</v>
      </c>
      <c r="C3221">
        <v>0</v>
      </c>
      <c r="D3221">
        <v>0</v>
      </c>
      <c r="E3221">
        <v>0</v>
      </c>
      <c r="F3221">
        <v>5352</v>
      </c>
      <c r="G3221">
        <v>1750</v>
      </c>
      <c r="H3221">
        <v>0</v>
      </c>
      <c r="J3221" t="str">
        <f>VLOOKUP(Table3[[#This Row],[Faction ID]],Table4[],2)</f>
        <v>Haerrim</v>
      </c>
    </row>
    <row r="3222" spans="1:10" x14ac:dyDescent="0.25">
      <c r="A3222">
        <v>83</v>
      </c>
      <c r="B3222" t="s">
        <v>13</v>
      </c>
      <c r="C3222">
        <v>393</v>
      </c>
      <c r="D3222">
        <v>19</v>
      </c>
      <c r="E3222">
        <v>376.4</v>
      </c>
      <c r="F3222">
        <v>20065</v>
      </c>
      <c r="G3222">
        <v>52894</v>
      </c>
      <c r="H3222">
        <v>5344</v>
      </c>
      <c r="J3222" t="str">
        <f>VLOOKUP(Table3[[#This Row],[Faction ID]],Table4[],2)</f>
        <v>Goblins</v>
      </c>
    </row>
    <row r="3223" spans="1:10" x14ac:dyDescent="0.25">
      <c r="A3223">
        <v>83</v>
      </c>
      <c r="B3223" t="s">
        <v>17</v>
      </c>
      <c r="C3223">
        <v>0</v>
      </c>
      <c r="D3223">
        <v>0</v>
      </c>
      <c r="E3223">
        <v>0</v>
      </c>
      <c r="F3223">
        <v>4872</v>
      </c>
      <c r="G3223">
        <v>1750</v>
      </c>
      <c r="H3223">
        <v>0</v>
      </c>
      <c r="J3223" t="str">
        <f>VLOOKUP(Table3[[#This Row],[Faction ID]],Table4[],2)</f>
        <v>Balchoth</v>
      </c>
    </row>
    <row r="3224" spans="1:10" x14ac:dyDescent="0.25">
      <c r="A3224">
        <v>83</v>
      </c>
      <c r="B3224" t="s">
        <v>18</v>
      </c>
      <c r="C3224">
        <v>247</v>
      </c>
      <c r="D3224">
        <v>33</v>
      </c>
      <c r="E3224">
        <v>461.9</v>
      </c>
      <c r="F3224">
        <v>133335</v>
      </c>
      <c r="G3224">
        <v>46722</v>
      </c>
      <c r="H3224">
        <v>2535</v>
      </c>
      <c r="J3224" t="str">
        <f>VLOOKUP(Table3[[#This Row],[Faction ID]],Table4[],2)</f>
        <v>Rhurim/Rhun</v>
      </c>
    </row>
    <row r="3225" spans="1:10" x14ac:dyDescent="0.25">
      <c r="A3225">
        <v>83</v>
      </c>
      <c r="B3225" t="s">
        <v>19</v>
      </c>
      <c r="C3225">
        <v>0</v>
      </c>
      <c r="D3225">
        <v>0</v>
      </c>
      <c r="E3225">
        <v>0</v>
      </c>
      <c r="F3225">
        <v>7360</v>
      </c>
      <c r="G3225">
        <v>1750</v>
      </c>
      <c r="H3225">
        <v>0</v>
      </c>
      <c r="J3225" t="str">
        <f>VLOOKUP(Table3[[#This Row],[Faction ID]],Table4[],2)</f>
        <v>Feredrim</v>
      </c>
    </row>
    <row r="3226" spans="1:10" x14ac:dyDescent="0.25">
      <c r="A3226">
        <v>83</v>
      </c>
      <c r="B3226" t="s">
        <v>26</v>
      </c>
      <c r="C3226">
        <v>0</v>
      </c>
      <c r="D3226">
        <v>0</v>
      </c>
      <c r="E3226">
        <v>0</v>
      </c>
      <c r="F3226">
        <v>6395</v>
      </c>
      <c r="G3226">
        <v>1750</v>
      </c>
      <c r="H3226">
        <v>0</v>
      </c>
      <c r="J3226" t="str">
        <f>VLOOKUP(Table3[[#This Row],[Faction ID]],Table4[],2)</f>
        <v>Rachrohir (Wainriders)</v>
      </c>
    </row>
    <row r="3227" spans="1:10" x14ac:dyDescent="0.25">
      <c r="A3227">
        <v>83</v>
      </c>
      <c r="B3227" t="s">
        <v>27</v>
      </c>
      <c r="C3227">
        <v>1</v>
      </c>
      <c r="D3227">
        <v>1</v>
      </c>
      <c r="E3227">
        <v>38.700000000000003</v>
      </c>
      <c r="F3227">
        <v>38999</v>
      </c>
      <c r="G3227">
        <v>6882</v>
      </c>
      <c r="H3227">
        <v>0</v>
      </c>
      <c r="J3227" t="str">
        <f>VLOOKUP(Table3[[#This Row],[Faction ID]],Table4[],2)</f>
        <v>Blacklock-Stonefoot League</v>
      </c>
    </row>
    <row r="3228" spans="1:10" x14ac:dyDescent="0.25">
      <c r="A3228">
        <v>83</v>
      </c>
      <c r="B3228" t="s">
        <v>28</v>
      </c>
      <c r="C3228">
        <v>4</v>
      </c>
      <c r="D3228">
        <v>2</v>
      </c>
      <c r="E3228">
        <v>40</v>
      </c>
      <c r="F3228">
        <v>61499</v>
      </c>
      <c r="G3228">
        <v>8583</v>
      </c>
      <c r="H3228">
        <v>0</v>
      </c>
      <c r="J3228" t="str">
        <f>VLOOKUP(Table3[[#This Row],[Faction ID]],Table4[],2)</f>
        <v>Ironfist-Stiffbeard Union</v>
      </c>
    </row>
    <row r="3229" spans="1:10" x14ac:dyDescent="0.25">
      <c r="A3229">
        <v>83</v>
      </c>
      <c r="B3229" t="s">
        <v>20</v>
      </c>
      <c r="C3229">
        <v>228</v>
      </c>
      <c r="D3229">
        <v>17</v>
      </c>
      <c r="E3229">
        <v>319</v>
      </c>
      <c r="F3229">
        <v>47175</v>
      </c>
      <c r="G3229">
        <v>43393</v>
      </c>
      <c r="H3229">
        <v>1975</v>
      </c>
      <c r="J3229" t="str">
        <f>VLOOKUP(Table3[[#This Row],[Faction ID]],Table4[],2)</f>
        <v>Gundabad</v>
      </c>
    </row>
    <row r="3230" spans="1:10" x14ac:dyDescent="0.25">
      <c r="A3230">
        <v>83</v>
      </c>
      <c r="B3230" t="s">
        <v>34</v>
      </c>
      <c r="C3230">
        <v>0</v>
      </c>
      <c r="D3230">
        <v>0</v>
      </c>
      <c r="E3230">
        <v>3</v>
      </c>
      <c r="F3230">
        <v>95922</v>
      </c>
      <c r="G3230">
        <v>2379</v>
      </c>
      <c r="H3230">
        <v>0</v>
      </c>
      <c r="J3230" t="str">
        <f>VLOOKUP(Table3[[#This Row],[Faction ID]],Table4[],2)</f>
        <v>Scouts of Rohan</v>
      </c>
    </row>
    <row r="3231" spans="1:10" x14ac:dyDescent="0.25">
      <c r="A3231">
        <v>83</v>
      </c>
      <c r="B3231" t="s">
        <v>33</v>
      </c>
      <c r="C3231">
        <v>6</v>
      </c>
      <c r="D3231">
        <v>4</v>
      </c>
      <c r="E3231">
        <v>81</v>
      </c>
      <c r="F3231">
        <v>88088</v>
      </c>
      <c r="G3231">
        <v>16183</v>
      </c>
      <c r="H3231">
        <v>730</v>
      </c>
      <c r="J3231" t="str">
        <f>VLOOKUP(Table3[[#This Row],[Faction ID]],Table4[],2)</f>
        <v>Northern Enedwaith</v>
      </c>
    </row>
    <row r="3232" spans="1:10" x14ac:dyDescent="0.25">
      <c r="A3232">
        <v>83</v>
      </c>
      <c r="B3232" t="s">
        <v>29</v>
      </c>
      <c r="C3232">
        <v>0</v>
      </c>
      <c r="D3232">
        <v>0</v>
      </c>
      <c r="E3232">
        <v>0</v>
      </c>
      <c r="F3232">
        <v>54023</v>
      </c>
      <c r="G3232">
        <v>1750</v>
      </c>
      <c r="H3232">
        <v>0</v>
      </c>
      <c r="J3232" t="str">
        <f>VLOOKUP(Table3[[#This Row],[Faction ID]],Table4[],2)</f>
        <v>Southern Enedwaith</v>
      </c>
    </row>
    <row r="3233" spans="1:10" x14ac:dyDescent="0.25">
      <c r="A3233">
        <v>83</v>
      </c>
      <c r="B3233" t="s">
        <v>30</v>
      </c>
      <c r="C3233">
        <v>0</v>
      </c>
      <c r="D3233">
        <v>0</v>
      </c>
      <c r="E3233">
        <v>0</v>
      </c>
      <c r="F3233">
        <v>32146</v>
      </c>
      <c r="G3233">
        <v>1750</v>
      </c>
      <c r="H3233">
        <v>0</v>
      </c>
      <c r="J3233" t="str">
        <f>VLOOKUP(Table3[[#This Row],[Faction ID]],Table4[],2)</f>
        <v>Druedain</v>
      </c>
    </row>
    <row r="3234" spans="1:10" x14ac:dyDescent="0.25">
      <c r="A3234">
        <v>83</v>
      </c>
      <c r="B3234" t="s">
        <v>31</v>
      </c>
      <c r="C3234">
        <v>0</v>
      </c>
      <c r="D3234">
        <v>0</v>
      </c>
      <c r="E3234">
        <v>0</v>
      </c>
      <c r="F3234">
        <v>15146</v>
      </c>
      <c r="G3234">
        <v>1750</v>
      </c>
      <c r="H3234">
        <v>0</v>
      </c>
      <c r="J3234" t="str">
        <f>VLOOKUP(Table3[[#This Row],[Faction ID]],Table4[],2)</f>
        <v>Harondor</v>
      </c>
    </row>
    <row r="3235" spans="1:10" x14ac:dyDescent="0.25">
      <c r="A3235">
        <v>83</v>
      </c>
      <c r="B3235" t="s">
        <v>35</v>
      </c>
      <c r="C3235">
        <v>0</v>
      </c>
      <c r="D3235">
        <v>0</v>
      </c>
      <c r="E3235">
        <v>0</v>
      </c>
      <c r="F3235">
        <v>4000</v>
      </c>
      <c r="G3235">
        <v>1750</v>
      </c>
      <c r="H3235">
        <v>0</v>
      </c>
      <c r="J3235" t="str">
        <f>VLOOKUP(Table3[[#This Row],[Faction ID]],Table4[],2)</f>
        <v>Southron Nomads</v>
      </c>
    </row>
    <row r="3236" spans="1:10" x14ac:dyDescent="0.25">
      <c r="A3236">
        <v>83</v>
      </c>
      <c r="B3236" t="s">
        <v>36</v>
      </c>
      <c r="C3236">
        <v>0</v>
      </c>
      <c r="D3236">
        <v>0</v>
      </c>
      <c r="E3236">
        <v>0</v>
      </c>
      <c r="F3236">
        <v>4000</v>
      </c>
      <c r="G3236">
        <v>1750</v>
      </c>
      <c r="H3236">
        <v>0</v>
      </c>
      <c r="J3236" t="str">
        <f>VLOOKUP(Table3[[#This Row],[Faction ID]],Table4[],2)</f>
        <v>_</v>
      </c>
    </row>
    <row r="3237" spans="1:10" x14ac:dyDescent="0.25">
      <c r="A3237">
        <v>83</v>
      </c>
      <c r="B3237" t="s">
        <v>37</v>
      </c>
      <c r="C3237">
        <v>0</v>
      </c>
      <c r="D3237">
        <v>0</v>
      </c>
      <c r="E3237">
        <v>0</v>
      </c>
      <c r="F3237">
        <v>4000</v>
      </c>
      <c r="G3237">
        <v>1750</v>
      </c>
      <c r="H3237">
        <v>0</v>
      </c>
      <c r="J3237" t="str">
        <f>VLOOKUP(Table3[[#This Row],[Faction ID]],Table4[],2)</f>
        <v>_</v>
      </c>
    </row>
    <row r="3238" spans="1:10" x14ac:dyDescent="0.25">
      <c r="A3238">
        <v>83</v>
      </c>
      <c r="B3238" t="s">
        <v>38</v>
      </c>
      <c r="C3238">
        <v>0</v>
      </c>
      <c r="D3238">
        <v>0</v>
      </c>
      <c r="E3238">
        <v>0</v>
      </c>
      <c r="F3238">
        <v>4000</v>
      </c>
      <c r="G3238">
        <v>1750</v>
      </c>
      <c r="H3238">
        <v>0</v>
      </c>
      <c r="J3238" t="str">
        <f>VLOOKUP(Table3[[#This Row],[Faction ID]],Table4[],2)</f>
        <v>_</v>
      </c>
    </row>
    <row r="3239" spans="1:10" x14ac:dyDescent="0.25">
      <c r="A3239">
        <v>83</v>
      </c>
      <c r="B3239" t="s">
        <v>39</v>
      </c>
      <c r="C3239">
        <v>0</v>
      </c>
      <c r="D3239">
        <v>0</v>
      </c>
      <c r="E3239">
        <v>0</v>
      </c>
      <c r="F3239">
        <v>4000</v>
      </c>
      <c r="G3239">
        <v>1750</v>
      </c>
      <c r="H3239">
        <v>0</v>
      </c>
      <c r="J3239" t="str">
        <f>VLOOKUP(Table3[[#This Row],[Faction ID]],Table4[],2)</f>
        <v>_</v>
      </c>
    </row>
    <row r="3240" spans="1:10" x14ac:dyDescent="0.25">
      <c r="A3240">
        <v>83</v>
      </c>
      <c r="B3240" t="s">
        <v>40</v>
      </c>
      <c r="C3240">
        <v>0</v>
      </c>
      <c r="D3240">
        <v>0</v>
      </c>
      <c r="E3240">
        <v>0</v>
      </c>
      <c r="F3240">
        <v>4000</v>
      </c>
      <c r="G3240">
        <v>1750</v>
      </c>
      <c r="H3240">
        <v>0</v>
      </c>
      <c r="J3240" t="str">
        <f>VLOOKUP(Table3[[#This Row],[Faction ID]],Table4[],2)</f>
        <v>_</v>
      </c>
    </row>
    <row r="3241" spans="1:10" x14ac:dyDescent="0.25">
      <c r="A3241">
        <v>83</v>
      </c>
      <c r="B3241" t="s">
        <v>41</v>
      </c>
      <c r="C3241">
        <v>0</v>
      </c>
      <c r="D3241">
        <v>0</v>
      </c>
      <c r="E3241">
        <v>0</v>
      </c>
      <c r="F3241">
        <v>4000</v>
      </c>
      <c r="G3241">
        <v>1750</v>
      </c>
      <c r="H3241">
        <v>0</v>
      </c>
      <c r="J3241" t="str">
        <f>VLOOKUP(Table3[[#This Row],[Faction ID]],Table4[],2)</f>
        <v>_</v>
      </c>
    </row>
    <row r="3242" spans="1:10" x14ac:dyDescent="0.25">
      <c r="A3242">
        <v>83</v>
      </c>
      <c r="B3242" t="s">
        <v>42</v>
      </c>
      <c r="C3242">
        <v>0</v>
      </c>
      <c r="D3242">
        <v>0</v>
      </c>
      <c r="E3242">
        <v>0</v>
      </c>
      <c r="F3242">
        <v>4000</v>
      </c>
      <c r="G3242">
        <v>1750</v>
      </c>
      <c r="H3242">
        <v>0</v>
      </c>
      <c r="J3242" t="str">
        <f>VLOOKUP(Table3[[#This Row],[Faction ID]],Table4[],2)</f>
        <v>_</v>
      </c>
    </row>
    <row r="3243" spans="1:10" x14ac:dyDescent="0.25">
      <c r="A3243">
        <v>83</v>
      </c>
      <c r="B3243" t="s">
        <v>43</v>
      </c>
      <c r="C3243">
        <v>0</v>
      </c>
      <c r="D3243">
        <v>0</v>
      </c>
      <c r="E3243">
        <v>0</v>
      </c>
      <c r="F3243">
        <v>4000</v>
      </c>
      <c r="G3243">
        <v>1750</v>
      </c>
      <c r="H3243">
        <v>0</v>
      </c>
      <c r="J3243" t="str">
        <f>VLOOKUP(Table3[[#This Row],[Faction ID]],Table4[],2)</f>
        <v>_</v>
      </c>
    </row>
    <row r="3244" spans="1:10" x14ac:dyDescent="0.25">
      <c r="A3244">
        <v>83</v>
      </c>
      <c r="B3244" t="s">
        <v>44</v>
      </c>
      <c r="C3244">
        <v>0</v>
      </c>
      <c r="D3244">
        <v>0</v>
      </c>
      <c r="E3244">
        <v>0</v>
      </c>
      <c r="F3244">
        <v>4000</v>
      </c>
      <c r="G3244">
        <v>1750</v>
      </c>
      <c r="H3244">
        <v>0</v>
      </c>
      <c r="J3244" t="str">
        <f>VLOOKUP(Table3[[#This Row],[Faction ID]],Table4[],2)</f>
        <v>_</v>
      </c>
    </row>
    <row r="3245" spans="1:10" x14ac:dyDescent="0.25">
      <c r="A3245">
        <v>84</v>
      </c>
      <c r="B3245" t="s">
        <v>9</v>
      </c>
      <c r="C3245">
        <v>314</v>
      </c>
      <c r="D3245">
        <v>26</v>
      </c>
      <c r="E3245">
        <v>295.10000000000002</v>
      </c>
      <c r="F3245">
        <v>9467</v>
      </c>
      <c r="G3245">
        <v>40501</v>
      </c>
      <c r="H3245">
        <v>2636</v>
      </c>
      <c r="J3245" t="str">
        <f>VLOOKUP(Table3[[#This Row],[Faction ID]],Table4[],2)</f>
        <v>Mordor</v>
      </c>
    </row>
    <row r="3246" spans="1:10" x14ac:dyDescent="0.25">
      <c r="A3246">
        <v>84</v>
      </c>
      <c r="B3246" t="s">
        <v>4</v>
      </c>
      <c r="C3246">
        <v>146</v>
      </c>
      <c r="D3246">
        <v>0</v>
      </c>
      <c r="E3246">
        <v>0</v>
      </c>
      <c r="F3246">
        <v>55420</v>
      </c>
      <c r="G3246">
        <v>2500</v>
      </c>
      <c r="H3246">
        <v>0</v>
      </c>
      <c r="J3246" t="str">
        <f>VLOOKUP(Table3[[#This Row],[Faction ID]],Table4[],2)</f>
        <v>Gondor</v>
      </c>
    </row>
    <row r="3247" spans="1:10" x14ac:dyDescent="0.25">
      <c r="A3247">
        <v>84</v>
      </c>
      <c r="B3247" t="s">
        <v>6</v>
      </c>
      <c r="C3247">
        <v>186</v>
      </c>
      <c r="D3247">
        <v>1</v>
      </c>
      <c r="E3247">
        <v>14.6</v>
      </c>
      <c r="F3247">
        <v>951</v>
      </c>
      <c r="G3247">
        <v>4939</v>
      </c>
      <c r="H3247">
        <v>0</v>
      </c>
      <c r="J3247" t="str">
        <f>VLOOKUP(Table3[[#This Row],[Faction ID]],Table4[],2)</f>
        <v>Dale</v>
      </c>
    </row>
    <row r="3248" spans="1:10" x14ac:dyDescent="0.25">
      <c r="A3248">
        <v>84</v>
      </c>
      <c r="B3248" t="s">
        <v>21</v>
      </c>
      <c r="C3248">
        <v>200</v>
      </c>
      <c r="D3248">
        <v>0</v>
      </c>
      <c r="E3248">
        <v>0</v>
      </c>
      <c r="F3248">
        <v>10040</v>
      </c>
      <c r="G3248">
        <v>2500</v>
      </c>
      <c r="H3248">
        <v>0</v>
      </c>
      <c r="J3248" t="str">
        <f>VLOOKUP(Table3[[#This Row],[Faction ID]],Table4[],2)</f>
        <v>Erebor</v>
      </c>
    </row>
    <row r="3249" spans="1:10" x14ac:dyDescent="0.25">
      <c r="A3249">
        <v>84</v>
      </c>
      <c r="B3249" t="s">
        <v>5</v>
      </c>
      <c r="C3249">
        <v>157</v>
      </c>
      <c r="D3249">
        <v>0</v>
      </c>
      <c r="E3249">
        <v>0</v>
      </c>
      <c r="F3249">
        <v>6638</v>
      </c>
      <c r="G3249">
        <v>2500</v>
      </c>
      <c r="H3249">
        <v>0</v>
      </c>
      <c r="J3249" t="str">
        <f>VLOOKUP(Table3[[#This Row],[Faction ID]],Table4[],2)</f>
        <v>Rohan</v>
      </c>
    </row>
    <row r="3250" spans="1:10" x14ac:dyDescent="0.25">
      <c r="A3250">
        <v>84</v>
      </c>
      <c r="B3250" t="s">
        <v>12</v>
      </c>
      <c r="C3250">
        <v>252</v>
      </c>
      <c r="D3250">
        <v>16</v>
      </c>
      <c r="E3250">
        <v>249.1</v>
      </c>
      <c r="F3250">
        <v>18870</v>
      </c>
      <c r="G3250">
        <v>33629</v>
      </c>
      <c r="H3250">
        <v>2380</v>
      </c>
      <c r="J3250" t="str">
        <f>VLOOKUP(Table3[[#This Row],[Faction ID]],Table4[],2)</f>
        <v>Dol Guldur</v>
      </c>
    </row>
    <row r="3251" spans="1:10" x14ac:dyDescent="0.25">
      <c r="A3251">
        <v>84</v>
      </c>
      <c r="B3251" t="s">
        <v>10</v>
      </c>
      <c r="C3251">
        <v>58</v>
      </c>
      <c r="D3251">
        <v>0</v>
      </c>
      <c r="E3251">
        <v>0</v>
      </c>
      <c r="F3251">
        <v>4515</v>
      </c>
      <c r="G3251">
        <v>2500</v>
      </c>
      <c r="H3251">
        <v>0</v>
      </c>
      <c r="J3251" t="str">
        <f>VLOOKUP(Table3[[#This Row],[Faction ID]],Table4[],2)</f>
        <v>Anduin Vale</v>
      </c>
    </row>
    <row r="3252" spans="1:10" x14ac:dyDescent="0.25">
      <c r="A3252">
        <v>84</v>
      </c>
      <c r="B3252" t="s">
        <v>32</v>
      </c>
      <c r="C3252">
        <v>247</v>
      </c>
      <c r="D3252">
        <v>8</v>
      </c>
      <c r="E3252">
        <v>194</v>
      </c>
      <c r="F3252">
        <v>53981</v>
      </c>
      <c r="G3252">
        <v>25522</v>
      </c>
      <c r="H3252">
        <v>1287</v>
      </c>
      <c r="J3252" t="str">
        <f>VLOOKUP(Table3[[#This Row],[Faction ID]],Table4[],2)</f>
        <v>Isengard</v>
      </c>
    </row>
    <row r="3253" spans="1:10" x14ac:dyDescent="0.25">
      <c r="A3253">
        <v>84</v>
      </c>
      <c r="B3253" t="s">
        <v>22</v>
      </c>
      <c r="C3253">
        <v>30</v>
      </c>
      <c r="D3253">
        <v>0</v>
      </c>
      <c r="E3253">
        <v>0</v>
      </c>
      <c r="F3253">
        <v>8475</v>
      </c>
      <c r="G3253">
        <v>2500</v>
      </c>
      <c r="H3253">
        <v>0</v>
      </c>
      <c r="J3253" t="str">
        <f>VLOOKUP(Table3[[#This Row],[Faction ID]],Table4[],2)</f>
        <v>Woodland Realm</v>
      </c>
    </row>
    <row r="3254" spans="1:10" x14ac:dyDescent="0.25">
      <c r="A3254">
        <v>84</v>
      </c>
      <c r="B3254" t="s">
        <v>23</v>
      </c>
      <c r="C3254">
        <v>64</v>
      </c>
      <c r="D3254">
        <v>0</v>
      </c>
      <c r="E3254">
        <v>0</v>
      </c>
      <c r="F3254">
        <v>4721</v>
      </c>
      <c r="G3254">
        <v>2500</v>
      </c>
      <c r="H3254">
        <v>0</v>
      </c>
      <c r="J3254" t="str">
        <f>VLOOKUP(Table3[[#This Row],[Faction ID]],Table4[],2)</f>
        <v>Lothlorien</v>
      </c>
    </row>
    <row r="3255" spans="1:10" x14ac:dyDescent="0.25">
      <c r="A3255">
        <v>84</v>
      </c>
      <c r="B3255" t="s">
        <v>24</v>
      </c>
      <c r="C3255">
        <v>0</v>
      </c>
      <c r="D3255">
        <v>0</v>
      </c>
      <c r="E3255">
        <v>0</v>
      </c>
      <c r="F3255">
        <v>4919</v>
      </c>
      <c r="G3255">
        <v>1750</v>
      </c>
      <c r="H3255">
        <v>0</v>
      </c>
      <c r="J3255" t="str">
        <f>VLOOKUP(Table3[[#This Row],[Faction ID]],Table4[],2)</f>
        <v>Variags (Khand)</v>
      </c>
    </row>
    <row r="3256" spans="1:10" x14ac:dyDescent="0.25">
      <c r="A3256">
        <v>84</v>
      </c>
      <c r="B3256" t="s">
        <v>14</v>
      </c>
      <c r="C3256">
        <v>11</v>
      </c>
      <c r="D3256">
        <v>8</v>
      </c>
      <c r="E3256">
        <v>162</v>
      </c>
      <c r="F3256">
        <v>90295</v>
      </c>
      <c r="G3256">
        <v>32185</v>
      </c>
      <c r="H3256">
        <v>2396</v>
      </c>
      <c r="J3256" t="str">
        <f>VLOOKUP(Table3[[#This Row],[Faction ID]],Table4[],2)</f>
        <v>Corsairs of Umbar</v>
      </c>
    </row>
    <row r="3257" spans="1:10" x14ac:dyDescent="0.25">
      <c r="A3257">
        <v>84</v>
      </c>
      <c r="B3257" t="s">
        <v>25</v>
      </c>
      <c r="C3257">
        <v>0</v>
      </c>
      <c r="D3257">
        <v>0</v>
      </c>
      <c r="E3257">
        <v>0</v>
      </c>
      <c r="F3257">
        <v>9228</v>
      </c>
      <c r="G3257">
        <v>1750</v>
      </c>
      <c r="H3257">
        <v>0</v>
      </c>
      <c r="J3257" t="str">
        <f>VLOOKUP(Table3[[#This Row],[Faction ID]],Table4[],2)</f>
        <v>Mahud</v>
      </c>
    </row>
    <row r="3258" spans="1:10" x14ac:dyDescent="0.25">
      <c r="A3258">
        <v>84</v>
      </c>
      <c r="B3258" t="s">
        <v>11</v>
      </c>
      <c r="C3258">
        <v>141</v>
      </c>
      <c r="D3258">
        <v>8</v>
      </c>
      <c r="E3258">
        <v>173</v>
      </c>
      <c r="F3258">
        <v>17111</v>
      </c>
      <c r="G3258">
        <v>22722</v>
      </c>
      <c r="H3258">
        <v>558</v>
      </c>
      <c r="J3258" t="str">
        <f>VLOOKUP(Table3[[#This Row],[Faction ID]],Table4[],2)</f>
        <v>Haradrim</v>
      </c>
    </row>
    <row r="3259" spans="1:10" x14ac:dyDescent="0.25">
      <c r="A3259">
        <v>84</v>
      </c>
      <c r="B3259" t="s">
        <v>15</v>
      </c>
      <c r="C3259">
        <v>158</v>
      </c>
      <c r="D3259">
        <v>12</v>
      </c>
      <c r="E3259">
        <v>191</v>
      </c>
      <c r="F3259">
        <v>212528</v>
      </c>
      <c r="G3259">
        <v>31080</v>
      </c>
      <c r="H3259">
        <v>2385</v>
      </c>
      <c r="J3259" t="str">
        <f>VLOOKUP(Table3[[#This Row],[Faction ID]],Table4[],2)</f>
        <v>Dunlendings</v>
      </c>
    </row>
    <row r="3260" spans="1:10" x14ac:dyDescent="0.25">
      <c r="A3260">
        <v>84</v>
      </c>
      <c r="B3260" t="s">
        <v>16</v>
      </c>
      <c r="C3260">
        <v>0</v>
      </c>
      <c r="D3260">
        <v>0</v>
      </c>
      <c r="E3260">
        <v>0</v>
      </c>
      <c r="F3260">
        <v>5352</v>
      </c>
      <c r="G3260">
        <v>1750</v>
      </c>
      <c r="H3260">
        <v>0</v>
      </c>
      <c r="J3260" t="str">
        <f>VLOOKUP(Table3[[#This Row],[Faction ID]],Table4[],2)</f>
        <v>Haerrim</v>
      </c>
    </row>
    <row r="3261" spans="1:10" x14ac:dyDescent="0.25">
      <c r="A3261">
        <v>84</v>
      </c>
      <c r="B3261" t="s">
        <v>13</v>
      </c>
      <c r="C3261">
        <v>393</v>
      </c>
      <c r="D3261">
        <v>19</v>
      </c>
      <c r="E3261">
        <v>386.4</v>
      </c>
      <c r="F3261">
        <v>23271</v>
      </c>
      <c r="G3261">
        <v>54381</v>
      </c>
      <c r="H3261">
        <v>5358</v>
      </c>
      <c r="J3261" t="str">
        <f>VLOOKUP(Table3[[#This Row],[Faction ID]],Table4[],2)</f>
        <v>Goblins</v>
      </c>
    </row>
    <row r="3262" spans="1:10" x14ac:dyDescent="0.25">
      <c r="A3262">
        <v>84</v>
      </c>
      <c r="B3262" t="s">
        <v>17</v>
      </c>
      <c r="C3262">
        <v>0</v>
      </c>
      <c r="D3262">
        <v>0</v>
      </c>
      <c r="E3262">
        <v>0</v>
      </c>
      <c r="F3262">
        <v>4872</v>
      </c>
      <c r="G3262">
        <v>1750</v>
      </c>
      <c r="H3262">
        <v>0</v>
      </c>
      <c r="J3262" t="str">
        <f>VLOOKUP(Table3[[#This Row],[Faction ID]],Table4[],2)</f>
        <v>Balchoth</v>
      </c>
    </row>
    <row r="3263" spans="1:10" x14ac:dyDescent="0.25">
      <c r="A3263">
        <v>84</v>
      </c>
      <c r="B3263" t="s">
        <v>18</v>
      </c>
      <c r="C3263">
        <v>255</v>
      </c>
      <c r="D3263">
        <v>33</v>
      </c>
      <c r="E3263">
        <v>477.5</v>
      </c>
      <c r="F3263">
        <v>135034</v>
      </c>
      <c r="G3263">
        <v>47258</v>
      </c>
      <c r="H3263">
        <v>2537</v>
      </c>
      <c r="J3263" t="str">
        <f>VLOOKUP(Table3[[#This Row],[Faction ID]],Table4[],2)</f>
        <v>Rhurim/Rhun</v>
      </c>
    </row>
    <row r="3264" spans="1:10" x14ac:dyDescent="0.25">
      <c r="A3264">
        <v>84</v>
      </c>
      <c r="B3264" t="s">
        <v>19</v>
      </c>
      <c r="C3264">
        <v>0</v>
      </c>
      <c r="D3264">
        <v>0</v>
      </c>
      <c r="E3264">
        <v>0</v>
      </c>
      <c r="F3264">
        <v>7360</v>
      </c>
      <c r="G3264">
        <v>1750</v>
      </c>
      <c r="H3264">
        <v>0</v>
      </c>
      <c r="J3264" t="str">
        <f>VLOOKUP(Table3[[#This Row],[Faction ID]],Table4[],2)</f>
        <v>Feredrim</v>
      </c>
    </row>
    <row r="3265" spans="1:10" x14ac:dyDescent="0.25">
      <c r="A3265">
        <v>84</v>
      </c>
      <c r="B3265" t="s">
        <v>26</v>
      </c>
      <c r="C3265">
        <v>0</v>
      </c>
      <c r="D3265">
        <v>0</v>
      </c>
      <c r="E3265">
        <v>0</v>
      </c>
      <c r="F3265">
        <v>6395</v>
      </c>
      <c r="G3265">
        <v>1750</v>
      </c>
      <c r="H3265">
        <v>0</v>
      </c>
      <c r="J3265" t="str">
        <f>VLOOKUP(Table3[[#This Row],[Faction ID]],Table4[],2)</f>
        <v>Rachrohir (Wainriders)</v>
      </c>
    </row>
    <row r="3266" spans="1:10" x14ac:dyDescent="0.25">
      <c r="A3266">
        <v>84</v>
      </c>
      <c r="B3266" t="s">
        <v>27</v>
      </c>
      <c r="C3266">
        <v>1</v>
      </c>
      <c r="D3266">
        <v>1</v>
      </c>
      <c r="E3266">
        <v>40.700000000000003</v>
      </c>
      <c r="F3266">
        <v>36411</v>
      </c>
      <c r="G3266">
        <v>6822</v>
      </c>
      <c r="H3266">
        <v>0</v>
      </c>
      <c r="J3266" t="str">
        <f>VLOOKUP(Table3[[#This Row],[Faction ID]],Table4[],2)</f>
        <v>Blacklock-Stonefoot League</v>
      </c>
    </row>
    <row r="3267" spans="1:10" x14ac:dyDescent="0.25">
      <c r="A3267">
        <v>84</v>
      </c>
      <c r="B3267" t="s">
        <v>28</v>
      </c>
      <c r="C3267">
        <v>4</v>
      </c>
      <c r="D3267">
        <v>2</v>
      </c>
      <c r="E3267">
        <v>42</v>
      </c>
      <c r="F3267">
        <v>63526</v>
      </c>
      <c r="G3267">
        <v>8583</v>
      </c>
      <c r="H3267">
        <v>0</v>
      </c>
      <c r="J3267" t="str">
        <f>VLOOKUP(Table3[[#This Row],[Faction ID]],Table4[],2)</f>
        <v>Ironfist-Stiffbeard Union</v>
      </c>
    </row>
    <row r="3268" spans="1:10" x14ac:dyDescent="0.25">
      <c r="A3268">
        <v>84</v>
      </c>
      <c r="B3268" t="s">
        <v>20</v>
      </c>
      <c r="C3268">
        <v>228</v>
      </c>
      <c r="D3268">
        <v>17</v>
      </c>
      <c r="E3268">
        <v>259.2</v>
      </c>
      <c r="F3268">
        <v>49853</v>
      </c>
      <c r="G3268">
        <v>35843</v>
      </c>
      <c r="H3268">
        <v>1982</v>
      </c>
      <c r="J3268" t="str">
        <f>VLOOKUP(Table3[[#This Row],[Faction ID]],Table4[],2)</f>
        <v>Gundabad</v>
      </c>
    </row>
    <row r="3269" spans="1:10" x14ac:dyDescent="0.25">
      <c r="A3269">
        <v>84</v>
      </c>
      <c r="B3269" t="s">
        <v>34</v>
      </c>
      <c r="C3269">
        <v>0</v>
      </c>
      <c r="D3269">
        <v>0</v>
      </c>
      <c r="E3269">
        <v>3</v>
      </c>
      <c r="F3269">
        <v>97043</v>
      </c>
      <c r="G3269">
        <v>2379</v>
      </c>
      <c r="H3269">
        <v>0</v>
      </c>
      <c r="J3269" t="str">
        <f>VLOOKUP(Table3[[#This Row],[Faction ID]],Table4[],2)</f>
        <v>Scouts of Rohan</v>
      </c>
    </row>
    <row r="3270" spans="1:10" x14ac:dyDescent="0.25">
      <c r="A3270">
        <v>84</v>
      </c>
      <c r="B3270" t="s">
        <v>33</v>
      </c>
      <c r="C3270">
        <v>6</v>
      </c>
      <c r="D3270">
        <v>4</v>
      </c>
      <c r="E3270">
        <v>81</v>
      </c>
      <c r="F3270">
        <v>89967</v>
      </c>
      <c r="G3270">
        <v>16184</v>
      </c>
      <c r="H3270">
        <v>731</v>
      </c>
      <c r="J3270" t="str">
        <f>VLOOKUP(Table3[[#This Row],[Faction ID]],Table4[],2)</f>
        <v>Northern Enedwaith</v>
      </c>
    </row>
    <row r="3271" spans="1:10" x14ac:dyDescent="0.25">
      <c r="A3271">
        <v>84</v>
      </c>
      <c r="B3271" t="s">
        <v>29</v>
      </c>
      <c r="C3271">
        <v>0</v>
      </c>
      <c r="D3271">
        <v>0</v>
      </c>
      <c r="E3271">
        <v>0</v>
      </c>
      <c r="F3271">
        <v>54023</v>
      </c>
      <c r="G3271">
        <v>1750</v>
      </c>
      <c r="H3271">
        <v>0</v>
      </c>
      <c r="J3271" t="str">
        <f>VLOOKUP(Table3[[#This Row],[Faction ID]],Table4[],2)</f>
        <v>Southern Enedwaith</v>
      </c>
    </row>
    <row r="3272" spans="1:10" x14ac:dyDescent="0.25">
      <c r="A3272">
        <v>84</v>
      </c>
      <c r="B3272" t="s">
        <v>30</v>
      </c>
      <c r="C3272">
        <v>0</v>
      </c>
      <c r="D3272">
        <v>0</v>
      </c>
      <c r="E3272">
        <v>0</v>
      </c>
      <c r="F3272">
        <v>32146</v>
      </c>
      <c r="G3272">
        <v>1750</v>
      </c>
      <c r="H3272">
        <v>0</v>
      </c>
      <c r="J3272" t="str">
        <f>VLOOKUP(Table3[[#This Row],[Faction ID]],Table4[],2)</f>
        <v>Druedain</v>
      </c>
    </row>
    <row r="3273" spans="1:10" x14ac:dyDescent="0.25">
      <c r="A3273">
        <v>84</v>
      </c>
      <c r="B3273" t="s">
        <v>31</v>
      </c>
      <c r="C3273">
        <v>0</v>
      </c>
      <c r="D3273">
        <v>0</v>
      </c>
      <c r="E3273">
        <v>0</v>
      </c>
      <c r="F3273">
        <v>15146</v>
      </c>
      <c r="G3273">
        <v>1750</v>
      </c>
      <c r="H3273">
        <v>0</v>
      </c>
      <c r="J3273" t="str">
        <f>VLOOKUP(Table3[[#This Row],[Faction ID]],Table4[],2)</f>
        <v>Harondor</v>
      </c>
    </row>
    <row r="3274" spans="1:10" x14ac:dyDescent="0.25">
      <c r="A3274">
        <v>84</v>
      </c>
      <c r="B3274" t="s">
        <v>35</v>
      </c>
      <c r="C3274">
        <v>0</v>
      </c>
      <c r="D3274">
        <v>0</v>
      </c>
      <c r="E3274">
        <v>0</v>
      </c>
      <c r="F3274">
        <v>4000</v>
      </c>
      <c r="G3274">
        <v>1750</v>
      </c>
      <c r="H3274">
        <v>0</v>
      </c>
      <c r="J3274" t="str">
        <f>VLOOKUP(Table3[[#This Row],[Faction ID]],Table4[],2)</f>
        <v>Southron Nomads</v>
      </c>
    </row>
    <row r="3275" spans="1:10" x14ac:dyDescent="0.25">
      <c r="A3275">
        <v>84</v>
      </c>
      <c r="B3275" t="s">
        <v>36</v>
      </c>
      <c r="C3275">
        <v>0</v>
      </c>
      <c r="D3275">
        <v>0</v>
      </c>
      <c r="E3275">
        <v>0</v>
      </c>
      <c r="F3275">
        <v>4000</v>
      </c>
      <c r="G3275">
        <v>1750</v>
      </c>
      <c r="H3275">
        <v>0</v>
      </c>
      <c r="J3275" t="str">
        <f>VLOOKUP(Table3[[#This Row],[Faction ID]],Table4[],2)</f>
        <v>_</v>
      </c>
    </row>
    <row r="3276" spans="1:10" x14ac:dyDescent="0.25">
      <c r="A3276">
        <v>84</v>
      </c>
      <c r="B3276" t="s">
        <v>37</v>
      </c>
      <c r="C3276">
        <v>0</v>
      </c>
      <c r="D3276">
        <v>0</v>
      </c>
      <c r="E3276">
        <v>0</v>
      </c>
      <c r="F3276">
        <v>4000</v>
      </c>
      <c r="G3276">
        <v>1750</v>
      </c>
      <c r="H3276">
        <v>0</v>
      </c>
      <c r="J3276" t="str">
        <f>VLOOKUP(Table3[[#This Row],[Faction ID]],Table4[],2)</f>
        <v>_</v>
      </c>
    </row>
    <row r="3277" spans="1:10" x14ac:dyDescent="0.25">
      <c r="A3277">
        <v>84</v>
      </c>
      <c r="B3277" t="s">
        <v>38</v>
      </c>
      <c r="C3277">
        <v>0</v>
      </c>
      <c r="D3277">
        <v>0</v>
      </c>
      <c r="E3277">
        <v>0</v>
      </c>
      <c r="F3277">
        <v>4000</v>
      </c>
      <c r="G3277">
        <v>1750</v>
      </c>
      <c r="H3277">
        <v>0</v>
      </c>
      <c r="J3277" t="str">
        <f>VLOOKUP(Table3[[#This Row],[Faction ID]],Table4[],2)</f>
        <v>_</v>
      </c>
    </row>
    <row r="3278" spans="1:10" x14ac:dyDescent="0.25">
      <c r="A3278">
        <v>84</v>
      </c>
      <c r="B3278" t="s">
        <v>39</v>
      </c>
      <c r="C3278">
        <v>0</v>
      </c>
      <c r="D3278">
        <v>0</v>
      </c>
      <c r="E3278">
        <v>0</v>
      </c>
      <c r="F3278">
        <v>4000</v>
      </c>
      <c r="G3278">
        <v>1750</v>
      </c>
      <c r="H3278">
        <v>0</v>
      </c>
      <c r="J3278" t="str">
        <f>VLOOKUP(Table3[[#This Row],[Faction ID]],Table4[],2)</f>
        <v>_</v>
      </c>
    </row>
    <row r="3279" spans="1:10" x14ac:dyDescent="0.25">
      <c r="A3279">
        <v>84</v>
      </c>
      <c r="B3279" t="s">
        <v>40</v>
      </c>
      <c r="C3279">
        <v>0</v>
      </c>
      <c r="D3279">
        <v>0</v>
      </c>
      <c r="E3279">
        <v>0</v>
      </c>
      <c r="F3279">
        <v>4000</v>
      </c>
      <c r="G3279">
        <v>1750</v>
      </c>
      <c r="H3279">
        <v>0</v>
      </c>
      <c r="J3279" t="str">
        <f>VLOOKUP(Table3[[#This Row],[Faction ID]],Table4[],2)</f>
        <v>_</v>
      </c>
    </row>
    <row r="3280" spans="1:10" x14ac:dyDescent="0.25">
      <c r="A3280">
        <v>84</v>
      </c>
      <c r="B3280" t="s">
        <v>41</v>
      </c>
      <c r="C3280">
        <v>0</v>
      </c>
      <c r="D3280">
        <v>0</v>
      </c>
      <c r="E3280">
        <v>0</v>
      </c>
      <c r="F3280">
        <v>4000</v>
      </c>
      <c r="G3280">
        <v>1750</v>
      </c>
      <c r="H3280">
        <v>0</v>
      </c>
      <c r="J3280" t="str">
        <f>VLOOKUP(Table3[[#This Row],[Faction ID]],Table4[],2)</f>
        <v>_</v>
      </c>
    </row>
    <row r="3281" spans="1:10" x14ac:dyDescent="0.25">
      <c r="A3281">
        <v>84</v>
      </c>
      <c r="B3281" t="s">
        <v>42</v>
      </c>
      <c r="C3281">
        <v>0</v>
      </c>
      <c r="D3281">
        <v>0</v>
      </c>
      <c r="E3281">
        <v>0</v>
      </c>
      <c r="F3281">
        <v>4000</v>
      </c>
      <c r="G3281">
        <v>1750</v>
      </c>
      <c r="H3281">
        <v>0</v>
      </c>
      <c r="J3281" t="str">
        <f>VLOOKUP(Table3[[#This Row],[Faction ID]],Table4[],2)</f>
        <v>_</v>
      </c>
    </row>
    <row r="3282" spans="1:10" x14ac:dyDescent="0.25">
      <c r="A3282">
        <v>84</v>
      </c>
      <c r="B3282" t="s">
        <v>43</v>
      </c>
      <c r="C3282">
        <v>0</v>
      </c>
      <c r="D3282">
        <v>0</v>
      </c>
      <c r="E3282">
        <v>0</v>
      </c>
      <c r="F3282">
        <v>4000</v>
      </c>
      <c r="G3282">
        <v>1750</v>
      </c>
      <c r="H3282">
        <v>0</v>
      </c>
      <c r="J3282" t="str">
        <f>VLOOKUP(Table3[[#This Row],[Faction ID]],Table4[],2)</f>
        <v>_</v>
      </c>
    </row>
    <row r="3283" spans="1:10" x14ac:dyDescent="0.25">
      <c r="A3283">
        <v>84</v>
      </c>
      <c r="B3283" t="s">
        <v>44</v>
      </c>
      <c r="C3283">
        <v>0</v>
      </c>
      <c r="D3283">
        <v>0</v>
      </c>
      <c r="E3283">
        <v>0</v>
      </c>
      <c r="F3283">
        <v>4000</v>
      </c>
      <c r="G3283">
        <v>1750</v>
      </c>
      <c r="H3283">
        <v>0</v>
      </c>
      <c r="J3283" t="str">
        <f>VLOOKUP(Table3[[#This Row],[Faction ID]],Table4[],2)</f>
        <v>_</v>
      </c>
    </row>
    <row r="3284" spans="1:10" x14ac:dyDescent="0.25">
      <c r="A3284">
        <v>86</v>
      </c>
      <c r="B3284" t="s">
        <v>9</v>
      </c>
      <c r="C3284">
        <v>339</v>
      </c>
      <c r="D3284">
        <v>26</v>
      </c>
      <c r="E3284">
        <v>295.10000000000002</v>
      </c>
      <c r="F3284">
        <v>1480</v>
      </c>
      <c r="G3284">
        <v>40397</v>
      </c>
      <c r="H3284">
        <v>2414</v>
      </c>
      <c r="J3284" t="str">
        <f>VLOOKUP(Table3[[#This Row],[Faction ID]],Table4[],2)</f>
        <v>Mordor</v>
      </c>
    </row>
    <row r="3285" spans="1:10" x14ac:dyDescent="0.25">
      <c r="A3285">
        <v>86</v>
      </c>
      <c r="B3285" t="s">
        <v>4</v>
      </c>
      <c r="C3285">
        <v>146</v>
      </c>
      <c r="D3285">
        <v>0</v>
      </c>
      <c r="E3285">
        <v>0</v>
      </c>
      <c r="F3285">
        <v>55420</v>
      </c>
      <c r="G3285">
        <v>2500</v>
      </c>
      <c r="H3285">
        <v>0</v>
      </c>
      <c r="J3285" t="str">
        <f>VLOOKUP(Table3[[#This Row],[Faction ID]],Table4[],2)</f>
        <v>Gondor</v>
      </c>
    </row>
    <row r="3286" spans="1:10" x14ac:dyDescent="0.25">
      <c r="A3286">
        <v>86</v>
      </c>
      <c r="B3286" t="s">
        <v>6</v>
      </c>
      <c r="C3286">
        <v>186</v>
      </c>
      <c r="D3286">
        <v>1</v>
      </c>
      <c r="E3286">
        <v>14.6</v>
      </c>
      <c r="F3286">
        <v>1154</v>
      </c>
      <c r="G3286">
        <v>4939</v>
      </c>
      <c r="H3286">
        <v>0</v>
      </c>
      <c r="J3286" t="str">
        <f>VLOOKUP(Table3[[#This Row],[Faction ID]],Table4[],2)</f>
        <v>Dale</v>
      </c>
    </row>
    <row r="3287" spans="1:10" x14ac:dyDescent="0.25">
      <c r="A3287">
        <v>86</v>
      </c>
      <c r="B3287" t="s">
        <v>21</v>
      </c>
      <c r="C3287">
        <v>200</v>
      </c>
      <c r="D3287">
        <v>0</v>
      </c>
      <c r="E3287">
        <v>0</v>
      </c>
      <c r="F3287">
        <v>10040</v>
      </c>
      <c r="G3287">
        <v>2500</v>
      </c>
      <c r="H3287">
        <v>0</v>
      </c>
      <c r="J3287" t="str">
        <f>VLOOKUP(Table3[[#This Row],[Faction ID]],Table4[],2)</f>
        <v>Erebor</v>
      </c>
    </row>
    <row r="3288" spans="1:10" x14ac:dyDescent="0.25">
      <c r="A3288">
        <v>86</v>
      </c>
      <c r="B3288" t="s">
        <v>5</v>
      </c>
      <c r="C3288">
        <v>157</v>
      </c>
      <c r="D3288">
        <v>0</v>
      </c>
      <c r="E3288">
        <v>0</v>
      </c>
      <c r="F3288">
        <v>6638</v>
      </c>
      <c r="G3288">
        <v>2500</v>
      </c>
      <c r="H3288">
        <v>0</v>
      </c>
      <c r="J3288" t="str">
        <f>VLOOKUP(Table3[[#This Row],[Faction ID]],Table4[],2)</f>
        <v>Rohan</v>
      </c>
    </row>
    <row r="3289" spans="1:10" x14ac:dyDescent="0.25">
      <c r="A3289">
        <v>86</v>
      </c>
      <c r="B3289" t="s">
        <v>12</v>
      </c>
      <c r="C3289">
        <v>263</v>
      </c>
      <c r="D3289">
        <v>15</v>
      </c>
      <c r="E3289">
        <v>249.8</v>
      </c>
      <c r="F3289">
        <v>24602</v>
      </c>
      <c r="G3289">
        <v>34207</v>
      </c>
      <c r="H3289">
        <v>2389</v>
      </c>
      <c r="J3289" t="str">
        <f>VLOOKUP(Table3[[#This Row],[Faction ID]],Table4[],2)</f>
        <v>Dol Guldur</v>
      </c>
    </row>
    <row r="3290" spans="1:10" x14ac:dyDescent="0.25">
      <c r="A3290">
        <v>86</v>
      </c>
      <c r="B3290" t="s">
        <v>10</v>
      </c>
      <c r="C3290">
        <v>58</v>
      </c>
      <c r="D3290">
        <v>0</v>
      </c>
      <c r="E3290">
        <v>0</v>
      </c>
      <c r="F3290">
        <v>4515</v>
      </c>
      <c r="G3290">
        <v>2500</v>
      </c>
      <c r="H3290">
        <v>0</v>
      </c>
      <c r="J3290" t="str">
        <f>VLOOKUP(Table3[[#This Row],[Faction ID]],Table4[],2)</f>
        <v>Anduin Vale</v>
      </c>
    </row>
    <row r="3291" spans="1:10" x14ac:dyDescent="0.25">
      <c r="A3291">
        <v>86</v>
      </c>
      <c r="B3291" t="s">
        <v>32</v>
      </c>
      <c r="C3291">
        <v>247</v>
      </c>
      <c r="D3291">
        <v>8</v>
      </c>
      <c r="E3291">
        <v>194</v>
      </c>
      <c r="F3291">
        <v>58565</v>
      </c>
      <c r="G3291">
        <v>25599</v>
      </c>
      <c r="H3291">
        <v>1292</v>
      </c>
      <c r="J3291" t="str">
        <f>VLOOKUP(Table3[[#This Row],[Faction ID]],Table4[],2)</f>
        <v>Isengard</v>
      </c>
    </row>
    <row r="3292" spans="1:10" x14ac:dyDescent="0.25">
      <c r="A3292">
        <v>86</v>
      </c>
      <c r="B3292" t="s">
        <v>22</v>
      </c>
      <c r="C3292">
        <v>30</v>
      </c>
      <c r="D3292">
        <v>0</v>
      </c>
      <c r="E3292">
        <v>0</v>
      </c>
      <c r="F3292">
        <v>8475</v>
      </c>
      <c r="G3292">
        <v>2500</v>
      </c>
      <c r="H3292">
        <v>0</v>
      </c>
      <c r="J3292" t="str">
        <f>VLOOKUP(Table3[[#This Row],[Faction ID]],Table4[],2)</f>
        <v>Woodland Realm</v>
      </c>
    </row>
    <row r="3293" spans="1:10" x14ac:dyDescent="0.25">
      <c r="A3293">
        <v>86</v>
      </c>
      <c r="B3293" t="s">
        <v>23</v>
      </c>
      <c r="C3293">
        <v>64</v>
      </c>
      <c r="D3293">
        <v>0</v>
      </c>
      <c r="E3293">
        <v>0</v>
      </c>
      <c r="F3293">
        <v>4721</v>
      </c>
      <c r="G3293">
        <v>2500</v>
      </c>
      <c r="H3293">
        <v>0</v>
      </c>
      <c r="J3293" t="str">
        <f>VLOOKUP(Table3[[#This Row],[Faction ID]],Table4[],2)</f>
        <v>Lothlorien</v>
      </c>
    </row>
    <row r="3294" spans="1:10" x14ac:dyDescent="0.25">
      <c r="A3294">
        <v>86</v>
      </c>
      <c r="B3294" t="s">
        <v>24</v>
      </c>
      <c r="C3294">
        <v>0</v>
      </c>
      <c r="D3294">
        <v>0</v>
      </c>
      <c r="E3294">
        <v>0</v>
      </c>
      <c r="F3294">
        <v>4919</v>
      </c>
      <c r="G3294">
        <v>1750</v>
      </c>
      <c r="H3294">
        <v>0</v>
      </c>
      <c r="J3294" t="str">
        <f>VLOOKUP(Table3[[#This Row],[Faction ID]],Table4[],2)</f>
        <v>Variags (Khand)</v>
      </c>
    </row>
    <row r="3295" spans="1:10" x14ac:dyDescent="0.25">
      <c r="A3295">
        <v>86</v>
      </c>
      <c r="B3295" t="s">
        <v>14</v>
      </c>
      <c r="C3295">
        <v>11</v>
      </c>
      <c r="D3295">
        <v>8</v>
      </c>
      <c r="E3295">
        <v>163</v>
      </c>
      <c r="F3295">
        <v>68161</v>
      </c>
      <c r="G3295">
        <v>32231</v>
      </c>
      <c r="H3295">
        <v>2409</v>
      </c>
      <c r="J3295" t="str">
        <f>VLOOKUP(Table3[[#This Row],[Faction ID]],Table4[],2)</f>
        <v>Corsairs of Umbar</v>
      </c>
    </row>
    <row r="3296" spans="1:10" x14ac:dyDescent="0.25">
      <c r="A3296">
        <v>86</v>
      </c>
      <c r="B3296" t="s">
        <v>25</v>
      </c>
      <c r="C3296">
        <v>0</v>
      </c>
      <c r="D3296">
        <v>0</v>
      </c>
      <c r="E3296">
        <v>0</v>
      </c>
      <c r="F3296">
        <v>9228</v>
      </c>
      <c r="G3296">
        <v>1750</v>
      </c>
      <c r="H3296">
        <v>0</v>
      </c>
      <c r="J3296" t="str">
        <f>VLOOKUP(Table3[[#This Row],[Faction ID]],Table4[],2)</f>
        <v>Mahud</v>
      </c>
    </row>
    <row r="3297" spans="1:10" x14ac:dyDescent="0.25">
      <c r="A3297">
        <v>86</v>
      </c>
      <c r="B3297" t="s">
        <v>11</v>
      </c>
      <c r="C3297">
        <v>147</v>
      </c>
      <c r="D3297">
        <v>9</v>
      </c>
      <c r="E3297">
        <v>175</v>
      </c>
      <c r="F3297">
        <v>21003</v>
      </c>
      <c r="G3297">
        <v>22924</v>
      </c>
      <c r="H3297">
        <v>612</v>
      </c>
      <c r="J3297" t="str">
        <f>VLOOKUP(Table3[[#This Row],[Faction ID]],Table4[],2)</f>
        <v>Haradrim</v>
      </c>
    </row>
    <row r="3298" spans="1:10" x14ac:dyDescent="0.25">
      <c r="A3298">
        <v>86</v>
      </c>
      <c r="B3298" t="s">
        <v>15</v>
      </c>
      <c r="C3298">
        <v>163</v>
      </c>
      <c r="D3298">
        <v>12</v>
      </c>
      <c r="E3298">
        <v>207</v>
      </c>
      <c r="F3298">
        <v>215542</v>
      </c>
      <c r="G3298">
        <v>33606</v>
      </c>
      <c r="H3298">
        <v>2399</v>
      </c>
      <c r="J3298" t="str">
        <f>VLOOKUP(Table3[[#This Row],[Faction ID]],Table4[],2)</f>
        <v>Dunlendings</v>
      </c>
    </row>
    <row r="3299" spans="1:10" x14ac:dyDescent="0.25">
      <c r="A3299">
        <v>86</v>
      </c>
      <c r="B3299" t="s">
        <v>16</v>
      </c>
      <c r="C3299">
        <v>0</v>
      </c>
      <c r="D3299">
        <v>0</v>
      </c>
      <c r="E3299">
        <v>0</v>
      </c>
      <c r="F3299">
        <v>5352</v>
      </c>
      <c r="G3299">
        <v>1750</v>
      </c>
      <c r="H3299">
        <v>0</v>
      </c>
      <c r="J3299" t="str">
        <f>VLOOKUP(Table3[[#This Row],[Faction ID]],Table4[],2)</f>
        <v>Haerrim</v>
      </c>
    </row>
    <row r="3300" spans="1:10" x14ac:dyDescent="0.25">
      <c r="A3300">
        <v>86</v>
      </c>
      <c r="B3300" t="s">
        <v>13</v>
      </c>
      <c r="C3300">
        <v>393</v>
      </c>
      <c r="D3300">
        <v>19</v>
      </c>
      <c r="E3300">
        <v>397.2</v>
      </c>
      <c r="F3300">
        <v>32275</v>
      </c>
      <c r="G3300">
        <v>56140</v>
      </c>
      <c r="H3300">
        <v>5381</v>
      </c>
      <c r="J3300" t="str">
        <f>VLOOKUP(Table3[[#This Row],[Faction ID]],Table4[],2)</f>
        <v>Goblins</v>
      </c>
    </row>
    <row r="3301" spans="1:10" x14ac:dyDescent="0.25">
      <c r="A3301">
        <v>86</v>
      </c>
      <c r="B3301" t="s">
        <v>17</v>
      </c>
      <c r="C3301">
        <v>0</v>
      </c>
      <c r="D3301">
        <v>0</v>
      </c>
      <c r="E3301">
        <v>0</v>
      </c>
      <c r="F3301">
        <v>4872</v>
      </c>
      <c r="G3301">
        <v>1750</v>
      </c>
      <c r="H3301">
        <v>0</v>
      </c>
      <c r="J3301" t="str">
        <f>VLOOKUP(Table3[[#This Row],[Faction ID]],Table4[],2)</f>
        <v>Balchoth</v>
      </c>
    </row>
    <row r="3302" spans="1:10" x14ac:dyDescent="0.25">
      <c r="A3302">
        <v>86</v>
      </c>
      <c r="B3302" t="s">
        <v>18</v>
      </c>
      <c r="C3302">
        <v>254</v>
      </c>
      <c r="D3302">
        <v>32</v>
      </c>
      <c r="E3302">
        <v>490.9</v>
      </c>
      <c r="F3302">
        <v>105622</v>
      </c>
      <c r="G3302">
        <v>50399</v>
      </c>
      <c r="H3302">
        <v>2445</v>
      </c>
      <c r="J3302" t="str">
        <f>VLOOKUP(Table3[[#This Row],[Faction ID]],Table4[],2)</f>
        <v>Rhurim/Rhun</v>
      </c>
    </row>
    <row r="3303" spans="1:10" x14ac:dyDescent="0.25">
      <c r="A3303">
        <v>86</v>
      </c>
      <c r="B3303" t="s">
        <v>19</v>
      </c>
      <c r="C3303">
        <v>0</v>
      </c>
      <c r="D3303">
        <v>0</v>
      </c>
      <c r="E3303">
        <v>0</v>
      </c>
      <c r="F3303">
        <v>7360</v>
      </c>
      <c r="G3303">
        <v>1750</v>
      </c>
      <c r="H3303">
        <v>0</v>
      </c>
      <c r="J3303" t="str">
        <f>VLOOKUP(Table3[[#This Row],[Faction ID]],Table4[],2)</f>
        <v>Feredrim</v>
      </c>
    </row>
    <row r="3304" spans="1:10" x14ac:dyDescent="0.25">
      <c r="A3304">
        <v>86</v>
      </c>
      <c r="B3304" t="s">
        <v>26</v>
      </c>
      <c r="C3304">
        <v>0</v>
      </c>
      <c r="D3304">
        <v>0</v>
      </c>
      <c r="E3304">
        <v>0</v>
      </c>
      <c r="F3304">
        <v>6395</v>
      </c>
      <c r="G3304">
        <v>1750</v>
      </c>
      <c r="H3304">
        <v>0</v>
      </c>
      <c r="J3304" t="str">
        <f>VLOOKUP(Table3[[#This Row],[Faction ID]],Table4[],2)</f>
        <v>Rachrohir (Wainriders)</v>
      </c>
    </row>
    <row r="3305" spans="1:10" x14ac:dyDescent="0.25">
      <c r="A3305">
        <v>86</v>
      </c>
      <c r="B3305" t="s">
        <v>27</v>
      </c>
      <c r="C3305">
        <v>1</v>
      </c>
      <c r="D3305">
        <v>1</v>
      </c>
      <c r="E3305">
        <v>34.200000000000003</v>
      </c>
      <c r="F3305">
        <v>28404</v>
      </c>
      <c r="G3305">
        <v>5789</v>
      </c>
      <c r="H3305">
        <v>0</v>
      </c>
      <c r="J3305" t="str">
        <f>VLOOKUP(Table3[[#This Row],[Faction ID]],Table4[],2)</f>
        <v>Blacklock-Stonefoot League</v>
      </c>
    </row>
    <row r="3306" spans="1:10" x14ac:dyDescent="0.25">
      <c r="A3306">
        <v>86</v>
      </c>
      <c r="B3306" t="s">
        <v>28</v>
      </c>
      <c r="C3306">
        <v>4</v>
      </c>
      <c r="D3306">
        <v>2</v>
      </c>
      <c r="E3306">
        <v>42</v>
      </c>
      <c r="F3306">
        <v>67511</v>
      </c>
      <c r="G3306">
        <v>8821</v>
      </c>
      <c r="H3306">
        <v>0</v>
      </c>
      <c r="J3306" t="str">
        <f>VLOOKUP(Table3[[#This Row],[Faction ID]],Table4[],2)</f>
        <v>Ironfist-Stiffbeard Union</v>
      </c>
    </row>
    <row r="3307" spans="1:10" x14ac:dyDescent="0.25">
      <c r="A3307">
        <v>86</v>
      </c>
      <c r="B3307" t="s">
        <v>20</v>
      </c>
      <c r="C3307">
        <v>234</v>
      </c>
      <c r="D3307">
        <v>18</v>
      </c>
      <c r="E3307">
        <v>270.60000000000002</v>
      </c>
      <c r="F3307">
        <v>49405</v>
      </c>
      <c r="G3307">
        <v>35602</v>
      </c>
      <c r="H3307">
        <v>1994</v>
      </c>
      <c r="J3307" t="str">
        <f>VLOOKUP(Table3[[#This Row],[Faction ID]],Table4[],2)</f>
        <v>Gundabad</v>
      </c>
    </row>
    <row r="3308" spans="1:10" x14ac:dyDescent="0.25">
      <c r="A3308">
        <v>86</v>
      </c>
      <c r="B3308" t="s">
        <v>34</v>
      </c>
      <c r="C3308">
        <v>0</v>
      </c>
      <c r="D3308">
        <v>0</v>
      </c>
      <c r="E3308">
        <v>3</v>
      </c>
      <c r="F3308">
        <v>99285</v>
      </c>
      <c r="G3308">
        <v>2379</v>
      </c>
      <c r="H3308">
        <v>0</v>
      </c>
      <c r="J3308" t="str">
        <f>VLOOKUP(Table3[[#This Row],[Faction ID]],Table4[],2)</f>
        <v>Scouts of Rohan</v>
      </c>
    </row>
    <row r="3309" spans="1:10" x14ac:dyDescent="0.25">
      <c r="A3309">
        <v>86</v>
      </c>
      <c r="B3309" t="s">
        <v>33</v>
      </c>
      <c r="C3309">
        <v>6</v>
      </c>
      <c r="D3309">
        <v>4</v>
      </c>
      <c r="E3309">
        <v>81</v>
      </c>
      <c r="F3309">
        <v>91452</v>
      </c>
      <c r="G3309">
        <v>17367</v>
      </c>
      <c r="H3309">
        <v>743</v>
      </c>
      <c r="J3309" t="str">
        <f>VLOOKUP(Table3[[#This Row],[Faction ID]],Table4[],2)</f>
        <v>Northern Enedwaith</v>
      </c>
    </row>
    <row r="3310" spans="1:10" x14ac:dyDescent="0.25">
      <c r="A3310">
        <v>86</v>
      </c>
      <c r="B3310" t="s">
        <v>29</v>
      </c>
      <c r="C3310">
        <v>0</v>
      </c>
      <c r="D3310">
        <v>0</v>
      </c>
      <c r="E3310">
        <v>0</v>
      </c>
      <c r="F3310">
        <v>54023</v>
      </c>
      <c r="G3310">
        <v>1750</v>
      </c>
      <c r="H3310">
        <v>0</v>
      </c>
      <c r="J3310" t="str">
        <f>VLOOKUP(Table3[[#This Row],[Faction ID]],Table4[],2)</f>
        <v>Southern Enedwaith</v>
      </c>
    </row>
    <row r="3311" spans="1:10" x14ac:dyDescent="0.25">
      <c r="A3311">
        <v>86</v>
      </c>
      <c r="B3311" t="s">
        <v>30</v>
      </c>
      <c r="C3311">
        <v>0</v>
      </c>
      <c r="D3311">
        <v>0</v>
      </c>
      <c r="E3311">
        <v>0</v>
      </c>
      <c r="F3311">
        <v>32146</v>
      </c>
      <c r="G3311">
        <v>1750</v>
      </c>
      <c r="H3311">
        <v>0</v>
      </c>
      <c r="J3311" t="str">
        <f>VLOOKUP(Table3[[#This Row],[Faction ID]],Table4[],2)</f>
        <v>Druedain</v>
      </c>
    </row>
    <row r="3312" spans="1:10" x14ac:dyDescent="0.25">
      <c r="A3312">
        <v>86</v>
      </c>
      <c r="B3312" t="s">
        <v>31</v>
      </c>
      <c r="C3312">
        <v>0</v>
      </c>
      <c r="D3312">
        <v>0</v>
      </c>
      <c r="E3312">
        <v>0</v>
      </c>
      <c r="F3312">
        <v>15146</v>
      </c>
      <c r="G3312">
        <v>1750</v>
      </c>
      <c r="H3312">
        <v>0</v>
      </c>
      <c r="J3312" t="str">
        <f>VLOOKUP(Table3[[#This Row],[Faction ID]],Table4[],2)</f>
        <v>Harondor</v>
      </c>
    </row>
    <row r="3313" spans="1:10" x14ac:dyDescent="0.25">
      <c r="A3313">
        <v>86</v>
      </c>
      <c r="B3313" t="s">
        <v>35</v>
      </c>
      <c r="C3313">
        <v>0</v>
      </c>
      <c r="D3313">
        <v>0</v>
      </c>
      <c r="E3313">
        <v>0</v>
      </c>
      <c r="F3313">
        <v>4000</v>
      </c>
      <c r="G3313">
        <v>1750</v>
      </c>
      <c r="H3313">
        <v>0</v>
      </c>
      <c r="J3313" t="str">
        <f>VLOOKUP(Table3[[#This Row],[Faction ID]],Table4[],2)</f>
        <v>Southron Nomads</v>
      </c>
    </row>
    <row r="3314" spans="1:10" x14ac:dyDescent="0.25">
      <c r="A3314">
        <v>86</v>
      </c>
      <c r="B3314" t="s">
        <v>36</v>
      </c>
      <c r="C3314">
        <v>0</v>
      </c>
      <c r="D3314">
        <v>0</v>
      </c>
      <c r="E3314">
        <v>0</v>
      </c>
      <c r="F3314">
        <v>4000</v>
      </c>
      <c r="G3314">
        <v>1750</v>
      </c>
      <c r="H3314">
        <v>0</v>
      </c>
      <c r="J3314" t="str">
        <f>VLOOKUP(Table3[[#This Row],[Faction ID]],Table4[],2)</f>
        <v>_</v>
      </c>
    </row>
    <row r="3315" spans="1:10" x14ac:dyDescent="0.25">
      <c r="A3315">
        <v>86</v>
      </c>
      <c r="B3315" t="s">
        <v>37</v>
      </c>
      <c r="C3315">
        <v>0</v>
      </c>
      <c r="D3315">
        <v>0</v>
      </c>
      <c r="E3315">
        <v>0</v>
      </c>
      <c r="F3315">
        <v>4000</v>
      </c>
      <c r="G3315">
        <v>1750</v>
      </c>
      <c r="H3315">
        <v>0</v>
      </c>
      <c r="J3315" t="str">
        <f>VLOOKUP(Table3[[#This Row],[Faction ID]],Table4[],2)</f>
        <v>_</v>
      </c>
    </row>
    <row r="3316" spans="1:10" x14ac:dyDescent="0.25">
      <c r="A3316">
        <v>86</v>
      </c>
      <c r="B3316" t="s">
        <v>38</v>
      </c>
      <c r="C3316">
        <v>0</v>
      </c>
      <c r="D3316">
        <v>0</v>
      </c>
      <c r="E3316">
        <v>0</v>
      </c>
      <c r="F3316">
        <v>4000</v>
      </c>
      <c r="G3316">
        <v>1750</v>
      </c>
      <c r="H3316">
        <v>0</v>
      </c>
      <c r="J3316" t="str">
        <f>VLOOKUP(Table3[[#This Row],[Faction ID]],Table4[],2)</f>
        <v>_</v>
      </c>
    </row>
    <row r="3317" spans="1:10" x14ac:dyDescent="0.25">
      <c r="A3317">
        <v>86</v>
      </c>
      <c r="B3317" t="s">
        <v>39</v>
      </c>
      <c r="C3317">
        <v>0</v>
      </c>
      <c r="D3317">
        <v>0</v>
      </c>
      <c r="E3317">
        <v>0</v>
      </c>
      <c r="F3317">
        <v>4000</v>
      </c>
      <c r="G3317">
        <v>1750</v>
      </c>
      <c r="H3317">
        <v>0</v>
      </c>
      <c r="J3317" t="str">
        <f>VLOOKUP(Table3[[#This Row],[Faction ID]],Table4[],2)</f>
        <v>_</v>
      </c>
    </row>
    <row r="3318" spans="1:10" x14ac:dyDescent="0.25">
      <c r="A3318">
        <v>86</v>
      </c>
      <c r="B3318" t="s">
        <v>40</v>
      </c>
      <c r="C3318">
        <v>0</v>
      </c>
      <c r="D3318">
        <v>0</v>
      </c>
      <c r="E3318">
        <v>0</v>
      </c>
      <c r="F3318">
        <v>4000</v>
      </c>
      <c r="G3318">
        <v>1750</v>
      </c>
      <c r="H3318">
        <v>0</v>
      </c>
      <c r="J3318" t="str">
        <f>VLOOKUP(Table3[[#This Row],[Faction ID]],Table4[],2)</f>
        <v>_</v>
      </c>
    </row>
    <row r="3319" spans="1:10" x14ac:dyDescent="0.25">
      <c r="A3319">
        <v>86</v>
      </c>
      <c r="B3319" t="s">
        <v>41</v>
      </c>
      <c r="C3319">
        <v>0</v>
      </c>
      <c r="D3319">
        <v>0</v>
      </c>
      <c r="E3319">
        <v>0</v>
      </c>
      <c r="F3319">
        <v>4000</v>
      </c>
      <c r="G3319">
        <v>1750</v>
      </c>
      <c r="H3319">
        <v>0</v>
      </c>
      <c r="J3319" t="str">
        <f>VLOOKUP(Table3[[#This Row],[Faction ID]],Table4[],2)</f>
        <v>_</v>
      </c>
    </row>
    <row r="3320" spans="1:10" x14ac:dyDescent="0.25">
      <c r="A3320">
        <v>86</v>
      </c>
      <c r="B3320" t="s">
        <v>42</v>
      </c>
      <c r="C3320">
        <v>0</v>
      </c>
      <c r="D3320">
        <v>0</v>
      </c>
      <c r="E3320">
        <v>0</v>
      </c>
      <c r="F3320">
        <v>4000</v>
      </c>
      <c r="G3320">
        <v>1750</v>
      </c>
      <c r="H3320">
        <v>0</v>
      </c>
      <c r="J3320" t="str">
        <f>VLOOKUP(Table3[[#This Row],[Faction ID]],Table4[],2)</f>
        <v>_</v>
      </c>
    </row>
    <row r="3321" spans="1:10" x14ac:dyDescent="0.25">
      <c r="A3321">
        <v>86</v>
      </c>
      <c r="B3321" t="s">
        <v>43</v>
      </c>
      <c r="C3321">
        <v>0</v>
      </c>
      <c r="D3321">
        <v>0</v>
      </c>
      <c r="E3321">
        <v>0</v>
      </c>
      <c r="F3321">
        <v>4000</v>
      </c>
      <c r="G3321">
        <v>1750</v>
      </c>
      <c r="H3321">
        <v>0</v>
      </c>
      <c r="J3321" t="str">
        <f>VLOOKUP(Table3[[#This Row],[Faction ID]],Table4[],2)</f>
        <v>_</v>
      </c>
    </row>
    <row r="3322" spans="1:10" x14ac:dyDescent="0.25">
      <c r="A3322">
        <v>86</v>
      </c>
      <c r="B3322" t="s">
        <v>44</v>
      </c>
      <c r="C3322">
        <v>0</v>
      </c>
      <c r="D3322">
        <v>0</v>
      </c>
      <c r="E3322">
        <v>0</v>
      </c>
      <c r="F3322">
        <v>4000</v>
      </c>
      <c r="G3322">
        <v>1750</v>
      </c>
      <c r="H3322">
        <v>0</v>
      </c>
      <c r="J3322" t="str">
        <f>VLOOKUP(Table3[[#This Row],[Faction ID]],Table4[],2)</f>
        <v>_</v>
      </c>
    </row>
    <row r="3323" spans="1:10" x14ac:dyDescent="0.25">
      <c r="A3323">
        <v>87</v>
      </c>
      <c r="B3323" t="s">
        <v>9</v>
      </c>
      <c r="C3323">
        <v>344</v>
      </c>
      <c r="D3323">
        <v>26</v>
      </c>
      <c r="E3323">
        <v>295.10000000000002</v>
      </c>
      <c r="F3323">
        <v>9545</v>
      </c>
      <c r="G3323">
        <v>41224</v>
      </c>
      <c r="H3323">
        <v>2661</v>
      </c>
      <c r="J3323" t="str">
        <f>VLOOKUP(Table3[[#This Row],[Faction ID]],Table4[],2)</f>
        <v>Mordor</v>
      </c>
    </row>
    <row r="3324" spans="1:10" x14ac:dyDescent="0.25">
      <c r="A3324">
        <v>87</v>
      </c>
      <c r="B3324" t="s">
        <v>4</v>
      </c>
      <c r="C3324">
        <v>146</v>
      </c>
      <c r="D3324">
        <v>0</v>
      </c>
      <c r="E3324">
        <v>0</v>
      </c>
      <c r="F3324">
        <v>55420</v>
      </c>
      <c r="G3324">
        <v>2500</v>
      </c>
      <c r="H3324">
        <v>0</v>
      </c>
      <c r="J3324" t="str">
        <f>VLOOKUP(Table3[[#This Row],[Faction ID]],Table4[],2)</f>
        <v>Gondor</v>
      </c>
    </row>
    <row r="3325" spans="1:10" x14ac:dyDescent="0.25">
      <c r="A3325">
        <v>87</v>
      </c>
      <c r="B3325" t="s">
        <v>6</v>
      </c>
      <c r="C3325">
        <v>186</v>
      </c>
      <c r="D3325">
        <v>1</v>
      </c>
      <c r="E3325">
        <v>14.6</v>
      </c>
      <c r="F3325">
        <v>1215</v>
      </c>
      <c r="G3325">
        <v>4939</v>
      </c>
      <c r="H3325">
        <v>0</v>
      </c>
      <c r="J3325" t="str">
        <f>VLOOKUP(Table3[[#This Row],[Faction ID]],Table4[],2)</f>
        <v>Dale</v>
      </c>
    </row>
    <row r="3326" spans="1:10" x14ac:dyDescent="0.25">
      <c r="A3326">
        <v>87</v>
      </c>
      <c r="B3326" t="s">
        <v>21</v>
      </c>
      <c r="C3326">
        <v>200</v>
      </c>
      <c r="D3326">
        <v>0</v>
      </c>
      <c r="E3326">
        <v>0</v>
      </c>
      <c r="F3326">
        <v>10040</v>
      </c>
      <c r="G3326">
        <v>2500</v>
      </c>
      <c r="H3326">
        <v>0</v>
      </c>
      <c r="J3326" t="str">
        <f>VLOOKUP(Table3[[#This Row],[Faction ID]],Table4[],2)</f>
        <v>Erebor</v>
      </c>
    </row>
    <row r="3327" spans="1:10" x14ac:dyDescent="0.25">
      <c r="A3327">
        <v>87</v>
      </c>
      <c r="B3327" t="s">
        <v>5</v>
      </c>
      <c r="C3327">
        <v>157</v>
      </c>
      <c r="D3327">
        <v>0</v>
      </c>
      <c r="E3327">
        <v>0</v>
      </c>
      <c r="F3327">
        <v>6638</v>
      </c>
      <c r="G3327">
        <v>2500</v>
      </c>
      <c r="H3327">
        <v>0</v>
      </c>
      <c r="J3327" t="str">
        <f>VLOOKUP(Table3[[#This Row],[Faction ID]],Table4[],2)</f>
        <v>Rohan</v>
      </c>
    </row>
    <row r="3328" spans="1:10" x14ac:dyDescent="0.25">
      <c r="A3328">
        <v>87</v>
      </c>
      <c r="B3328" t="s">
        <v>12</v>
      </c>
      <c r="C3328">
        <v>264</v>
      </c>
      <c r="D3328">
        <v>16</v>
      </c>
      <c r="E3328">
        <v>234.4</v>
      </c>
      <c r="F3328">
        <v>34199</v>
      </c>
      <c r="G3328">
        <v>32508</v>
      </c>
      <c r="H3328">
        <v>2439</v>
      </c>
      <c r="J3328" t="str">
        <f>VLOOKUP(Table3[[#This Row],[Faction ID]],Table4[],2)</f>
        <v>Dol Guldur</v>
      </c>
    </row>
    <row r="3329" spans="1:10" x14ac:dyDescent="0.25">
      <c r="A3329">
        <v>87</v>
      </c>
      <c r="B3329" t="s">
        <v>10</v>
      </c>
      <c r="C3329">
        <v>58</v>
      </c>
      <c r="D3329">
        <v>0</v>
      </c>
      <c r="E3329">
        <v>0</v>
      </c>
      <c r="F3329">
        <v>4515</v>
      </c>
      <c r="G3329">
        <v>2500</v>
      </c>
      <c r="H3329">
        <v>0</v>
      </c>
      <c r="J3329" t="str">
        <f>VLOOKUP(Table3[[#This Row],[Faction ID]],Table4[],2)</f>
        <v>Anduin Vale</v>
      </c>
    </row>
    <row r="3330" spans="1:10" x14ac:dyDescent="0.25">
      <c r="A3330">
        <v>87</v>
      </c>
      <c r="B3330" t="s">
        <v>32</v>
      </c>
      <c r="C3330">
        <v>252</v>
      </c>
      <c r="D3330">
        <v>8</v>
      </c>
      <c r="E3330">
        <v>194</v>
      </c>
      <c r="F3330">
        <v>62259</v>
      </c>
      <c r="G3330">
        <v>25628</v>
      </c>
      <c r="H3330">
        <v>1295</v>
      </c>
      <c r="J3330" t="str">
        <f>VLOOKUP(Table3[[#This Row],[Faction ID]],Table4[],2)</f>
        <v>Isengard</v>
      </c>
    </row>
    <row r="3331" spans="1:10" x14ac:dyDescent="0.25">
      <c r="A3331">
        <v>87</v>
      </c>
      <c r="B3331" t="s">
        <v>22</v>
      </c>
      <c r="C3331">
        <v>30</v>
      </c>
      <c r="D3331">
        <v>0</v>
      </c>
      <c r="E3331">
        <v>0</v>
      </c>
      <c r="F3331">
        <v>8475</v>
      </c>
      <c r="G3331">
        <v>2500</v>
      </c>
      <c r="H3331">
        <v>0</v>
      </c>
      <c r="J3331" t="str">
        <f>VLOOKUP(Table3[[#This Row],[Faction ID]],Table4[],2)</f>
        <v>Woodland Realm</v>
      </c>
    </row>
    <row r="3332" spans="1:10" x14ac:dyDescent="0.25">
      <c r="A3332">
        <v>87</v>
      </c>
      <c r="B3332" t="s">
        <v>23</v>
      </c>
      <c r="C3332">
        <v>64</v>
      </c>
      <c r="D3332">
        <v>0</v>
      </c>
      <c r="E3332">
        <v>0</v>
      </c>
      <c r="F3332">
        <v>4721</v>
      </c>
      <c r="G3332">
        <v>2500</v>
      </c>
      <c r="H3332">
        <v>0</v>
      </c>
      <c r="J3332" t="str">
        <f>VLOOKUP(Table3[[#This Row],[Faction ID]],Table4[],2)</f>
        <v>Lothlorien</v>
      </c>
    </row>
    <row r="3333" spans="1:10" x14ac:dyDescent="0.25">
      <c r="A3333">
        <v>87</v>
      </c>
      <c r="B3333" t="s">
        <v>24</v>
      </c>
      <c r="C3333">
        <v>0</v>
      </c>
      <c r="D3333">
        <v>0</v>
      </c>
      <c r="E3333">
        <v>0</v>
      </c>
      <c r="F3333">
        <v>4919</v>
      </c>
      <c r="G3333">
        <v>1750</v>
      </c>
      <c r="H3333">
        <v>0</v>
      </c>
      <c r="J3333" t="str">
        <f>VLOOKUP(Table3[[#This Row],[Faction ID]],Table4[],2)</f>
        <v>Variags (Khand)</v>
      </c>
    </row>
    <row r="3334" spans="1:10" x14ac:dyDescent="0.25">
      <c r="A3334">
        <v>87</v>
      </c>
      <c r="B3334" t="s">
        <v>14</v>
      </c>
      <c r="C3334">
        <v>11</v>
      </c>
      <c r="D3334">
        <v>8</v>
      </c>
      <c r="E3334">
        <v>162</v>
      </c>
      <c r="F3334">
        <v>60312</v>
      </c>
      <c r="G3334">
        <v>32136</v>
      </c>
      <c r="H3334">
        <v>2414</v>
      </c>
      <c r="J3334" t="str">
        <f>VLOOKUP(Table3[[#This Row],[Faction ID]],Table4[],2)</f>
        <v>Corsairs of Umbar</v>
      </c>
    </row>
    <row r="3335" spans="1:10" x14ac:dyDescent="0.25">
      <c r="A3335">
        <v>87</v>
      </c>
      <c r="B3335" t="s">
        <v>25</v>
      </c>
      <c r="C3335">
        <v>0</v>
      </c>
      <c r="D3335">
        <v>0</v>
      </c>
      <c r="E3335">
        <v>0</v>
      </c>
      <c r="F3335">
        <v>9228</v>
      </c>
      <c r="G3335">
        <v>1750</v>
      </c>
      <c r="H3335">
        <v>0</v>
      </c>
      <c r="J3335" t="str">
        <f>VLOOKUP(Table3[[#This Row],[Faction ID]],Table4[],2)</f>
        <v>Mahud</v>
      </c>
    </row>
    <row r="3336" spans="1:10" x14ac:dyDescent="0.25">
      <c r="A3336">
        <v>87</v>
      </c>
      <c r="B3336" t="s">
        <v>11</v>
      </c>
      <c r="C3336">
        <v>148</v>
      </c>
      <c r="D3336">
        <v>10</v>
      </c>
      <c r="E3336">
        <v>177</v>
      </c>
      <c r="F3336">
        <v>18975</v>
      </c>
      <c r="G3336">
        <v>24592</v>
      </c>
      <c r="H3336">
        <v>614</v>
      </c>
      <c r="J3336" t="str">
        <f>VLOOKUP(Table3[[#This Row],[Faction ID]],Table4[],2)</f>
        <v>Haradrim</v>
      </c>
    </row>
    <row r="3337" spans="1:10" x14ac:dyDescent="0.25">
      <c r="A3337">
        <v>87</v>
      </c>
      <c r="B3337" t="s">
        <v>15</v>
      </c>
      <c r="C3337">
        <v>163</v>
      </c>
      <c r="D3337">
        <v>12</v>
      </c>
      <c r="E3337">
        <v>213</v>
      </c>
      <c r="F3337">
        <v>214673</v>
      </c>
      <c r="G3337">
        <v>34912</v>
      </c>
      <c r="H3337">
        <v>2407</v>
      </c>
      <c r="J3337" t="str">
        <f>VLOOKUP(Table3[[#This Row],[Faction ID]],Table4[],2)</f>
        <v>Dunlendings</v>
      </c>
    </row>
    <row r="3338" spans="1:10" x14ac:dyDescent="0.25">
      <c r="A3338">
        <v>87</v>
      </c>
      <c r="B3338" t="s">
        <v>16</v>
      </c>
      <c r="C3338">
        <v>0</v>
      </c>
      <c r="D3338">
        <v>0</v>
      </c>
      <c r="E3338">
        <v>0</v>
      </c>
      <c r="F3338">
        <v>5352</v>
      </c>
      <c r="G3338">
        <v>1750</v>
      </c>
      <c r="H3338">
        <v>0</v>
      </c>
      <c r="J3338" t="str">
        <f>VLOOKUP(Table3[[#This Row],[Faction ID]],Table4[],2)</f>
        <v>Haerrim</v>
      </c>
    </row>
    <row r="3339" spans="1:10" x14ac:dyDescent="0.25">
      <c r="A3339">
        <v>87</v>
      </c>
      <c r="B3339" t="s">
        <v>13</v>
      </c>
      <c r="C3339">
        <v>398</v>
      </c>
      <c r="D3339">
        <v>19</v>
      </c>
      <c r="E3339">
        <v>400.2</v>
      </c>
      <c r="F3339">
        <v>36853</v>
      </c>
      <c r="G3339">
        <v>56083</v>
      </c>
      <c r="H3339">
        <v>5023</v>
      </c>
      <c r="J3339" t="str">
        <f>VLOOKUP(Table3[[#This Row],[Faction ID]],Table4[],2)</f>
        <v>Goblins</v>
      </c>
    </row>
    <row r="3340" spans="1:10" x14ac:dyDescent="0.25">
      <c r="A3340">
        <v>87</v>
      </c>
      <c r="B3340" t="s">
        <v>17</v>
      </c>
      <c r="C3340">
        <v>0</v>
      </c>
      <c r="D3340">
        <v>0</v>
      </c>
      <c r="E3340">
        <v>0</v>
      </c>
      <c r="F3340">
        <v>4872</v>
      </c>
      <c r="G3340">
        <v>1750</v>
      </c>
      <c r="H3340">
        <v>0</v>
      </c>
      <c r="J3340" t="str">
        <f>VLOOKUP(Table3[[#This Row],[Faction ID]],Table4[],2)</f>
        <v>Balchoth</v>
      </c>
    </row>
    <row r="3341" spans="1:10" x14ac:dyDescent="0.25">
      <c r="A3341">
        <v>87</v>
      </c>
      <c r="B3341" t="s">
        <v>18</v>
      </c>
      <c r="C3341">
        <v>259</v>
      </c>
      <c r="D3341">
        <v>32</v>
      </c>
      <c r="E3341">
        <v>496.79999999999899</v>
      </c>
      <c r="F3341">
        <v>81153</v>
      </c>
      <c r="G3341">
        <v>51089</v>
      </c>
      <c r="H3341">
        <v>2441</v>
      </c>
      <c r="J3341" t="str">
        <f>VLOOKUP(Table3[[#This Row],[Faction ID]],Table4[],2)</f>
        <v>Rhurim/Rhun</v>
      </c>
    </row>
    <row r="3342" spans="1:10" x14ac:dyDescent="0.25">
      <c r="A3342">
        <v>87</v>
      </c>
      <c r="B3342" t="s">
        <v>19</v>
      </c>
      <c r="C3342">
        <v>0</v>
      </c>
      <c r="D3342">
        <v>0</v>
      </c>
      <c r="E3342">
        <v>0</v>
      </c>
      <c r="F3342">
        <v>7360</v>
      </c>
      <c r="G3342">
        <v>1750</v>
      </c>
      <c r="H3342">
        <v>0</v>
      </c>
      <c r="J3342" t="str">
        <f>VLOOKUP(Table3[[#This Row],[Faction ID]],Table4[],2)</f>
        <v>Feredrim</v>
      </c>
    </row>
    <row r="3343" spans="1:10" x14ac:dyDescent="0.25">
      <c r="A3343">
        <v>87</v>
      </c>
      <c r="B3343" t="s">
        <v>26</v>
      </c>
      <c r="C3343">
        <v>0</v>
      </c>
      <c r="D3343">
        <v>0</v>
      </c>
      <c r="E3343">
        <v>0</v>
      </c>
      <c r="F3343">
        <v>6395</v>
      </c>
      <c r="G3343">
        <v>1750</v>
      </c>
      <c r="H3343">
        <v>0</v>
      </c>
      <c r="J3343" t="str">
        <f>VLOOKUP(Table3[[#This Row],[Faction ID]],Table4[],2)</f>
        <v>Rachrohir (Wainriders)</v>
      </c>
    </row>
    <row r="3344" spans="1:10" x14ac:dyDescent="0.25">
      <c r="A3344">
        <v>87</v>
      </c>
      <c r="B3344" t="s">
        <v>27</v>
      </c>
      <c r="C3344">
        <v>1</v>
      </c>
      <c r="D3344">
        <v>1</v>
      </c>
      <c r="E3344">
        <v>31.2</v>
      </c>
      <c r="F3344">
        <v>27310</v>
      </c>
      <c r="G3344">
        <v>5368</v>
      </c>
      <c r="H3344">
        <v>0</v>
      </c>
      <c r="J3344" t="str">
        <f>VLOOKUP(Table3[[#This Row],[Faction ID]],Table4[],2)</f>
        <v>Blacklock-Stonefoot League</v>
      </c>
    </row>
    <row r="3345" spans="1:10" x14ac:dyDescent="0.25">
      <c r="A3345">
        <v>87</v>
      </c>
      <c r="B3345" t="s">
        <v>28</v>
      </c>
      <c r="C3345">
        <v>4</v>
      </c>
      <c r="D3345">
        <v>2</v>
      </c>
      <c r="E3345">
        <v>43</v>
      </c>
      <c r="F3345">
        <v>70702</v>
      </c>
      <c r="G3345">
        <v>8847</v>
      </c>
      <c r="H3345">
        <v>0</v>
      </c>
      <c r="J3345" t="str">
        <f>VLOOKUP(Table3[[#This Row],[Faction ID]],Table4[],2)</f>
        <v>Ironfist-Stiffbeard Union</v>
      </c>
    </row>
    <row r="3346" spans="1:10" x14ac:dyDescent="0.25">
      <c r="A3346">
        <v>87</v>
      </c>
      <c r="B3346" t="s">
        <v>20</v>
      </c>
      <c r="C3346">
        <v>238</v>
      </c>
      <c r="D3346">
        <v>17</v>
      </c>
      <c r="E3346">
        <v>276.60000000000002</v>
      </c>
      <c r="F3346">
        <v>41789</v>
      </c>
      <c r="G3346">
        <v>35613</v>
      </c>
      <c r="H3346">
        <v>1702</v>
      </c>
      <c r="J3346" t="str">
        <f>VLOOKUP(Table3[[#This Row],[Faction ID]],Table4[],2)</f>
        <v>Gundabad</v>
      </c>
    </row>
    <row r="3347" spans="1:10" x14ac:dyDescent="0.25">
      <c r="A3347">
        <v>87</v>
      </c>
      <c r="B3347" t="s">
        <v>34</v>
      </c>
      <c r="C3347">
        <v>0</v>
      </c>
      <c r="D3347">
        <v>0</v>
      </c>
      <c r="E3347">
        <v>3</v>
      </c>
      <c r="F3347">
        <v>100406</v>
      </c>
      <c r="G3347">
        <v>2379</v>
      </c>
      <c r="H3347">
        <v>0</v>
      </c>
      <c r="J3347" t="str">
        <f>VLOOKUP(Table3[[#This Row],[Faction ID]],Table4[],2)</f>
        <v>Scouts of Rohan</v>
      </c>
    </row>
    <row r="3348" spans="1:10" x14ac:dyDescent="0.25">
      <c r="A3348">
        <v>87</v>
      </c>
      <c r="B3348" t="s">
        <v>33</v>
      </c>
      <c r="C3348">
        <v>6</v>
      </c>
      <c r="D3348">
        <v>4</v>
      </c>
      <c r="E3348">
        <v>81</v>
      </c>
      <c r="F3348">
        <v>85014</v>
      </c>
      <c r="G3348">
        <v>17602</v>
      </c>
      <c r="H3348">
        <v>748</v>
      </c>
      <c r="J3348" t="str">
        <f>VLOOKUP(Table3[[#This Row],[Faction ID]],Table4[],2)</f>
        <v>Northern Enedwaith</v>
      </c>
    </row>
    <row r="3349" spans="1:10" x14ac:dyDescent="0.25">
      <c r="A3349">
        <v>87</v>
      </c>
      <c r="B3349" t="s">
        <v>29</v>
      </c>
      <c r="C3349">
        <v>0</v>
      </c>
      <c r="D3349">
        <v>0</v>
      </c>
      <c r="E3349">
        <v>0</v>
      </c>
      <c r="F3349">
        <v>54023</v>
      </c>
      <c r="G3349">
        <v>1750</v>
      </c>
      <c r="H3349">
        <v>0</v>
      </c>
      <c r="J3349" t="str">
        <f>VLOOKUP(Table3[[#This Row],[Faction ID]],Table4[],2)</f>
        <v>Southern Enedwaith</v>
      </c>
    </row>
    <row r="3350" spans="1:10" x14ac:dyDescent="0.25">
      <c r="A3350">
        <v>87</v>
      </c>
      <c r="B3350" t="s">
        <v>30</v>
      </c>
      <c r="C3350">
        <v>0</v>
      </c>
      <c r="D3350">
        <v>0</v>
      </c>
      <c r="E3350">
        <v>0</v>
      </c>
      <c r="F3350">
        <v>32146</v>
      </c>
      <c r="G3350">
        <v>1750</v>
      </c>
      <c r="H3350">
        <v>0</v>
      </c>
      <c r="J3350" t="str">
        <f>VLOOKUP(Table3[[#This Row],[Faction ID]],Table4[],2)</f>
        <v>Druedain</v>
      </c>
    </row>
    <row r="3351" spans="1:10" x14ac:dyDescent="0.25">
      <c r="A3351">
        <v>87</v>
      </c>
      <c r="B3351" t="s">
        <v>31</v>
      </c>
      <c r="C3351">
        <v>0</v>
      </c>
      <c r="D3351">
        <v>0</v>
      </c>
      <c r="E3351">
        <v>0</v>
      </c>
      <c r="F3351">
        <v>15146</v>
      </c>
      <c r="G3351">
        <v>1750</v>
      </c>
      <c r="H3351">
        <v>0</v>
      </c>
      <c r="J3351" t="str">
        <f>VLOOKUP(Table3[[#This Row],[Faction ID]],Table4[],2)</f>
        <v>Harondor</v>
      </c>
    </row>
    <row r="3352" spans="1:10" x14ac:dyDescent="0.25">
      <c r="A3352">
        <v>87</v>
      </c>
      <c r="B3352" t="s">
        <v>35</v>
      </c>
      <c r="C3352">
        <v>0</v>
      </c>
      <c r="D3352">
        <v>0</v>
      </c>
      <c r="E3352">
        <v>0</v>
      </c>
      <c r="F3352">
        <v>4000</v>
      </c>
      <c r="G3352">
        <v>1750</v>
      </c>
      <c r="H3352">
        <v>0</v>
      </c>
      <c r="J3352" t="str">
        <f>VLOOKUP(Table3[[#This Row],[Faction ID]],Table4[],2)</f>
        <v>Southron Nomads</v>
      </c>
    </row>
    <row r="3353" spans="1:10" x14ac:dyDescent="0.25">
      <c r="A3353">
        <v>87</v>
      </c>
      <c r="B3353" t="s">
        <v>36</v>
      </c>
      <c r="C3353">
        <v>0</v>
      </c>
      <c r="D3353">
        <v>0</v>
      </c>
      <c r="E3353">
        <v>0</v>
      </c>
      <c r="F3353">
        <v>4000</v>
      </c>
      <c r="G3353">
        <v>1750</v>
      </c>
      <c r="H3353">
        <v>0</v>
      </c>
      <c r="J3353" t="str">
        <f>VLOOKUP(Table3[[#This Row],[Faction ID]],Table4[],2)</f>
        <v>_</v>
      </c>
    </row>
    <row r="3354" spans="1:10" x14ac:dyDescent="0.25">
      <c r="A3354">
        <v>87</v>
      </c>
      <c r="B3354" t="s">
        <v>37</v>
      </c>
      <c r="C3354">
        <v>0</v>
      </c>
      <c r="D3354">
        <v>0</v>
      </c>
      <c r="E3354">
        <v>0</v>
      </c>
      <c r="F3354">
        <v>4000</v>
      </c>
      <c r="G3354">
        <v>1750</v>
      </c>
      <c r="H3354">
        <v>0</v>
      </c>
      <c r="J3354" t="str">
        <f>VLOOKUP(Table3[[#This Row],[Faction ID]],Table4[],2)</f>
        <v>_</v>
      </c>
    </row>
    <row r="3355" spans="1:10" x14ac:dyDescent="0.25">
      <c r="A3355">
        <v>87</v>
      </c>
      <c r="B3355" t="s">
        <v>38</v>
      </c>
      <c r="C3355">
        <v>0</v>
      </c>
      <c r="D3355">
        <v>0</v>
      </c>
      <c r="E3355">
        <v>0</v>
      </c>
      <c r="F3355">
        <v>4000</v>
      </c>
      <c r="G3355">
        <v>1750</v>
      </c>
      <c r="H3355">
        <v>0</v>
      </c>
      <c r="J3355" t="str">
        <f>VLOOKUP(Table3[[#This Row],[Faction ID]],Table4[],2)</f>
        <v>_</v>
      </c>
    </row>
    <row r="3356" spans="1:10" x14ac:dyDescent="0.25">
      <c r="A3356">
        <v>87</v>
      </c>
      <c r="B3356" t="s">
        <v>39</v>
      </c>
      <c r="C3356">
        <v>0</v>
      </c>
      <c r="D3356">
        <v>0</v>
      </c>
      <c r="E3356">
        <v>0</v>
      </c>
      <c r="F3356">
        <v>4000</v>
      </c>
      <c r="G3356">
        <v>1750</v>
      </c>
      <c r="H3356">
        <v>0</v>
      </c>
      <c r="J3356" t="str">
        <f>VLOOKUP(Table3[[#This Row],[Faction ID]],Table4[],2)</f>
        <v>_</v>
      </c>
    </row>
    <row r="3357" spans="1:10" x14ac:dyDescent="0.25">
      <c r="A3357">
        <v>87</v>
      </c>
      <c r="B3357" t="s">
        <v>40</v>
      </c>
      <c r="C3357">
        <v>0</v>
      </c>
      <c r="D3357">
        <v>0</v>
      </c>
      <c r="E3357">
        <v>0</v>
      </c>
      <c r="F3357">
        <v>4000</v>
      </c>
      <c r="G3357">
        <v>1750</v>
      </c>
      <c r="H3357">
        <v>0</v>
      </c>
      <c r="J3357" t="str">
        <f>VLOOKUP(Table3[[#This Row],[Faction ID]],Table4[],2)</f>
        <v>_</v>
      </c>
    </row>
    <row r="3358" spans="1:10" x14ac:dyDescent="0.25">
      <c r="A3358">
        <v>87</v>
      </c>
      <c r="B3358" t="s">
        <v>41</v>
      </c>
      <c r="C3358">
        <v>0</v>
      </c>
      <c r="D3358">
        <v>0</v>
      </c>
      <c r="E3358">
        <v>0</v>
      </c>
      <c r="F3358">
        <v>4000</v>
      </c>
      <c r="G3358">
        <v>1750</v>
      </c>
      <c r="H3358">
        <v>0</v>
      </c>
      <c r="J3358" t="str">
        <f>VLOOKUP(Table3[[#This Row],[Faction ID]],Table4[],2)</f>
        <v>_</v>
      </c>
    </row>
    <row r="3359" spans="1:10" x14ac:dyDescent="0.25">
      <c r="A3359">
        <v>87</v>
      </c>
      <c r="B3359" t="s">
        <v>42</v>
      </c>
      <c r="C3359">
        <v>0</v>
      </c>
      <c r="D3359">
        <v>0</v>
      </c>
      <c r="E3359">
        <v>0</v>
      </c>
      <c r="F3359">
        <v>4000</v>
      </c>
      <c r="G3359">
        <v>1750</v>
      </c>
      <c r="H3359">
        <v>0</v>
      </c>
      <c r="J3359" t="str">
        <f>VLOOKUP(Table3[[#This Row],[Faction ID]],Table4[],2)</f>
        <v>_</v>
      </c>
    </row>
    <row r="3360" spans="1:10" x14ac:dyDescent="0.25">
      <c r="A3360">
        <v>87</v>
      </c>
      <c r="B3360" t="s">
        <v>43</v>
      </c>
      <c r="C3360">
        <v>0</v>
      </c>
      <c r="D3360">
        <v>0</v>
      </c>
      <c r="E3360">
        <v>0</v>
      </c>
      <c r="F3360">
        <v>4000</v>
      </c>
      <c r="G3360">
        <v>1750</v>
      </c>
      <c r="H3360">
        <v>0</v>
      </c>
      <c r="J3360" t="str">
        <f>VLOOKUP(Table3[[#This Row],[Faction ID]],Table4[],2)</f>
        <v>_</v>
      </c>
    </row>
    <row r="3361" spans="1:10" x14ac:dyDescent="0.25">
      <c r="A3361">
        <v>87</v>
      </c>
      <c r="B3361" t="s">
        <v>44</v>
      </c>
      <c r="C3361">
        <v>0</v>
      </c>
      <c r="D3361">
        <v>0</v>
      </c>
      <c r="E3361">
        <v>0</v>
      </c>
      <c r="F3361">
        <v>4000</v>
      </c>
      <c r="G3361">
        <v>1750</v>
      </c>
      <c r="H3361">
        <v>0</v>
      </c>
      <c r="J3361" t="str">
        <f>VLOOKUP(Table3[[#This Row],[Faction ID]],Table4[],2)</f>
        <v>_</v>
      </c>
    </row>
    <row r="3362" spans="1:10" x14ac:dyDescent="0.25">
      <c r="A3362">
        <v>88</v>
      </c>
      <c r="B3362" t="s">
        <v>9</v>
      </c>
      <c r="C3362">
        <v>344</v>
      </c>
      <c r="D3362">
        <v>26</v>
      </c>
      <c r="E3362">
        <v>295.10000000000002</v>
      </c>
      <c r="F3362">
        <v>9683</v>
      </c>
      <c r="G3362">
        <v>41413</v>
      </c>
      <c r="H3362">
        <v>2666</v>
      </c>
      <c r="J3362" t="str">
        <f>VLOOKUP(Table3[[#This Row],[Faction ID]],Table4[],2)</f>
        <v>Mordor</v>
      </c>
    </row>
    <row r="3363" spans="1:10" x14ac:dyDescent="0.25">
      <c r="A3363">
        <v>88</v>
      </c>
      <c r="B3363" t="s">
        <v>4</v>
      </c>
      <c r="C3363">
        <v>146</v>
      </c>
      <c r="D3363">
        <v>0</v>
      </c>
      <c r="E3363">
        <v>0</v>
      </c>
      <c r="F3363">
        <v>55420</v>
      </c>
      <c r="G3363">
        <v>2500</v>
      </c>
      <c r="H3363">
        <v>0</v>
      </c>
      <c r="J3363" t="str">
        <f>VLOOKUP(Table3[[#This Row],[Faction ID]],Table4[],2)</f>
        <v>Gondor</v>
      </c>
    </row>
    <row r="3364" spans="1:10" x14ac:dyDescent="0.25">
      <c r="A3364">
        <v>88</v>
      </c>
      <c r="B3364" t="s">
        <v>6</v>
      </c>
      <c r="C3364">
        <v>191</v>
      </c>
      <c r="D3364">
        <v>1</v>
      </c>
      <c r="E3364">
        <v>14.6</v>
      </c>
      <c r="F3364">
        <v>376</v>
      </c>
      <c r="G3364">
        <v>4939</v>
      </c>
      <c r="H3364">
        <v>0</v>
      </c>
      <c r="J3364" t="str">
        <f>VLOOKUP(Table3[[#This Row],[Faction ID]],Table4[],2)</f>
        <v>Dale</v>
      </c>
    </row>
    <row r="3365" spans="1:10" x14ac:dyDescent="0.25">
      <c r="A3365">
        <v>88</v>
      </c>
      <c r="B3365" t="s">
        <v>21</v>
      </c>
      <c r="C3365">
        <v>200</v>
      </c>
      <c r="D3365">
        <v>0</v>
      </c>
      <c r="E3365">
        <v>0</v>
      </c>
      <c r="F3365">
        <v>10040</v>
      </c>
      <c r="G3365">
        <v>2500</v>
      </c>
      <c r="H3365">
        <v>0</v>
      </c>
      <c r="J3365" t="str">
        <f>VLOOKUP(Table3[[#This Row],[Faction ID]],Table4[],2)</f>
        <v>Erebor</v>
      </c>
    </row>
    <row r="3366" spans="1:10" x14ac:dyDescent="0.25">
      <c r="A3366">
        <v>88</v>
      </c>
      <c r="B3366" t="s">
        <v>5</v>
      </c>
      <c r="C3366">
        <v>157</v>
      </c>
      <c r="D3366">
        <v>0</v>
      </c>
      <c r="E3366">
        <v>0</v>
      </c>
      <c r="F3366">
        <v>6638</v>
      </c>
      <c r="G3366">
        <v>2500</v>
      </c>
      <c r="H3366">
        <v>0</v>
      </c>
      <c r="J3366" t="str">
        <f>VLOOKUP(Table3[[#This Row],[Faction ID]],Table4[],2)</f>
        <v>Rohan</v>
      </c>
    </row>
    <row r="3367" spans="1:10" x14ac:dyDescent="0.25">
      <c r="A3367">
        <v>88</v>
      </c>
      <c r="B3367" t="s">
        <v>12</v>
      </c>
      <c r="C3367">
        <v>264</v>
      </c>
      <c r="D3367">
        <v>16</v>
      </c>
      <c r="E3367">
        <v>234.2</v>
      </c>
      <c r="F3367">
        <v>24607</v>
      </c>
      <c r="G3367">
        <v>32831</v>
      </c>
      <c r="H3367">
        <v>2436</v>
      </c>
      <c r="J3367" t="str">
        <f>VLOOKUP(Table3[[#This Row],[Faction ID]],Table4[],2)</f>
        <v>Dol Guldur</v>
      </c>
    </row>
    <row r="3368" spans="1:10" x14ac:dyDescent="0.25">
      <c r="A3368">
        <v>88</v>
      </c>
      <c r="B3368" t="s">
        <v>10</v>
      </c>
      <c r="C3368">
        <v>58</v>
      </c>
      <c r="D3368">
        <v>0</v>
      </c>
      <c r="E3368">
        <v>0</v>
      </c>
      <c r="F3368">
        <v>4515</v>
      </c>
      <c r="G3368">
        <v>2500</v>
      </c>
      <c r="H3368">
        <v>0</v>
      </c>
      <c r="J3368" t="str">
        <f>VLOOKUP(Table3[[#This Row],[Faction ID]],Table4[],2)</f>
        <v>Anduin Vale</v>
      </c>
    </row>
    <row r="3369" spans="1:10" x14ac:dyDescent="0.25">
      <c r="A3369">
        <v>88</v>
      </c>
      <c r="B3369" t="s">
        <v>32</v>
      </c>
      <c r="C3369">
        <v>257</v>
      </c>
      <c r="D3369">
        <v>8</v>
      </c>
      <c r="E3369">
        <v>194</v>
      </c>
      <c r="F3369">
        <v>65081</v>
      </c>
      <c r="G3369">
        <v>25851</v>
      </c>
      <c r="H3369">
        <v>1296</v>
      </c>
      <c r="J3369" t="str">
        <f>VLOOKUP(Table3[[#This Row],[Faction ID]],Table4[],2)</f>
        <v>Isengard</v>
      </c>
    </row>
    <row r="3370" spans="1:10" x14ac:dyDescent="0.25">
      <c r="A3370">
        <v>88</v>
      </c>
      <c r="B3370" t="s">
        <v>22</v>
      </c>
      <c r="C3370">
        <v>30</v>
      </c>
      <c r="D3370">
        <v>0</v>
      </c>
      <c r="E3370">
        <v>0</v>
      </c>
      <c r="F3370">
        <v>8475</v>
      </c>
      <c r="G3370">
        <v>2500</v>
      </c>
      <c r="H3370">
        <v>0</v>
      </c>
      <c r="J3370" t="str">
        <f>VLOOKUP(Table3[[#This Row],[Faction ID]],Table4[],2)</f>
        <v>Woodland Realm</v>
      </c>
    </row>
    <row r="3371" spans="1:10" x14ac:dyDescent="0.25">
      <c r="A3371">
        <v>88</v>
      </c>
      <c r="B3371" t="s">
        <v>23</v>
      </c>
      <c r="C3371">
        <v>64</v>
      </c>
      <c r="D3371">
        <v>0</v>
      </c>
      <c r="E3371">
        <v>0</v>
      </c>
      <c r="F3371">
        <v>4721</v>
      </c>
      <c r="G3371">
        <v>2500</v>
      </c>
      <c r="H3371">
        <v>0</v>
      </c>
      <c r="J3371" t="str">
        <f>VLOOKUP(Table3[[#This Row],[Faction ID]],Table4[],2)</f>
        <v>Lothlorien</v>
      </c>
    </row>
    <row r="3372" spans="1:10" x14ac:dyDescent="0.25">
      <c r="A3372">
        <v>88</v>
      </c>
      <c r="B3372" t="s">
        <v>24</v>
      </c>
      <c r="C3372">
        <v>0</v>
      </c>
      <c r="D3372">
        <v>0</v>
      </c>
      <c r="E3372">
        <v>0</v>
      </c>
      <c r="F3372">
        <v>4919</v>
      </c>
      <c r="G3372">
        <v>1750</v>
      </c>
      <c r="H3372">
        <v>0</v>
      </c>
      <c r="J3372" t="str">
        <f>VLOOKUP(Table3[[#This Row],[Faction ID]],Table4[],2)</f>
        <v>Variags (Khand)</v>
      </c>
    </row>
    <row r="3373" spans="1:10" x14ac:dyDescent="0.25">
      <c r="A3373">
        <v>88</v>
      </c>
      <c r="B3373" t="s">
        <v>14</v>
      </c>
      <c r="C3373">
        <v>11</v>
      </c>
      <c r="D3373">
        <v>8</v>
      </c>
      <c r="E3373">
        <v>163</v>
      </c>
      <c r="F3373">
        <v>67790</v>
      </c>
      <c r="G3373">
        <v>32343</v>
      </c>
      <c r="H3373">
        <v>2422</v>
      </c>
      <c r="J3373" t="str">
        <f>VLOOKUP(Table3[[#This Row],[Faction ID]],Table4[],2)</f>
        <v>Corsairs of Umbar</v>
      </c>
    </row>
    <row r="3374" spans="1:10" x14ac:dyDescent="0.25">
      <c r="A3374">
        <v>88</v>
      </c>
      <c r="B3374" t="s">
        <v>25</v>
      </c>
      <c r="C3374">
        <v>0</v>
      </c>
      <c r="D3374">
        <v>0</v>
      </c>
      <c r="E3374">
        <v>0</v>
      </c>
      <c r="F3374">
        <v>9228</v>
      </c>
      <c r="G3374">
        <v>1750</v>
      </c>
      <c r="H3374">
        <v>0</v>
      </c>
      <c r="J3374" t="str">
        <f>VLOOKUP(Table3[[#This Row],[Faction ID]],Table4[],2)</f>
        <v>Mahud</v>
      </c>
    </row>
    <row r="3375" spans="1:10" x14ac:dyDescent="0.25">
      <c r="A3375">
        <v>88</v>
      </c>
      <c r="B3375" t="s">
        <v>11</v>
      </c>
      <c r="C3375">
        <v>148</v>
      </c>
      <c r="D3375">
        <v>10</v>
      </c>
      <c r="E3375">
        <v>177</v>
      </c>
      <c r="F3375">
        <v>20214</v>
      </c>
      <c r="G3375">
        <v>26337</v>
      </c>
      <c r="H3375">
        <v>668</v>
      </c>
      <c r="J3375" t="str">
        <f>VLOOKUP(Table3[[#This Row],[Faction ID]],Table4[],2)</f>
        <v>Haradrim</v>
      </c>
    </row>
    <row r="3376" spans="1:10" x14ac:dyDescent="0.25">
      <c r="A3376">
        <v>88</v>
      </c>
      <c r="B3376" t="s">
        <v>15</v>
      </c>
      <c r="C3376">
        <v>163</v>
      </c>
      <c r="D3376">
        <v>12</v>
      </c>
      <c r="E3376">
        <v>225</v>
      </c>
      <c r="F3376">
        <v>210236</v>
      </c>
      <c r="G3376">
        <v>36720</v>
      </c>
      <c r="H3376">
        <v>2408</v>
      </c>
      <c r="J3376" t="str">
        <f>VLOOKUP(Table3[[#This Row],[Faction ID]],Table4[],2)</f>
        <v>Dunlendings</v>
      </c>
    </row>
    <row r="3377" spans="1:10" x14ac:dyDescent="0.25">
      <c r="A3377">
        <v>88</v>
      </c>
      <c r="B3377" t="s">
        <v>16</v>
      </c>
      <c r="C3377">
        <v>0</v>
      </c>
      <c r="D3377">
        <v>0</v>
      </c>
      <c r="E3377">
        <v>0</v>
      </c>
      <c r="F3377">
        <v>5352</v>
      </c>
      <c r="G3377">
        <v>1750</v>
      </c>
      <c r="H3377">
        <v>0</v>
      </c>
      <c r="J3377" t="str">
        <f>VLOOKUP(Table3[[#This Row],[Faction ID]],Table4[],2)</f>
        <v>Haerrim</v>
      </c>
    </row>
    <row r="3378" spans="1:10" x14ac:dyDescent="0.25">
      <c r="A3378">
        <v>88</v>
      </c>
      <c r="B3378" t="s">
        <v>13</v>
      </c>
      <c r="C3378">
        <v>398</v>
      </c>
      <c r="D3378">
        <v>19</v>
      </c>
      <c r="E3378">
        <v>404.2</v>
      </c>
      <c r="F3378">
        <v>47986</v>
      </c>
      <c r="G3378">
        <v>57184</v>
      </c>
      <c r="H3378">
        <v>5022</v>
      </c>
      <c r="J3378" t="str">
        <f>VLOOKUP(Table3[[#This Row],[Faction ID]],Table4[],2)</f>
        <v>Goblins</v>
      </c>
    </row>
    <row r="3379" spans="1:10" x14ac:dyDescent="0.25">
      <c r="A3379">
        <v>88</v>
      </c>
      <c r="B3379" t="s">
        <v>17</v>
      </c>
      <c r="C3379">
        <v>0</v>
      </c>
      <c r="D3379">
        <v>0</v>
      </c>
      <c r="E3379">
        <v>0</v>
      </c>
      <c r="F3379">
        <v>4872</v>
      </c>
      <c r="G3379">
        <v>1750</v>
      </c>
      <c r="H3379">
        <v>0</v>
      </c>
      <c r="J3379" t="str">
        <f>VLOOKUP(Table3[[#This Row],[Faction ID]],Table4[],2)</f>
        <v>Balchoth</v>
      </c>
    </row>
    <row r="3380" spans="1:10" x14ac:dyDescent="0.25">
      <c r="A3380">
        <v>88</v>
      </c>
      <c r="B3380" t="s">
        <v>18</v>
      </c>
      <c r="C3380">
        <v>259</v>
      </c>
      <c r="D3380">
        <v>32</v>
      </c>
      <c r="E3380">
        <v>498.79999999999899</v>
      </c>
      <c r="F3380">
        <v>65550</v>
      </c>
      <c r="G3380">
        <v>50009</v>
      </c>
      <c r="H3380">
        <v>2438</v>
      </c>
      <c r="J3380" t="str">
        <f>VLOOKUP(Table3[[#This Row],[Faction ID]],Table4[],2)</f>
        <v>Rhurim/Rhun</v>
      </c>
    </row>
    <row r="3381" spans="1:10" x14ac:dyDescent="0.25">
      <c r="A3381">
        <v>88</v>
      </c>
      <c r="B3381" t="s">
        <v>19</v>
      </c>
      <c r="C3381">
        <v>0</v>
      </c>
      <c r="D3381">
        <v>0</v>
      </c>
      <c r="E3381">
        <v>0</v>
      </c>
      <c r="F3381">
        <v>7360</v>
      </c>
      <c r="G3381">
        <v>1750</v>
      </c>
      <c r="H3381">
        <v>0</v>
      </c>
      <c r="J3381" t="str">
        <f>VLOOKUP(Table3[[#This Row],[Faction ID]],Table4[],2)</f>
        <v>Feredrim</v>
      </c>
    </row>
    <row r="3382" spans="1:10" x14ac:dyDescent="0.25">
      <c r="A3382">
        <v>88</v>
      </c>
      <c r="B3382" t="s">
        <v>26</v>
      </c>
      <c r="C3382">
        <v>0</v>
      </c>
      <c r="D3382">
        <v>0</v>
      </c>
      <c r="E3382">
        <v>0</v>
      </c>
      <c r="F3382">
        <v>6395</v>
      </c>
      <c r="G3382">
        <v>1750</v>
      </c>
      <c r="H3382">
        <v>0</v>
      </c>
      <c r="J3382" t="str">
        <f>VLOOKUP(Table3[[#This Row],[Faction ID]],Table4[],2)</f>
        <v>Rachrohir (Wainriders)</v>
      </c>
    </row>
    <row r="3383" spans="1:10" x14ac:dyDescent="0.25">
      <c r="A3383">
        <v>88</v>
      </c>
      <c r="B3383" t="s">
        <v>27</v>
      </c>
      <c r="C3383">
        <v>1</v>
      </c>
      <c r="D3383">
        <v>1</v>
      </c>
      <c r="E3383">
        <v>30.2</v>
      </c>
      <c r="F3383">
        <v>25268</v>
      </c>
      <c r="G3383">
        <v>5294</v>
      </c>
      <c r="H3383">
        <v>0</v>
      </c>
      <c r="J3383" t="str">
        <f>VLOOKUP(Table3[[#This Row],[Faction ID]],Table4[],2)</f>
        <v>Blacklock-Stonefoot League</v>
      </c>
    </row>
    <row r="3384" spans="1:10" x14ac:dyDescent="0.25">
      <c r="A3384">
        <v>88</v>
      </c>
      <c r="B3384" t="s">
        <v>28</v>
      </c>
      <c r="C3384">
        <v>4</v>
      </c>
      <c r="D3384">
        <v>2</v>
      </c>
      <c r="E3384">
        <v>43</v>
      </c>
      <c r="F3384">
        <v>70293</v>
      </c>
      <c r="G3384">
        <v>8847</v>
      </c>
      <c r="H3384">
        <v>0</v>
      </c>
      <c r="J3384" t="str">
        <f>VLOOKUP(Table3[[#This Row],[Faction ID]],Table4[],2)</f>
        <v>Ironfist-Stiffbeard Union</v>
      </c>
    </row>
    <row r="3385" spans="1:10" x14ac:dyDescent="0.25">
      <c r="A3385">
        <v>88</v>
      </c>
      <c r="B3385" t="s">
        <v>20</v>
      </c>
      <c r="C3385">
        <v>238</v>
      </c>
      <c r="D3385">
        <v>17</v>
      </c>
      <c r="E3385">
        <v>267.8</v>
      </c>
      <c r="F3385">
        <v>34733</v>
      </c>
      <c r="G3385">
        <v>33468</v>
      </c>
      <c r="H3385">
        <v>1701</v>
      </c>
      <c r="J3385" t="str">
        <f>VLOOKUP(Table3[[#This Row],[Faction ID]],Table4[],2)</f>
        <v>Gundabad</v>
      </c>
    </row>
    <row r="3386" spans="1:10" x14ac:dyDescent="0.25">
      <c r="A3386">
        <v>88</v>
      </c>
      <c r="B3386" t="s">
        <v>34</v>
      </c>
      <c r="C3386">
        <v>0</v>
      </c>
      <c r="D3386">
        <v>0</v>
      </c>
      <c r="E3386">
        <v>3</v>
      </c>
      <c r="F3386">
        <v>101527</v>
      </c>
      <c r="G3386">
        <v>2379</v>
      </c>
      <c r="H3386">
        <v>0</v>
      </c>
      <c r="J3386" t="str">
        <f>VLOOKUP(Table3[[#This Row],[Faction ID]],Table4[],2)</f>
        <v>Scouts of Rohan</v>
      </c>
    </row>
    <row r="3387" spans="1:10" x14ac:dyDescent="0.25">
      <c r="A3387">
        <v>88</v>
      </c>
      <c r="B3387" t="s">
        <v>33</v>
      </c>
      <c r="C3387">
        <v>6</v>
      </c>
      <c r="D3387">
        <v>4</v>
      </c>
      <c r="E3387">
        <v>81</v>
      </c>
      <c r="F3387">
        <v>88239</v>
      </c>
      <c r="G3387">
        <v>17604</v>
      </c>
      <c r="H3387">
        <v>750</v>
      </c>
      <c r="J3387" t="str">
        <f>VLOOKUP(Table3[[#This Row],[Faction ID]],Table4[],2)</f>
        <v>Northern Enedwaith</v>
      </c>
    </row>
    <row r="3388" spans="1:10" x14ac:dyDescent="0.25">
      <c r="A3388">
        <v>88</v>
      </c>
      <c r="B3388" t="s">
        <v>29</v>
      </c>
      <c r="C3388">
        <v>0</v>
      </c>
      <c r="D3388">
        <v>0</v>
      </c>
      <c r="E3388">
        <v>0</v>
      </c>
      <c r="F3388">
        <v>54023</v>
      </c>
      <c r="G3388">
        <v>1750</v>
      </c>
      <c r="H3388">
        <v>0</v>
      </c>
      <c r="J3388" t="str">
        <f>VLOOKUP(Table3[[#This Row],[Faction ID]],Table4[],2)</f>
        <v>Southern Enedwaith</v>
      </c>
    </row>
    <row r="3389" spans="1:10" x14ac:dyDescent="0.25">
      <c r="A3389">
        <v>88</v>
      </c>
      <c r="B3389" t="s">
        <v>30</v>
      </c>
      <c r="C3389">
        <v>0</v>
      </c>
      <c r="D3389">
        <v>0</v>
      </c>
      <c r="E3389">
        <v>0</v>
      </c>
      <c r="F3389">
        <v>32146</v>
      </c>
      <c r="G3389">
        <v>1750</v>
      </c>
      <c r="H3389">
        <v>0</v>
      </c>
      <c r="J3389" t="str">
        <f>VLOOKUP(Table3[[#This Row],[Faction ID]],Table4[],2)</f>
        <v>Druedain</v>
      </c>
    </row>
    <row r="3390" spans="1:10" x14ac:dyDescent="0.25">
      <c r="A3390">
        <v>88</v>
      </c>
      <c r="B3390" t="s">
        <v>31</v>
      </c>
      <c r="C3390">
        <v>0</v>
      </c>
      <c r="D3390">
        <v>0</v>
      </c>
      <c r="E3390">
        <v>0</v>
      </c>
      <c r="F3390">
        <v>15146</v>
      </c>
      <c r="G3390">
        <v>1750</v>
      </c>
      <c r="H3390">
        <v>0</v>
      </c>
      <c r="J3390" t="str">
        <f>VLOOKUP(Table3[[#This Row],[Faction ID]],Table4[],2)</f>
        <v>Harondor</v>
      </c>
    </row>
    <row r="3391" spans="1:10" x14ac:dyDescent="0.25">
      <c r="A3391">
        <v>88</v>
      </c>
      <c r="B3391" t="s">
        <v>35</v>
      </c>
      <c r="C3391">
        <v>0</v>
      </c>
      <c r="D3391">
        <v>0</v>
      </c>
      <c r="E3391">
        <v>0</v>
      </c>
      <c r="F3391">
        <v>4000</v>
      </c>
      <c r="G3391">
        <v>1750</v>
      </c>
      <c r="H3391">
        <v>0</v>
      </c>
      <c r="J3391" t="str">
        <f>VLOOKUP(Table3[[#This Row],[Faction ID]],Table4[],2)</f>
        <v>Southron Nomads</v>
      </c>
    </row>
    <row r="3392" spans="1:10" x14ac:dyDescent="0.25">
      <c r="A3392">
        <v>88</v>
      </c>
      <c r="B3392" t="s">
        <v>36</v>
      </c>
      <c r="C3392">
        <v>0</v>
      </c>
      <c r="D3392">
        <v>0</v>
      </c>
      <c r="E3392">
        <v>0</v>
      </c>
      <c r="F3392">
        <v>4000</v>
      </c>
      <c r="G3392">
        <v>1750</v>
      </c>
      <c r="H3392">
        <v>0</v>
      </c>
      <c r="J3392" t="str">
        <f>VLOOKUP(Table3[[#This Row],[Faction ID]],Table4[],2)</f>
        <v>_</v>
      </c>
    </row>
    <row r="3393" spans="1:10" x14ac:dyDescent="0.25">
      <c r="A3393">
        <v>88</v>
      </c>
      <c r="B3393" t="s">
        <v>37</v>
      </c>
      <c r="C3393">
        <v>0</v>
      </c>
      <c r="D3393">
        <v>0</v>
      </c>
      <c r="E3393">
        <v>0</v>
      </c>
      <c r="F3393">
        <v>4000</v>
      </c>
      <c r="G3393">
        <v>1750</v>
      </c>
      <c r="H3393">
        <v>0</v>
      </c>
      <c r="J3393" t="str">
        <f>VLOOKUP(Table3[[#This Row],[Faction ID]],Table4[],2)</f>
        <v>_</v>
      </c>
    </row>
    <row r="3394" spans="1:10" x14ac:dyDescent="0.25">
      <c r="A3394">
        <v>88</v>
      </c>
      <c r="B3394" t="s">
        <v>38</v>
      </c>
      <c r="C3394">
        <v>0</v>
      </c>
      <c r="D3394">
        <v>0</v>
      </c>
      <c r="E3394">
        <v>0</v>
      </c>
      <c r="F3394">
        <v>4000</v>
      </c>
      <c r="G3394">
        <v>1750</v>
      </c>
      <c r="H3394">
        <v>0</v>
      </c>
      <c r="J3394" t="str">
        <f>VLOOKUP(Table3[[#This Row],[Faction ID]],Table4[],2)</f>
        <v>_</v>
      </c>
    </row>
    <row r="3395" spans="1:10" x14ac:dyDescent="0.25">
      <c r="A3395">
        <v>88</v>
      </c>
      <c r="B3395" t="s">
        <v>39</v>
      </c>
      <c r="C3395">
        <v>0</v>
      </c>
      <c r="D3395">
        <v>0</v>
      </c>
      <c r="E3395">
        <v>0</v>
      </c>
      <c r="F3395">
        <v>4000</v>
      </c>
      <c r="G3395">
        <v>1750</v>
      </c>
      <c r="H3395">
        <v>0</v>
      </c>
      <c r="J3395" t="str">
        <f>VLOOKUP(Table3[[#This Row],[Faction ID]],Table4[],2)</f>
        <v>_</v>
      </c>
    </row>
    <row r="3396" spans="1:10" x14ac:dyDescent="0.25">
      <c r="A3396">
        <v>88</v>
      </c>
      <c r="B3396" t="s">
        <v>40</v>
      </c>
      <c r="C3396">
        <v>0</v>
      </c>
      <c r="D3396">
        <v>0</v>
      </c>
      <c r="E3396">
        <v>0</v>
      </c>
      <c r="F3396">
        <v>4000</v>
      </c>
      <c r="G3396">
        <v>1750</v>
      </c>
      <c r="H3396">
        <v>0</v>
      </c>
      <c r="J3396" t="str">
        <f>VLOOKUP(Table3[[#This Row],[Faction ID]],Table4[],2)</f>
        <v>_</v>
      </c>
    </row>
    <row r="3397" spans="1:10" x14ac:dyDescent="0.25">
      <c r="A3397">
        <v>88</v>
      </c>
      <c r="B3397" t="s">
        <v>41</v>
      </c>
      <c r="C3397">
        <v>0</v>
      </c>
      <c r="D3397">
        <v>0</v>
      </c>
      <c r="E3397">
        <v>0</v>
      </c>
      <c r="F3397">
        <v>4000</v>
      </c>
      <c r="G3397">
        <v>1750</v>
      </c>
      <c r="H3397">
        <v>0</v>
      </c>
      <c r="J3397" t="str">
        <f>VLOOKUP(Table3[[#This Row],[Faction ID]],Table4[],2)</f>
        <v>_</v>
      </c>
    </row>
    <row r="3398" spans="1:10" x14ac:dyDescent="0.25">
      <c r="A3398">
        <v>88</v>
      </c>
      <c r="B3398" t="s">
        <v>42</v>
      </c>
      <c r="C3398">
        <v>0</v>
      </c>
      <c r="D3398">
        <v>0</v>
      </c>
      <c r="E3398">
        <v>0</v>
      </c>
      <c r="F3398">
        <v>4000</v>
      </c>
      <c r="G3398">
        <v>1750</v>
      </c>
      <c r="H3398">
        <v>0</v>
      </c>
      <c r="J3398" t="str">
        <f>VLOOKUP(Table3[[#This Row],[Faction ID]],Table4[],2)</f>
        <v>_</v>
      </c>
    </row>
    <row r="3399" spans="1:10" x14ac:dyDescent="0.25">
      <c r="A3399">
        <v>88</v>
      </c>
      <c r="B3399" t="s">
        <v>43</v>
      </c>
      <c r="C3399">
        <v>0</v>
      </c>
      <c r="D3399">
        <v>0</v>
      </c>
      <c r="E3399">
        <v>0</v>
      </c>
      <c r="F3399">
        <v>4000</v>
      </c>
      <c r="G3399">
        <v>1750</v>
      </c>
      <c r="H3399">
        <v>0</v>
      </c>
      <c r="J3399" t="str">
        <f>VLOOKUP(Table3[[#This Row],[Faction ID]],Table4[],2)</f>
        <v>_</v>
      </c>
    </row>
    <row r="3400" spans="1:10" x14ac:dyDescent="0.25">
      <c r="A3400">
        <v>88</v>
      </c>
      <c r="B3400" t="s">
        <v>44</v>
      </c>
      <c r="C3400">
        <v>0</v>
      </c>
      <c r="D3400">
        <v>0</v>
      </c>
      <c r="E3400">
        <v>0</v>
      </c>
      <c r="F3400">
        <v>4000</v>
      </c>
      <c r="G3400">
        <v>1750</v>
      </c>
      <c r="H3400">
        <v>0</v>
      </c>
      <c r="J3400" t="str">
        <f>VLOOKUP(Table3[[#This Row],[Faction ID]],Table4[],2)</f>
        <v>_</v>
      </c>
    </row>
    <row r="3401" spans="1:10" x14ac:dyDescent="0.25">
      <c r="A3401">
        <v>89</v>
      </c>
      <c r="B3401" t="s">
        <v>9</v>
      </c>
      <c r="C3401">
        <v>373</v>
      </c>
      <c r="D3401">
        <v>26</v>
      </c>
      <c r="E3401">
        <v>297.10000000000002</v>
      </c>
      <c r="F3401">
        <v>8722</v>
      </c>
      <c r="G3401">
        <v>41642</v>
      </c>
      <c r="H3401">
        <v>2439</v>
      </c>
      <c r="J3401" t="str">
        <f>VLOOKUP(Table3[[#This Row],[Faction ID]],Table4[],2)</f>
        <v>Mordor</v>
      </c>
    </row>
    <row r="3402" spans="1:10" x14ac:dyDescent="0.25">
      <c r="A3402">
        <v>89</v>
      </c>
      <c r="B3402" t="s">
        <v>4</v>
      </c>
      <c r="C3402">
        <v>146</v>
      </c>
      <c r="D3402">
        <v>0</v>
      </c>
      <c r="E3402">
        <v>0</v>
      </c>
      <c r="F3402">
        <v>55420</v>
      </c>
      <c r="G3402">
        <v>2500</v>
      </c>
      <c r="H3402">
        <v>0</v>
      </c>
      <c r="J3402" t="str">
        <f>VLOOKUP(Table3[[#This Row],[Faction ID]],Table4[],2)</f>
        <v>Gondor</v>
      </c>
    </row>
    <row r="3403" spans="1:10" x14ac:dyDescent="0.25">
      <c r="A3403">
        <v>89</v>
      </c>
      <c r="B3403" t="s">
        <v>6</v>
      </c>
      <c r="C3403">
        <v>191</v>
      </c>
      <c r="D3403">
        <v>1</v>
      </c>
      <c r="E3403">
        <v>14.6</v>
      </c>
      <c r="F3403">
        <v>515</v>
      </c>
      <c r="G3403">
        <v>4939</v>
      </c>
      <c r="H3403">
        <v>0</v>
      </c>
      <c r="J3403" t="str">
        <f>VLOOKUP(Table3[[#This Row],[Faction ID]],Table4[],2)</f>
        <v>Dale</v>
      </c>
    </row>
    <row r="3404" spans="1:10" x14ac:dyDescent="0.25">
      <c r="A3404">
        <v>89</v>
      </c>
      <c r="B3404" t="s">
        <v>21</v>
      </c>
      <c r="C3404">
        <v>200</v>
      </c>
      <c r="D3404">
        <v>0</v>
      </c>
      <c r="E3404">
        <v>0</v>
      </c>
      <c r="F3404">
        <v>10040</v>
      </c>
      <c r="G3404">
        <v>2500</v>
      </c>
      <c r="H3404">
        <v>0</v>
      </c>
      <c r="J3404" t="str">
        <f>VLOOKUP(Table3[[#This Row],[Faction ID]],Table4[],2)</f>
        <v>Erebor</v>
      </c>
    </row>
    <row r="3405" spans="1:10" x14ac:dyDescent="0.25">
      <c r="A3405">
        <v>89</v>
      </c>
      <c r="B3405" t="s">
        <v>5</v>
      </c>
      <c r="C3405">
        <v>157</v>
      </c>
      <c r="D3405">
        <v>0</v>
      </c>
      <c r="E3405">
        <v>0</v>
      </c>
      <c r="F3405">
        <v>6638</v>
      </c>
      <c r="G3405">
        <v>2500</v>
      </c>
      <c r="H3405">
        <v>0</v>
      </c>
      <c r="J3405" t="str">
        <f>VLOOKUP(Table3[[#This Row],[Faction ID]],Table4[],2)</f>
        <v>Rohan</v>
      </c>
    </row>
    <row r="3406" spans="1:10" x14ac:dyDescent="0.25">
      <c r="A3406">
        <v>89</v>
      </c>
      <c r="B3406" t="s">
        <v>12</v>
      </c>
      <c r="C3406">
        <v>271</v>
      </c>
      <c r="D3406">
        <v>15</v>
      </c>
      <c r="E3406">
        <v>250.4</v>
      </c>
      <c r="F3406">
        <v>27629</v>
      </c>
      <c r="G3406">
        <v>35683</v>
      </c>
      <c r="H3406">
        <v>2645</v>
      </c>
      <c r="J3406" t="str">
        <f>VLOOKUP(Table3[[#This Row],[Faction ID]],Table4[],2)</f>
        <v>Dol Guldur</v>
      </c>
    </row>
    <row r="3407" spans="1:10" x14ac:dyDescent="0.25">
      <c r="A3407">
        <v>89</v>
      </c>
      <c r="B3407" t="s">
        <v>10</v>
      </c>
      <c r="C3407">
        <v>58</v>
      </c>
      <c r="D3407">
        <v>0</v>
      </c>
      <c r="E3407">
        <v>0</v>
      </c>
      <c r="F3407">
        <v>4515</v>
      </c>
      <c r="G3407">
        <v>2500</v>
      </c>
      <c r="H3407">
        <v>0</v>
      </c>
      <c r="J3407" t="str">
        <f>VLOOKUP(Table3[[#This Row],[Faction ID]],Table4[],2)</f>
        <v>Anduin Vale</v>
      </c>
    </row>
    <row r="3408" spans="1:10" x14ac:dyDescent="0.25">
      <c r="A3408">
        <v>89</v>
      </c>
      <c r="B3408" t="s">
        <v>32</v>
      </c>
      <c r="C3408">
        <v>257</v>
      </c>
      <c r="D3408">
        <v>8</v>
      </c>
      <c r="E3408">
        <v>195.4</v>
      </c>
      <c r="F3408">
        <v>68060</v>
      </c>
      <c r="G3408">
        <v>26078</v>
      </c>
      <c r="H3408">
        <v>1299</v>
      </c>
      <c r="J3408" t="str">
        <f>VLOOKUP(Table3[[#This Row],[Faction ID]],Table4[],2)</f>
        <v>Isengard</v>
      </c>
    </row>
    <row r="3409" spans="1:10" x14ac:dyDescent="0.25">
      <c r="A3409">
        <v>89</v>
      </c>
      <c r="B3409" t="s">
        <v>22</v>
      </c>
      <c r="C3409">
        <v>30</v>
      </c>
      <c r="D3409">
        <v>0</v>
      </c>
      <c r="E3409">
        <v>0</v>
      </c>
      <c r="F3409">
        <v>8475</v>
      </c>
      <c r="G3409">
        <v>2500</v>
      </c>
      <c r="H3409">
        <v>0</v>
      </c>
      <c r="J3409" t="str">
        <f>VLOOKUP(Table3[[#This Row],[Faction ID]],Table4[],2)</f>
        <v>Woodland Realm</v>
      </c>
    </row>
    <row r="3410" spans="1:10" x14ac:dyDescent="0.25">
      <c r="A3410">
        <v>89</v>
      </c>
      <c r="B3410" t="s">
        <v>23</v>
      </c>
      <c r="C3410">
        <v>64</v>
      </c>
      <c r="D3410">
        <v>0</v>
      </c>
      <c r="E3410">
        <v>0</v>
      </c>
      <c r="F3410">
        <v>4721</v>
      </c>
      <c r="G3410">
        <v>2500</v>
      </c>
      <c r="H3410">
        <v>0</v>
      </c>
      <c r="J3410" t="str">
        <f>VLOOKUP(Table3[[#This Row],[Faction ID]],Table4[],2)</f>
        <v>Lothlorien</v>
      </c>
    </row>
    <row r="3411" spans="1:10" x14ac:dyDescent="0.25">
      <c r="A3411">
        <v>89</v>
      </c>
      <c r="B3411" t="s">
        <v>24</v>
      </c>
      <c r="C3411">
        <v>0</v>
      </c>
      <c r="D3411">
        <v>0</v>
      </c>
      <c r="E3411">
        <v>0</v>
      </c>
      <c r="F3411">
        <v>4919</v>
      </c>
      <c r="G3411">
        <v>1750</v>
      </c>
      <c r="H3411">
        <v>0</v>
      </c>
      <c r="J3411" t="str">
        <f>VLOOKUP(Table3[[#This Row],[Faction ID]],Table4[],2)</f>
        <v>Variags (Khand)</v>
      </c>
    </row>
    <row r="3412" spans="1:10" x14ac:dyDescent="0.25">
      <c r="A3412">
        <v>89</v>
      </c>
      <c r="B3412" t="s">
        <v>14</v>
      </c>
      <c r="C3412">
        <v>11</v>
      </c>
      <c r="D3412">
        <v>8</v>
      </c>
      <c r="E3412">
        <v>162</v>
      </c>
      <c r="F3412">
        <v>64879</v>
      </c>
      <c r="G3412">
        <v>32920</v>
      </c>
      <c r="H3412">
        <v>2439</v>
      </c>
      <c r="J3412" t="str">
        <f>VLOOKUP(Table3[[#This Row],[Faction ID]],Table4[],2)</f>
        <v>Corsairs of Umbar</v>
      </c>
    </row>
    <row r="3413" spans="1:10" x14ac:dyDescent="0.25">
      <c r="A3413">
        <v>89</v>
      </c>
      <c r="B3413" t="s">
        <v>25</v>
      </c>
      <c r="C3413">
        <v>0</v>
      </c>
      <c r="D3413">
        <v>0</v>
      </c>
      <c r="E3413">
        <v>0</v>
      </c>
      <c r="F3413">
        <v>9228</v>
      </c>
      <c r="G3413">
        <v>1750</v>
      </c>
      <c r="H3413">
        <v>0</v>
      </c>
      <c r="J3413" t="str">
        <f>VLOOKUP(Table3[[#This Row],[Faction ID]],Table4[],2)</f>
        <v>Mahud</v>
      </c>
    </row>
    <row r="3414" spans="1:10" x14ac:dyDescent="0.25">
      <c r="A3414">
        <v>89</v>
      </c>
      <c r="B3414" t="s">
        <v>11</v>
      </c>
      <c r="C3414">
        <v>154</v>
      </c>
      <c r="D3414">
        <v>11</v>
      </c>
      <c r="E3414">
        <v>190</v>
      </c>
      <c r="F3414">
        <v>19323</v>
      </c>
      <c r="G3414">
        <v>28039</v>
      </c>
      <c r="H3414">
        <v>673</v>
      </c>
      <c r="J3414" t="str">
        <f>VLOOKUP(Table3[[#This Row],[Faction ID]],Table4[],2)</f>
        <v>Haradrim</v>
      </c>
    </row>
    <row r="3415" spans="1:10" x14ac:dyDescent="0.25">
      <c r="A3415">
        <v>89</v>
      </c>
      <c r="B3415" t="s">
        <v>15</v>
      </c>
      <c r="C3415">
        <v>163</v>
      </c>
      <c r="D3415">
        <v>12</v>
      </c>
      <c r="E3415">
        <v>230</v>
      </c>
      <c r="F3415">
        <v>214110</v>
      </c>
      <c r="G3415">
        <v>38115</v>
      </c>
      <c r="H3415">
        <v>2418</v>
      </c>
      <c r="J3415" t="str">
        <f>VLOOKUP(Table3[[#This Row],[Faction ID]],Table4[],2)</f>
        <v>Dunlendings</v>
      </c>
    </row>
    <row r="3416" spans="1:10" x14ac:dyDescent="0.25">
      <c r="A3416">
        <v>89</v>
      </c>
      <c r="B3416" t="s">
        <v>16</v>
      </c>
      <c r="C3416">
        <v>0</v>
      </c>
      <c r="D3416">
        <v>0</v>
      </c>
      <c r="E3416">
        <v>0</v>
      </c>
      <c r="F3416">
        <v>5352</v>
      </c>
      <c r="G3416">
        <v>1750</v>
      </c>
      <c r="H3416">
        <v>0</v>
      </c>
      <c r="J3416" t="str">
        <f>VLOOKUP(Table3[[#This Row],[Faction ID]],Table4[],2)</f>
        <v>Haerrim</v>
      </c>
    </row>
    <row r="3417" spans="1:10" x14ac:dyDescent="0.25">
      <c r="A3417">
        <v>89</v>
      </c>
      <c r="B3417" t="s">
        <v>13</v>
      </c>
      <c r="C3417">
        <v>398</v>
      </c>
      <c r="D3417">
        <v>19</v>
      </c>
      <c r="E3417">
        <v>404.2</v>
      </c>
      <c r="F3417">
        <v>58532</v>
      </c>
      <c r="G3417">
        <v>56986</v>
      </c>
      <c r="H3417">
        <v>5023</v>
      </c>
      <c r="J3417" t="str">
        <f>VLOOKUP(Table3[[#This Row],[Faction ID]],Table4[],2)</f>
        <v>Goblins</v>
      </c>
    </row>
    <row r="3418" spans="1:10" x14ac:dyDescent="0.25">
      <c r="A3418">
        <v>89</v>
      </c>
      <c r="B3418" t="s">
        <v>17</v>
      </c>
      <c r="C3418">
        <v>0</v>
      </c>
      <c r="D3418">
        <v>0</v>
      </c>
      <c r="E3418">
        <v>0</v>
      </c>
      <c r="F3418">
        <v>4872</v>
      </c>
      <c r="G3418">
        <v>1750</v>
      </c>
      <c r="H3418">
        <v>0</v>
      </c>
      <c r="J3418" t="str">
        <f>VLOOKUP(Table3[[#This Row],[Faction ID]],Table4[],2)</f>
        <v>Balchoth</v>
      </c>
    </row>
    <row r="3419" spans="1:10" x14ac:dyDescent="0.25">
      <c r="A3419">
        <v>89</v>
      </c>
      <c r="B3419" t="s">
        <v>18</v>
      </c>
      <c r="C3419">
        <v>281</v>
      </c>
      <c r="D3419">
        <v>31</v>
      </c>
      <c r="E3419">
        <v>492.79999999999899</v>
      </c>
      <c r="F3419">
        <v>57709</v>
      </c>
      <c r="G3419">
        <v>51319</v>
      </c>
      <c r="H3419">
        <v>2446</v>
      </c>
      <c r="J3419" t="str">
        <f>VLOOKUP(Table3[[#This Row],[Faction ID]],Table4[],2)</f>
        <v>Rhurim/Rhun</v>
      </c>
    </row>
    <row r="3420" spans="1:10" x14ac:dyDescent="0.25">
      <c r="A3420">
        <v>89</v>
      </c>
      <c r="B3420" t="s">
        <v>19</v>
      </c>
      <c r="C3420">
        <v>0</v>
      </c>
      <c r="D3420">
        <v>0</v>
      </c>
      <c r="E3420">
        <v>0</v>
      </c>
      <c r="F3420">
        <v>7360</v>
      </c>
      <c r="G3420">
        <v>1750</v>
      </c>
      <c r="H3420">
        <v>0</v>
      </c>
      <c r="J3420" t="str">
        <f>VLOOKUP(Table3[[#This Row],[Faction ID]],Table4[],2)</f>
        <v>Feredrim</v>
      </c>
    </row>
    <row r="3421" spans="1:10" x14ac:dyDescent="0.25">
      <c r="A3421">
        <v>89</v>
      </c>
      <c r="B3421" t="s">
        <v>26</v>
      </c>
      <c r="C3421">
        <v>0</v>
      </c>
      <c r="D3421">
        <v>0</v>
      </c>
      <c r="E3421">
        <v>0</v>
      </c>
      <c r="F3421">
        <v>6395</v>
      </c>
      <c r="G3421">
        <v>1750</v>
      </c>
      <c r="H3421">
        <v>0</v>
      </c>
      <c r="J3421" t="str">
        <f>VLOOKUP(Table3[[#This Row],[Faction ID]],Table4[],2)</f>
        <v>Rachrohir (Wainriders)</v>
      </c>
    </row>
    <row r="3422" spans="1:10" x14ac:dyDescent="0.25">
      <c r="A3422">
        <v>89</v>
      </c>
      <c r="B3422" t="s">
        <v>27</v>
      </c>
      <c r="C3422">
        <v>1</v>
      </c>
      <c r="D3422">
        <v>1</v>
      </c>
      <c r="E3422">
        <v>25.2</v>
      </c>
      <c r="F3422">
        <v>23140</v>
      </c>
      <c r="G3422">
        <v>4999</v>
      </c>
      <c r="H3422">
        <v>0</v>
      </c>
      <c r="J3422" t="str">
        <f>VLOOKUP(Table3[[#This Row],[Faction ID]],Table4[],2)</f>
        <v>Blacklock-Stonefoot League</v>
      </c>
    </row>
    <row r="3423" spans="1:10" x14ac:dyDescent="0.25">
      <c r="A3423">
        <v>89</v>
      </c>
      <c r="B3423" t="s">
        <v>28</v>
      </c>
      <c r="C3423">
        <v>4</v>
      </c>
      <c r="D3423">
        <v>2</v>
      </c>
      <c r="E3423">
        <v>43</v>
      </c>
      <c r="F3423">
        <v>73484</v>
      </c>
      <c r="G3423">
        <v>8847</v>
      </c>
      <c r="H3423">
        <v>0</v>
      </c>
      <c r="J3423" t="str">
        <f>VLOOKUP(Table3[[#This Row],[Faction ID]],Table4[],2)</f>
        <v>Ironfist-Stiffbeard Union</v>
      </c>
    </row>
    <row r="3424" spans="1:10" x14ac:dyDescent="0.25">
      <c r="A3424">
        <v>89</v>
      </c>
      <c r="B3424" t="s">
        <v>20</v>
      </c>
      <c r="C3424">
        <v>239</v>
      </c>
      <c r="D3424">
        <v>18</v>
      </c>
      <c r="E3424">
        <v>264.60000000000002</v>
      </c>
      <c r="F3424">
        <v>30752</v>
      </c>
      <c r="G3424">
        <v>32693</v>
      </c>
      <c r="H3424">
        <v>1705</v>
      </c>
      <c r="J3424" t="str">
        <f>VLOOKUP(Table3[[#This Row],[Faction ID]],Table4[],2)</f>
        <v>Gundabad</v>
      </c>
    </row>
    <row r="3425" spans="1:10" x14ac:dyDescent="0.25">
      <c r="A3425">
        <v>89</v>
      </c>
      <c r="B3425" t="s">
        <v>34</v>
      </c>
      <c r="C3425">
        <v>0</v>
      </c>
      <c r="D3425">
        <v>0</v>
      </c>
      <c r="E3425">
        <v>3</v>
      </c>
      <c r="F3425">
        <v>102648</v>
      </c>
      <c r="G3425">
        <v>2379</v>
      </c>
      <c r="H3425">
        <v>0</v>
      </c>
      <c r="J3425" t="str">
        <f>VLOOKUP(Table3[[#This Row],[Faction ID]],Table4[],2)</f>
        <v>Scouts of Rohan</v>
      </c>
    </row>
    <row r="3426" spans="1:10" x14ac:dyDescent="0.25">
      <c r="A3426">
        <v>89</v>
      </c>
      <c r="B3426" t="s">
        <v>33</v>
      </c>
      <c r="C3426">
        <v>6</v>
      </c>
      <c r="D3426">
        <v>4</v>
      </c>
      <c r="E3426">
        <v>81</v>
      </c>
      <c r="F3426">
        <v>86487</v>
      </c>
      <c r="G3426">
        <v>17760</v>
      </c>
      <c r="H3426">
        <v>853</v>
      </c>
      <c r="J3426" t="str">
        <f>VLOOKUP(Table3[[#This Row],[Faction ID]],Table4[],2)</f>
        <v>Northern Enedwaith</v>
      </c>
    </row>
    <row r="3427" spans="1:10" x14ac:dyDescent="0.25">
      <c r="A3427">
        <v>89</v>
      </c>
      <c r="B3427" t="s">
        <v>29</v>
      </c>
      <c r="C3427">
        <v>0</v>
      </c>
      <c r="D3427">
        <v>0</v>
      </c>
      <c r="E3427">
        <v>0</v>
      </c>
      <c r="F3427">
        <v>54023</v>
      </c>
      <c r="G3427">
        <v>1750</v>
      </c>
      <c r="H3427">
        <v>0</v>
      </c>
      <c r="J3427" t="str">
        <f>VLOOKUP(Table3[[#This Row],[Faction ID]],Table4[],2)</f>
        <v>Southern Enedwaith</v>
      </c>
    </row>
    <row r="3428" spans="1:10" x14ac:dyDescent="0.25">
      <c r="A3428">
        <v>89</v>
      </c>
      <c r="B3428" t="s">
        <v>30</v>
      </c>
      <c r="C3428">
        <v>0</v>
      </c>
      <c r="D3428">
        <v>0</v>
      </c>
      <c r="E3428">
        <v>0</v>
      </c>
      <c r="F3428">
        <v>32146</v>
      </c>
      <c r="G3428">
        <v>1750</v>
      </c>
      <c r="H3428">
        <v>0</v>
      </c>
      <c r="J3428" t="str">
        <f>VLOOKUP(Table3[[#This Row],[Faction ID]],Table4[],2)</f>
        <v>Druedain</v>
      </c>
    </row>
    <row r="3429" spans="1:10" x14ac:dyDescent="0.25">
      <c r="A3429">
        <v>89</v>
      </c>
      <c r="B3429" t="s">
        <v>31</v>
      </c>
      <c r="C3429">
        <v>0</v>
      </c>
      <c r="D3429">
        <v>0</v>
      </c>
      <c r="E3429">
        <v>0</v>
      </c>
      <c r="F3429">
        <v>15146</v>
      </c>
      <c r="G3429">
        <v>1750</v>
      </c>
      <c r="H3429">
        <v>0</v>
      </c>
      <c r="J3429" t="str">
        <f>VLOOKUP(Table3[[#This Row],[Faction ID]],Table4[],2)</f>
        <v>Harondor</v>
      </c>
    </row>
    <row r="3430" spans="1:10" x14ac:dyDescent="0.25">
      <c r="A3430">
        <v>89</v>
      </c>
      <c r="B3430" t="s">
        <v>35</v>
      </c>
      <c r="C3430">
        <v>0</v>
      </c>
      <c r="D3430">
        <v>0</v>
      </c>
      <c r="E3430">
        <v>0</v>
      </c>
      <c r="F3430">
        <v>4000</v>
      </c>
      <c r="G3430">
        <v>1750</v>
      </c>
      <c r="H3430">
        <v>0</v>
      </c>
      <c r="J3430" t="str">
        <f>VLOOKUP(Table3[[#This Row],[Faction ID]],Table4[],2)</f>
        <v>Southron Nomads</v>
      </c>
    </row>
    <row r="3431" spans="1:10" x14ac:dyDescent="0.25">
      <c r="A3431">
        <v>89</v>
      </c>
      <c r="B3431" t="s">
        <v>36</v>
      </c>
      <c r="C3431">
        <v>0</v>
      </c>
      <c r="D3431">
        <v>0</v>
      </c>
      <c r="E3431">
        <v>0</v>
      </c>
      <c r="F3431">
        <v>4000</v>
      </c>
      <c r="G3431">
        <v>1750</v>
      </c>
      <c r="H3431">
        <v>0</v>
      </c>
      <c r="J3431" t="str">
        <f>VLOOKUP(Table3[[#This Row],[Faction ID]],Table4[],2)</f>
        <v>_</v>
      </c>
    </row>
    <row r="3432" spans="1:10" x14ac:dyDescent="0.25">
      <c r="A3432">
        <v>89</v>
      </c>
      <c r="B3432" t="s">
        <v>37</v>
      </c>
      <c r="C3432">
        <v>0</v>
      </c>
      <c r="D3432">
        <v>0</v>
      </c>
      <c r="E3432">
        <v>0</v>
      </c>
      <c r="F3432">
        <v>4000</v>
      </c>
      <c r="G3432">
        <v>1750</v>
      </c>
      <c r="H3432">
        <v>0</v>
      </c>
      <c r="J3432" t="str">
        <f>VLOOKUP(Table3[[#This Row],[Faction ID]],Table4[],2)</f>
        <v>_</v>
      </c>
    </row>
    <row r="3433" spans="1:10" x14ac:dyDescent="0.25">
      <c r="A3433">
        <v>89</v>
      </c>
      <c r="B3433" t="s">
        <v>38</v>
      </c>
      <c r="C3433">
        <v>0</v>
      </c>
      <c r="D3433">
        <v>0</v>
      </c>
      <c r="E3433">
        <v>0</v>
      </c>
      <c r="F3433">
        <v>4000</v>
      </c>
      <c r="G3433">
        <v>1750</v>
      </c>
      <c r="H3433">
        <v>0</v>
      </c>
      <c r="J3433" t="str">
        <f>VLOOKUP(Table3[[#This Row],[Faction ID]],Table4[],2)</f>
        <v>_</v>
      </c>
    </row>
    <row r="3434" spans="1:10" x14ac:dyDescent="0.25">
      <c r="A3434">
        <v>89</v>
      </c>
      <c r="B3434" t="s">
        <v>39</v>
      </c>
      <c r="C3434">
        <v>0</v>
      </c>
      <c r="D3434">
        <v>0</v>
      </c>
      <c r="E3434">
        <v>0</v>
      </c>
      <c r="F3434">
        <v>4000</v>
      </c>
      <c r="G3434">
        <v>1750</v>
      </c>
      <c r="H3434">
        <v>0</v>
      </c>
      <c r="J3434" t="str">
        <f>VLOOKUP(Table3[[#This Row],[Faction ID]],Table4[],2)</f>
        <v>_</v>
      </c>
    </row>
    <row r="3435" spans="1:10" x14ac:dyDescent="0.25">
      <c r="A3435">
        <v>89</v>
      </c>
      <c r="B3435" t="s">
        <v>40</v>
      </c>
      <c r="C3435">
        <v>0</v>
      </c>
      <c r="D3435">
        <v>0</v>
      </c>
      <c r="E3435">
        <v>0</v>
      </c>
      <c r="F3435">
        <v>4000</v>
      </c>
      <c r="G3435">
        <v>1750</v>
      </c>
      <c r="H3435">
        <v>0</v>
      </c>
      <c r="J3435" t="str">
        <f>VLOOKUP(Table3[[#This Row],[Faction ID]],Table4[],2)</f>
        <v>_</v>
      </c>
    </row>
    <row r="3436" spans="1:10" x14ac:dyDescent="0.25">
      <c r="A3436">
        <v>89</v>
      </c>
      <c r="B3436" t="s">
        <v>41</v>
      </c>
      <c r="C3436">
        <v>0</v>
      </c>
      <c r="D3436">
        <v>0</v>
      </c>
      <c r="E3436">
        <v>0</v>
      </c>
      <c r="F3436">
        <v>4000</v>
      </c>
      <c r="G3436">
        <v>1750</v>
      </c>
      <c r="H3436">
        <v>0</v>
      </c>
      <c r="J3436" t="str">
        <f>VLOOKUP(Table3[[#This Row],[Faction ID]],Table4[],2)</f>
        <v>_</v>
      </c>
    </row>
    <row r="3437" spans="1:10" x14ac:dyDescent="0.25">
      <c r="A3437">
        <v>89</v>
      </c>
      <c r="B3437" t="s">
        <v>42</v>
      </c>
      <c r="C3437">
        <v>0</v>
      </c>
      <c r="D3437">
        <v>0</v>
      </c>
      <c r="E3437">
        <v>0</v>
      </c>
      <c r="F3437">
        <v>4000</v>
      </c>
      <c r="G3437">
        <v>1750</v>
      </c>
      <c r="H3437">
        <v>0</v>
      </c>
      <c r="J3437" t="str">
        <f>VLOOKUP(Table3[[#This Row],[Faction ID]],Table4[],2)</f>
        <v>_</v>
      </c>
    </row>
    <row r="3438" spans="1:10" x14ac:dyDescent="0.25">
      <c r="A3438">
        <v>89</v>
      </c>
      <c r="B3438" t="s">
        <v>43</v>
      </c>
      <c r="C3438">
        <v>0</v>
      </c>
      <c r="D3438">
        <v>0</v>
      </c>
      <c r="E3438">
        <v>0</v>
      </c>
      <c r="F3438">
        <v>4000</v>
      </c>
      <c r="G3438">
        <v>1750</v>
      </c>
      <c r="H3438">
        <v>0</v>
      </c>
      <c r="J3438" t="str">
        <f>VLOOKUP(Table3[[#This Row],[Faction ID]],Table4[],2)</f>
        <v>_</v>
      </c>
    </row>
    <row r="3439" spans="1:10" x14ac:dyDescent="0.25">
      <c r="A3439">
        <v>89</v>
      </c>
      <c r="B3439" t="s">
        <v>44</v>
      </c>
      <c r="C3439">
        <v>0</v>
      </c>
      <c r="D3439">
        <v>0</v>
      </c>
      <c r="E3439">
        <v>0</v>
      </c>
      <c r="F3439">
        <v>4000</v>
      </c>
      <c r="G3439">
        <v>1750</v>
      </c>
      <c r="H3439">
        <v>0</v>
      </c>
      <c r="J3439" t="str">
        <f>VLOOKUP(Table3[[#This Row],[Faction ID]],Table4[],2)</f>
        <v>_</v>
      </c>
    </row>
    <row r="3440" spans="1:10" x14ac:dyDescent="0.25">
      <c r="A3440">
        <v>90</v>
      </c>
      <c r="B3440" t="s">
        <v>9</v>
      </c>
      <c r="C3440">
        <v>388</v>
      </c>
      <c r="D3440">
        <v>26</v>
      </c>
      <c r="E3440">
        <v>300.10000000000002</v>
      </c>
      <c r="F3440">
        <v>1596</v>
      </c>
      <c r="G3440">
        <v>42589</v>
      </c>
      <c r="H3440">
        <v>2452</v>
      </c>
      <c r="J3440" t="str">
        <f>VLOOKUP(Table3[[#This Row],[Faction ID]],Table4[],2)</f>
        <v>Mordor</v>
      </c>
    </row>
    <row r="3441" spans="1:10" x14ac:dyDescent="0.25">
      <c r="A3441">
        <v>90</v>
      </c>
      <c r="B3441" t="s">
        <v>4</v>
      </c>
      <c r="C3441">
        <v>146</v>
      </c>
      <c r="D3441">
        <v>0</v>
      </c>
      <c r="E3441">
        <v>0</v>
      </c>
      <c r="F3441">
        <v>55420</v>
      </c>
      <c r="G3441">
        <v>2500</v>
      </c>
      <c r="H3441">
        <v>0</v>
      </c>
      <c r="J3441" t="str">
        <f>VLOOKUP(Table3[[#This Row],[Faction ID]],Table4[],2)</f>
        <v>Gondor</v>
      </c>
    </row>
    <row r="3442" spans="1:10" x14ac:dyDescent="0.25">
      <c r="A3442">
        <v>90</v>
      </c>
      <c r="B3442" t="s">
        <v>6</v>
      </c>
      <c r="C3442">
        <v>191</v>
      </c>
      <c r="D3442">
        <v>1</v>
      </c>
      <c r="E3442">
        <v>14.6</v>
      </c>
      <c r="F3442">
        <v>576</v>
      </c>
      <c r="G3442">
        <v>4939</v>
      </c>
      <c r="H3442">
        <v>0</v>
      </c>
      <c r="J3442" t="str">
        <f>VLOOKUP(Table3[[#This Row],[Faction ID]],Table4[],2)</f>
        <v>Dale</v>
      </c>
    </row>
    <row r="3443" spans="1:10" x14ac:dyDescent="0.25">
      <c r="A3443">
        <v>90</v>
      </c>
      <c r="B3443" t="s">
        <v>21</v>
      </c>
      <c r="C3443">
        <v>200</v>
      </c>
      <c r="D3443">
        <v>0</v>
      </c>
      <c r="E3443">
        <v>0</v>
      </c>
      <c r="F3443">
        <v>10040</v>
      </c>
      <c r="G3443">
        <v>2500</v>
      </c>
      <c r="H3443">
        <v>0</v>
      </c>
      <c r="J3443" t="str">
        <f>VLOOKUP(Table3[[#This Row],[Faction ID]],Table4[],2)</f>
        <v>Erebor</v>
      </c>
    </row>
    <row r="3444" spans="1:10" x14ac:dyDescent="0.25">
      <c r="A3444">
        <v>90</v>
      </c>
      <c r="B3444" t="s">
        <v>5</v>
      </c>
      <c r="C3444">
        <v>157</v>
      </c>
      <c r="D3444">
        <v>0</v>
      </c>
      <c r="E3444">
        <v>0</v>
      </c>
      <c r="F3444">
        <v>6638</v>
      </c>
      <c r="G3444">
        <v>2500</v>
      </c>
      <c r="H3444">
        <v>0</v>
      </c>
      <c r="J3444" t="str">
        <f>VLOOKUP(Table3[[#This Row],[Faction ID]],Table4[],2)</f>
        <v>Rohan</v>
      </c>
    </row>
    <row r="3445" spans="1:10" x14ac:dyDescent="0.25">
      <c r="A3445">
        <v>90</v>
      </c>
      <c r="B3445" t="s">
        <v>12</v>
      </c>
      <c r="C3445">
        <v>284</v>
      </c>
      <c r="D3445">
        <v>15</v>
      </c>
      <c r="E3445">
        <v>243.4</v>
      </c>
      <c r="F3445">
        <v>33253</v>
      </c>
      <c r="G3445">
        <v>34539</v>
      </c>
      <c r="H3445">
        <v>2651</v>
      </c>
      <c r="J3445" t="str">
        <f>VLOOKUP(Table3[[#This Row],[Faction ID]],Table4[],2)</f>
        <v>Dol Guldur</v>
      </c>
    </row>
    <row r="3446" spans="1:10" x14ac:dyDescent="0.25">
      <c r="A3446">
        <v>90</v>
      </c>
      <c r="B3446" t="s">
        <v>10</v>
      </c>
      <c r="C3446">
        <v>58</v>
      </c>
      <c r="D3446">
        <v>0</v>
      </c>
      <c r="E3446">
        <v>0</v>
      </c>
      <c r="F3446">
        <v>4515</v>
      </c>
      <c r="G3446">
        <v>2500</v>
      </c>
      <c r="H3446">
        <v>0</v>
      </c>
      <c r="J3446" t="str">
        <f>VLOOKUP(Table3[[#This Row],[Faction ID]],Table4[],2)</f>
        <v>Anduin Vale</v>
      </c>
    </row>
    <row r="3447" spans="1:10" x14ac:dyDescent="0.25">
      <c r="A3447">
        <v>90</v>
      </c>
      <c r="B3447" t="s">
        <v>32</v>
      </c>
      <c r="C3447">
        <v>257</v>
      </c>
      <c r="D3447">
        <v>8</v>
      </c>
      <c r="E3447">
        <v>195.4</v>
      </c>
      <c r="F3447">
        <v>71753</v>
      </c>
      <c r="G3447">
        <v>26080</v>
      </c>
      <c r="H3447">
        <v>1301</v>
      </c>
      <c r="J3447" t="str">
        <f>VLOOKUP(Table3[[#This Row],[Faction ID]],Table4[],2)</f>
        <v>Isengard</v>
      </c>
    </row>
    <row r="3448" spans="1:10" x14ac:dyDescent="0.25">
      <c r="A3448">
        <v>90</v>
      </c>
      <c r="B3448" t="s">
        <v>22</v>
      </c>
      <c r="C3448">
        <v>30</v>
      </c>
      <c r="D3448">
        <v>0</v>
      </c>
      <c r="E3448">
        <v>0</v>
      </c>
      <c r="F3448">
        <v>8475</v>
      </c>
      <c r="G3448">
        <v>2500</v>
      </c>
      <c r="H3448">
        <v>0</v>
      </c>
      <c r="J3448" t="str">
        <f>VLOOKUP(Table3[[#This Row],[Faction ID]],Table4[],2)</f>
        <v>Woodland Realm</v>
      </c>
    </row>
    <row r="3449" spans="1:10" x14ac:dyDescent="0.25">
      <c r="A3449">
        <v>90</v>
      </c>
      <c r="B3449" t="s">
        <v>23</v>
      </c>
      <c r="C3449">
        <v>64</v>
      </c>
      <c r="D3449">
        <v>0</v>
      </c>
      <c r="E3449">
        <v>0</v>
      </c>
      <c r="F3449">
        <v>4721</v>
      </c>
      <c r="G3449">
        <v>2500</v>
      </c>
      <c r="H3449">
        <v>0</v>
      </c>
      <c r="J3449" t="str">
        <f>VLOOKUP(Table3[[#This Row],[Faction ID]],Table4[],2)</f>
        <v>Lothlorien</v>
      </c>
    </row>
    <row r="3450" spans="1:10" x14ac:dyDescent="0.25">
      <c r="A3450">
        <v>90</v>
      </c>
      <c r="B3450" t="s">
        <v>24</v>
      </c>
      <c r="C3450">
        <v>0</v>
      </c>
      <c r="D3450">
        <v>0</v>
      </c>
      <c r="E3450">
        <v>0</v>
      </c>
      <c r="F3450">
        <v>4919</v>
      </c>
      <c r="G3450">
        <v>1750</v>
      </c>
      <c r="H3450">
        <v>0</v>
      </c>
      <c r="J3450" t="str">
        <f>VLOOKUP(Table3[[#This Row],[Faction ID]],Table4[],2)</f>
        <v>Variags (Khand)</v>
      </c>
    </row>
    <row r="3451" spans="1:10" x14ac:dyDescent="0.25">
      <c r="A3451">
        <v>90</v>
      </c>
      <c r="B3451" t="s">
        <v>14</v>
      </c>
      <c r="C3451">
        <v>11</v>
      </c>
      <c r="D3451">
        <v>8</v>
      </c>
      <c r="E3451">
        <v>161</v>
      </c>
      <c r="F3451">
        <v>73131</v>
      </c>
      <c r="G3451">
        <v>34553</v>
      </c>
      <c r="H3451">
        <v>2862</v>
      </c>
      <c r="J3451" t="str">
        <f>VLOOKUP(Table3[[#This Row],[Faction ID]],Table4[],2)</f>
        <v>Corsairs of Umbar</v>
      </c>
    </row>
    <row r="3452" spans="1:10" x14ac:dyDescent="0.25">
      <c r="A3452">
        <v>90</v>
      </c>
      <c r="B3452" t="s">
        <v>25</v>
      </c>
      <c r="C3452">
        <v>0</v>
      </c>
      <c r="D3452">
        <v>0</v>
      </c>
      <c r="E3452">
        <v>0</v>
      </c>
      <c r="F3452">
        <v>9228</v>
      </c>
      <c r="G3452">
        <v>1750</v>
      </c>
      <c r="H3452">
        <v>0</v>
      </c>
      <c r="J3452" t="str">
        <f>VLOOKUP(Table3[[#This Row],[Faction ID]],Table4[],2)</f>
        <v>Mahud</v>
      </c>
    </row>
    <row r="3453" spans="1:10" x14ac:dyDescent="0.25">
      <c r="A3453">
        <v>90</v>
      </c>
      <c r="B3453" t="s">
        <v>11</v>
      </c>
      <c r="C3453">
        <v>154</v>
      </c>
      <c r="D3453">
        <v>11</v>
      </c>
      <c r="E3453">
        <v>198</v>
      </c>
      <c r="F3453">
        <v>28008</v>
      </c>
      <c r="G3453">
        <v>28069</v>
      </c>
      <c r="H3453">
        <v>678</v>
      </c>
      <c r="J3453" t="str">
        <f>VLOOKUP(Table3[[#This Row],[Faction ID]],Table4[],2)</f>
        <v>Haradrim</v>
      </c>
    </row>
    <row r="3454" spans="1:10" x14ac:dyDescent="0.25">
      <c r="A3454">
        <v>90</v>
      </c>
      <c r="B3454" t="s">
        <v>15</v>
      </c>
      <c r="C3454">
        <v>168</v>
      </c>
      <c r="D3454">
        <v>12</v>
      </c>
      <c r="E3454">
        <v>234</v>
      </c>
      <c r="F3454">
        <v>212413</v>
      </c>
      <c r="G3454">
        <v>39076</v>
      </c>
      <c r="H3454">
        <v>2428</v>
      </c>
      <c r="J3454" t="str">
        <f>VLOOKUP(Table3[[#This Row],[Faction ID]],Table4[],2)</f>
        <v>Dunlendings</v>
      </c>
    </row>
    <row r="3455" spans="1:10" x14ac:dyDescent="0.25">
      <c r="A3455">
        <v>90</v>
      </c>
      <c r="B3455" t="s">
        <v>16</v>
      </c>
      <c r="C3455">
        <v>0</v>
      </c>
      <c r="D3455">
        <v>0</v>
      </c>
      <c r="E3455">
        <v>0</v>
      </c>
      <c r="F3455">
        <v>5352</v>
      </c>
      <c r="G3455">
        <v>1750</v>
      </c>
      <c r="H3455">
        <v>0</v>
      </c>
      <c r="J3455" t="str">
        <f>VLOOKUP(Table3[[#This Row],[Faction ID]],Table4[],2)</f>
        <v>Haerrim</v>
      </c>
    </row>
    <row r="3456" spans="1:10" x14ac:dyDescent="0.25">
      <c r="A3456">
        <v>90</v>
      </c>
      <c r="B3456" t="s">
        <v>13</v>
      </c>
      <c r="C3456">
        <v>398</v>
      </c>
      <c r="D3456">
        <v>19</v>
      </c>
      <c r="E3456">
        <v>404.2</v>
      </c>
      <c r="F3456">
        <v>52816</v>
      </c>
      <c r="G3456">
        <v>55277</v>
      </c>
      <c r="H3456">
        <v>5026</v>
      </c>
      <c r="J3456" t="str">
        <f>VLOOKUP(Table3[[#This Row],[Faction ID]],Table4[],2)</f>
        <v>Goblins</v>
      </c>
    </row>
    <row r="3457" spans="1:10" x14ac:dyDescent="0.25">
      <c r="A3457">
        <v>90</v>
      </c>
      <c r="B3457" t="s">
        <v>17</v>
      </c>
      <c r="C3457">
        <v>0</v>
      </c>
      <c r="D3457">
        <v>0</v>
      </c>
      <c r="E3457">
        <v>0</v>
      </c>
      <c r="F3457">
        <v>4872</v>
      </c>
      <c r="G3457">
        <v>1750</v>
      </c>
      <c r="H3457">
        <v>0</v>
      </c>
      <c r="J3457" t="str">
        <f>VLOOKUP(Table3[[#This Row],[Faction ID]],Table4[],2)</f>
        <v>Balchoth</v>
      </c>
    </row>
    <row r="3458" spans="1:10" x14ac:dyDescent="0.25">
      <c r="A3458">
        <v>90</v>
      </c>
      <c r="B3458" t="s">
        <v>18</v>
      </c>
      <c r="C3458">
        <v>325</v>
      </c>
      <c r="D3458">
        <v>31</v>
      </c>
      <c r="E3458">
        <v>493.79999999999899</v>
      </c>
      <c r="F3458">
        <v>48075</v>
      </c>
      <c r="G3458">
        <v>50892</v>
      </c>
      <c r="H3458">
        <v>2682</v>
      </c>
      <c r="J3458" t="str">
        <f>VLOOKUP(Table3[[#This Row],[Faction ID]],Table4[],2)</f>
        <v>Rhurim/Rhun</v>
      </c>
    </row>
    <row r="3459" spans="1:10" x14ac:dyDescent="0.25">
      <c r="A3459">
        <v>90</v>
      </c>
      <c r="B3459" t="s">
        <v>19</v>
      </c>
      <c r="C3459">
        <v>0</v>
      </c>
      <c r="D3459">
        <v>0</v>
      </c>
      <c r="E3459">
        <v>0</v>
      </c>
      <c r="F3459">
        <v>7360</v>
      </c>
      <c r="G3459">
        <v>1750</v>
      </c>
      <c r="H3459">
        <v>0</v>
      </c>
      <c r="J3459" t="str">
        <f>VLOOKUP(Table3[[#This Row],[Faction ID]],Table4[],2)</f>
        <v>Feredrim</v>
      </c>
    </row>
    <row r="3460" spans="1:10" x14ac:dyDescent="0.25">
      <c r="A3460">
        <v>90</v>
      </c>
      <c r="B3460" t="s">
        <v>26</v>
      </c>
      <c r="C3460">
        <v>0</v>
      </c>
      <c r="D3460">
        <v>0</v>
      </c>
      <c r="E3460">
        <v>0</v>
      </c>
      <c r="F3460">
        <v>6395</v>
      </c>
      <c r="G3460">
        <v>1750</v>
      </c>
      <c r="H3460">
        <v>0</v>
      </c>
      <c r="J3460" t="str">
        <f>VLOOKUP(Table3[[#This Row],[Faction ID]],Table4[],2)</f>
        <v>Rachrohir (Wainriders)</v>
      </c>
    </row>
    <row r="3461" spans="1:10" x14ac:dyDescent="0.25">
      <c r="A3461">
        <v>90</v>
      </c>
      <c r="B3461" t="s">
        <v>27</v>
      </c>
      <c r="C3461">
        <v>1</v>
      </c>
      <c r="D3461">
        <v>1</v>
      </c>
      <c r="E3461">
        <v>23.2</v>
      </c>
      <c r="F3461">
        <v>21887</v>
      </c>
      <c r="G3461">
        <v>4783</v>
      </c>
      <c r="H3461">
        <v>0</v>
      </c>
      <c r="J3461" t="str">
        <f>VLOOKUP(Table3[[#This Row],[Faction ID]],Table4[],2)</f>
        <v>Blacklock-Stonefoot League</v>
      </c>
    </row>
    <row r="3462" spans="1:10" x14ac:dyDescent="0.25">
      <c r="A3462">
        <v>90</v>
      </c>
      <c r="B3462" t="s">
        <v>28</v>
      </c>
      <c r="C3462">
        <v>4</v>
      </c>
      <c r="D3462">
        <v>2</v>
      </c>
      <c r="E3462">
        <v>43</v>
      </c>
      <c r="F3462">
        <v>76675</v>
      </c>
      <c r="G3462">
        <v>8847</v>
      </c>
      <c r="H3462">
        <v>0</v>
      </c>
      <c r="J3462" t="str">
        <f>VLOOKUP(Table3[[#This Row],[Faction ID]],Table4[],2)</f>
        <v>Ironfist-Stiffbeard Union</v>
      </c>
    </row>
    <row r="3463" spans="1:10" x14ac:dyDescent="0.25">
      <c r="A3463">
        <v>90</v>
      </c>
      <c r="B3463" t="s">
        <v>20</v>
      </c>
      <c r="C3463">
        <v>249</v>
      </c>
      <c r="D3463">
        <v>18</v>
      </c>
      <c r="E3463">
        <v>221.2</v>
      </c>
      <c r="F3463">
        <v>25839</v>
      </c>
      <c r="G3463">
        <v>28312</v>
      </c>
      <c r="H3463">
        <v>1651</v>
      </c>
      <c r="J3463" t="str">
        <f>VLOOKUP(Table3[[#This Row],[Faction ID]],Table4[],2)</f>
        <v>Gundabad</v>
      </c>
    </row>
    <row r="3464" spans="1:10" x14ac:dyDescent="0.25">
      <c r="A3464">
        <v>90</v>
      </c>
      <c r="B3464" t="s">
        <v>34</v>
      </c>
      <c r="C3464">
        <v>0</v>
      </c>
      <c r="D3464">
        <v>0</v>
      </c>
      <c r="E3464">
        <v>3</v>
      </c>
      <c r="F3464">
        <v>103769</v>
      </c>
      <c r="G3464">
        <v>2379</v>
      </c>
      <c r="H3464">
        <v>0</v>
      </c>
      <c r="J3464" t="str">
        <f>VLOOKUP(Table3[[#This Row],[Faction ID]],Table4[],2)</f>
        <v>Scouts of Rohan</v>
      </c>
    </row>
    <row r="3465" spans="1:10" x14ac:dyDescent="0.25">
      <c r="A3465">
        <v>90</v>
      </c>
      <c r="B3465" t="s">
        <v>33</v>
      </c>
      <c r="C3465">
        <v>6</v>
      </c>
      <c r="D3465">
        <v>4</v>
      </c>
      <c r="E3465">
        <v>81</v>
      </c>
      <c r="F3465">
        <v>89871</v>
      </c>
      <c r="G3465">
        <v>17763</v>
      </c>
      <c r="H3465">
        <v>856</v>
      </c>
      <c r="J3465" t="str">
        <f>VLOOKUP(Table3[[#This Row],[Faction ID]],Table4[],2)</f>
        <v>Northern Enedwaith</v>
      </c>
    </row>
    <row r="3466" spans="1:10" x14ac:dyDescent="0.25">
      <c r="A3466">
        <v>90</v>
      </c>
      <c r="B3466" t="s">
        <v>29</v>
      </c>
      <c r="C3466">
        <v>0</v>
      </c>
      <c r="D3466">
        <v>0</v>
      </c>
      <c r="E3466">
        <v>0</v>
      </c>
      <c r="F3466">
        <v>54023</v>
      </c>
      <c r="G3466">
        <v>1750</v>
      </c>
      <c r="H3466">
        <v>0</v>
      </c>
      <c r="J3466" t="str">
        <f>VLOOKUP(Table3[[#This Row],[Faction ID]],Table4[],2)</f>
        <v>Southern Enedwaith</v>
      </c>
    </row>
    <row r="3467" spans="1:10" x14ac:dyDescent="0.25">
      <c r="A3467">
        <v>90</v>
      </c>
      <c r="B3467" t="s">
        <v>30</v>
      </c>
      <c r="C3467">
        <v>0</v>
      </c>
      <c r="D3467">
        <v>0</v>
      </c>
      <c r="E3467">
        <v>0</v>
      </c>
      <c r="F3467">
        <v>32146</v>
      </c>
      <c r="G3467">
        <v>1750</v>
      </c>
      <c r="H3467">
        <v>0</v>
      </c>
      <c r="J3467" t="str">
        <f>VLOOKUP(Table3[[#This Row],[Faction ID]],Table4[],2)</f>
        <v>Druedain</v>
      </c>
    </row>
    <row r="3468" spans="1:10" x14ac:dyDescent="0.25">
      <c r="A3468">
        <v>90</v>
      </c>
      <c r="B3468" t="s">
        <v>31</v>
      </c>
      <c r="C3468">
        <v>0</v>
      </c>
      <c r="D3468">
        <v>0</v>
      </c>
      <c r="E3468">
        <v>0</v>
      </c>
      <c r="F3468">
        <v>15146</v>
      </c>
      <c r="G3468">
        <v>1750</v>
      </c>
      <c r="H3468">
        <v>0</v>
      </c>
      <c r="J3468" t="str">
        <f>VLOOKUP(Table3[[#This Row],[Faction ID]],Table4[],2)</f>
        <v>Harondor</v>
      </c>
    </row>
    <row r="3469" spans="1:10" x14ac:dyDescent="0.25">
      <c r="A3469">
        <v>90</v>
      </c>
      <c r="B3469" t="s">
        <v>35</v>
      </c>
      <c r="C3469">
        <v>0</v>
      </c>
      <c r="D3469">
        <v>0</v>
      </c>
      <c r="E3469">
        <v>0</v>
      </c>
      <c r="F3469">
        <v>4000</v>
      </c>
      <c r="G3469">
        <v>1750</v>
      </c>
      <c r="H3469">
        <v>0</v>
      </c>
      <c r="J3469" t="str">
        <f>VLOOKUP(Table3[[#This Row],[Faction ID]],Table4[],2)</f>
        <v>Southron Nomads</v>
      </c>
    </row>
    <row r="3470" spans="1:10" x14ac:dyDescent="0.25">
      <c r="A3470">
        <v>90</v>
      </c>
      <c r="B3470" t="s">
        <v>36</v>
      </c>
      <c r="C3470">
        <v>0</v>
      </c>
      <c r="D3470">
        <v>0</v>
      </c>
      <c r="E3470">
        <v>0</v>
      </c>
      <c r="F3470">
        <v>4000</v>
      </c>
      <c r="G3470">
        <v>1750</v>
      </c>
      <c r="H3470">
        <v>0</v>
      </c>
      <c r="J3470" t="str">
        <f>VLOOKUP(Table3[[#This Row],[Faction ID]],Table4[],2)</f>
        <v>_</v>
      </c>
    </row>
    <row r="3471" spans="1:10" x14ac:dyDescent="0.25">
      <c r="A3471">
        <v>90</v>
      </c>
      <c r="B3471" t="s">
        <v>37</v>
      </c>
      <c r="C3471">
        <v>0</v>
      </c>
      <c r="D3471">
        <v>0</v>
      </c>
      <c r="E3471">
        <v>0</v>
      </c>
      <c r="F3471">
        <v>4000</v>
      </c>
      <c r="G3471">
        <v>1750</v>
      </c>
      <c r="H3471">
        <v>0</v>
      </c>
      <c r="J3471" t="str">
        <f>VLOOKUP(Table3[[#This Row],[Faction ID]],Table4[],2)</f>
        <v>_</v>
      </c>
    </row>
    <row r="3472" spans="1:10" x14ac:dyDescent="0.25">
      <c r="A3472">
        <v>90</v>
      </c>
      <c r="B3472" t="s">
        <v>38</v>
      </c>
      <c r="C3472">
        <v>0</v>
      </c>
      <c r="D3472">
        <v>0</v>
      </c>
      <c r="E3472">
        <v>0</v>
      </c>
      <c r="F3472">
        <v>4000</v>
      </c>
      <c r="G3472">
        <v>1750</v>
      </c>
      <c r="H3472">
        <v>0</v>
      </c>
      <c r="J3472" t="str">
        <f>VLOOKUP(Table3[[#This Row],[Faction ID]],Table4[],2)</f>
        <v>_</v>
      </c>
    </row>
    <row r="3473" spans="1:10" x14ac:dyDescent="0.25">
      <c r="A3473">
        <v>90</v>
      </c>
      <c r="B3473" t="s">
        <v>39</v>
      </c>
      <c r="C3473">
        <v>0</v>
      </c>
      <c r="D3473">
        <v>0</v>
      </c>
      <c r="E3473">
        <v>0</v>
      </c>
      <c r="F3473">
        <v>4000</v>
      </c>
      <c r="G3473">
        <v>1750</v>
      </c>
      <c r="H3473">
        <v>0</v>
      </c>
      <c r="J3473" t="str">
        <f>VLOOKUP(Table3[[#This Row],[Faction ID]],Table4[],2)</f>
        <v>_</v>
      </c>
    </row>
    <row r="3474" spans="1:10" x14ac:dyDescent="0.25">
      <c r="A3474">
        <v>90</v>
      </c>
      <c r="B3474" t="s">
        <v>40</v>
      </c>
      <c r="C3474">
        <v>0</v>
      </c>
      <c r="D3474">
        <v>0</v>
      </c>
      <c r="E3474">
        <v>0</v>
      </c>
      <c r="F3474">
        <v>4000</v>
      </c>
      <c r="G3474">
        <v>1750</v>
      </c>
      <c r="H3474">
        <v>0</v>
      </c>
      <c r="J3474" t="str">
        <f>VLOOKUP(Table3[[#This Row],[Faction ID]],Table4[],2)</f>
        <v>_</v>
      </c>
    </row>
    <row r="3475" spans="1:10" x14ac:dyDescent="0.25">
      <c r="A3475">
        <v>90</v>
      </c>
      <c r="B3475" t="s">
        <v>41</v>
      </c>
      <c r="C3475">
        <v>0</v>
      </c>
      <c r="D3475">
        <v>0</v>
      </c>
      <c r="E3475">
        <v>0</v>
      </c>
      <c r="F3475">
        <v>4000</v>
      </c>
      <c r="G3475">
        <v>1750</v>
      </c>
      <c r="H3475">
        <v>0</v>
      </c>
      <c r="J3475" t="str">
        <f>VLOOKUP(Table3[[#This Row],[Faction ID]],Table4[],2)</f>
        <v>_</v>
      </c>
    </row>
    <row r="3476" spans="1:10" x14ac:dyDescent="0.25">
      <c r="A3476">
        <v>90</v>
      </c>
      <c r="B3476" t="s">
        <v>42</v>
      </c>
      <c r="C3476">
        <v>0</v>
      </c>
      <c r="D3476">
        <v>0</v>
      </c>
      <c r="E3476">
        <v>0</v>
      </c>
      <c r="F3476">
        <v>4000</v>
      </c>
      <c r="G3476">
        <v>1750</v>
      </c>
      <c r="H3476">
        <v>0</v>
      </c>
      <c r="J3476" t="str">
        <f>VLOOKUP(Table3[[#This Row],[Faction ID]],Table4[],2)</f>
        <v>_</v>
      </c>
    </row>
    <row r="3477" spans="1:10" x14ac:dyDescent="0.25">
      <c r="A3477">
        <v>90</v>
      </c>
      <c r="B3477" t="s">
        <v>43</v>
      </c>
      <c r="C3477">
        <v>0</v>
      </c>
      <c r="D3477">
        <v>0</v>
      </c>
      <c r="E3477">
        <v>0</v>
      </c>
      <c r="F3477">
        <v>4000</v>
      </c>
      <c r="G3477">
        <v>1750</v>
      </c>
      <c r="H3477">
        <v>0</v>
      </c>
      <c r="J3477" t="str">
        <f>VLOOKUP(Table3[[#This Row],[Faction ID]],Table4[],2)</f>
        <v>_</v>
      </c>
    </row>
    <row r="3478" spans="1:10" x14ac:dyDescent="0.25">
      <c r="A3478">
        <v>90</v>
      </c>
      <c r="B3478" t="s">
        <v>44</v>
      </c>
      <c r="C3478">
        <v>0</v>
      </c>
      <c r="D3478">
        <v>0</v>
      </c>
      <c r="E3478">
        <v>0</v>
      </c>
      <c r="F3478">
        <v>4000</v>
      </c>
      <c r="G3478">
        <v>1750</v>
      </c>
      <c r="H3478">
        <v>0</v>
      </c>
      <c r="J3478" t="str">
        <f>VLOOKUP(Table3[[#This Row],[Faction ID]],Table4[],2)</f>
        <v>_</v>
      </c>
    </row>
    <row r="3479" spans="1:10" x14ac:dyDescent="0.25">
      <c r="A3479">
        <v>91</v>
      </c>
      <c r="B3479" t="s">
        <v>9</v>
      </c>
      <c r="C3479">
        <v>393</v>
      </c>
      <c r="D3479">
        <v>26</v>
      </c>
      <c r="E3479">
        <v>300.10000000000002</v>
      </c>
      <c r="F3479">
        <v>655</v>
      </c>
      <c r="G3479">
        <v>42301</v>
      </c>
      <c r="H3479">
        <v>2454</v>
      </c>
      <c r="J3479" t="str">
        <f>VLOOKUP(Table3[[#This Row],[Faction ID]],Table4[],2)</f>
        <v>Mordor</v>
      </c>
    </row>
    <row r="3480" spans="1:10" x14ac:dyDescent="0.25">
      <c r="A3480">
        <v>91</v>
      </c>
      <c r="B3480" t="s">
        <v>4</v>
      </c>
      <c r="C3480">
        <v>146</v>
      </c>
      <c r="D3480">
        <v>0</v>
      </c>
      <c r="E3480">
        <v>0</v>
      </c>
      <c r="F3480">
        <v>55420</v>
      </c>
      <c r="G3480">
        <v>2500</v>
      </c>
      <c r="H3480">
        <v>0</v>
      </c>
      <c r="J3480" t="str">
        <f>VLOOKUP(Table3[[#This Row],[Faction ID]],Table4[],2)</f>
        <v>Gondor</v>
      </c>
    </row>
    <row r="3481" spans="1:10" x14ac:dyDescent="0.25">
      <c r="A3481">
        <v>91</v>
      </c>
      <c r="B3481" t="s">
        <v>6</v>
      </c>
      <c r="C3481">
        <v>191</v>
      </c>
      <c r="D3481">
        <v>1</v>
      </c>
      <c r="E3481">
        <v>14.6</v>
      </c>
      <c r="F3481">
        <v>723</v>
      </c>
      <c r="G3481">
        <v>4939</v>
      </c>
      <c r="H3481">
        <v>0</v>
      </c>
      <c r="J3481" t="str">
        <f>VLOOKUP(Table3[[#This Row],[Faction ID]],Table4[],2)</f>
        <v>Dale</v>
      </c>
    </row>
    <row r="3482" spans="1:10" x14ac:dyDescent="0.25">
      <c r="A3482">
        <v>91</v>
      </c>
      <c r="B3482" t="s">
        <v>21</v>
      </c>
      <c r="C3482">
        <v>200</v>
      </c>
      <c r="D3482">
        <v>0</v>
      </c>
      <c r="E3482">
        <v>0</v>
      </c>
      <c r="F3482">
        <v>10040</v>
      </c>
      <c r="G3482">
        <v>2500</v>
      </c>
      <c r="H3482">
        <v>0</v>
      </c>
      <c r="J3482" t="str">
        <f>VLOOKUP(Table3[[#This Row],[Faction ID]],Table4[],2)</f>
        <v>Erebor</v>
      </c>
    </row>
    <row r="3483" spans="1:10" x14ac:dyDescent="0.25">
      <c r="A3483">
        <v>91</v>
      </c>
      <c r="B3483" t="s">
        <v>5</v>
      </c>
      <c r="C3483">
        <v>157</v>
      </c>
      <c r="D3483">
        <v>0</v>
      </c>
      <c r="E3483">
        <v>0</v>
      </c>
      <c r="F3483">
        <v>6638</v>
      </c>
      <c r="G3483">
        <v>2500</v>
      </c>
      <c r="H3483">
        <v>0</v>
      </c>
      <c r="J3483" t="str">
        <f>VLOOKUP(Table3[[#This Row],[Faction ID]],Table4[],2)</f>
        <v>Rohan</v>
      </c>
    </row>
    <row r="3484" spans="1:10" x14ac:dyDescent="0.25">
      <c r="A3484">
        <v>91</v>
      </c>
      <c r="B3484" t="s">
        <v>12</v>
      </c>
      <c r="C3484">
        <v>292</v>
      </c>
      <c r="D3484">
        <v>15</v>
      </c>
      <c r="E3484">
        <v>222.4</v>
      </c>
      <c r="F3484">
        <v>36094</v>
      </c>
      <c r="G3484">
        <v>32416</v>
      </c>
      <c r="H3484">
        <v>2661</v>
      </c>
      <c r="J3484" t="str">
        <f>VLOOKUP(Table3[[#This Row],[Faction ID]],Table4[],2)</f>
        <v>Dol Guldur</v>
      </c>
    </row>
    <row r="3485" spans="1:10" x14ac:dyDescent="0.25">
      <c r="A3485">
        <v>91</v>
      </c>
      <c r="B3485" t="s">
        <v>10</v>
      </c>
      <c r="C3485">
        <v>58</v>
      </c>
      <c r="D3485">
        <v>0</v>
      </c>
      <c r="E3485">
        <v>0</v>
      </c>
      <c r="F3485">
        <v>4515</v>
      </c>
      <c r="G3485">
        <v>2500</v>
      </c>
      <c r="H3485">
        <v>0</v>
      </c>
      <c r="J3485" t="str">
        <f>VLOOKUP(Table3[[#This Row],[Faction ID]],Table4[],2)</f>
        <v>Anduin Vale</v>
      </c>
    </row>
    <row r="3486" spans="1:10" x14ac:dyDescent="0.25">
      <c r="A3486">
        <v>91</v>
      </c>
      <c r="B3486" t="s">
        <v>32</v>
      </c>
      <c r="C3486">
        <v>257</v>
      </c>
      <c r="D3486">
        <v>8</v>
      </c>
      <c r="E3486">
        <v>196.7</v>
      </c>
      <c r="F3486">
        <v>75510</v>
      </c>
      <c r="G3486">
        <v>26196</v>
      </c>
      <c r="H3486">
        <v>1308</v>
      </c>
      <c r="J3486" t="str">
        <f>VLOOKUP(Table3[[#This Row],[Faction ID]],Table4[],2)</f>
        <v>Isengard</v>
      </c>
    </row>
    <row r="3487" spans="1:10" x14ac:dyDescent="0.25">
      <c r="A3487">
        <v>91</v>
      </c>
      <c r="B3487" t="s">
        <v>22</v>
      </c>
      <c r="C3487">
        <v>30</v>
      </c>
      <c r="D3487">
        <v>0</v>
      </c>
      <c r="E3487">
        <v>0</v>
      </c>
      <c r="F3487">
        <v>8475</v>
      </c>
      <c r="G3487">
        <v>2500</v>
      </c>
      <c r="H3487">
        <v>0</v>
      </c>
      <c r="J3487" t="str">
        <f>VLOOKUP(Table3[[#This Row],[Faction ID]],Table4[],2)</f>
        <v>Woodland Realm</v>
      </c>
    </row>
    <row r="3488" spans="1:10" x14ac:dyDescent="0.25">
      <c r="A3488">
        <v>91</v>
      </c>
      <c r="B3488" t="s">
        <v>23</v>
      </c>
      <c r="C3488">
        <v>64</v>
      </c>
      <c r="D3488">
        <v>0</v>
      </c>
      <c r="E3488">
        <v>0</v>
      </c>
      <c r="F3488">
        <v>4721</v>
      </c>
      <c r="G3488">
        <v>2500</v>
      </c>
      <c r="H3488">
        <v>0</v>
      </c>
      <c r="J3488" t="str">
        <f>VLOOKUP(Table3[[#This Row],[Faction ID]],Table4[],2)</f>
        <v>Lothlorien</v>
      </c>
    </row>
    <row r="3489" spans="1:10" x14ac:dyDescent="0.25">
      <c r="A3489">
        <v>91</v>
      </c>
      <c r="B3489" t="s">
        <v>24</v>
      </c>
      <c r="C3489">
        <v>0</v>
      </c>
      <c r="D3489">
        <v>0</v>
      </c>
      <c r="E3489">
        <v>0</v>
      </c>
      <c r="F3489">
        <v>4919</v>
      </c>
      <c r="G3489">
        <v>1750</v>
      </c>
      <c r="H3489">
        <v>0</v>
      </c>
      <c r="J3489" t="str">
        <f>VLOOKUP(Table3[[#This Row],[Faction ID]],Table4[],2)</f>
        <v>Variags (Khand)</v>
      </c>
    </row>
    <row r="3490" spans="1:10" x14ac:dyDescent="0.25">
      <c r="A3490">
        <v>91</v>
      </c>
      <c r="B3490" t="s">
        <v>14</v>
      </c>
      <c r="C3490">
        <v>11</v>
      </c>
      <c r="D3490">
        <v>8</v>
      </c>
      <c r="E3490">
        <v>161</v>
      </c>
      <c r="F3490">
        <v>82680</v>
      </c>
      <c r="G3490">
        <v>34182</v>
      </c>
      <c r="H3490">
        <v>2865</v>
      </c>
      <c r="J3490" t="str">
        <f>VLOOKUP(Table3[[#This Row],[Faction ID]],Table4[],2)</f>
        <v>Corsairs of Umbar</v>
      </c>
    </row>
    <row r="3491" spans="1:10" x14ac:dyDescent="0.25">
      <c r="A3491">
        <v>91</v>
      </c>
      <c r="B3491" t="s">
        <v>25</v>
      </c>
      <c r="C3491">
        <v>0</v>
      </c>
      <c r="D3491">
        <v>0</v>
      </c>
      <c r="E3491">
        <v>0</v>
      </c>
      <c r="F3491">
        <v>9228</v>
      </c>
      <c r="G3491">
        <v>1750</v>
      </c>
      <c r="H3491">
        <v>0</v>
      </c>
      <c r="J3491" t="str">
        <f>VLOOKUP(Table3[[#This Row],[Faction ID]],Table4[],2)</f>
        <v>Mahud</v>
      </c>
    </row>
    <row r="3492" spans="1:10" x14ac:dyDescent="0.25">
      <c r="A3492">
        <v>91</v>
      </c>
      <c r="B3492" t="s">
        <v>11</v>
      </c>
      <c r="C3492">
        <v>154</v>
      </c>
      <c r="D3492">
        <v>11</v>
      </c>
      <c r="E3492">
        <v>209</v>
      </c>
      <c r="F3492">
        <v>23820</v>
      </c>
      <c r="G3492">
        <v>29151</v>
      </c>
      <c r="H3492">
        <v>676</v>
      </c>
      <c r="J3492" t="str">
        <f>VLOOKUP(Table3[[#This Row],[Faction ID]],Table4[],2)</f>
        <v>Haradrim</v>
      </c>
    </row>
    <row r="3493" spans="1:10" x14ac:dyDescent="0.25">
      <c r="A3493">
        <v>91</v>
      </c>
      <c r="B3493" t="s">
        <v>15</v>
      </c>
      <c r="C3493">
        <v>168</v>
      </c>
      <c r="D3493">
        <v>12</v>
      </c>
      <c r="E3493">
        <v>238</v>
      </c>
      <c r="F3493">
        <v>216142</v>
      </c>
      <c r="G3493">
        <v>39611</v>
      </c>
      <c r="H3493">
        <v>2433</v>
      </c>
      <c r="J3493" t="str">
        <f>VLOOKUP(Table3[[#This Row],[Faction ID]],Table4[],2)</f>
        <v>Dunlendings</v>
      </c>
    </row>
    <row r="3494" spans="1:10" x14ac:dyDescent="0.25">
      <c r="A3494">
        <v>91</v>
      </c>
      <c r="B3494" t="s">
        <v>16</v>
      </c>
      <c r="C3494">
        <v>0</v>
      </c>
      <c r="D3494">
        <v>0</v>
      </c>
      <c r="E3494">
        <v>0</v>
      </c>
      <c r="F3494">
        <v>5352</v>
      </c>
      <c r="G3494">
        <v>1750</v>
      </c>
      <c r="H3494">
        <v>0</v>
      </c>
      <c r="J3494" t="str">
        <f>VLOOKUP(Table3[[#This Row],[Faction ID]],Table4[],2)</f>
        <v>Haerrim</v>
      </c>
    </row>
    <row r="3495" spans="1:10" x14ac:dyDescent="0.25">
      <c r="A3495">
        <v>91</v>
      </c>
      <c r="B3495" t="s">
        <v>13</v>
      </c>
      <c r="C3495">
        <v>401</v>
      </c>
      <c r="D3495">
        <v>21</v>
      </c>
      <c r="E3495">
        <v>420.9</v>
      </c>
      <c r="F3495">
        <v>57852</v>
      </c>
      <c r="G3495">
        <v>56181</v>
      </c>
      <c r="H3495">
        <v>5263</v>
      </c>
      <c r="J3495" t="str">
        <f>VLOOKUP(Table3[[#This Row],[Faction ID]],Table4[],2)</f>
        <v>Goblins</v>
      </c>
    </row>
    <row r="3496" spans="1:10" x14ac:dyDescent="0.25">
      <c r="A3496">
        <v>91</v>
      </c>
      <c r="B3496" t="s">
        <v>17</v>
      </c>
      <c r="C3496">
        <v>0</v>
      </c>
      <c r="D3496">
        <v>0</v>
      </c>
      <c r="E3496">
        <v>0</v>
      </c>
      <c r="F3496">
        <v>4872</v>
      </c>
      <c r="G3496">
        <v>1750</v>
      </c>
      <c r="H3496">
        <v>0</v>
      </c>
      <c r="J3496" t="str">
        <f>VLOOKUP(Table3[[#This Row],[Faction ID]],Table4[],2)</f>
        <v>Balchoth</v>
      </c>
    </row>
    <row r="3497" spans="1:10" x14ac:dyDescent="0.25">
      <c r="A3497">
        <v>91</v>
      </c>
      <c r="B3497" t="s">
        <v>18</v>
      </c>
      <c r="C3497">
        <v>346</v>
      </c>
      <c r="D3497">
        <v>31</v>
      </c>
      <c r="E3497">
        <v>504.79999999999899</v>
      </c>
      <c r="F3497">
        <v>40759</v>
      </c>
      <c r="G3497">
        <v>51315</v>
      </c>
      <c r="H3497">
        <v>2680</v>
      </c>
      <c r="J3497" t="str">
        <f>VLOOKUP(Table3[[#This Row],[Faction ID]],Table4[],2)</f>
        <v>Rhurim/Rhun</v>
      </c>
    </row>
    <row r="3498" spans="1:10" x14ac:dyDescent="0.25">
      <c r="A3498">
        <v>91</v>
      </c>
      <c r="B3498" t="s">
        <v>19</v>
      </c>
      <c r="C3498">
        <v>0</v>
      </c>
      <c r="D3498">
        <v>0</v>
      </c>
      <c r="E3498">
        <v>0</v>
      </c>
      <c r="F3498">
        <v>7360</v>
      </c>
      <c r="G3498">
        <v>1750</v>
      </c>
      <c r="H3498">
        <v>0</v>
      </c>
      <c r="J3498" t="str">
        <f>VLOOKUP(Table3[[#This Row],[Faction ID]],Table4[],2)</f>
        <v>Feredrim</v>
      </c>
    </row>
    <row r="3499" spans="1:10" x14ac:dyDescent="0.25">
      <c r="A3499">
        <v>91</v>
      </c>
      <c r="B3499" t="s">
        <v>26</v>
      </c>
      <c r="C3499">
        <v>0</v>
      </c>
      <c r="D3499">
        <v>0</v>
      </c>
      <c r="E3499">
        <v>0</v>
      </c>
      <c r="F3499">
        <v>6395</v>
      </c>
      <c r="G3499">
        <v>1750</v>
      </c>
      <c r="H3499">
        <v>0</v>
      </c>
      <c r="J3499" t="str">
        <f>VLOOKUP(Table3[[#This Row],[Faction ID]],Table4[],2)</f>
        <v>Rachrohir (Wainriders)</v>
      </c>
    </row>
    <row r="3500" spans="1:10" x14ac:dyDescent="0.25">
      <c r="A3500">
        <v>91</v>
      </c>
      <c r="B3500" t="s">
        <v>27</v>
      </c>
      <c r="C3500">
        <v>1</v>
      </c>
      <c r="D3500">
        <v>1</v>
      </c>
      <c r="E3500">
        <v>22.2</v>
      </c>
      <c r="F3500">
        <v>20712</v>
      </c>
      <c r="G3500">
        <v>4675</v>
      </c>
      <c r="H3500">
        <v>0</v>
      </c>
      <c r="J3500" t="str">
        <f>VLOOKUP(Table3[[#This Row],[Faction ID]],Table4[],2)</f>
        <v>Blacklock-Stonefoot League</v>
      </c>
    </row>
    <row r="3501" spans="1:10" x14ac:dyDescent="0.25">
      <c r="A3501">
        <v>91</v>
      </c>
      <c r="B3501" t="s">
        <v>28</v>
      </c>
      <c r="C3501">
        <v>4</v>
      </c>
      <c r="D3501">
        <v>2</v>
      </c>
      <c r="E3501">
        <v>43</v>
      </c>
      <c r="F3501">
        <v>76240</v>
      </c>
      <c r="G3501">
        <v>8821</v>
      </c>
      <c r="H3501">
        <v>0</v>
      </c>
      <c r="J3501" t="str">
        <f>VLOOKUP(Table3[[#This Row],[Faction ID]],Table4[],2)</f>
        <v>Ironfist-Stiffbeard Union</v>
      </c>
    </row>
    <row r="3502" spans="1:10" x14ac:dyDescent="0.25">
      <c r="A3502">
        <v>91</v>
      </c>
      <c r="B3502" t="s">
        <v>20</v>
      </c>
      <c r="C3502">
        <v>251</v>
      </c>
      <c r="D3502">
        <v>16</v>
      </c>
      <c r="E3502">
        <v>202.8</v>
      </c>
      <c r="F3502">
        <v>28790</v>
      </c>
      <c r="G3502">
        <v>26329</v>
      </c>
      <c r="H3502">
        <v>1537</v>
      </c>
      <c r="J3502" t="str">
        <f>VLOOKUP(Table3[[#This Row],[Faction ID]],Table4[],2)</f>
        <v>Gundabad</v>
      </c>
    </row>
    <row r="3503" spans="1:10" x14ac:dyDescent="0.25">
      <c r="A3503">
        <v>91</v>
      </c>
      <c r="B3503" t="s">
        <v>34</v>
      </c>
      <c r="C3503">
        <v>0</v>
      </c>
      <c r="D3503">
        <v>0</v>
      </c>
      <c r="E3503">
        <v>3</v>
      </c>
      <c r="F3503">
        <v>104890</v>
      </c>
      <c r="G3503">
        <v>2379</v>
      </c>
      <c r="H3503">
        <v>0</v>
      </c>
      <c r="J3503" t="str">
        <f>VLOOKUP(Table3[[#This Row],[Faction ID]],Table4[],2)</f>
        <v>Scouts of Rohan</v>
      </c>
    </row>
    <row r="3504" spans="1:10" x14ac:dyDescent="0.25">
      <c r="A3504">
        <v>91</v>
      </c>
      <c r="B3504" t="s">
        <v>33</v>
      </c>
      <c r="C3504">
        <v>6</v>
      </c>
      <c r="D3504">
        <v>4</v>
      </c>
      <c r="E3504">
        <v>83</v>
      </c>
      <c r="F3504">
        <v>88106</v>
      </c>
      <c r="G3504">
        <v>18098</v>
      </c>
      <c r="H3504">
        <v>858</v>
      </c>
      <c r="J3504" t="str">
        <f>VLOOKUP(Table3[[#This Row],[Faction ID]],Table4[],2)</f>
        <v>Northern Enedwaith</v>
      </c>
    </row>
    <row r="3505" spans="1:10" x14ac:dyDescent="0.25">
      <c r="A3505">
        <v>91</v>
      </c>
      <c r="B3505" t="s">
        <v>29</v>
      </c>
      <c r="C3505">
        <v>0</v>
      </c>
      <c r="D3505">
        <v>0</v>
      </c>
      <c r="E3505">
        <v>0</v>
      </c>
      <c r="F3505">
        <v>54023</v>
      </c>
      <c r="G3505">
        <v>1750</v>
      </c>
      <c r="H3505">
        <v>0</v>
      </c>
      <c r="J3505" t="str">
        <f>VLOOKUP(Table3[[#This Row],[Faction ID]],Table4[],2)</f>
        <v>Southern Enedwaith</v>
      </c>
    </row>
    <row r="3506" spans="1:10" x14ac:dyDescent="0.25">
      <c r="A3506">
        <v>91</v>
      </c>
      <c r="B3506" t="s">
        <v>30</v>
      </c>
      <c r="C3506">
        <v>0</v>
      </c>
      <c r="D3506">
        <v>0</v>
      </c>
      <c r="E3506">
        <v>0</v>
      </c>
      <c r="F3506">
        <v>32146</v>
      </c>
      <c r="G3506">
        <v>1750</v>
      </c>
      <c r="H3506">
        <v>0</v>
      </c>
      <c r="J3506" t="str">
        <f>VLOOKUP(Table3[[#This Row],[Faction ID]],Table4[],2)</f>
        <v>Druedain</v>
      </c>
    </row>
    <row r="3507" spans="1:10" x14ac:dyDescent="0.25">
      <c r="A3507">
        <v>91</v>
      </c>
      <c r="B3507" t="s">
        <v>31</v>
      </c>
      <c r="C3507">
        <v>0</v>
      </c>
      <c r="D3507">
        <v>0</v>
      </c>
      <c r="E3507">
        <v>0</v>
      </c>
      <c r="F3507">
        <v>15146</v>
      </c>
      <c r="G3507">
        <v>1750</v>
      </c>
      <c r="H3507">
        <v>0</v>
      </c>
      <c r="J3507" t="str">
        <f>VLOOKUP(Table3[[#This Row],[Faction ID]],Table4[],2)</f>
        <v>Harondor</v>
      </c>
    </row>
    <row r="3508" spans="1:10" x14ac:dyDescent="0.25">
      <c r="A3508">
        <v>91</v>
      </c>
      <c r="B3508" t="s">
        <v>35</v>
      </c>
      <c r="C3508">
        <v>0</v>
      </c>
      <c r="D3508">
        <v>0</v>
      </c>
      <c r="E3508">
        <v>0</v>
      </c>
      <c r="F3508">
        <v>4000</v>
      </c>
      <c r="G3508">
        <v>1750</v>
      </c>
      <c r="H3508">
        <v>0</v>
      </c>
      <c r="J3508" t="str">
        <f>VLOOKUP(Table3[[#This Row],[Faction ID]],Table4[],2)</f>
        <v>Southron Nomads</v>
      </c>
    </row>
    <row r="3509" spans="1:10" x14ac:dyDescent="0.25">
      <c r="A3509">
        <v>91</v>
      </c>
      <c r="B3509" t="s">
        <v>36</v>
      </c>
      <c r="C3509">
        <v>0</v>
      </c>
      <c r="D3509">
        <v>0</v>
      </c>
      <c r="E3509">
        <v>0</v>
      </c>
      <c r="F3509">
        <v>4000</v>
      </c>
      <c r="G3509">
        <v>1750</v>
      </c>
      <c r="H3509">
        <v>0</v>
      </c>
      <c r="J3509" t="str">
        <f>VLOOKUP(Table3[[#This Row],[Faction ID]],Table4[],2)</f>
        <v>_</v>
      </c>
    </row>
    <row r="3510" spans="1:10" x14ac:dyDescent="0.25">
      <c r="A3510">
        <v>91</v>
      </c>
      <c r="B3510" t="s">
        <v>37</v>
      </c>
      <c r="C3510">
        <v>0</v>
      </c>
      <c r="D3510">
        <v>0</v>
      </c>
      <c r="E3510">
        <v>0</v>
      </c>
      <c r="F3510">
        <v>4000</v>
      </c>
      <c r="G3510">
        <v>1750</v>
      </c>
      <c r="H3510">
        <v>0</v>
      </c>
      <c r="J3510" t="str">
        <f>VLOOKUP(Table3[[#This Row],[Faction ID]],Table4[],2)</f>
        <v>_</v>
      </c>
    </row>
    <row r="3511" spans="1:10" x14ac:dyDescent="0.25">
      <c r="A3511">
        <v>91</v>
      </c>
      <c r="B3511" t="s">
        <v>38</v>
      </c>
      <c r="C3511">
        <v>0</v>
      </c>
      <c r="D3511">
        <v>0</v>
      </c>
      <c r="E3511">
        <v>0</v>
      </c>
      <c r="F3511">
        <v>4000</v>
      </c>
      <c r="G3511">
        <v>1750</v>
      </c>
      <c r="H3511">
        <v>0</v>
      </c>
      <c r="J3511" t="str">
        <f>VLOOKUP(Table3[[#This Row],[Faction ID]],Table4[],2)</f>
        <v>_</v>
      </c>
    </row>
    <row r="3512" spans="1:10" x14ac:dyDescent="0.25">
      <c r="A3512">
        <v>91</v>
      </c>
      <c r="B3512" t="s">
        <v>39</v>
      </c>
      <c r="C3512">
        <v>0</v>
      </c>
      <c r="D3512">
        <v>0</v>
      </c>
      <c r="E3512">
        <v>0</v>
      </c>
      <c r="F3512">
        <v>4000</v>
      </c>
      <c r="G3512">
        <v>1750</v>
      </c>
      <c r="H3512">
        <v>0</v>
      </c>
      <c r="J3512" t="str">
        <f>VLOOKUP(Table3[[#This Row],[Faction ID]],Table4[],2)</f>
        <v>_</v>
      </c>
    </row>
    <row r="3513" spans="1:10" x14ac:dyDescent="0.25">
      <c r="A3513">
        <v>91</v>
      </c>
      <c r="B3513" t="s">
        <v>40</v>
      </c>
      <c r="C3513">
        <v>0</v>
      </c>
      <c r="D3513">
        <v>0</v>
      </c>
      <c r="E3513">
        <v>0</v>
      </c>
      <c r="F3513">
        <v>4000</v>
      </c>
      <c r="G3513">
        <v>1750</v>
      </c>
      <c r="H3513">
        <v>0</v>
      </c>
      <c r="J3513" t="str">
        <f>VLOOKUP(Table3[[#This Row],[Faction ID]],Table4[],2)</f>
        <v>_</v>
      </c>
    </row>
    <row r="3514" spans="1:10" x14ac:dyDescent="0.25">
      <c r="A3514">
        <v>91</v>
      </c>
      <c r="B3514" t="s">
        <v>41</v>
      </c>
      <c r="C3514">
        <v>0</v>
      </c>
      <c r="D3514">
        <v>0</v>
      </c>
      <c r="E3514">
        <v>0</v>
      </c>
      <c r="F3514">
        <v>4000</v>
      </c>
      <c r="G3514">
        <v>1750</v>
      </c>
      <c r="H3514">
        <v>0</v>
      </c>
      <c r="J3514" t="str">
        <f>VLOOKUP(Table3[[#This Row],[Faction ID]],Table4[],2)</f>
        <v>_</v>
      </c>
    </row>
    <row r="3515" spans="1:10" x14ac:dyDescent="0.25">
      <c r="A3515">
        <v>91</v>
      </c>
      <c r="B3515" t="s">
        <v>42</v>
      </c>
      <c r="C3515">
        <v>0</v>
      </c>
      <c r="D3515">
        <v>0</v>
      </c>
      <c r="E3515">
        <v>0</v>
      </c>
      <c r="F3515">
        <v>4000</v>
      </c>
      <c r="G3515">
        <v>1750</v>
      </c>
      <c r="H3515">
        <v>0</v>
      </c>
      <c r="J3515" t="str">
        <f>VLOOKUP(Table3[[#This Row],[Faction ID]],Table4[],2)</f>
        <v>_</v>
      </c>
    </row>
    <row r="3516" spans="1:10" x14ac:dyDescent="0.25">
      <c r="A3516">
        <v>91</v>
      </c>
      <c r="B3516" t="s">
        <v>43</v>
      </c>
      <c r="C3516">
        <v>0</v>
      </c>
      <c r="D3516">
        <v>0</v>
      </c>
      <c r="E3516">
        <v>0</v>
      </c>
      <c r="F3516">
        <v>4000</v>
      </c>
      <c r="G3516">
        <v>1750</v>
      </c>
      <c r="H3516">
        <v>0</v>
      </c>
      <c r="J3516" t="str">
        <f>VLOOKUP(Table3[[#This Row],[Faction ID]],Table4[],2)</f>
        <v>_</v>
      </c>
    </row>
    <row r="3517" spans="1:10" x14ac:dyDescent="0.25">
      <c r="A3517">
        <v>91</v>
      </c>
      <c r="B3517" t="s">
        <v>44</v>
      </c>
      <c r="C3517">
        <v>0</v>
      </c>
      <c r="D3517">
        <v>0</v>
      </c>
      <c r="E3517">
        <v>0</v>
      </c>
      <c r="F3517">
        <v>4000</v>
      </c>
      <c r="G3517">
        <v>1750</v>
      </c>
      <c r="H3517">
        <v>0</v>
      </c>
      <c r="J3517" t="str">
        <f>VLOOKUP(Table3[[#This Row],[Faction ID]],Table4[],2)</f>
        <v>_</v>
      </c>
    </row>
    <row r="3518" spans="1:10" x14ac:dyDescent="0.25">
      <c r="A3518">
        <v>92</v>
      </c>
      <c r="B3518" t="s">
        <v>9</v>
      </c>
      <c r="C3518">
        <v>400</v>
      </c>
      <c r="D3518">
        <v>28</v>
      </c>
      <c r="E3518">
        <v>312.10000000000002</v>
      </c>
      <c r="F3518">
        <v>1504</v>
      </c>
      <c r="G3518">
        <v>42588</v>
      </c>
      <c r="H3518">
        <v>2699</v>
      </c>
      <c r="J3518" t="str">
        <f>VLOOKUP(Table3[[#This Row],[Faction ID]],Table4[],2)</f>
        <v>Mordor</v>
      </c>
    </row>
    <row r="3519" spans="1:10" x14ac:dyDescent="0.25">
      <c r="A3519">
        <v>92</v>
      </c>
      <c r="B3519" t="s">
        <v>4</v>
      </c>
      <c r="C3519">
        <v>146</v>
      </c>
      <c r="D3519">
        <v>0</v>
      </c>
      <c r="E3519">
        <v>0</v>
      </c>
      <c r="F3519">
        <v>55420</v>
      </c>
      <c r="G3519">
        <v>2500</v>
      </c>
      <c r="H3519">
        <v>0</v>
      </c>
      <c r="J3519" t="str">
        <f>VLOOKUP(Table3[[#This Row],[Faction ID]],Table4[],2)</f>
        <v>Gondor</v>
      </c>
    </row>
    <row r="3520" spans="1:10" x14ac:dyDescent="0.25">
      <c r="A3520">
        <v>92</v>
      </c>
      <c r="B3520" t="s">
        <v>6</v>
      </c>
      <c r="C3520">
        <v>189</v>
      </c>
      <c r="D3520">
        <v>0</v>
      </c>
      <c r="E3520">
        <v>14.6</v>
      </c>
      <c r="F3520">
        <v>784</v>
      </c>
      <c r="G3520">
        <v>4939</v>
      </c>
      <c r="H3520">
        <v>0</v>
      </c>
      <c r="J3520" t="str">
        <f>VLOOKUP(Table3[[#This Row],[Faction ID]],Table4[],2)</f>
        <v>Dale</v>
      </c>
    </row>
    <row r="3521" spans="1:10" x14ac:dyDescent="0.25">
      <c r="A3521">
        <v>92</v>
      </c>
      <c r="B3521" t="s">
        <v>21</v>
      </c>
      <c r="C3521">
        <v>200</v>
      </c>
      <c r="D3521">
        <v>0</v>
      </c>
      <c r="E3521">
        <v>0</v>
      </c>
      <c r="F3521">
        <v>10040</v>
      </c>
      <c r="G3521">
        <v>2500</v>
      </c>
      <c r="H3521">
        <v>0</v>
      </c>
      <c r="J3521" t="str">
        <f>VLOOKUP(Table3[[#This Row],[Faction ID]],Table4[],2)</f>
        <v>Erebor</v>
      </c>
    </row>
    <row r="3522" spans="1:10" x14ac:dyDescent="0.25">
      <c r="A3522">
        <v>92</v>
      </c>
      <c r="B3522" t="s">
        <v>5</v>
      </c>
      <c r="C3522">
        <v>157</v>
      </c>
      <c r="D3522">
        <v>0</v>
      </c>
      <c r="E3522">
        <v>0</v>
      </c>
      <c r="F3522">
        <v>6638</v>
      </c>
      <c r="G3522">
        <v>2500</v>
      </c>
      <c r="H3522">
        <v>0</v>
      </c>
      <c r="J3522" t="str">
        <f>VLOOKUP(Table3[[#This Row],[Faction ID]],Table4[],2)</f>
        <v>Rohan</v>
      </c>
    </row>
    <row r="3523" spans="1:10" x14ac:dyDescent="0.25">
      <c r="A3523">
        <v>92</v>
      </c>
      <c r="B3523" t="s">
        <v>12</v>
      </c>
      <c r="C3523">
        <v>298</v>
      </c>
      <c r="D3523">
        <v>17</v>
      </c>
      <c r="E3523">
        <v>245.4</v>
      </c>
      <c r="F3523">
        <v>34950</v>
      </c>
      <c r="G3523">
        <v>34251</v>
      </c>
      <c r="H3523">
        <v>2818</v>
      </c>
      <c r="J3523" t="str">
        <f>VLOOKUP(Table3[[#This Row],[Faction ID]],Table4[],2)</f>
        <v>Dol Guldur</v>
      </c>
    </row>
    <row r="3524" spans="1:10" x14ac:dyDescent="0.25">
      <c r="A3524">
        <v>92</v>
      </c>
      <c r="B3524" t="s">
        <v>10</v>
      </c>
      <c r="C3524">
        <v>58</v>
      </c>
      <c r="D3524">
        <v>0</v>
      </c>
      <c r="E3524">
        <v>0</v>
      </c>
      <c r="F3524">
        <v>4515</v>
      </c>
      <c r="G3524">
        <v>2500</v>
      </c>
      <c r="H3524">
        <v>0</v>
      </c>
      <c r="J3524" t="str">
        <f>VLOOKUP(Table3[[#This Row],[Faction ID]],Table4[],2)</f>
        <v>Anduin Vale</v>
      </c>
    </row>
    <row r="3525" spans="1:10" x14ac:dyDescent="0.25">
      <c r="A3525">
        <v>92</v>
      </c>
      <c r="B3525" t="s">
        <v>32</v>
      </c>
      <c r="C3525">
        <v>262</v>
      </c>
      <c r="D3525">
        <v>8</v>
      </c>
      <c r="E3525">
        <v>196.7</v>
      </c>
      <c r="F3525">
        <v>77085</v>
      </c>
      <c r="G3525">
        <v>25799</v>
      </c>
      <c r="H3525">
        <v>1308</v>
      </c>
      <c r="J3525" t="str">
        <f>VLOOKUP(Table3[[#This Row],[Faction ID]],Table4[],2)</f>
        <v>Isengard</v>
      </c>
    </row>
    <row r="3526" spans="1:10" x14ac:dyDescent="0.25">
      <c r="A3526">
        <v>92</v>
      </c>
      <c r="B3526" t="s">
        <v>22</v>
      </c>
      <c r="C3526">
        <v>30</v>
      </c>
      <c r="D3526">
        <v>0</v>
      </c>
      <c r="E3526">
        <v>0</v>
      </c>
      <c r="F3526">
        <v>8475</v>
      </c>
      <c r="G3526">
        <v>2500</v>
      </c>
      <c r="H3526">
        <v>0</v>
      </c>
      <c r="J3526" t="str">
        <f>VLOOKUP(Table3[[#This Row],[Faction ID]],Table4[],2)</f>
        <v>Woodland Realm</v>
      </c>
    </row>
    <row r="3527" spans="1:10" x14ac:dyDescent="0.25">
      <c r="A3527">
        <v>92</v>
      </c>
      <c r="B3527" t="s">
        <v>23</v>
      </c>
      <c r="C3527">
        <v>64</v>
      </c>
      <c r="D3527">
        <v>0</v>
      </c>
      <c r="E3527">
        <v>0</v>
      </c>
      <c r="F3527">
        <v>4721</v>
      </c>
      <c r="G3527">
        <v>2500</v>
      </c>
      <c r="H3527">
        <v>0</v>
      </c>
      <c r="J3527" t="str">
        <f>VLOOKUP(Table3[[#This Row],[Faction ID]],Table4[],2)</f>
        <v>Lothlorien</v>
      </c>
    </row>
    <row r="3528" spans="1:10" x14ac:dyDescent="0.25">
      <c r="A3528">
        <v>92</v>
      </c>
      <c r="B3528" t="s">
        <v>24</v>
      </c>
      <c r="C3528">
        <v>0</v>
      </c>
      <c r="D3528">
        <v>0</v>
      </c>
      <c r="E3528">
        <v>0</v>
      </c>
      <c r="F3528">
        <v>4919</v>
      </c>
      <c r="G3528">
        <v>1750</v>
      </c>
      <c r="H3528">
        <v>0</v>
      </c>
      <c r="J3528" t="str">
        <f>VLOOKUP(Table3[[#This Row],[Faction ID]],Table4[],2)</f>
        <v>Variags (Khand)</v>
      </c>
    </row>
    <row r="3529" spans="1:10" x14ac:dyDescent="0.25">
      <c r="A3529">
        <v>92</v>
      </c>
      <c r="B3529" t="s">
        <v>14</v>
      </c>
      <c r="C3529">
        <v>11</v>
      </c>
      <c r="D3529">
        <v>8</v>
      </c>
      <c r="E3529">
        <v>162</v>
      </c>
      <c r="F3529">
        <v>85822</v>
      </c>
      <c r="G3529">
        <v>31617</v>
      </c>
      <c r="H3529">
        <v>2846</v>
      </c>
      <c r="J3529" t="str">
        <f>VLOOKUP(Table3[[#This Row],[Faction ID]],Table4[],2)</f>
        <v>Corsairs of Umbar</v>
      </c>
    </row>
    <row r="3530" spans="1:10" x14ac:dyDescent="0.25">
      <c r="A3530">
        <v>92</v>
      </c>
      <c r="B3530" t="s">
        <v>25</v>
      </c>
      <c r="C3530">
        <v>0</v>
      </c>
      <c r="D3530">
        <v>0</v>
      </c>
      <c r="E3530">
        <v>0</v>
      </c>
      <c r="F3530">
        <v>9228</v>
      </c>
      <c r="G3530">
        <v>1750</v>
      </c>
      <c r="H3530">
        <v>0</v>
      </c>
      <c r="J3530" t="str">
        <f>VLOOKUP(Table3[[#This Row],[Faction ID]],Table4[],2)</f>
        <v>Mahud</v>
      </c>
    </row>
    <row r="3531" spans="1:10" x14ac:dyDescent="0.25">
      <c r="A3531">
        <v>92</v>
      </c>
      <c r="B3531" t="s">
        <v>11</v>
      </c>
      <c r="C3531">
        <v>158</v>
      </c>
      <c r="D3531">
        <v>10</v>
      </c>
      <c r="E3531">
        <v>201.9</v>
      </c>
      <c r="F3531">
        <v>25908</v>
      </c>
      <c r="G3531">
        <v>26580</v>
      </c>
      <c r="H3531">
        <v>561</v>
      </c>
      <c r="J3531" t="str">
        <f>VLOOKUP(Table3[[#This Row],[Faction ID]],Table4[],2)</f>
        <v>Haradrim</v>
      </c>
    </row>
    <row r="3532" spans="1:10" x14ac:dyDescent="0.25">
      <c r="A3532">
        <v>92</v>
      </c>
      <c r="B3532" t="s">
        <v>15</v>
      </c>
      <c r="C3532">
        <v>168</v>
      </c>
      <c r="D3532">
        <v>12</v>
      </c>
      <c r="E3532">
        <v>240</v>
      </c>
      <c r="F3532">
        <v>214081</v>
      </c>
      <c r="G3532">
        <v>40098</v>
      </c>
      <c r="H3532">
        <v>2507</v>
      </c>
      <c r="J3532" t="str">
        <f>VLOOKUP(Table3[[#This Row],[Faction ID]],Table4[],2)</f>
        <v>Dunlendings</v>
      </c>
    </row>
    <row r="3533" spans="1:10" x14ac:dyDescent="0.25">
      <c r="A3533">
        <v>92</v>
      </c>
      <c r="B3533" t="s">
        <v>16</v>
      </c>
      <c r="C3533">
        <v>0</v>
      </c>
      <c r="D3533">
        <v>0</v>
      </c>
      <c r="E3533">
        <v>0</v>
      </c>
      <c r="F3533">
        <v>5352</v>
      </c>
      <c r="G3533">
        <v>1750</v>
      </c>
      <c r="H3533">
        <v>0</v>
      </c>
      <c r="J3533" t="str">
        <f>VLOOKUP(Table3[[#This Row],[Faction ID]],Table4[],2)</f>
        <v>Haerrim</v>
      </c>
    </row>
    <row r="3534" spans="1:10" x14ac:dyDescent="0.25">
      <c r="A3534">
        <v>92</v>
      </c>
      <c r="B3534" t="s">
        <v>13</v>
      </c>
      <c r="C3534">
        <v>406</v>
      </c>
      <c r="D3534">
        <v>21</v>
      </c>
      <c r="E3534">
        <v>415.9</v>
      </c>
      <c r="F3534">
        <v>58757</v>
      </c>
      <c r="G3534">
        <v>57201</v>
      </c>
      <c r="H3534">
        <v>5461</v>
      </c>
      <c r="J3534" t="str">
        <f>VLOOKUP(Table3[[#This Row],[Faction ID]],Table4[],2)</f>
        <v>Goblins</v>
      </c>
    </row>
    <row r="3535" spans="1:10" x14ac:dyDescent="0.25">
      <c r="A3535">
        <v>92</v>
      </c>
      <c r="B3535" t="s">
        <v>17</v>
      </c>
      <c r="C3535">
        <v>0</v>
      </c>
      <c r="D3535">
        <v>0</v>
      </c>
      <c r="E3535">
        <v>0</v>
      </c>
      <c r="F3535">
        <v>4872</v>
      </c>
      <c r="G3535">
        <v>1750</v>
      </c>
      <c r="H3535">
        <v>0</v>
      </c>
      <c r="J3535" t="str">
        <f>VLOOKUP(Table3[[#This Row],[Faction ID]],Table4[],2)</f>
        <v>Balchoth</v>
      </c>
    </row>
    <row r="3536" spans="1:10" x14ac:dyDescent="0.25">
      <c r="A3536">
        <v>92</v>
      </c>
      <c r="B3536" t="s">
        <v>18</v>
      </c>
      <c r="C3536">
        <v>371</v>
      </c>
      <c r="D3536">
        <v>32</v>
      </c>
      <c r="E3536">
        <v>441.6</v>
      </c>
      <c r="F3536">
        <v>97764</v>
      </c>
      <c r="G3536">
        <v>40009</v>
      </c>
      <c r="H3536">
        <v>2615</v>
      </c>
      <c r="J3536" t="str">
        <f>VLOOKUP(Table3[[#This Row],[Faction ID]],Table4[],2)</f>
        <v>Rhurim/Rhun</v>
      </c>
    </row>
    <row r="3537" spans="1:10" x14ac:dyDescent="0.25">
      <c r="A3537">
        <v>92</v>
      </c>
      <c r="B3537" t="s">
        <v>19</v>
      </c>
      <c r="C3537">
        <v>0</v>
      </c>
      <c r="D3537">
        <v>0</v>
      </c>
      <c r="E3537">
        <v>0</v>
      </c>
      <c r="F3537">
        <v>7360</v>
      </c>
      <c r="G3537">
        <v>1750</v>
      </c>
      <c r="H3537">
        <v>0</v>
      </c>
      <c r="J3537" t="str">
        <f>VLOOKUP(Table3[[#This Row],[Faction ID]],Table4[],2)</f>
        <v>Feredrim</v>
      </c>
    </row>
    <row r="3538" spans="1:10" x14ac:dyDescent="0.25">
      <c r="A3538">
        <v>92</v>
      </c>
      <c r="B3538" t="s">
        <v>26</v>
      </c>
      <c r="C3538">
        <v>0</v>
      </c>
      <c r="D3538">
        <v>0</v>
      </c>
      <c r="E3538">
        <v>0</v>
      </c>
      <c r="F3538">
        <v>6395</v>
      </c>
      <c r="G3538">
        <v>1750</v>
      </c>
      <c r="H3538">
        <v>0</v>
      </c>
      <c r="J3538" t="str">
        <f>VLOOKUP(Table3[[#This Row],[Faction ID]],Table4[],2)</f>
        <v>Rachrohir (Wainriders)</v>
      </c>
    </row>
    <row r="3539" spans="1:10" x14ac:dyDescent="0.25">
      <c r="A3539">
        <v>92</v>
      </c>
      <c r="B3539" t="s">
        <v>27</v>
      </c>
      <c r="C3539">
        <v>1</v>
      </c>
      <c r="D3539">
        <v>1</v>
      </c>
      <c r="E3539">
        <v>21.2</v>
      </c>
      <c r="F3539">
        <v>19674</v>
      </c>
      <c r="G3539">
        <v>4567</v>
      </c>
      <c r="H3539">
        <v>0</v>
      </c>
      <c r="J3539" t="str">
        <f>VLOOKUP(Table3[[#This Row],[Faction ID]],Table4[],2)</f>
        <v>Blacklock-Stonefoot League</v>
      </c>
    </row>
    <row r="3540" spans="1:10" x14ac:dyDescent="0.25">
      <c r="A3540">
        <v>92</v>
      </c>
      <c r="B3540" t="s">
        <v>28</v>
      </c>
      <c r="C3540">
        <v>4</v>
      </c>
      <c r="D3540">
        <v>2</v>
      </c>
      <c r="E3540">
        <v>42</v>
      </c>
      <c r="F3540">
        <v>79050</v>
      </c>
      <c r="G3540">
        <v>9253</v>
      </c>
      <c r="H3540">
        <v>0</v>
      </c>
      <c r="J3540" t="str">
        <f>VLOOKUP(Table3[[#This Row],[Faction ID]],Table4[],2)</f>
        <v>Ironfist-Stiffbeard Union</v>
      </c>
    </row>
    <row r="3541" spans="1:10" x14ac:dyDescent="0.25">
      <c r="A3541">
        <v>92</v>
      </c>
      <c r="B3541" t="s">
        <v>20</v>
      </c>
      <c r="C3541">
        <v>247</v>
      </c>
      <c r="D3541">
        <v>13</v>
      </c>
      <c r="E3541">
        <v>141.19999999999999</v>
      </c>
      <c r="F3541">
        <v>30168</v>
      </c>
      <c r="G3541">
        <v>21524</v>
      </c>
      <c r="H3541">
        <v>1296</v>
      </c>
      <c r="J3541" t="str">
        <f>VLOOKUP(Table3[[#This Row],[Faction ID]],Table4[],2)</f>
        <v>Gundabad</v>
      </c>
    </row>
    <row r="3542" spans="1:10" x14ac:dyDescent="0.25">
      <c r="A3542">
        <v>92</v>
      </c>
      <c r="B3542" t="s">
        <v>34</v>
      </c>
      <c r="C3542">
        <v>0</v>
      </c>
      <c r="D3542">
        <v>0</v>
      </c>
      <c r="E3542">
        <v>3</v>
      </c>
      <c r="F3542">
        <v>106011</v>
      </c>
      <c r="G3542">
        <v>2379</v>
      </c>
      <c r="H3542">
        <v>0</v>
      </c>
      <c r="J3542" t="str">
        <f>VLOOKUP(Table3[[#This Row],[Faction ID]],Table4[],2)</f>
        <v>Scouts of Rohan</v>
      </c>
    </row>
    <row r="3543" spans="1:10" x14ac:dyDescent="0.25">
      <c r="A3543">
        <v>92</v>
      </c>
      <c r="B3543" t="s">
        <v>33</v>
      </c>
      <c r="C3543">
        <v>6</v>
      </c>
      <c r="D3543">
        <v>4</v>
      </c>
      <c r="E3543">
        <v>83</v>
      </c>
      <c r="F3543">
        <v>91629</v>
      </c>
      <c r="G3543">
        <v>17899</v>
      </c>
      <c r="H3543">
        <v>859</v>
      </c>
      <c r="J3543" t="str">
        <f>VLOOKUP(Table3[[#This Row],[Faction ID]],Table4[],2)</f>
        <v>Northern Enedwaith</v>
      </c>
    </row>
    <row r="3544" spans="1:10" x14ac:dyDescent="0.25">
      <c r="A3544">
        <v>92</v>
      </c>
      <c r="B3544" t="s">
        <v>29</v>
      </c>
      <c r="C3544">
        <v>0</v>
      </c>
      <c r="D3544">
        <v>0</v>
      </c>
      <c r="E3544">
        <v>0</v>
      </c>
      <c r="F3544">
        <v>54023</v>
      </c>
      <c r="G3544">
        <v>1750</v>
      </c>
      <c r="H3544">
        <v>0</v>
      </c>
      <c r="J3544" t="str">
        <f>VLOOKUP(Table3[[#This Row],[Faction ID]],Table4[],2)</f>
        <v>Southern Enedwaith</v>
      </c>
    </row>
    <row r="3545" spans="1:10" x14ac:dyDescent="0.25">
      <c r="A3545">
        <v>92</v>
      </c>
      <c r="B3545" t="s">
        <v>30</v>
      </c>
      <c r="C3545">
        <v>0</v>
      </c>
      <c r="D3545">
        <v>0</v>
      </c>
      <c r="E3545">
        <v>0</v>
      </c>
      <c r="F3545">
        <v>32146</v>
      </c>
      <c r="G3545">
        <v>1750</v>
      </c>
      <c r="H3545">
        <v>0</v>
      </c>
      <c r="J3545" t="str">
        <f>VLOOKUP(Table3[[#This Row],[Faction ID]],Table4[],2)</f>
        <v>Druedain</v>
      </c>
    </row>
    <row r="3546" spans="1:10" x14ac:dyDescent="0.25">
      <c r="A3546">
        <v>92</v>
      </c>
      <c r="B3546" t="s">
        <v>31</v>
      </c>
      <c r="C3546">
        <v>0</v>
      </c>
      <c r="D3546">
        <v>0</v>
      </c>
      <c r="E3546">
        <v>0</v>
      </c>
      <c r="F3546">
        <v>15146</v>
      </c>
      <c r="G3546">
        <v>1750</v>
      </c>
      <c r="H3546">
        <v>0</v>
      </c>
      <c r="J3546" t="str">
        <f>VLOOKUP(Table3[[#This Row],[Faction ID]],Table4[],2)</f>
        <v>Harondor</v>
      </c>
    </row>
    <row r="3547" spans="1:10" x14ac:dyDescent="0.25">
      <c r="A3547">
        <v>92</v>
      </c>
      <c r="B3547" t="s">
        <v>35</v>
      </c>
      <c r="C3547">
        <v>0</v>
      </c>
      <c r="D3547">
        <v>0</v>
      </c>
      <c r="E3547">
        <v>0</v>
      </c>
      <c r="F3547">
        <v>4000</v>
      </c>
      <c r="G3547">
        <v>1750</v>
      </c>
      <c r="H3547">
        <v>0</v>
      </c>
      <c r="J3547" t="str">
        <f>VLOOKUP(Table3[[#This Row],[Faction ID]],Table4[],2)</f>
        <v>Southron Nomads</v>
      </c>
    </row>
    <row r="3548" spans="1:10" x14ac:dyDescent="0.25">
      <c r="A3548">
        <v>92</v>
      </c>
      <c r="B3548" t="s">
        <v>36</v>
      </c>
      <c r="C3548">
        <v>0</v>
      </c>
      <c r="D3548">
        <v>0</v>
      </c>
      <c r="E3548">
        <v>0</v>
      </c>
      <c r="F3548">
        <v>4000</v>
      </c>
      <c r="G3548">
        <v>1750</v>
      </c>
      <c r="H3548">
        <v>0</v>
      </c>
      <c r="J3548" t="str">
        <f>VLOOKUP(Table3[[#This Row],[Faction ID]],Table4[],2)</f>
        <v>_</v>
      </c>
    </row>
    <row r="3549" spans="1:10" x14ac:dyDescent="0.25">
      <c r="A3549">
        <v>92</v>
      </c>
      <c r="B3549" t="s">
        <v>37</v>
      </c>
      <c r="C3549">
        <v>0</v>
      </c>
      <c r="D3549">
        <v>0</v>
      </c>
      <c r="E3549">
        <v>0</v>
      </c>
      <c r="F3549">
        <v>4000</v>
      </c>
      <c r="G3549">
        <v>1750</v>
      </c>
      <c r="H3549">
        <v>0</v>
      </c>
      <c r="J3549" t="str">
        <f>VLOOKUP(Table3[[#This Row],[Faction ID]],Table4[],2)</f>
        <v>_</v>
      </c>
    </row>
    <row r="3550" spans="1:10" x14ac:dyDescent="0.25">
      <c r="A3550">
        <v>92</v>
      </c>
      <c r="B3550" t="s">
        <v>38</v>
      </c>
      <c r="C3550">
        <v>0</v>
      </c>
      <c r="D3550">
        <v>0</v>
      </c>
      <c r="E3550">
        <v>0</v>
      </c>
      <c r="F3550">
        <v>4000</v>
      </c>
      <c r="G3550">
        <v>1750</v>
      </c>
      <c r="H3550">
        <v>0</v>
      </c>
      <c r="J3550" t="str">
        <f>VLOOKUP(Table3[[#This Row],[Faction ID]],Table4[],2)</f>
        <v>_</v>
      </c>
    </row>
    <row r="3551" spans="1:10" x14ac:dyDescent="0.25">
      <c r="A3551">
        <v>92</v>
      </c>
      <c r="B3551" t="s">
        <v>39</v>
      </c>
      <c r="C3551">
        <v>0</v>
      </c>
      <c r="D3551">
        <v>0</v>
      </c>
      <c r="E3551">
        <v>0</v>
      </c>
      <c r="F3551">
        <v>4000</v>
      </c>
      <c r="G3551">
        <v>1750</v>
      </c>
      <c r="H3551">
        <v>0</v>
      </c>
      <c r="J3551" t="str">
        <f>VLOOKUP(Table3[[#This Row],[Faction ID]],Table4[],2)</f>
        <v>_</v>
      </c>
    </row>
    <row r="3552" spans="1:10" x14ac:dyDescent="0.25">
      <c r="A3552">
        <v>92</v>
      </c>
      <c r="B3552" t="s">
        <v>40</v>
      </c>
      <c r="C3552">
        <v>0</v>
      </c>
      <c r="D3552">
        <v>0</v>
      </c>
      <c r="E3552">
        <v>0</v>
      </c>
      <c r="F3552">
        <v>4000</v>
      </c>
      <c r="G3552">
        <v>1750</v>
      </c>
      <c r="H3552">
        <v>0</v>
      </c>
      <c r="J3552" t="str">
        <f>VLOOKUP(Table3[[#This Row],[Faction ID]],Table4[],2)</f>
        <v>_</v>
      </c>
    </row>
    <row r="3553" spans="1:10" x14ac:dyDescent="0.25">
      <c r="A3553">
        <v>92</v>
      </c>
      <c r="B3553" t="s">
        <v>41</v>
      </c>
      <c r="C3553">
        <v>0</v>
      </c>
      <c r="D3553">
        <v>0</v>
      </c>
      <c r="E3553">
        <v>0</v>
      </c>
      <c r="F3553">
        <v>4000</v>
      </c>
      <c r="G3553">
        <v>1750</v>
      </c>
      <c r="H3553">
        <v>0</v>
      </c>
      <c r="J3553" t="str">
        <f>VLOOKUP(Table3[[#This Row],[Faction ID]],Table4[],2)</f>
        <v>_</v>
      </c>
    </row>
    <row r="3554" spans="1:10" x14ac:dyDescent="0.25">
      <c r="A3554">
        <v>92</v>
      </c>
      <c r="B3554" t="s">
        <v>42</v>
      </c>
      <c r="C3554">
        <v>0</v>
      </c>
      <c r="D3554">
        <v>0</v>
      </c>
      <c r="E3554">
        <v>0</v>
      </c>
      <c r="F3554">
        <v>4000</v>
      </c>
      <c r="G3554">
        <v>1750</v>
      </c>
      <c r="H3554">
        <v>0</v>
      </c>
      <c r="J3554" t="str">
        <f>VLOOKUP(Table3[[#This Row],[Faction ID]],Table4[],2)</f>
        <v>_</v>
      </c>
    </row>
    <row r="3555" spans="1:10" x14ac:dyDescent="0.25">
      <c r="A3555">
        <v>92</v>
      </c>
      <c r="B3555" t="s">
        <v>43</v>
      </c>
      <c r="C3555">
        <v>0</v>
      </c>
      <c r="D3555">
        <v>0</v>
      </c>
      <c r="E3555">
        <v>0</v>
      </c>
      <c r="F3555">
        <v>4000</v>
      </c>
      <c r="G3555">
        <v>1750</v>
      </c>
      <c r="H3555">
        <v>0</v>
      </c>
      <c r="J3555" t="str">
        <f>VLOOKUP(Table3[[#This Row],[Faction ID]],Table4[],2)</f>
        <v>_</v>
      </c>
    </row>
    <row r="3556" spans="1:10" x14ac:dyDescent="0.25">
      <c r="A3556">
        <v>92</v>
      </c>
      <c r="B3556" t="s">
        <v>44</v>
      </c>
      <c r="C3556">
        <v>0</v>
      </c>
      <c r="D3556">
        <v>0</v>
      </c>
      <c r="E3556">
        <v>0</v>
      </c>
      <c r="F3556">
        <v>4000</v>
      </c>
      <c r="G3556">
        <v>1750</v>
      </c>
      <c r="H3556">
        <v>0</v>
      </c>
      <c r="J3556" t="str">
        <f>VLOOKUP(Table3[[#This Row],[Faction ID]],Table4[],2)</f>
        <v>_</v>
      </c>
    </row>
    <row r="3557" spans="1:10" x14ac:dyDescent="0.25">
      <c r="A3557">
        <v>93</v>
      </c>
      <c r="B3557" t="s">
        <v>9</v>
      </c>
      <c r="C3557">
        <v>414</v>
      </c>
      <c r="D3557">
        <v>27</v>
      </c>
      <c r="E3557">
        <v>303.10000000000002</v>
      </c>
      <c r="F3557">
        <v>1605</v>
      </c>
      <c r="G3557">
        <v>43002</v>
      </c>
      <c r="H3557">
        <v>2705</v>
      </c>
      <c r="J3557" t="str">
        <f>VLOOKUP(Table3[[#This Row],[Faction ID]],Table4[],2)</f>
        <v>Mordor</v>
      </c>
    </row>
    <row r="3558" spans="1:10" x14ac:dyDescent="0.25">
      <c r="A3558">
        <v>93</v>
      </c>
      <c r="B3558" t="s">
        <v>4</v>
      </c>
      <c r="C3558">
        <v>146</v>
      </c>
      <c r="D3558">
        <v>0</v>
      </c>
      <c r="E3558">
        <v>0</v>
      </c>
      <c r="F3558">
        <v>55420</v>
      </c>
      <c r="G3558">
        <v>2500</v>
      </c>
      <c r="H3558">
        <v>0</v>
      </c>
      <c r="J3558" t="str">
        <f>VLOOKUP(Table3[[#This Row],[Faction ID]],Table4[],2)</f>
        <v>Gondor</v>
      </c>
    </row>
    <row r="3559" spans="1:10" x14ac:dyDescent="0.25">
      <c r="A3559">
        <v>93</v>
      </c>
      <c r="B3559" t="s">
        <v>6</v>
      </c>
      <c r="C3559">
        <v>195</v>
      </c>
      <c r="D3559">
        <v>1</v>
      </c>
      <c r="E3559">
        <v>14.6</v>
      </c>
      <c r="F3559">
        <v>1669</v>
      </c>
      <c r="G3559">
        <v>5207</v>
      </c>
      <c r="H3559">
        <v>0</v>
      </c>
      <c r="J3559" t="str">
        <f>VLOOKUP(Table3[[#This Row],[Faction ID]],Table4[],2)</f>
        <v>Dale</v>
      </c>
    </row>
    <row r="3560" spans="1:10" x14ac:dyDescent="0.25">
      <c r="A3560">
        <v>93</v>
      </c>
      <c r="B3560" t="s">
        <v>21</v>
      </c>
      <c r="C3560">
        <v>200</v>
      </c>
      <c r="D3560">
        <v>0</v>
      </c>
      <c r="E3560">
        <v>0</v>
      </c>
      <c r="F3560">
        <v>10040</v>
      </c>
      <c r="G3560">
        <v>2500</v>
      </c>
      <c r="H3560">
        <v>0</v>
      </c>
      <c r="J3560" t="str">
        <f>VLOOKUP(Table3[[#This Row],[Faction ID]],Table4[],2)</f>
        <v>Erebor</v>
      </c>
    </row>
    <row r="3561" spans="1:10" x14ac:dyDescent="0.25">
      <c r="A3561">
        <v>93</v>
      </c>
      <c r="B3561" t="s">
        <v>5</v>
      </c>
      <c r="C3561">
        <v>157</v>
      </c>
      <c r="D3561">
        <v>0</v>
      </c>
      <c r="E3561">
        <v>0</v>
      </c>
      <c r="F3561">
        <v>6638</v>
      </c>
      <c r="G3561">
        <v>2500</v>
      </c>
      <c r="H3561">
        <v>0</v>
      </c>
      <c r="J3561" t="str">
        <f>VLOOKUP(Table3[[#This Row],[Faction ID]],Table4[],2)</f>
        <v>Rohan</v>
      </c>
    </row>
    <row r="3562" spans="1:10" x14ac:dyDescent="0.25">
      <c r="A3562">
        <v>93</v>
      </c>
      <c r="B3562" t="s">
        <v>12</v>
      </c>
      <c r="C3562">
        <v>300</v>
      </c>
      <c r="D3562">
        <v>18</v>
      </c>
      <c r="E3562">
        <v>250.4</v>
      </c>
      <c r="F3562">
        <v>41226</v>
      </c>
      <c r="G3562">
        <v>34248</v>
      </c>
      <c r="H3562">
        <v>2824</v>
      </c>
      <c r="J3562" t="str">
        <f>VLOOKUP(Table3[[#This Row],[Faction ID]],Table4[],2)</f>
        <v>Dol Guldur</v>
      </c>
    </row>
    <row r="3563" spans="1:10" x14ac:dyDescent="0.25">
      <c r="A3563">
        <v>93</v>
      </c>
      <c r="B3563" t="s">
        <v>10</v>
      </c>
      <c r="C3563">
        <v>58</v>
      </c>
      <c r="D3563">
        <v>0</v>
      </c>
      <c r="E3563">
        <v>0</v>
      </c>
      <c r="F3563">
        <v>4515</v>
      </c>
      <c r="G3563">
        <v>2500</v>
      </c>
      <c r="H3563">
        <v>0</v>
      </c>
      <c r="J3563" t="str">
        <f>VLOOKUP(Table3[[#This Row],[Faction ID]],Table4[],2)</f>
        <v>Anduin Vale</v>
      </c>
    </row>
    <row r="3564" spans="1:10" x14ac:dyDescent="0.25">
      <c r="A3564">
        <v>93</v>
      </c>
      <c r="B3564" t="s">
        <v>32</v>
      </c>
      <c r="C3564">
        <v>262</v>
      </c>
      <c r="D3564">
        <v>8</v>
      </c>
      <c r="E3564">
        <v>196.7</v>
      </c>
      <c r="F3564">
        <v>79807</v>
      </c>
      <c r="G3564">
        <v>26150</v>
      </c>
      <c r="H3564">
        <v>1306</v>
      </c>
      <c r="J3564" t="str">
        <f>VLOOKUP(Table3[[#This Row],[Faction ID]],Table4[],2)</f>
        <v>Isengard</v>
      </c>
    </row>
    <row r="3565" spans="1:10" x14ac:dyDescent="0.25">
      <c r="A3565">
        <v>93</v>
      </c>
      <c r="B3565" t="s">
        <v>22</v>
      </c>
      <c r="C3565">
        <v>30</v>
      </c>
      <c r="D3565">
        <v>0</v>
      </c>
      <c r="E3565">
        <v>0</v>
      </c>
      <c r="F3565">
        <v>8475</v>
      </c>
      <c r="G3565">
        <v>2500</v>
      </c>
      <c r="H3565">
        <v>0</v>
      </c>
      <c r="J3565" t="str">
        <f>VLOOKUP(Table3[[#This Row],[Faction ID]],Table4[],2)</f>
        <v>Woodland Realm</v>
      </c>
    </row>
    <row r="3566" spans="1:10" x14ac:dyDescent="0.25">
      <c r="A3566">
        <v>93</v>
      </c>
      <c r="B3566" t="s">
        <v>23</v>
      </c>
      <c r="C3566">
        <v>64</v>
      </c>
      <c r="D3566">
        <v>0</v>
      </c>
      <c r="E3566">
        <v>0</v>
      </c>
      <c r="F3566">
        <v>4721</v>
      </c>
      <c r="G3566">
        <v>2500</v>
      </c>
      <c r="H3566">
        <v>0</v>
      </c>
      <c r="J3566" t="str">
        <f>VLOOKUP(Table3[[#This Row],[Faction ID]],Table4[],2)</f>
        <v>Lothlorien</v>
      </c>
    </row>
    <row r="3567" spans="1:10" x14ac:dyDescent="0.25">
      <c r="A3567">
        <v>93</v>
      </c>
      <c r="B3567" t="s">
        <v>24</v>
      </c>
      <c r="C3567">
        <v>0</v>
      </c>
      <c r="D3567">
        <v>0</v>
      </c>
      <c r="E3567">
        <v>0</v>
      </c>
      <c r="F3567">
        <v>4919</v>
      </c>
      <c r="G3567">
        <v>1750</v>
      </c>
      <c r="H3567">
        <v>0</v>
      </c>
      <c r="J3567" t="str">
        <f>VLOOKUP(Table3[[#This Row],[Faction ID]],Table4[],2)</f>
        <v>Variags (Khand)</v>
      </c>
    </row>
    <row r="3568" spans="1:10" x14ac:dyDescent="0.25">
      <c r="A3568">
        <v>93</v>
      </c>
      <c r="B3568" t="s">
        <v>14</v>
      </c>
      <c r="C3568">
        <v>11</v>
      </c>
      <c r="D3568">
        <v>8</v>
      </c>
      <c r="E3568">
        <v>162</v>
      </c>
      <c r="F3568">
        <v>93223</v>
      </c>
      <c r="G3568">
        <v>31955</v>
      </c>
      <c r="H3568">
        <v>2861</v>
      </c>
      <c r="J3568" t="str">
        <f>VLOOKUP(Table3[[#This Row],[Faction ID]],Table4[],2)</f>
        <v>Corsairs of Umbar</v>
      </c>
    </row>
    <row r="3569" spans="1:10" x14ac:dyDescent="0.25">
      <c r="A3569">
        <v>93</v>
      </c>
      <c r="B3569" t="s">
        <v>25</v>
      </c>
      <c r="C3569">
        <v>0</v>
      </c>
      <c r="D3569">
        <v>0</v>
      </c>
      <c r="E3569">
        <v>0</v>
      </c>
      <c r="F3569">
        <v>9228</v>
      </c>
      <c r="G3569">
        <v>1750</v>
      </c>
      <c r="H3569">
        <v>0</v>
      </c>
      <c r="J3569" t="str">
        <f>VLOOKUP(Table3[[#This Row],[Faction ID]],Table4[],2)</f>
        <v>Mahud</v>
      </c>
    </row>
    <row r="3570" spans="1:10" x14ac:dyDescent="0.25">
      <c r="A3570">
        <v>93</v>
      </c>
      <c r="B3570" t="s">
        <v>11</v>
      </c>
      <c r="C3570">
        <v>162</v>
      </c>
      <c r="D3570">
        <v>10</v>
      </c>
      <c r="E3570">
        <v>211.9</v>
      </c>
      <c r="F3570">
        <v>31054</v>
      </c>
      <c r="G3570">
        <v>29211</v>
      </c>
      <c r="H3570">
        <v>568</v>
      </c>
      <c r="J3570" t="str">
        <f>VLOOKUP(Table3[[#This Row],[Faction ID]],Table4[],2)</f>
        <v>Haradrim</v>
      </c>
    </row>
    <row r="3571" spans="1:10" x14ac:dyDescent="0.25">
      <c r="A3571">
        <v>93</v>
      </c>
      <c r="B3571" t="s">
        <v>15</v>
      </c>
      <c r="C3571">
        <v>168</v>
      </c>
      <c r="D3571">
        <v>12</v>
      </c>
      <c r="E3571">
        <v>244</v>
      </c>
      <c r="F3571">
        <v>215034</v>
      </c>
      <c r="G3571">
        <v>40853</v>
      </c>
      <c r="H3571">
        <v>2507</v>
      </c>
      <c r="J3571" t="str">
        <f>VLOOKUP(Table3[[#This Row],[Faction ID]],Table4[],2)</f>
        <v>Dunlendings</v>
      </c>
    </row>
    <row r="3572" spans="1:10" x14ac:dyDescent="0.25">
      <c r="A3572">
        <v>93</v>
      </c>
      <c r="B3572" t="s">
        <v>16</v>
      </c>
      <c r="C3572">
        <v>0</v>
      </c>
      <c r="D3572">
        <v>0</v>
      </c>
      <c r="E3572">
        <v>0</v>
      </c>
      <c r="F3572">
        <v>5352</v>
      </c>
      <c r="G3572">
        <v>1750</v>
      </c>
      <c r="H3572">
        <v>0</v>
      </c>
      <c r="J3572" t="str">
        <f>VLOOKUP(Table3[[#This Row],[Faction ID]],Table4[],2)</f>
        <v>Haerrim</v>
      </c>
    </row>
    <row r="3573" spans="1:10" x14ac:dyDescent="0.25">
      <c r="A3573">
        <v>93</v>
      </c>
      <c r="B3573" t="s">
        <v>13</v>
      </c>
      <c r="C3573">
        <v>406</v>
      </c>
      <c r="D3573">
        <v>21</v>
      </c>
      <c r="E3573">
        <v>410.9</v>
      </c>
      <c r="F3573">
        <v>68396</v>
      </c>
      <c r="G3573">
        <v>54400</v>
      </c>
      <c r="H3573">
        <v>5444</v>
      </c>
      <c r="J3573" t="str">
        <f>VLOOKUP(Table3[[#This Row],[Faction ID]],Table4[],2)</f>
        <v>Goblins</v>
      </c>
    </row>
    <row r="3574" spans="1:10" x14ac:dyDescent="0.25">
      <c r="A3574">
        <v>93</v>
      </c>
      <c r="B3574" t="s">
        <v>17</v>
      </c>
      <c r="C3574">
        <v>0</v>
      </c>
      <c r="D3574">
        <v>0</v>
      </c>
      <c r="E3574">
        <v>0</v>
      </c>
      <c r="F3574">
        <v>4872</v>
      </c>
      <c r="G3574">
        <v>1750</v>
      </c>
      <c r="H3574">
        <v>0</v>
      </c>
      <c r="J3574" t="str">
        <f>VLOOKUP(Table3[[#This Row],[Faction ID]],Table4[],2)</f>
        <v>Balchoth</v>
      </c>
    </row>
    <row r="3575" spans="1:10" x14ac:dyDescent="0.25">
      <c r="A3575">
        <v>93</v>
      </c>
      <c r="B3575" t="s">
        <v>18</v>
      </c>
      <c r="C3575">
        <v>395</v>
      </c>
      <c r="D3575">
        <v>32</v>
      </c>
      <c r="E3575">
        <v>448.29999999999899</v>
      </c>
      <c r="F3575">
        <v>86819</v>
      </c>
      <c r="G3575">
        <v>45738</v>
      </c>
      <c r="H3575">
        <v>2630</v>
      </c>
      <c r="J3575" t="str">
        <f>VLOOKUP(Table3[[#This Row],[Faction ID]],Table4[],2)</f>
        <v>Rhurim/Rhun</v>
      </c>
    </row>
    <row r="3576" spans="1:10" x14ac:dyDescent="0.25">
      <c r="A3576">
        <v>93</v>
      </c>
      <c r="B3576" t="s">
        <v>19</v>
      </c>
      <c r="C3576">
        <v>0</v>
      </c>
      <c r="D3576">
        <v>0</v>
      </c>
      <c r="E3576">
        <v>0</v>
      </c>
      <c r="F3576">
        <v>7360</v>
      </c>
      <c r="G3576">
        <v>1750</v>
      </c>
      <c r="H3576">
        <v>0</v>
      </c>
      <c r="J3576" t="str">
        <f>VLOOKUP(Table3[[#This Row],[Faction ID]],Table4[],2)</f>
        <v>Feredrim</v>
      </c>
    </row>
    <row r="3577" spans="1:10" x14ac:dyDescent="0.25">
      <c r="A3577">
        <v>93</v>
      </c>
      <c r="B3577" t="s">
        <v>26</v>
      </c>
      <c r="C3577">
        <v>0</v>
      </c>
      <c r="D3577">
        <v>0</v>
      </c>
      <c r="E3577">
        <v>0</v>
      </c>
      <c r="F3577">
        <v>6395</v>
      </c>
      <c r="G3577">
        <v>1750</v>
      </c>
      <c r="H3577">
        <v>0</v>
      </c>
      <c r="J3577" t="str">
        <f>VLOOKUP(Table3[[#This Row],[Faction ID]],Table4[],2)</f>
        <v>Rachrohir (Wainriders)</v>
      </c>
    </row>
    <row r="3578" spans="1:10" x14ac:dyDescent="0.25">
      <c r="A3578">
        <v>93</v>
      </c>
      <c r="B3578" t="s">
        <v>27</v>
      </c>
      <c r="C3578">
        <v>1</v>
      </c>
      <c r="D3578">
        <v>1</v>
      </c>
      <c r="E3578">
        <v>19.2</v>
      </c>
      <c r="F3578">
        <v>16069</v>
      </c>
      <c r="G3578">
        <v>3476</v>
      </c>
      <c r="H3578">
        <v>0</v>
      </c>
      <c r="J3578" t="str">
        <f>VLOOKUP(Table3[[#This Row],[Faction ID]],Table4[],2)</f>
        <v>Blacklock-Stonefoot League</v>
      </c>
    </row>
    <row r="3579" spans="1:10" x14ac:dyDescent="0.25">
      <c r="A3579">
        <v>93</v>
      </c>
      <c r="B3579" t="s">
        <v>28</v>
      </c>
      <c r="C3579">
        <v>4</v>
      </c>
      <c r="D3579">
        <v>2</v>
      </c>
      <c r="E3579">
        <v>42</v>
      </c>
      <c r="F3579">
        <v>81860</v>
      </c>
      <c r="G3579">
        <v>8545</v>
      </c>
      <c r="H3579">
        <v>0</v>
      </c>
      <c r="J3579" t="str">
        <f>VLOOKUP(Table3[[#This Row],[Faction ID]],Table4[],2)</f>
        <v>Ironfist-Stiffbeard Union</v>
      </c>
    </row>
    <row r="3580" spans="1:10" x14ac:dyDescent="0.25">
      <c r="A3580">
        <v>93</v>
      </c>
      <c r="B3580" t="s">
        <v>20</v>
      </c>
      <c r="C3580">
        <v>246</v>
      </c>
      <c r="D3580">
        <v>12</v>
      </c>
      <c r="E3580">
        <v>136.19999999999999</v>
      </c>
      <c r="F3580">
        <v>28729</v>
      </c>
      <c r="G3580">
        <v>20048</v>
      </c>
      <c r="H3580">
        <v>1121</v>
      </c>
      <c r="J3580" t="str">
        <f>VLOOKUP(Table3[[#This Row],[Faction ID]],Table4[],2)</f>
        <v>Gundabad</v>
      </c>
    </row>
    <row r="3581" spans="1:10" x14ac:dyDescent="0.25">
      <c r="A3581">
        <v>93</v>
      </c>
      <c r="B3581" t="s">
        <v>34</v>
      </c>
      <c r="C3581">
        <v>0</v>
      </c>
      <c r="D3581">
        <v>0</v>
      </c>
      <c r="E3581">
        <v>3</v>
      </c>
      <c r="F3581">
        <v>107132</v>
      </c>
      <c r="G3581">
        <v>2379</v>
      </c>
      <c r="H3581">
        <v>0</v>
      </c>
      <c r="J3581" t="str">
        <f>VLOOKUP(Table3[[#This Row],[Faction ID]],Table4[],2)</f>
        <v>Scouts of Rohan</v>
      </c>
    </row>
    <row r="3582" spans="1:10" x14ac:dyDescent="0.25">
      <c r="A3582">
        <v>93</v>
      </c>
      <c r="B3582" t="s">
        <v>33</v>
      </c>
      <c r="C3582">
        <v>6</v>
      </c>
      <c r="D3582">
        <v>4</v>
      </c>
      <c r="E3582">
        <v>84</v>
      </c>
      <c r="F3582">
        <v>95190</v>
      </c>
      <c r="G3582">
        <v>18027</v>
      </c>
      <c r="H3582">
        <v>863</v>
      </c>
      <c r="J3582" t="str">
        <f>VLOOKUP(Table3[[#This Row],[Faction ID]],Table4[],2)</f>
        <v>Northern Enedwaith</v>
      </c>
    </row>
    <row r="3583" spans="1:10" x14ac:dyDescent="0.25">
      <c r="A3583">
        <v>93</v>
      </c>
      <c r="B3583" t="s">
        <v>29</v>
      </c>
      <c r="C3583">
        <v>0</v>
      </c>
      <c r="D3583">
        <v>0</v>
      </c>
      <c r="E3583">
        <v>0</v>
      </c>
      <c r="F3583">
        <v>54023</v>
      </c>
      <c r="G3583">
        <v>1750</v>
      </c>
      <c r="H3583">
        <v>0</v>
      </c>
      <c r="J3583" t="str">
        <f>VLOOKUP(Table3[[#This Row],[Faction ID]],Table4[],2)</f>
        <v>Southern Enedwaith</v>
      </c>
    </row>
    <row r="3584" spans="1:10" x14ac:dyDescent="0.25">
      <c r="A3584">
        <v>93</v>
      </c>
      <c r="B3584" t="s">
        <v>30</v>
      </c>
      <c r="C3584">
        <v>0</v>
      </c>
      <c r="D3584">
        <v>0</v>
      </c>
      <c r="E3584">
        <v>0</v>
      </c>
      <c r="F3584">
        <v>32146</v>
      </c>
      <c r="G3584">
        <v>1750</v>
      </c>
      <c r="H3584">
        <v>0</v>
      </c>
      <c r="J3584" t="str">
        <f>VLOOKUP(Table3[[#This Row],[Faction ID]],Table4[],2)</f>
        <v>Druedain</v>
      </c>
    </row>
    <row r="3585" spans="1:10" x14ac:dyDescent="0.25">
      <c r="A3585">
        <v>93</v>
      </c>
      <c r="B3585" t="s">
        <v>31</v>
      </c>
      <c r="C3585">
        <v>0</v>
      </c>
      <c r="D3585">
        <v>0</v>
      </c>
      <c r="E3585">
        <v>0</v>
      </c>
      <c r="F3585">
        <v>15146</v>
      </c>
      <c r="G3585">
        <v>1750</v>
      </c>
      <c r="H3585">
        <v>0</v>
      </c>
      <c r="J3585" t="str">
        <f>VLOOKUP(Table3[[#This Row],[Faction ID]],Table4[],2)</f>
        <v>Harondor</v>
      </c>
    </row>
    <row r="3586" spans="1:10" x14ac:dyDescent="0.25">
      <c r="A3586">
        <v>93</v>
      </c>
      <c r="B3586" t="s">
        <v>35</v>
      </c>
      <c r="C3586">
        <v>0</v>
      </c>
      <c r="D3586">
        <v>0</v>
      </c>
      <c r="E3586">
        <v>0</v>
      </c>
      <c r="F3586">
        <v>4000</v>
      </c>
      <c r="G3586">
        <v>1750</v>
      </c>
      <c r="H3586">
        <v>0</v>
      </c>
      <c r="J3586" t="str">
        <f>VLOOKUP(Table3[[#This Row],[Faction ID]],Table4[],2)</f>
        <v>Southron Nomads</v>
      </c>
    </row>
    <row r="3587" spans="1:10" x14ac:dyDescent="0.25">
      <c r="A3587">
        <v>93</v>
      </c>
      <c r="B3587" t="s">
        <v>36</v>
      </c>
      <c r="C3587">
        <v>0</v>
      </c>
      <c r="D3587">
        <v>0</v>
      </c>
      <c r="E3587">
        <v>0</v>
      </c>
      <c r="F3587">
        <v>4000</v>
      </c>
      <c r="G3587">
        <v>1750</v>
      </c>
      <c r="H3587">
        <v>0</v>
      </c>
      <c r="J3587" t="str">
        <f>VLOOKUP(Table3[[#This Row],[Faction ID]],Table4[],2)</f>
        <v>_</v>
      </c>
    </row>
    <row r="3588" spans="1:10" x14ac:dyDescent="0.25">
      <c r="A3588">
        <v>93</v>
      </c>
      <c r="B3588" t="s">
        <v>37</v>
      </c>
      <c r="C3588">
        <v>0</v>
      </c>
      <c r="D3588">
        <v>0</v>
      </c>
      <c r="E3588">
        <v>0</v>
      </c>
      <c r="F3588">
        <v>4000</v>
      </c>
      <c r="G3588">
        <v>1750</v>
      </c>
      <c r="H3588">
        <v>0</v>
      </c>
      <c r="J3588" t="str">
        <f>VLOOKUP(Table3[[#This Row],[Faction ID]],Table4[],2)</f>
        <v>_</v>
      </c>
    </row>
    <row r="3589" spans="1:10" x14ac:dyDescent="0.25">
      <c r="A3589">
        <v>93</v>
      </c>
      <c r="B3589" t="s">
        <v>38</v>
      </c>
      <c r="C3589">
        <v>0</v>
      </c>
      <c r="D3589">
        <v>0</v>
      </c>
      <c r="E3589">
        <v>0</v>
      </c>
      <c r="F3589">
        <v>4000</v>
      </c>
      <c r="G3589">
        <v>1750</v>
      </c>
      <c r="H3589">
        <v>0</v>
      </c>
      <c r="J3589" t="str">
        <f>VLOOKUP(Table3[[#This Row],[Faction ID]],Table4[],2)</f>
        <v>_</v>
      </c>
    </row>
    <row r="3590" spans="1:10" x14ac:dyDescent="0.25">
      <c r="A3590">
        <v>93</v>
      </c>
      <c r="B3590" t="s">
        <v>39</v>
      </c>
      <c r="C3590">
        <v>0</v>
      </c>
      <c r="D3590">
        <v>0</v>
      </c>
      <c r="E3590">
        <v>0</v>
      </c>
      <c r="F3590">
        <v>4000</v>
      </c>
      <c r="G3590">
        <v>1750</v>
      </c>
      <c r="H3590">
        <v>0</v>
      </c>
      <c r="J3590" t="str">
        <f>VLOOKUP(Table3[[#This Row],[Faction ID]],Table4[],2)</f>
        <v>_</v>
      </c>
    </row>
    <row r="3591" spans="1:10" x14ac:dyDescent="0.25">
      <c r="A3591">
        <v>93</v>
      </c>
      <c r="B3591" t="s">
        <v>40</v>
      </c>
      <c r="C3591">
        <v>0</v>
      </c>
      <c r="D3591">
        <v>0</v>
      </c>
      <c r="E3591">
        <v>0</v>
      </c>
      <c r="F3591">
        <v>4000</v>
      </c>
      <c r="G3591">
        <v>1750</v>
      </c>
      <c r="H3591">
        <v>0</v>
      </c>
      <c r="J3591" t="str">
        <f>VLOOKUP(Table3[[#This Row],[Faction ID]],Table4[],2)</f>
        <v>_</v>
      </c>
    </row>
    <row r="3592" spans="1:10" x14ac:dyDescent="0.25">
      <c r="A3592">
        <v>93</v>
      </c>
      <c r="B3592" t="s">
        <v>41</v>
      </c>
      <c r="C3592">
        <v>0</v>
      </c>
      <c r="D3592">
        <v>0</v>
      </c>
      <c r="E3592">
        <v>0</v>
      </c>
      <c r="F3592">
        <v>4000</v>
      </c>
      <c r="G3592">
        <v>1750</v>
      </c>
      <c r="H3592">
        <v>0</v>
      </c>
      <c r="J3592" t="str">
        <f>VLOOKUP(Table3[[#This Row],[Faction ID]],Table4[],2)</f>
        <v>_</v>
      </c>
    </row>
    <row r="3593" spans="1:10" x14ac:dyDescent="0.25">
      <c r="A3593">
        <v>93</v>
      </c>
      <c r="B3593" t="s">
        <v>42</v>
      </c>
      <c r="C3593">
        <v>0</v>
      </c>
      <c r="D3593">
        <v>0</v>
      </c>
      <c r="E3593">
        <v>0</v>
      </c>
      <c r="F3593">
        <v>4000</v>
      </c>
      <c r="G3593">
        <v>1750</v>
      </c>
      <c r="H3593">
        <v>0</v>
      </c>
      <c r="J3593" t="str">
        <f>VLOOKUP(Table3[[#This Row],[Faction ID]],Table4[],2)</f>
        <v>_</v>
      </c>
    </row>
    <row r="3594" spans="1:10" x14ac:dyDescent="0.25">
      <c r="A3594">
        <v>93</v>
      </c>
      <c r="B3594" t="s">
        <v>43</v>
      </c>
      <c r="C3594">
        <v>0</v>
      </c>
      <c r="D3594">
        <v>0</v>
      </c>
      <c r="E3594">
        <v>0</v>
      </c>
      <c r="F3594">
        <v>4000</v>
      </c>
      <c r="G3594">
        <v>1750</v>
      </c>
      <c r="H3594">
        <v>0</v>
      </c>
      <c r="J3594" t="str">
        <f>VLOOKUP(Table3[[#This Row],[Faction ID]],Table4[],2)</f>
        <v>_</v>
      </c>
    </row>
    <row r="3595" spans="1:10" x14ac:dyDescent="0.25">
      <c r="A3595">
        <v>93</v>
      </c>
      <c r="B3595" t="s">
        <v>44</v>
      </c>
      <c r="C3595">
        <v>0</v>
      </c>
      <c r="D3595">
        <v>0</v>
      </c>
      <c r="E3595">
        <v>0</v>
      </c>
      <c r="F3595">
        <v>4000</v>
      </c>
      <c r="G3595">
        <v>1750</v>
      </c>
      <c r="H3595">
        <v>0</v>
      </c>
      <c r="J3595" t="str">
        <f>VLOOKUP(Table3[[#This Row],[Faction ID]],Table4[],2)</f>
        <v>_</v>
      </c>
    </row>
    <row r="3596" spans="1:10" x14ac:dyDescent="0.25">
      <c r="A3596">
        <v>94</v>
      </c>
      <c r="B3596" t="s">
        <v>9</v>
      </c>
      <c r="C3596">
        <v>416</v>
      </c>
      <c r="D3596">
        <v>28</v>
      </c>
      <c r="E3596">
        <v>320.5</v>
      </c>
      <c r="F3596">
        <v>9733</v>
      </c>
      <c r="G3596">
        <v>44900</v>
      </c>
      <c r="H3596">
        <v>2735</v>
      </c>
      <c r="J3596" t="str">
        <f>VLOOKUP(Table3[[#This Row],[Faction ID]],Table4[],2)</f>
        <v>Mordor</v>
      </c>
    </row>
    <row r="3597" spans="1:10" x14ac:dyDescent="0.25">
      <c r="A3597">
        <v>94</v>
      </c>
      <c r="B3597" t="s">
        <v>4</v>
      </c>
      <c r="C3597">
        <v>146</v>
      </c>
      <c r="D3597">
        <v>0</v>
      </c>
      <c r="E3597">
        <v>0</v>
      </c>
      <c r="F3597">
        <v>55420</v>
      </c>
      <c r="G3597">
        <v>2500</v>
      </c>
      <c r="H3597">
        <v>0</v>
      </c>
      <c r="J3597" t="str">
        <f>VLOOKUP(Table3[[#This Row],[Faction ID]],Table4[],2)</f>
        <v>Gondor</v>
      </c>
    </row>
    <row r="3598" spans="1:10" x14ac:dyDescent="0.25">
      <c r="A3598">
        <v>94</v>
      </c>
      <c r="B3598" t="s">
        <v>6</v>
      </c>
      <c r="C3598">
        <v>195</v>
      </c>
      <c r="D3598">
        <v>1</v>
      </c>
      <c r="E3598">
        <v>14.6</v>
      </c>
      <c r="F3598">
        <v>2151</v>
      </c>
      <c r="G3598">
        <v>5362</v>
      </c>
      <c r="H3598">
        <v>0</v>
      </c>
      <c r="J3598" t="str">
        <f>VLOOKUP(Table3[[#This Row],[Faction ID]],Table4[],2)</f>
        <v>Dale</v>
      </c>
    </row>
    <row r="3599" spans="1:10" x14ac:dyDescent="0.25">
      <c r="A3599">
        <v>94</v>
      </c>
      <c r="B3599" t="s">
        <v>21</v>
      </c>
      <c r="C3599">
        <v>200</v>
      </c>
      <c r="D3599">
        <v>0</v>
      </c>
      <c r="E3599">
        <v>0</v>
      </c>
      <c r="F3599">
        <v>10040</v>
      </c>
      <c r="G3599">
        <v>2500</v>
      </c>
      <c r="H3599">
        <v>0</v>
      </c>
      <c r="J3599" t="str">
        <f>VLOOKUP(Table3[[#This Row],[Faction ID]],Table4[],2)</f>
        <v>Erebor</v>
      </c>
    </row>
    <row r="3600" spans="1:10" x14ac:dyDescent="0.25">
      <c r="A3600">
        <v>94</v>
      </c>
      <c r="B3600" t="s">
        <v>5</v>
      </c>
      <c r="C3600">
        <v>157</v>
      </c>
      <c r="D3600">
        <v>0</v>
      </c>
      <c r="E3600">
        <v>0</v>
      </c>
      <c r="F3600">
        <v>6638</v>
      </c>
      <c r="G3600">
        <v>2500</v>
      </c>
      <c r="H3600">
        <v>0</v>
      </c>
      <c r="J3600" t="str">
        <f>VLOOKUP(Table3[[#This Row],[Faction ID]],Table4[],2)</f>
        <v>Rohan</v>
      </c>
    </row>
    <row r="3601" spans="1:10" x14ac:dyDescent="0.25">
      <c r="A3601">
        <v>94</v>
      </c>
      <c r="B3601" t="s">
        <v>12</v>
      </c>
      <c r="C3601">
        <v>322</v>
      </c>
      <c r="D3601">
        <v>19</v>
      </c>
      <c r="E3601">
        <v>262.10000000000002</v>
      </c>
      <c r="F3601">
        <v>41248</v>
      </c>
      <c r="G3601">
        <v>36321</v>
      </c>
      <c r="H3601">
        <v>3341</v>
      </c>
      <c r="J3601" t="str">
        <f>VLOOKUP(Table3[[#This Row],[Faction ID]],Table4[],2)</f>
        <v>Dol Guldur</v>
      </c>
    </row>
    <row r="3602" spans="1:10" x14ac:dyDescent="0.25">
      <c r="A3602">
        <v>94</v>
      </c>
      <c r="B3602" t="s">
        <v>10</v>
      </c>
      <c r="C3602">
        <v>58</v>
      </c>
      <c r="D3602">
        <v>0</v>
      </c>
      <c r="E3602">
        <v>0</v>
      </c>
      <c r="F3602">
        <v>4515</v>
      </c>
      <c r="G3602">
        <v>2500</v>
      </c>
      <c r="H3602">
        <v>0</v>
      </c>
      <c r="J3602" t="str">
        <f>VLOOKUP(Table3[[#This Row],[Faction ID]],Table4[],2)</f>
        <v>Anduin Vale</v>
      </c>
    </row>
    <row r="3603" spans="1:10" x14ac:dyDescent="0.25">
      <c r="A3603">
        <v>94</v>
      </c>
      <c r="B3603" t="s">
        <v>32</v>
      </c>
      <c r="C3603">
        <v>262</v>
      </c>
      <c r="D3603">
        <v>8</v>
      </c>
      <c r="E3603">
        <v>196.7</v>
      </c>
      <c r="F3603">
        <v>83599</v>
      </c>
      <c r="G3603">
        <v>26511</v>
      </c>
      <c r="H3603">
        <v>1317</v>
      </c>
      <c r="J3603" t="str">
        <f>VLOOKUP(Table3[[#This Row],[Faction ID]],Table4[],2)</f>
        <v>Isengard</v>
      </c>
    </row>
    <row r="3604" spans="1:10" x14ac:dyDescent="0.25">
      <c r="A3604">
        <v>94</v>
      </c>
      <c r="B3604" t="s">
        <v>22</v>
      </c>
      <c r="C3604">
        <v>30</v>
      </c>
      <c r="D3604">
        <v>0</v>
      </c>
      <c r="E3604">
        <v>0</v>
      </c>
      <c r="F3604">
        <v>8475</v>
      </c>
      <c r="G3604">
        <v>2500</v>
      </c>
      <c r="H3604">
        <v>0</v>
      </c>
      <c r="J3604" t="str">
        <f>VLOOKUP(Table3[[#This Row],[Faction ID]],Table4[],2)</f>
        <v>Woodland Realm</v>
      </c>
    </row>
    <row r="3605" spans="1:10" x14ac:dyDescent="0.25">
      <c r="A3605">
        <v>94</v>
      </c>
      <c r="B3605" t="s">
        <v>23</v>
      </c>
      <c r="C3605">
        <v>64</v>
      </c>
      <c r="D3605">
        <v>0</v>
      </c>
      <c r="E3605">
        <v>0</v>
      </c>
      <c r="F3605">
        <v>4721</v>
      </c>
      <c r="G3605">
        <v>2500</v>
      </c>
      <c r="H3605">
        <v>0</v>
      </c>
      <c r="J3605" t="str">
        <f>VLOOKUP(Table3[[#This Row],[Faction ID]],Table4[],2)</f>
        <v>Lothlorien</v>
      </c>
    </row>
    <row r="3606" spans="1:10" x14ac:dyDescent="0.25">
      <c r="A3606">
        <v>94</v>
      </c>
      <c r="B3606" t="s">
        <v>24</v>
      </c>
      <c r="C3606">
        <v>0</v>
      </c>
      <c r="D3606">
        <v>0</v>
      </c>
      <c r="E3606">
        <v>0</v>
      </c>
      <c r="F3606">
        <v>4919</v>
      </c>
      <c r="G3606">
        <v>1750</v>
      </c>
      <c r="H3606">
        <v>0</v>
      </c>
      <c r="J3606" t="str">
        <f>VLOOKUP(Table3[[#This Row],[Faction ID]],Table4[],2)</f>
        <v>Variags (Khand)</v>
      </c>
    </row>
    <row r="3607" spans="1:10" x14ac:dyDescent="0.25">
      <c r="A3607">
        <v>94</v>
      </c>
      <c r="B3607" t="s">
        <v>14</v>
      </c>
      <c r="C3607">
        <v>11</v>
      </c>
      <c r="D3607">
        <v>8</v>
      </c>
      <c r="E3607">
        <v>161</v>
      </c>
      <c r="F3607">
        <v>120549</v>
      </c>
      <c r="G3607">
        <v>31584</v>
      </c>
      <c r="H3607">
        <v>2874</v>
      </c>
      <c r="J3607" t="str">
        <f>VLOOKUP(Table3[[#This Row],[Faction ID]],Table4[],2)</f>
        <v>Corsairs of Umbar</v>
      </c>
    </row>
    <row r="3608" spans="1:10" x14ac:dyDescent="0.25">
      <c r="A3608">
        <v>94</v>
      </c>
      <c r="B3608" t="s">
        <v>25</v>
      </c>
      <c r="C3608">
        <v>0</v>
      </c>
      <c r="D3608">
        <v>0</v>
      </c>
      <c r="E3608">
        <v>0</v>
      </c>
      <c r="F3608">
        <v>9228</v>
      </c>
      <c r="G3608">
        <v>1750</v>
      </c>
      <c r="H3608">
        <v>0</v>
      </c>
      <c r="J3608" t="str">
        <f>VLOOKUP(Table3[[#This Row],[Faction ID]],Table4[],2)</f>
        <v>Mahud</v>
      </c>
    </row>
    <row r="3609" spans="1:10" x14ac:dyDescent="0.25">
      <c r="A3609">
        <v>94</v>
      </c>
      <c r="B3609" t="s">
        <v>11</v>
      </c>
      <c r="C3609">
        <v>163</v>
      </c>
      <c r="D3609">
        <v>11</v>
      </c>
      <c r="E3609">
        <v>198.6</v>
      </c>
      <c r="F3609">
        <v>25568</v>
      </c>
      <c r="G3609">
        <v>29981</v>
      </c>
      <c r="H3609">
        <v>568</v>
      </c>
      <c r="J3609" t="str">
        <f>VLOOKUP(Table3[[#This Row],[Faction ID]],Table4[],2)</f>
        <v>Haradrim</v>
      </c>
    </row>
    <row r="3610" spans="1:10" x14ac:dyDescent="0.25">
      <c r="A3610">
        <v>94</v>
      </c>
      <c r="B3610" t="s">
        <v>15</v>
      </c>
      <c r="C3610">
        <v>173</v>
      </c>
      <c r="D3610">
        <v>12</v>
      </c>
      <c r="E3610">
        <v>246</v>
      </c>
      <c r="F3610">
        <v>164723</v>
      </c>
      <c r="G3610">
        <v>41632</v>
      </c>
      <c r="H3610">
        <v>2526</v>
      </c>
      <c r="J3610" t="str">
        <f>VLOOKUP(Table3[[#This Row],[Faction ID]],Table4[],2)</f>
        <v>Dunlendings</v>
      </c>
    </row>
    <row r="3611" spans="1:10" x14ac:dyDescent="0.25">
      <c r="A3611">
        <v>94</v>
      </c>
      <c r="B3611" t="s">
        <v>16</v>
      </c>
      <c r="C3611">
        <v>0</v>
      </c>
      <c r="D3611">
        <v>0</v>
      </c>
      <c r="E3611">
        <v>0</v>
      </c>
      <c r="F3611">
        <v>5352</v>
      </c>
      <c r="G3611">
        <v>1750</v>
      </c>
      <c r="H3611">
        <v>0</v>
      </c>
      <c r="J3611" t="str">
        <f>VLOOKUP(Table3[[#This Row],[Faction ID]],Table4[],2)</f>
        <v>Haerrim</v>
      </c>
    </row>
    <row r="3612" spans="1:10" x14ac:dyDescent="0.25">
      <c r="A3612">
        <v>94</v>
      </c>
      <c r="B3612" t="s">
        <v>13</v>
      </c>
      <c r="C3612">
        <v>406</v>
      </c>
      <c r="D3612">
        <v>21</v>
      </c>
      <c r="E3612">
        <v>415.599999999999</v>
      </c>
      <c r="F3612">
        <v>62907</v>
      </c>
      <c r="G3612">
        <v>54925</v>
      </c>
      <c r="H3612">
        <v>5678</v>
      </c>
      <c r="J3612" t="str">
        <f>VLOOKUP(Table3[[#This Row],[Faction ID]],Table4[],2)</f>
        <v>Goblins</v>
      </c>
    </row>
    <row r="3613" spans="1:10" x14ac:dyDescent="0.25">
      <c r="A3613">
        <v>94</v>
      </c>
      <c r="B3613" t="s">
        <v>17</v>
      </c>
      <c r="C3613">
        <v>0</v>
      </c>
      <c r="D3613">
        <v>0</v>
      </c>
      <c r="E3613">
        <v>0</v>
      </c>
      <c r="F3613">
        <v>4872</v>
      </c>
      <c r="G3613">
        <v>1750</v>
      </c>
      <c r="H3613">
        <v>0</v>
      </c>
      <c r="J3613" t="str">
        <f>VLOOKUP(Table3[[#This Row],[Faction ID]],Table4[],2)</f>
        <v>Balchoth</v>
      </c>
    </row>
    <row r="3614" spans="1:10" x14ac:dyDescent="0.25">
      <c r="A3614">
        <v>94</v>
      </c>
      <c r="B3614" t="s">
        <v>18</v>
      </c>
      <c r="C3614">
        <v>402</v>
      </c>
      <c r="D3614">
        <v>31</v>
      </c>
      <c r="E3614">
        <v>444.5</v>
      </c>
      <c r="F3614">
        <v>79856</v>
      </c>
      <c r="G3614">
        <v>49452</v>
      </c>
      <c r="H3614">
        <v>2888</v>
      </c>
      <c r="J3614" t="str">
        <f>VLOOKUP(Table3[[#This Row],[Faction ID]],Table4[],2)</f>
        <v>Rhurim/Rhun</v>
      </c>
    </row>
    <row r="3615" spans="1:10" x14ac:dyDescent="0.25">
      <c r="A3615">
        <v>94</v>
      </c>
      <c r="B3615" t="s">
        <v>19</v>
      </c>
      <c r="C3615">
        <v>0</v>
      </c>
      <c r="D3615">
        <v>0</v>
      </c>
      <c r="E3615">
        <v>0</v>
      </c>
      <c r="F3615">
        <v>7360</v>
      </c>
      <c r="G3615">
        <v>1750</v>
      </c>
      <c r="H3615">
        <v>0</v>
      </c>
      <c r="J3615" t="str">
        <f>VLOOKUP(Table3[[#This Row],[Faction ID]],Table4[],2)</f>
        <v>Feredrim</v>
      </c>
    </row>
    <row r="3616" spans="1:10" x14ac:dyDescent="0.25">
      <c r="A3616">
        <v>94</v>
      </c>
      <c r="B3616" t="s">
        <v>26</v>
      </c>
      <c r="C3616">
        <v>0</v>
      </c>
      <c r="D3616">
        <v>0</v>
      </c>
      <c r="E3616">
        <v>0</v>
      </c>
      <c r="F3616">
        <v>6395</v>
      </c>
      <c r="G3616">
        <v>1750</v>
      </c>
      <c r="H3616">
        <v>0</v>
      </c>
      <c r="J3616" t="str">
        <f>VLOOKUP(Table3[[#This Row],[Faction ID]],Table4[],2)</f>
        <v>Rachrohir (Wainriders)</v>
      </c>
    </row>
    <row r="3617" spans="1:10" x14ac:dyDescent="0.25">
      <c r="A3617">
        <v>94</v>
      </c>
      <c r="B3617" t="s">
        <v>27</v>
      </c>
      <c r="C3617">
        <v>1</v>
      </c>
      <c r="D3617">
        <v>1</v>
      </c>
      <c r="E3617">
        <v>19.2</v>
      </c>
      <c r="F3617">
        <v>15859</v>
      </c>
      <c r="G3617">
        <v>3492</v>
      </c>
      <c r="H3617">
        <v>0</v>
      </c>
      <c r="J3617" t="str">
        <f>VLOOKUP(Table3[[#This Row],[Faction ID]],Table4[],2)</f>
        <v>Blacklock-Stonefoot League</v>
      </c>
    </row>
    <row r="3618" spans="1:10" x14ac:dyDescent="0.25">
      <c r="A3618">
        <v>94</v>
      </c>
      <c r="B3618" t="s">
        <v>28</v>
      </c>
      <c r="C3618">
        <v>4</v>
      </c>
      <c r="D3618">
        <v>2</v>
      </c>
      <c r="E3618">
        <v>42</v>
      </c>
      <c r="F3618">
        <v>81836</v>
      </c>
      <c r="G3618">
        <v>9075</v>
      </c>
      <c r="H3618">
        <v>0</v>
      </c>
      <c r="J3618" t="str">
        <f>VLOOKUP(Table3[[#This Row],[Faction ID]],Table4[],2)</f>
        <v>Ironfist-Stiffbeard Union</v>
      </c>
    </row>
    <row r="3619" spans="1:10" x14ac:dyDescent="0.25">
      <c r="A3619">
        <v>94</v>
      </c>
      <c r="B3619" t="s">
        <v>20</v>
      </c>
      <c r="C3619">
        <v>243</v>
      </c>
      <c r="D3619">
        <v>10</v>
      </c>
      <c r="E3619">
        <v>100.2</v>
      </c>
      <c r="F3619">
        <v>27338</v>
      </c>
      <c r="G3619">
        <v>16110</v>
      </c>
      <c r="H3619">
        <v>525</v>
      </c>
      <c r="J3619" t="str">
        <f>VLOOKUP(Table3[[#This Row],[Faction ID]],Table4[],2)</f>
        <v>Gundabad</v>
      </c>
    </row>
    <row r="3620" spans="1:10" x14ac:dyDescent="0.25">
      <c r="A3620">
        <v>94</v>
      </c>
      <c r="B3620" t="s">
        <v>34</v>
      </c>
      <c r="C3620">
        <v>0</v>
      </c>
      <c r="D3620">
        <v>0</v>
      </c>
      <c r="E3620">
        <v>3</v>
      </c>
      <c r="F3620">
        <v>108253</v>
      </c>
      <c r="G3620">
        <v>2379</v>
      </c>
      <c r="H3620">
        <v>0</v>
      </c>
      <c r="J3620" t="str">
        <f>VLOOKUP(Table3[[#This Row],[Faction ID]],Table4[],2)</f>
        <v>Scouts of Rohan</v>
      </c>
    </row>
    <row r="3621" spans="1:10" x14ac:dyDescent="0.25">
      <c r="A3621">
        <v>94</v>
      </c>
      <c r="B3621" t="s">
        <v>33</v>
      </c>
      <c r="C3621">
        <v>6</v>
      </c>
      <c r="D3621">
        <v>4</v>
      </c>
      <c r="E3621">
        <v>84</v>
      </c>
      <c r="F3621">
        <v>98919</v>
      </c>
      <c r="G3621">
        <v>18035</v>
      </c>
      <c r="H3621">
        <v>871</v>
      </c>
      <c r="J3621" t="str">
        <f>VLOOKUP(Table3[[#This Row],[Faction ID]],Table4[],2)</f>
        <v>Northern Enedwaith</v>
      </c>
    </row>
    <row r="3622" spans="1:10" x14ac:dyDescent="0.25">
      <c r="A3622">
        <v>94</v>
      </c>
      <c r="B3622" t="s">
        <v>29</v>
      </c>
      <c r="C3622">
        <v>0</v>
      </c>
      <c r="D3622">
        <v>0</v>
      </c>
      <c r="E3622">
        <v>0</v>
      </c>
      <c r="F3622">
        <v>54023</v>
      </c>
      <c r="G3622">
        <v>1750</v>
      </c>
      <c r="H3622">
        <v>0</v>
      </c>
      <c r="J3622" t="str">
        <f>VLOOKUP(Table3[[#This Row],[Faction ID]],Table4[],2)</f>
        <v>Southern Enedwaith</v>
      </c>
    </row>
    <row r="3623" spans="1:10" x14ac:dyDescent="0.25">
      <c r="A3623">
        <v>94</v>
      </c>
      <c r="B3623" t="s">
        <v>30</v>
      </c>
      <c r="C3623">
        <v>0</v>
      </c>
      <c r="D3623">
        <v>0</v>
      </c>
      <c r="E3623">
        <v>0</v>
      </c>
      <c r="F3623">
        <v>32146</v>
      </c>
      <c r="G3623">
        <v>1750</v>
      </c>
      <c r="H3623">
        <v>0</v>
      </c>
      <c r="J3623" t="str">
        <f>VLOOKUP(Table3[[#This Row],[Faction ID]],Table4[],2)</f>
        <v>Druedain</v>
      </c>
    </row>
    <row r="3624" spans="1:10" x14ac:dyDescent="0.25">
      <c r="A3624">
        <v>94</v>
      </c>
      <c r="B3624" t="s">
        <v>31</v>
      </c>
      <c r="C3624">
        <v>0</v>
      </c>
      <c r="D3624">
        <v>0</v>
      </c>
      <c r="E3624">
        <v>0</v>
      </c>
      <c r="F3624">
        <v>15146</v>
      </c>
      <c r="G3624">
        <v>1750</v>
      </c>
      <c r="H3624">
        <v>0</v>
      </c>
      <c r="J3624" t="str">
        <f>VLOOKUP(Table3[[#This Row],[Faction ID]],Table4[],2)</f>
        <v>Harondor</v>
      </c>
    </row>
    <row r="3625" spans="1:10" x14ac:dyDescent="0.25">
      <c r="A3625">
        <v>94</v>
      </c>
      <c r="B3625" t="s">
        <v>35</v>
      </c>
      <c r="C3625">
        <v>0</v>
      </c>
      <c r="D3625">
        <v>0</v>
      </c>
      <c r="E3625">
        <v>0</v>
      </c>
      <c r="F3625">
        <v>4000</v>
      </c>
      <c r="G3625">
        <v>1750</v>
      </c>
      <c r="H3625">
        <v>0</v>
      </c>
      <c r="J3625" t="str">
        <f>VLOOKUP(Table3[[#This Row],[Faction ID]],Table4[],2)</f>
        <v>Southron Nomads</v>
      </c>
    </row>
    <row r="3626" spans="1:10" x14ac:dyDescent="0.25">
      <c r="A3626">
        <v>94</v>
      </c>
      <c r="B3626" t="s">
        <v>36</v>
      </c>
      <c r="C3626">
        <v>0</v>
      </c>
      <c r="D3626">
        <v>0</v>
      </c>
      <c r="E3626">
        <v>0</v>
      </c>
      <c r="F3626">
        <v>4000</v>
      </c>
      <c r="G3626">
        <v>1750</v>
      </c>
      <c r="H3626">
        <v>0</v>
      </c>
      <c r="J3626" t="str">
        <f>VLOOKUP(Table3[[#This Row],[Faction ID]],Table4[],2)</f>
        <v>_</v>
      </c>
    </row>
    <row r="3627" spans="1:10" x14ac:dyDescent="0.25">
      <c r="A3627">
        <v>94</v>
      </c>
      <c r="B3627" t="s">
        <v>37</v>
      </c>
      <c r="C3627">
        <v>0</v>
      </c>
      <c r="D3627">
        <v>0</v>
      </c>
      <c r="E3627">
        <v>0</v>
      </c>
      <c r="F3627">
        <v>4000</v>
      </c>
      <c r="G3627">
        <v>1750</v>
      </c>
      <c r="H3627">
        <v>0</v>
      </c>
      <c r="J3627" t="str">
        <f>VLOOKUP(Table3[[#This Row],[Faction ID]],Table4[],2)</f>
        <v>_</v>
      </c>
    </row>
    <row r="3628" spans="1:10" x14ac:dyDescent="0.25">
      <c r="A3628">
        <v>94</v>
      </c>
      <c r="B3628" t="s">
        <v>38</v>
      </c>
      <c r="C3628">
        <v>0</v>
      </c>
      <c r="D3628">
        <v>0</v>
      </c>
      <c r="E3628">
        <v>0</v>
      </c>
      <c r="F3628">
        <v>4000</v>
      </c>
      <c r="G3628">
        <v>1750</v>
      </c>
      <c r="H3628">
        <v>0</v>
      </c>
      <c r="J3628" t="str">
        <f>VLOOKUP(Table3[[#This Row],[Faction ID]],Table4[],2)</f>
        <v>_</v>
      </c>
    </row>
    <row r="3629" spans="1:10" x14ac:dyDescent="0.25">
      <c r="A3629">
        <v>94</v>
      </c>
      <c r="B3629" t="s">
        <v>39</v>
      </c>
      <c r="C3629">
        <v>0</v>
      </c>
      <c r="D3629">
        <v>0</v>
      </c>
      <c r="E3629">
        <v>0</v>
      </c>
      <c r="F3629">
        <v>4000</v>
      </c>
      <c r="G3629">
        <v>1750</v>
      </c>
      <c r="H3629">
        <v>0</v>
      </c>
      <c r="J3629" t="str">
        <f>VLOOKUP(Table3[[#This Row],[Faction ID]],Table4[],2)</f>
        <v>_</v>
      </c>
    </row>
    <row r="3630" spans="1:10" x14ac:dyDescent="0.25">
      <c r="A3630">
        <v>94</v>
      </c>
      <c r="B3630" t="s">
        <v>40</v>
      </c>
      <c r="C3630">
        <v>0</v>
      </c>
      <c r="D3630">
        <v>0</v>
      </c>
      <c r="E3630">
        <v>0</v>
      </c>
      <c r="F3630">
        <v>4000</v>
      </c>
      <c r="G3630">
        <v>1750</v>
      </c>
      <c r="H3630">
        <v>0</v>
      </c>
      <c r="J3630" t="str">
        <f>VLOOKUP(Table3[[#This Row],[Faction ID]],Table4[],2)</f>
        <v>_</v>
      </c>
    </row>
    <row r="3631" spans="1:10" x14ac:dyDescent="0.25">
      <c r="A3631">
        <v>94</v>
      </c>
      <c r="B3631" t="s">
        <v>41</v>
      </c>
      <c r="C3631">
        <v>0</v>
      </c>
      <c r="D3631">
        <v>0</v>
      </c>
      <c r="E3631">
        <v>0</v>
      </c>
      <c r="F3631">
        <v>4000</v>
      </c>
      <c r="G3631">
        <v>1750</v>
      </c>
      <c r="H3631">
        <v>0</v>
      </c>
      <c r="J3631" t="str">
        <f>VLOOKUP(Table3[[#This Row],[Faction ID]],Table4[],2)</f>
        <v>_</v>
      </c>
    </row>
    <row r="3632" spans="1:10" x14ac:dyDescent="0.25">
      <c r="A3632">
        <v>94</v>
      </c>
      <c r="B3632" t="s">
        <v>42</v>
      </c>
      <c r="C3632">
        <v>0</v>
      </c>
      <c r="D3632">
        <v>0</v>
      </c>
      <c r="E3632">
        <v>0</v>
      </c>
      <c r="F3632">
        <v>4000</v>
      </c>
      <c r="G3632">
        <v>1750</v>
      </c>
      <c r="H3632">
        <v>0</v>
      </c>
      <c r="J3632" t="str">
        <f>VLOOKUP(Table3[[#This Row],[Faction ID]],Table4[],2)</f>
        <v>_</v>
      </c>
    </row>
    <row r="3633" spans="1:10" x14ac:dyDescent="0.25">
      <c r="A3633">
        <v>94</v>
      </c>
      <c r="B3633" t="s">
        <v>43</v>
      </c>
      <c r="C3633">
        <v>0</v>
      </c>
      <c r="D3633">
        <v>0</v>
      </c>
      <c r="E3633">
        <v>0</v>
      </c>
      <c r="F3633">
        <v>4000</v>
      </c>
      <c r="G3633">
        <v>1750</v>
      </c>
      <c r="H3633">
        <v>0</v>
      </c>
      <c r="J3633" t="str">
        <f>VLOOKUP(Table3[[#This Row],[Faction ID]],Table4[],2)</f>
        <v>_</v>
      </c>
    </row>
    <row r="3634" spans="1:10" x14ac:dyDescent="0.25">
      <c r="A3634">
        <v>94</v>
      </c>
      <c r="B3634" t="s">
        <v>44</v>
      </c>
      <c r="C3634">
        <v>0</v>
      </c>
      <c r="D3634">
        <v>0</v>
      </c>
      <c r="E3634">
        <v>0</v>
      </c>
      <c r="F3634">
        <v>4000</v>
      </c>
      <c r="G3634">
        <v>1750</v>
      </c>
      <c r="H3634">
        <v>0</v>
      </c>
      <c r="J3634" t="str">
        <f>VLOOKUP(Table3[[#This Row],[Faction ID]],Table4[],2)</f>
        <v>_</v>
      </c>
    </row>
    <row r="3635" spans="1:10" x14ac:dyDescent="0.25">
      <c r="A3635">
        <v>95</v>
      </c>
      <c r="B3635" t="s">
        <v>9</v>
      </c>
      <c r="C3635">
        <v>451</v>
      </c>
      <c r="D3635">
        <v>28</v>
      </c>
      <c r="E3635">
        <v>331.1</v>
      </c>
      <c r="F3635">
        <v>2038</v>
      </c>
      <c r="G3635">
        <v>45127</v>
      </c>
      <c r="H3635">
        <v>2750</v>
      </c>
      <c r="J3635" t="str">
        <f>VLOOKUP(Table3[[#This Row],[Faction ID]],Table4[],2)</f>
        <v>Mordor</v>
      </c>
    </row>
    <row r="3636" spans="1:10" x14ac:dyDescent="0.25">
      <c r="A3636">
        <v>95</v>
      </c>
      <c r="B3636" t="s">
        <v>4</v>
      </c>
      <c r="C3636">
        <v>146</v>
      </c>
      <c r="D3636">
        <v>0</v>
      </c>
      <c r="E3636">
        <v>0</v>
      </c>
      <c r="F3636">
        <v>55420</v>
      </c>
      <c r="G3636">
        <v>2500</v>
      </c>
      <c r="H3636">
        <v>0</v>
      </c>
      <c r="J3636" t="str">
        <f>VLOOKUP(Table3[[#This Row],[Faction ID]],Table4[],2)</f>
        <v>Gondor</v>
      </c>
    </row>
    <row r="3637" spans="1:10" x14ac:dyDescent="0.25">
      <c r="A3637">
        <v>95</v>
      </c>
      <c r="B3637" t="s">
        <v>6</v>
      </c>
      <c r="C3637">
        <v>195</v>
      </c>
      <c r="D3637">
        <v>1</v>
      </c>
      <c r="E3637">
        <v>14.6</v>
      </c>
      <c r="F3637">
        <v>1327</v>
      </c>
      <c r="G3637">
        <v>5826</v>
      </c>
      <c r="H3637">
        <v>0</v>
      </c>
      <c r="J3637" t="str">
        <f>VLOOKUP(Table3[[#This Row],[Faction ID]],Table4[],2)</f>
        <v>Dale</v>
      </c>
    </row>
    <row r="3638" spans="1:10" x14ac:dyDescent="0.25">
      <c r="A3638">
        <v>95</v>
      </c>
      <c r="B3638" t="s">
        <v>21</v>
      </c>
      <c r="C3638">
        <v>200</v>
      </c>
      <c r="D3638">
        <v>0</v>
      </c>
      <c r="E3638">
        <v>0</v>
      </c>
      <c r="F3638">
        <v>10040</v>
      </c>
      <c r="G3638">
        <v>2500</v>
      </c>
      <c r="H3638">
        <v>0</v>
      </c>
      <c r="J3638" t="str">
        <f>VLOOKUP(Table3[[#This Row],[Faction ID]],Table4[],2)</f>
        <v>Erebor</v>
      </c>
    </row>
    <row r="3639" spans="1:10" x14ac:dyDescent="0.25">
      <c r="A3639">
        <v>95</v>
      </c>
      <c r="B3639" t="s">
        <v>5</v>
      </c>
      <c r="C3639">
        <v>157</v>
      </c>
      <c r="D3639">
        <v>0</v>
      </c>
      <c r="E3639">
        <v>0</v>
      </c>
      <c r="F3639">
        <v>6638</v>
      </c>
      <c r="G3639">
        <v>2500</v>
      </c>
      <c r="H3639">
        <v>0</v>
      </c>
      <c r="J3639" t="str">
        <f>VLOOKUP(Table3[[#This Row],[Faction ID]],Table4[],2)</f>
        <v>Rohan</v>
      </c>
    </row>
    <row r="3640" spans="1:10" x14ac:dyDescent="0.25">
      <c r="A3640">
        <v>95</v>
      </c>
      <c r="B3640" t="s">
        <v>12</v>
      </c>
      <c r="C3640">
        <v>338</v>
      </c>
      <c r="D3640">
        <v>19</v>
      </c>
      <c r="E3640">
        <v>279.89999999999998</v>
      </c>
      <c r="F3640">
        <v>36969</v>
      </c>
      <c r="G3640">
        <v>38111</v>
      </c>
      <c r="H3640">
        <v>3354</v>
      </c>
      <c r="J3640" t="str">
        <f>VLOOKUP(Table3[[#This Row],[Faction ID]],Table4[],2)</f>
        <v>Dol Guldur</v>
      </c>
    </row>
    <row r="3641" spans="1:10" x14ac:dyDescent="0.25">
      <c r="A3641">
        <v>95</v>
      </c>
      <c r="B3641" t="s">
        <v>10</v>
      </c>
      <c r="C3641">
        <v>58</v>
      </c>
      <c r="D3641">
        <v>0</v>
      </c>
      <c r="E3641">
        <v>0</v>
      </c>
      <c r="F3641">
        <v>4515</v>
      </c>
      <c r="G3641">
        <v>2500</v>
      </c>
      <c r="H3641">
        <v>0</v>
      </c>
      <c r="J3641" t="str">
        <f>VLOOKUP(Table3[[#This Row],[Faction ID]],Table4[],2)</f>
        <v>Anduin Vale</v>
      </c>
    </row>
    <row r="3642" spans="1:10" x14ac:dyDescent="0.25">
      <c r="A3642">
        <v>95</v>
      </c>
      <c r="B3642" t="s">
        <v>32</v>
      </c>
      <c r="C3642">
        <v>262</v>
      </c>
      <c r="D3642">
        <v>8</v>
      </c>
      <c r="E3642">
        <v>199.3</v>
      </c>
      <c r="F3642">
        <v>86610</v>
      </c>
      <c r="G3642">
        <v>26660</v>
      </c>
      <c r="H3642">
        <v>1318</v>
      </c>
      <c r="J3642" t="str">
        <f>VLOOKUP(Table3[[#This Row],[Faction ID]],Table4[],2)</f>
        <v>Isengard</v>
      </c>
    </row>
    <row r="3643" spans="1:10" x14ac:dyDescent="0.25">
      <c r="A3643">
        <v>95</v>
      </c>
      <c r="B3643" t="s">
        <v>22</v>
      </c>
      <c r="C3643">
        <v>30</v>
      </c>
      <c r="D3643">
        <v>0</v>
      </c>
      <c r="E3643">
        <v>0</v>
      </c>
      <c r="F3643">
        <v>8475</v>
      </c>
      <c r="G3643">
        <v>2500</v>
      </c>
      <c r="H3643">
        <v>0</v>
      </c>
      <c r="J3643" t="str">
        <f>VLOOKUP(Table3[[#This Row],[Faction ID]],Table4[],2)</f>
        <v>Woodland Realm</v>
      </c>
    </row>
    <row r="3644" spans="1:10" x14ac:dyDescent="0.25">
      <c r="A3644">
        <v>95</v>
      </c>
      <c r="B3644" t="s">
        <v>23</v>
      </c>
      <c r="C3644">
        <v>64</v>
      </c>
      <c r="D3644">
        <v>0</v>
      </c>
      <c r="E3644">
        <v>0</v>
      </c>
      <c r="F3644">
        <v>4721</v>
      </c>
      <c r="G3644">
        <v>2500</v>
      </c>
      <c r="H3644">
        <v>0</v>
      </c>
      <c r="J3644" t="str">
        <f>VLOOKUP(Table3[[#This Row],[Faction ID]],Table4[],2)</f>
        <v>Lothlorien</v>
      </c>
    </row>
    <row r="3645" spans="1:10" x14ac:dyDescent="0.25">
      <c r="A3645">
        <v>95</v>
      </c>
      <c r="B3645" t="s">
        <v>24</v>
      </c>
      <c r="C3645">
        <v>0</v>
      </c>
      <c r="D3645">
        <v>0</v>
      </c>
      <c r="E3645">
        <v>0</v>
      </c>
      <c r="F3645">
        <v>4919</v>
      </c>
      <c r="G3645">
        <v>1750</v>
      </c>
      <c r="H3645">
        <v>0</v>
      </c>
      <c r="J3645" t="str">
        <f>VLOOKUP(Table3[[#This Row],[Faction ID]],Table4[],2)</f>
        <v>Variags (Khand)</v>
      </c>
    </row>
    <row r="3646" spans="1:10" x14ac:dyDescent="0.25">
      <c r="A3646">
        <v>95</v>
      </c>
      <c r="B3646" t="s">
        <v>14</v>
      </c>
      <c r="C3646">
        <v>11</v>
      </c>
      <c r="D3646">
        <v>8</v>
      </c>
      <c r="E3646">
        <v>160</v>
      </c>
      <c r="F3646">
        <v>103974</v>
      </c>
      <c r="G3646">
        <v>34179</v>
      </c>
      <c r="H3646">
        <v>2903</v>
      </c>
      <c r="J3646" t="str">
        <f>VLOOKUP(Table3[[#This Row],[Faction ID]],Table4[],2)</f>
        <v>Corsairs of Umbar</v>
      </c>
    </row>
    <row r="3647" spans="1:10" x14ac:dyDescent="0.25">
      <c r="A3647">
        <v>95</v>
      </c>
      <c r="B3647" t="s">
        <v>25</v>
      </c>
      <c r="C3647">
        <v>0</v>
      </c>
      <c r="D3647">
        <v>0</v>
      </c>
      <c r="E3647">
        <v>0</v>
      </c>
      <c r="F3647">
        <v>9228</v>
      </c>
      <c r="G3647">
        <v>1750</v>
      </c>
      <c r="H3647">
        <v>0</v>
      </c>
      <c r="J3647" t="str">
        <f>VLOOKUP(Table3[[#This Row],[Faction ID]],Table4[],2)</f>
        <v>Mahud</v>
      </c>
    </row>
    <row r="3648" spans="1:10" x14ac:dyDescent="0.25">
      <c r="A3648">
        <v>95</v>
      </c>
      <c r="B3648" t="s">
        <v>11</v>
      </c>
      <c r="C3648">
        <v>163</v>
      </c>
      <c r="D3648">
        <v>11</v>
      </c>
      <c r="E3648">
        <v>195.1</v>
      </c>
      <c r="F3648">
        <v>25172</v>
      </c>
      <c r="G3648">
        <v>28848</v>
      </c>
      <c r="H3648">
        <v>576</v>
      </c>
      <c r="J3648" t="str">
        <f>VLOOKUP(Table3[[#This Row],[Faction ID]],Table4[],2)</f>
        <v>Haradrim</v>
      </c>
    </row>
    <row r="3649" spans="1:10" x14ac:dyDescent="0.25">
      <c r="A3649">
        <v>95</v>
      </c>
      <c r="B3649" t="s">
        <v>15</v>
      </c>
      <c r="C3649">
        <v>173</v>
      </c>
      <c r="D3649">
        <v>12</v>
      </c>
      <c r="E3649">
        <v>246</v>
      </c>
      <c r="F3649">
        <v>142926</v>
      </c>
      <c r="G3649">
        <v>41793</v>
      </c>
      <c r="H3649">
        <v>2535</v>
      </c>
      <c r="J3649" t="str">
        <f>VLOOKUP(Table3[[#This Row],[Faction ID]],Table4[],2)</f>
        <v>Dunlendings</v>
      </c>
    </row>
    <row r="3650" spans="1:10" x14ac:dyDescent="0.25">
      <c r="A3650">
        <v>95</v>
      </c>
      <c r="B3650" t="s">
        <v>16</v>
      </c>
      <c r="C3650">
        <v>0</v>
      </c>
      <c r="D3650">
        <v>0</v>
      </c>
      <c r="E3650">
        <v>0</v>
      </c>
      <c r="F3650">
        <v>5352</v>
      </c>
      <c r="G3650">
        <v>1750</v>
      </c>
      <c r="H3650">
        <v>0</v>
      </c>
      <c r="J3650" t="str">
        <f>VLOOKUP(Table3[[#This Row],[Faction ID]],Table4[],2)</f>
        <v>Haerrim</v>
      </c>
    </row>
    <row r="3651" spans="1:10" x14ac:dyDescent="0.25">
      <c r="A3651">
        <v>95</v>
      </c>
      <c r="B3651" t="s">
        <v>13</v>
      </c>
      <c r="C3651">
        <v>406</v>
      </c>
      <c r="D3651">
        <v>21</v>
      </c>
      <c r="E3651">
        <v>387.7</v>
      </c>
      <c r="F3651">
        <v>83894</v>
      </c>
      <c r="G3651">
        <v>50381</v>
      </c>
      <c r="H3651">
        <v>5429</v>
      </c>
      <c r="J3651" t="str">
        <f>VLOOKUP(Table3[[#This Row],[Faction ID]],Table4[],2)</f>
        <v>Goblins</v>
      </c>
    </row>
    <row r="3652" spans="1:10" x14ac:dyDescent="0.25">
      <c r="A3652">
        <v>95</v>
      </c>
      <c r="B3652" t="s">
        <v>17</v>
      </c>
      <c r="C3652">
        <v>0</v>
      </c>
      <c r="D3652">
        <v>0</v>
      </c>
      <c r="E3652">
        <v>0</v>
      </c>
      <c r="F3652">
        <v>4872</v>
      </c>
      <c r="G3652">
        <v>1750</v>
      </c>
      <c r="H3652">
        <v>0</v>
      </c>
      <c r="J3652" t="str">
        <f>VLOOKUP(Table3[[#This Row],[Faction ID]],Table4[],2)</f>
        <v>Balchoth</v>
      </c>
    </row>
    <row r="3653" spans="1:10" x14ac:dyDescent="0.25">
      <c r="A3653">
        <v>95</v>
      </c>
      <c r="B3653" t="s">
        <v>18</v>
      </c>
      <c r="C3653">
        <v>431</v>
      </c>
      <c r="D3653">
        <v>31</v>
      </c>
      <c r="E3653">
        <v>451.29999999999899</v>
      </c>
      <c r="F3653">
        <v>63880</v>
      </c>
      <c r="G3653">
        <v>51164</v>
      </c>
      <c r="H3653">
        <v>3139</v>
      </c>
      <c r="J3653" t="str">
        <f>VLOOKUP(Table3[[#This Row],[Faction ID]],Table4[],2)</f>
        <v>Rhurim/Rhun</v>
      </c>
    </row>
    <row r="3654" spans="1:10" x14ac:dyDescent="0.25">
      <c r="A3654">
        <v>95</v>
      </c>
      <c r="B3654" t="s">
        <v>19</v>
      </c>
      <c r="C3654">
        <v>0</v>
      </c>
      <c r="D3654">
        <v>0</v>
      </c>
      <c r="E3654">
        <v>0</v>
      </c>
      <c r="F3654">
        <v>7360</v>
      </c>
      <c r="G3654">
        <v>1750</v>
      </c>
      <c r="H3654">
        <v>0</v>
      </c>
      <c r="J3654" t="str">
        <f>VLOOKUP(Table3[[#This Row],[Faction ID]],Table4[],2)</f>
        <v>Feredrim</v>
      </c>
    </row>
    <row r="3655" spans="1:10" x14ac:dyDescent="0.25">
      <c r="A3655">
        <v>95</v>
      </c>
      <c r="B3655" t="s">
        <v>26</v>
      </c>
      <c r="C3655">
        <v>0</v>
      </c>
      <c r="D3655">
        <v>0</v>
      </c>
      <c r="E3655">
        <v>0</v>
      </c>
      <c r="F3655">
        <v>6395</v>
      </c>
      <c r="G3655">
        <v>1750</v>
      </c>
      <c r="H3655">
        <v>0</v>
      </c>
      <c r="J3655" t="str">
        <f>VLOOKUP(Table3[[#This Row],[Faction ID]],Table4[],2)</f>
        <v>Rachrohir (Wainriders)</v>
      </c>
    </row>
    <row r="3656" spans="1:10" x14ac:dyDescent="0.25">
      <c r="A3656">
        <v>95</v>
      </c>
      <c r="B3656" t="s">
        <v>27</v>
      </c>
      <c r="C3656">
        <v>1</v>
      </c>
      <c r="D3656">
        <v>1</v>
      </c>
      <c r="E3656">
        <v>18.2</v>
      </c>
      <c r="F3656">
        <v>16278</v>
      </c>
      <c r="G3656">
        <v>3326</v>
      </c>
      <c r="H3656">
        <v>0</v>
      </c>
      <c r="J3656" t="str">
        <f>VLOOKUP(Table3[[#This Row],[Faction ID]],Table4[],2)</f>
        <v>Blacklock-Stonefoot League</v>
      </c>
    </row>
    <row r="3657" spans="1:10" x14ac:dyDescent="0.25">
      <c r="A3657">
        <v>95</v>
      </c>
      <c r="B3657" t="s">
        <v>28</v>
      </c>
      <c r="C3657">
        <v>4</v>
      </c>
      <c r="D3657">
        <v>2</v>
      </c>
      <c r="E3657">
        <v>46</v>
      </c>
      <c r="F3657">
        <v>82307</v>
      </c>
      <c r="G3657">
        <v>9545</v>
      </c>
      <c r="H3657">
        <v>0</v>
      </c>
      <c r="J3657" t="str">
        <f>VLOOKUP(Table3[[#This Row],[Faction ID]],Table4[],2)</f>
        <v>Ironfist-Stiffbeard Union</v>
      </c>
    </row>
    <row r="3658" spans="1:10" x14ac:dyDescent="0.25">
      <c r="A3658">
        <v>95</v>
      </c>
      <c r="B3658" t="s">
        <v>20</v>
      </c>
      <c r="C3658">
        <v>248</v>
      </c>
      <c r="D3658">
        <v>10</v>
      </c>
      <c r="E3658">
        <v>108.8</v>
      </c>
      <c r="F3658">
        <v>26179</v>
      </c>
      <c r="G3658">
        <v>17149</v>
      </c>
      <c r="H3658">
        <v>530</v>
      </c>
      <c r="J3658" t="str">
        <f>VLOOKUP(Table3[[#This Row],[Faction ID]],Table4[],2)</f>
        <v>Gundabad</v>
      </c>
    </row>
    <row r="3659" spans="1:10" x14ac:dyDescent="0.25">
      <c r="A3659">
        <v>95</v>
      </c>
      <c r="B3659" t="s">
        <v>34</v>
      </c>
      <c r="C3659">
        <v>0</v>
      </c>
      <c r="D3659">
        <v>0</v>
      </c>
      <c r="E3659">
        <v>3</v>
      </c>
      <c r="F3659">
        <v>109374</v>
      </c>
      <c r="G3659">
        <v>2379</v>
      </c>
      <c r="H3659">
        <v>0</v>
      </c>
      <c r="J3659" t="str">
        <f>VLOOKUP(Table3[[#This Row],[Faction ID]],Table4[],2)</f>
        <v>Scouts of Rohan</v>
      </c>
    </row>
    <row r="3660" spans="1:10" x14ac:dyDescent="0.25">
      <c r="A3660">
        <v>95</v>
      </c>
      <c r="B3660" t="s">
        <v>33</v>
      </c>
      <c r="C3660">
        <v>6</v>
      </c>
      <c r="D3660">
        <v>4</v>
      </c>
      <c r="E3660">
        <v>85</v>
      </c>
      <c r="F3660">
        <v>102650</v>
      </c>
      <c r="G3660">
        <v>18184</v>
      </c>
      <c r="H3660">
        <v>874</v>
      </c>
      <c r="J3660" t="str">
        <f>VLOOKUP(Table3[[#This Row],[Faction ID]],Table4[],2)</f>
        <v>Northern Enedwaith</v>
      </c>
    </row>
    <row r="3661" spans="1:10" x14ac:dyDescent="0.25">
      <c r="A3661">
        <v>95</v>
      </c>
      <c r="B3661" t="s">
        <v>29</v>
      </c>
      <c r="C3661">
        <v>0</v>
      </c>
      <c r="D3661">
        <v>0</v>
      </c>
      <c r="E3661">
        <v>0</v>
      </c>
      <c r="F3661">
        <v>54023</v>
      </c>
      <c r="G3661">
        <v>1750</v>
      </c>
      <c r="H3661">
        <v>0</v>
      </c>
      <c r="J3661" t="str">
        <f>VLOOKUP(Table3[[#This Row],[Faction ID]],Table4[],2)</f>
        <v>Southern Enedwaith</v>
      </c>
    </row>
    <row r="3662" spans="1:10" x14ac:dyDescent="0.25">
      <c r="A3662">
        <v>95</v>
      </c>
      <c r="B3662" t="s">
        <v>30</v>
      </c>
      <c r="C3662">
        <v>0</v>
      </c>
      <c r="D3662">
        <v>0</v>
      </c>
      <c r="E3662">
        <v>0</v>
      </c>
      <c r="F3662">
        <v>32146</v>
      </c>
      <c r="G3662">
        <v>1750</v>
      </c>
      <c r="H3662">
        <v>0</v>
      </c>
      <c r="J3662" t="str">
        <f>VLOOKUP(Table3[[#This Row],[Faction ID]],Table4[],2)</f>
        <v>Druedain</v>
      </c>
    </row>
    <row r="3663" spans="1:10" x14ac:dyDescent="0.25">
      <c r="A3663">
        <v>95</v>
      </c>
      <c r="B3663" t="s">
        <v>31</v>
      </c>
      <c r="C3663">
        <v>0</v>
      </c>
      <c r="D3663">
        <v>0</v>
      </c>
      <c r="E3663">
        <v>0</v>
      </c>
      <c r="F3663">
        <v>15146</v>
      </c>
      <c r="G3663">
        <v>1750</v>
      </c>
      <c r="H3663">
        <v>0</v>
      </c>
      <c r="J3663" t="str">
        <f>VLOOKUP(Table3[[#This Row],[Faction ID]],Table4[],2)</f>
        <v>Harondor</v>
      </c>
    </row>
    <row r="3664" spans="1:10" x14ac:dyDescent="0.25">
      <c r="A3664">
        <v>95</v>
      </c>
      <c r="B3664" t="s">
        <v>35</v>
      </c>
      <c r="C3664">
        <v>0</v>
      </c>
      <c r="D3664">
        <v>0</v>
      </c>
      <c r="E3664">
        <v>0</v>
      </c>
      <c r="F3664">
        <v>4000</v>
      </c>
      <c r="G3664">
        <v>1750</v>
      </c>
      <c r="H3664">
        <v>0</v>
      </c>
      <c r="J3664" t="str">
        <f>VLOOKUP(Table3[[#This Row],[Faction ID]],Table4[],2)</f>
        <v>Southron Nomads</v>
      </c>
    </row>
    <row r="3665" spans="1:10" x14ac:dyDescent="0.25">
      <c r="A3665">
        <v>95</v>
      </c>
      <c r="B3665" t="s">
        <v>36</v>
      </c>
      <c r="C3665">
        <v>0</v>
      </c>
      <c r="D3665">
        <v>0</v>
      </c>
      <c r="E3665">
        <v>0</v>
      </c>
      <c r="F3665">
        <v>4000</v>
      </c>
      <c r="G3665">
        <v>1750</v>
      </c>
      <c r="H3665">
        <v>0</v>
      </c>
      <c r="J3665" t="str">
        <f>VLOOKUP(Table3[[#This Row],[Faction ID]],Table4[],2)</f>
        <v>_</v>
      </c>
    </row>
    <row r="3666" spans="1:10" x14ac:dyDescent="0.25">
      <c r="A3666">
        <v>95</v>
      </c>
      <c r="B3666" t="s">
        <v>37</v>
      </c>
      <c r="C3666">
        <v>0</v>
      </c>
      <c r="D3666">
        <v>0</v>
      </c>
      <c r="E3666">
        <v>0</v>
      </c>
      <c r="F3666">
        <v>4000</v>
      </c>
      <c r="G3666">
        <v>1750</v>
      </c>
      <c r="H3666">
        <v>0</v>
      </c>
      <c r="J3666" t="str">
        <f>VLOOKUP(Table3[[#This Row],[Faction ID]],Table4[],2)</f>
        <v>_</v>
      </c>
    </row>
    <row r="3667" spans="1:10" x14ac:dyDescent="0.25">
      <c r="A3667">
        <v>95</v>
      </c>
      <c r="B3667" t="s">
        <v>38</v>
      </c>
      <c r="C3667">
        <v>0</v>
      </c>
      <c r="D3667">
        <v>0</v>
      </c>
      <c r="E3667">
        <v>0</v>
      </c>
      <c r="F3667">
        <v>4000</v>
      </c>
      <c r="G3667">
        <v>1750</v>
      </c>
      <c r="H3667">
        <v>0</v>
      </c>
      <c r="J3667" t="str">
        <f>VLOOKUP(Table3[[#This Row],[Faction ID]],Table4[],2)</f>
        <v>_</v>
      </c>
    </row>
    <row r="3668" spans="1:10" x14ac:dyDescent="0.25">
      <c r="A3668">
        <v>95</v>
      </c>
      <c r="B3668" t="s">
        <v>39</v>
      </c>
      <c r="C3668">
        <v>0</v>
      </c>
      <c r="D3668">
        <v>0</v>
      </c>
      <c r="E3668">
        <v>0</v>
      </c>
      <c r="F3668">
        <v>4000</v>
      </c>
      <c r="G3668">
        <v>1750</v>
      </c>
      <c r="H3668">
        <v>0</v>
      </c>
      <c r="J3668" t="str">
        <f>VLOOKUP(Table3[[#This Row],[Faction ID]],Table4[],2)</f>
        <v>_</v>
      </c>
    </row>
    <row r="3669" spans="1:10" x14ac:dyDescent="0.25">
      <c r="A3669">
        <v>95</v>
      </c>
      <c r="B3669" t="s">
        <v>40</v>
      </c>
      <c r="C3669">
        <v>0</v>
      </c>
      <c r="D3669">
        <v>0</v>
      </c>
      <c r="E3669">
        <v>0</v>
      </c>
      <c r="F3669">
        <v>4000</v>
      </c>
      <c r="G3669">
        <v>1750</v>
      </c>
      <c r="H3669">
        <v>0</v>
      </c>
      <c r="J3669" t="str">
        <f>VLOOKUP(Table3[[#This Row],[Faction ID]],Table4[],2)</f>
        <v>_</v>
      </c>
    </row>
    <row r="3670" spans="1:10" x14ac:dyDescent="0.25">
      <c r="A3670">
        <v>95</v>
      </c>
      <c r="B3670" t="s">
        <v>41</v>
      </c>
      <c r="C3670">
        <v>0</v>
      </c>
      <c r="D3670">
        <v>0</v>
      </c>
      <c r="E3670">
        <v>0</v>
      </c>
      <c r="F3670">
        <v>4000</v>
      </c>
      <c r="G3670">
        <v>1750</v>
      </c>
      <c r="H3670">
        <v>0</v>
      </c>
      <c r="J3670" t="str">
        <f>VLOOKUP(Table3[[#This Row],[Faction ID]],Table4[],2)</f>
        <v>_</v>
      </c>
    </row>
    <row r="3671" spans="1:10" x14ac:dyDescent="0.25">
      <c r="A3671">
        <v>95</v>
      </c>
      <c r="B3671" t="s">
        <v>42</v>
      </c>
      <c r="C3671">
        <v>0</v>
      </c>
      <c r="D3671">
        <v>0</v>
      </c>
      <c r="E3671">
        <v>0</v>
      </c>
      <c r="F3671">
        <v>4000</v>
      </c>
      <c r="G3671">
        <v>1750</v>
      </c>
      <c r="H3671">
        <v>0</v>
      </c>
      <c r="J3671" t="str">
        <f>VLOOKUP(Table3[[#This Row],[Faction ID]],Table4[],2)</f>
        <v>_</v>
      </c>
    </row>
    <row r="3672" spans="1:10" x14ac:dyDescent="0.25">
      <c r="A3672">
        <v>95</v>
      </c>
      <c r="B3672" t="s">
        <v>43</v>
      </c>
      <c r="C3672">
        <v>0</v>
      </c>
      <c r="D3672">
        <v>0</v>
      </c>
      <c r="E3672">
        <v>0</v>
      </c>
      <c r="F3672">
        <v>4000</v>
      </c>
      <c r="G3672">
        <v>1750</v>
      </c>
      <c r="H3672">
        <v>0</v>
      </c>
      <c r="J3672" t="str">
        <f>VLOOKUP(Table3[[#This Row],[Faction ID]],Table4[],2)</f>
        <v>_</v>
      </c>
    </row>
    <row r="3673" spans="1:10" x14ac:dyDescent="0.25">
      <c r="A3673">
        <v>95</v>
      </c>
      <c r="B3673" t="s">
        <v>44</v>
      </c>
      <c r="C3673">
        <v>0</v>
      </c>
      <c r="D3673">
        <v>0</v>
      </c>
      <c r="E3673">
        <v>0</v>
      </c>
      <c r="F3673">
        <v>4000</v>
      </c>
      <c r="G3673">
        <v>1750</v>
      </c>
      <c r="H3673">
        <v>0</v>
      </c>
      <c r="J3673" t="str">
        <f>VLOOKUP(Table3[[#This Row],[Faction ID]],Table4[],2)</f>
        <v>_</v>
      </c>
    </row>
    <row r="3674" spans="1:10" x14ac:dyDescent="0.25">
      <c r="A3674">
        <v>96</v>
      </c>
      <c r="B3674" t="s">
        <v>9</v>
      </c>
      <c r="C3674">
        <v>461</v>
      </c>
      <c r="D3674">
        <v>28</v>
      </c>
      <c r="E3674">
        <v>331.1</v>
      </c>
      <c r="F3674">
        <v>15057</v>
      </c>
      <c r="G3674">
        <v>45063</v>
      </c>
      <c r="H3674">
        <v>3269</v>
      </c>
      <c r="J3674" t="str">
        <f>VLOOKUP(Table3[[#This Row],[Faction ID]],Table4[],2)</f>
        <v>Mordor</v>
      </c>
    </row>
    <row r="3675" spans="1:10" x14ac:dyDescent="0.25">
      <c r="A3675">
        <v>96</v>
      </c>
      <c r="B3675" t="s">
        <v>4</v>
      </c>
      <c r="C3675">
        <v>146</v>
      </c>
      <c r="D3675">
        <v>0</v>
      </c>
      <c r="E3675">
        <v>0</v>
      </c>
      <c r="F3675">
        <v>55420</v>
      </c>
      <c r="G3675">
        <v>2500</v>
      </c>
      <c r="H3675">
        <v>0</v>
      </c>
      <c r="J3675" t="str">
        <f>VLOOKUP(Table3[[#This Row],[Faction ID]],Table4[],2)</f>
        <v>Gondor</v>
      </c>
    </row>
    <row r="3676" spans="1:10" x14ac:dyDescent="0.25">
      <c r="A3676">
        <v>96</v>
      </c>
      <c r="B3676" t="s">
        <v>6</v>
      </c>
      <c r="C3676">
        <v>195</v>
      </c>
      <c r="D3676">
        <v>1</v>
      </c>
      <c r="E3676">
        <v>14.6</v>
      </c>
      <c r="F3676">
        <v>2275</v>
      </c>
      <c r="G3676">
        <v>5826</v>
      </c>
      <c r="H3676">
        <v>0</v>
      </c>
      <c r="J3676" t="str">
        <f>VLOOKUP(Table3[[#This Row],[Faction ID]],Table4[],2)</f>
        <v>Dale</v>
      </c>
    </row>
    <row r="3677" spans="1:10" x14ac:dyDescent="0.25">
      <c r="A3677">
        <v>96</v>
      </c>
      <c r="B3677" t="s">
        <v>21</v>
      </c>
      <c r="C3677">
        <v>200</v>
      </c>
      <c r="D3677">
        <v>0</v>
      </c>
      <c r="E3677">
        <v>0</v>
      </c>
      <c r="F3677">
        <v>10040</v>
      </c>
      <c r="G3677">
        <v>2500</v>
      </c>
      <c r="H3677">
        <v>0</v>
      </c>
      <c r="J3677" t="str">
        <f>VLOOKUP(Table3[[#This Row],[Faction ID]],Table4[],2)</f>
        <v>Erebor</v>
      </c>
    </row>
    <row r="3678" spans="1:10" x14ac:dyDescent="0.25">
      <c r="A3678">
        <v>96</v>
      </c>
      <c r="B3678" t="s">
        <v>5</v>
      </c>
      <c r="C3678">
        <v>157</v>
      </c>
      <c r="D3678">
        <v>0</v>
      </c>
      <c r="E3678">
        <v>0</v>
      </c>
      <c r="F3678">
        <v>6638</v>
      </c>
      <c r="G3678">
        <v>2500</v>
      </c>
      <c r="H3678">
        <v>0</v>
      </c>
      <c r="J3678" t="str">
        <f>VLOOKUP(Table3[[#This Row],[Faction ID]],Table4[],2)</f>
        <v>Rohan</v>
      </c>
    </row>
    <row r="3679" spans="1:10" x14ac:dyDescent="0.25">
      <c r="A3679">
        <v>96</v>
      </c>
      <c r="B3679" t="s">
        <v>12</v>
      </c>
      <c r="C3679">
        <v>338</v>
      </c>
      <c r="D3679">
        <v>19</v>
      </c>
      <c r="E3679">
        <v>289.39999999999998</v>
      </c>
      <c r="F3679">
        <v>37766</v>
      </c>
      <c r="G3679">
        <v>40961</v>
      </c>
      <c r="H3679">
        <v>3529</v>
      </c>
      <c r="J3679" t="str">
        <f>VLOOKUP(Table3[[#This Row],[Faction ID]],Table4[],2)</f>
        <v>Dol Guldur</v>
      </c>
    </row>
    <row r="3680" spans="1:10" x14ac:dyDescent="0.25">
      <c r="A3680">
        <v>96</v>
      </c>
      <c r="B3680" t="s">
        <v>10</v>
      </c>
      <c r="C3680">
        <v>58</v>
      </c>
      <c r="D3680">
        <v>0</v>
      </c>
      <c r="E3680">
        <v>0</v>
      </c>
      <c r="F3680">
        <v>4515</v>
      </c>
      <c r="G3680">
        <v>2500</v>
      </c>
      <c r="H3680">
        <v>0</v>
      </c>
      <c r="J3680" t="str">
        <f>VLOOKUP(Table3[[#This Row],[Faction ID]],Table4[],2)</f>
        <v>Anduin Vale</v>
      </c>
    </row>
    <row r="3681" spans="1:10" x14ac:dyDescent="0.25">
      <c r="A3681">
        <v>96</v>
      </c>
      <c r="B3681" t="s">
        <v>32</v>
      </c>
      <c r="C3681">
        <v>267</v>
      </c>
      <c r="D3681">
        <v>8</v>
      </c>
      <c r="E3681">
        <v>200.6</v>
      </c>
      <c r="F3681">
        <v>90474</v>
      </c>
      <c r="G3681">
        <v>26746</v>
      </c>
      <c r="H3681">
        <v>1330</v>
      </c>
      <c r="J3681" t="str">
        <f>VLOOKUP(Table3[[#This Row],[Faction ID]],Table4[],2)</f>
        <v>Isengard</v>
      </c>
    </row>
    <row r="3682" spans="1:10" x14ac:dyDescent="0.25">
      <c r="A3682">
        <v>96</v>
      </c>
      <c r="B3682" t="s">
        <v>22</v>
      </c>
      <c r="C3682">
        <v>30</v>
      </c>
      <c r="D3682">
        <v>0</v>
      </c>
      <c r="E3682">
        <v>0</v>
      </c>
      <c r="F3682">
        <v>8475</v>
      </c>
      <c r="G3682">
        <v>2500</v>
      </c>
      <c r="H3682">
        <v>0</v>
      </c>
      <c r="J3682" t="str">
        <f>VLOOKUP(Table3[[#This Row],[Faction ID]],Table4[],2)</f>
        <v>Woodland Realm</v>
      </c>
    </row>
    <row r="3683" spans="1:10" x14ac:dyDescent="0.25">
      <c r="A3683">
        <v>96</v>
      </c>
      <c r="B3683" t="s">
        <v>23</v>
      </c>
      <c r="C3683">
        <v>64</v>
      </c>
      <c r="D3683">
        <v>0</v>
      </c>
      <c r="E3683">
        <v>0</v>
      </c>
      <c r="F3683">
        <v>4721</v>
      </c>
      <c r="G3683">
        <v>2500</v>
      </c>
      <c r="H3683">
        <v>0</v>
      </c>
      <c r="J3683" t="str">
        <f>VLOOKUP(Table3[[#This Row],[Faction ID]],Table4[],2)</f>
        <v>Lothlorien</v>
      </c>
    </row>
    <row r="3684" spans="1:10" x14ac:dyDescent="0.25">
      <c r="A3684">
        <v>96</v>
      </c>
      <c r="B3684" t="s">
        <v>24</v>
      </c>
      <c r="C3684">
        <v>0</v>
      </c>
      <c r="D3684">
        <v>0</v>
      </c>
      <c r="E3684">
        <v>0</v>
      </c>
      <c r="F3684">
        <v>4919</v>
      </c>
      <c r="G3684">
        <v>1750</v>
      </c>
      <c r="H3684">
        <v>0</v>
      </c>
      <c r="J3684" t="str">
        <f>VLOOKUP(Table3[[#This Row],[Faction ID]],Table4[],2)</f>
        <v>Variags (Khand)</v>
      </c>
    </row>
    <row r="3685" spans="1:10" x14ac:dyDescent="0.25">
      <c r="A3685">
        <v>96</v>
      </c>
      <c r="B3685" t="s">
        <v>14</v>
      </c>
      <c r="C3685">
        <v>11</v>
      </c>
      <c r="D3685">
        <v>8</v>
      </c>
      <c r="E3685">
        <v>161</v>
      </c>
      <c r="F3685">
        <v>110171</v>
      </c>
      <c r="G3685">
        <v>31831</v>
      </c>
      <c r="H3685">
        <v>2889</v>
      </c>
      <c r="J3685" t="str">
        <f>VLOOKUP(Table3[[#This Row],[Faction ID]],Table4[],2)</f>
        <v>Corsairs of Umbar</v>
      </c>
    </row>
    <row r="3686" spans="1:10" x14ac:dyDescent="0.25">
      <c r="A3686">
        <v>96</v>
      </c>
      <c r="B3686" t="s">
        <v>25</v>
      </c>
      <c r="C3686">
        <v>0</v>
      </c>
      <c r="D3686">
        <v>0</v>
      </c>
      <c r="E3686">
        <v>0</v>
      </c>
      <c r="F3686">
        <v>9228</v>
      </c>
      <c r="G3686">
        <v>1750</v>
      </c>
      <c r="H3686">
        <v>0</v>
      </c>
      <c r="J3686" t="str">
        <f>VLOOKUP(Table3[[#This Row],[Faction ID]],Table4[],2)</f>
        <v>Mahud</v>
      </c>
    </row>
    <row r="3687" spans="1:10" x14ac:dyDescent="0.25">
      <c r="A3687">
        <v>96</v>
      </c>
      <c r="B3687" t="s">
        <v>11</v>
      </c>
      <c r="C3687">
        <v>168</v>
      </c>
      <c r="D3687">
        <v>11</v>
      </c>
      <c r="E3687">
        <v>209.2</v>
      </c>
      <c r="F3687">
        <v>22457</v>
      </c>
      <c r="G3687">
        <v>28626</v>
      </c>
      <c r="H3687">
        <v>1564</v>
      </c>
      <c r="J3687" t="str">
        <f>VLOOKUP(Table3[[#This Row],[Faction ID]],Table4[],2)</f>
        <v>Haradrim</v>
      </c>
    </row>
    <row r="3688" spans="1:10" x14ac:dyDescent="0.25">
      <c r="A3688">
        <v>96</v>
      </c>
      <c r="B3688" t="s">
        <v>15</v>
      </c>
      <c r="C3688">
        <v>173</v>
      </c>
      <c r="D3688">
        <v>12</v>
      </c>
      <c r="E3688">
        <v>246</v>
      </c>
      <c r="F3688">
        <v>146365</v>
      </c>
      <c r="G3688">
        <v>41801</v>
      </c>
      <c r="H3688">
        <v>2543</v>
      </c>
      <c r="J3688" t="str">
        <f>VLOOKUP(Table3[[#This Row],[Faction ID]],Table4[],2)</f>
        <v>Dunlendings</v>
      </c>
    </row>
    <row r="3689" spans="1:10" x14ac:dyDescent="0.25">
      <c r="A3689">
        <v>96</v>
      </c>
      <c r="B3689" t="s">
        <v>16</v>
      </c>
      <c r="C3689">
        <v>0</v>
      </c>
      <c r="D3689">
        <v>0</v>
      </c>
      <c r="E3689">
        <v>0</v>
      </c>
      <c r="F3689">
        <v>5352</v>
      </c>
      <c r="G3689">
        <v>1750</v>
      </c>
      <c r="H3689">
        <v>0</v>
      </c>
      <c r="J3689" t="str">
        <f>VLOOKUP(Table3[[#This Row],[Faction ID]],Table4[],2)</f>
        <v>Haerrim</v>
      </c>
    </row>
    <row r="3690" spans="1:10" x14ac:dyDescent="0.25">
      <c r="A3690">
        <v>96</v>
      </c>
      <c r="B3690" t="s">
        <v>13</v>
      </c>
      <c r="C3690">
        <v>411</v>
      </c>
      <c r="D3690">
        <v>21</v>
      </c>
      <c r="E3690">
        <v>356.099999999999</v>
      </c>
      <c r="F3690">
        <v>92814</v>
      </c>
      <c r="G3690">
        <v>50676</v>
      </c>
      <c r="H3690">
        <v>5460</v>
      </c>
      <c r="J3690" t="str">
        <f>VLOOKUP(Table3[[#This Row],[Faction ID]],Table4[],2)</f>
        <v>Goblins</v>
      </c>
    </row>
    <row r="3691" spans="1:10" x14ac:dyDescent="0.25">
      <c r="A3691">
        <v>96</v>
      </c>
      <c r="B3691" t="s">
        <v>17</v>
      </c>
      <c r="C3691">
        <v>0</v>
      </c>
      <c r="D3691">
        <v>0</v>
      </c>
      <c r="E3691">
        <v>0</v>
      </c>
      <c r="F3691">
        <v>4872</v>
      </c>
      <c r="G3691">
        <v>1750</v>
      </c>
      <c r="H3691">
        <v>0</v>
      </c>
      <c r="J3691" t="str">
        <f>VLOOKUP(Table3[[#This Row],[Faction ID]],Table4[],2)</f>
        <v>Balchoth</v>
      </c>
    </row>
    <row r="3692" spans="1:10" x14ac:dyDescent="0.25">
      <c r="A3692">
        <v>96</v>
      </c>
      <c r="B3692" t="s">
        <v>18</v>
      </c>
      <c r="C3692">
        <v>431</v>
      </c>
      <c r="D3692">
        <v>31</v>
      </c>
      <c r="E3692">
        <v>436.7</v>
      </c>
      <c r="F3692">
        <v>57258</v>
      </c>
      <c r="G3692">
        <v>48145</v>
      </c>
      <c r="H3692">
        <v>2292</v>
      </c>
      <c r="J3692" t="str">
        <f>VLOOKUP(Table3[[#This Row],[Faction ID]],Table4[],2)</f>
        <v>Rhurim/Rhun</v>
      </c>
    </row>
    <row r="3693" spans="1:10" x14ac:dyDescent="0.25">
      <c r="A3693">
        <v>96</v>
      </c>
      <c r="B3693" t="s">
        <v>19</v>
      </c>
      <c r="C3693">
        <v>0</v>
      </c>
      <c r="D3693">
        <v>0</v>
      </c>
      <c r="E3693">
        <v>0</v>
      </c>
      <c r="F3693">
        <v>7360</v>
      </c>
      <c r="G3693">
        <v>1750</v>
      </c>
      <c r="H3693">
        <v>0</v>
      </c>
      <c r="J3693" t="str">
        <f>VLOOKUP(Table3[[#This Row],[Faction ID]],Table4[],2)</f>
        <v>Feredrim</v>
      </c>
    </row>
    <row r="3694" spans="1:10" x14ac:dyDescent="0.25">
      <c r="A3694">
        <v>96</v>
      </c>
      <c r="B3694" t="s">
        <v>26</v>
      </c>
      <c r="C3694">
        <v>0</v>
      </c>
      <c r="D3694">
        <v>0</v>
      </c>
      <c r="E3694">
        <v>0</v>
      </c>
      <c r="F3694">
        <v>6395</v>
      </c>
      <c r="G3694">
        <v>1750</v>
      </c>
      <c r="H3694">
        <v>0</v>
      </c>
      <c r="J3694" t="str">
        <f>VLOOKUP(Table3[[#This Row],[Faction ID]],Table4[],2)</f>
        <v>Rachrohir (Wainriders)</v>
      </c>
    </row>
    <row r="3695" spans="1:10" x14ac:dyDescent="0.25">
      <c r="A3695">
        <v>96</v>
      </c>
      <c r="B3695" t="s">
        <v>27</v>
      </c>
      <c r="C3695">
        <v>1</v>
      </c>
      <c r="D3695">
        <v>1</v>
      </c>
      <c r="E3695">
        <v>14.2</v>
      </c>
      <c r="F3695">
        <v>11244</v>
      </c>
      <c r="G3695">
        <v>3050</v>
      </c>
      <c r="H3695">
        <v>0</v>
      </c>
      <c r="J3695" t="str">
        <f>VLOOKUP(Table3[[#This Row],[Faction ID]],Table4[],2)</f>
        <v>Blacklock-Stonefoot League</v>
      </c>
    </row>
    <row r="3696" spans="1:10" x14ac:dyDescent="0.25">
      <c r="A3696">
        <v>96</v>
      </c>
      <c r="B3696" t="s">
        <v>28</v>
      </c>
      <c r="C3696">
        <v>4</v>
      </c>
      <c r="D3696">
        <v>2</v>
      </c>
      <c r="E3696">
        <v>51</v>
      </c>
      <c r="F3696">
        <v>81030</v>
      </c>
      <c r="G3696">
        <v>10342</v>
      </c>
      <c r="H3696">
        <v>0</v>
      </c>
      <c r="J3696" t="str">
        <f>VLOOKUP(Table3[[#This Row],[Faction ID]],Table4[],2)</f>
        <v>Ironfist-Stiffbeard Union</v>
      </c>
    </row>
    <row r="3697" spans="1:10" x14ac:dyDescent="0.25">
      <c r="A3697">
        <v>96</v>
      </c>
      <c r="B3697" t="s">
        <v>20</v>
      </c>
      <c r="C3697">
        <v>248</v>
      </c>
      <c r="D3697">
        <v>10</v>
      </c>
      <c r="E3697">
        <v>108.2</v>
      </c>
      <c r="F3697">
        <v>22615</v>
      </c>
      <c r="G3697">
        <v>16831</v>
      </c>
      <c r="H3697">
        <v>0</v>
      </c>
      <c r="J3697" t="str">
        <f>VLOOKUP(Table3[[#This Row],[Faction ID]],Table4[],2)</f>
        <v>Gundabad</v>
      </c>
    </row>
    <row r="3698" spans="1:10" x14ac:dyDescent="0.25">
      <c r="A3698">
        <v>96</v>
      </c>
      <c r="B3698" t="s">
        <v>34</v>
      </c>
      <c r="C3698">
        <v>0</v>
      </c>
      <c r="D3698">
        <v>0</v>
      </c>
      <c r="E3698">
        <v>3</v>
      </c>
      <c r="F3698">
        <v>110495</v>
      </c>
      <c r="G3698">
        <v>2379</v>
      </c>
      <c r="H3698">
        <v>0</v>
      </c>
      <c r="J3698" t="str">
        <f>VLOOKUP(Table3[[#This Row],[Faction ID]],Table4[],2)</f>
        <v>Scouts of Rohan</v>
      </c>
    </row>
    <row r="3699" spans="1:10" x14ac:dyDescent="0.25">
      <c r="A3699">
        <v>96</v>
      </c>
      <c r="B3699" t="s">
        <v>33</v>
      </c>
      <c r="C3699">
        <v>6</v>
      </c>
      <c r="D3699">
        <v>4</v>
      </c>
      <c r="E3699">
        <v>85</v>
      </c>
      <c r="F3699">
        <v>105661</v>
      </c>
      <c r="G3699">
        <v>18187</v>
      </c>
      <c r="H3699">
        <v>877</v>
      </c>
      <c r="J3699" t="str">
        <f>VLOOKUP(Table3[[#This Row],[Faction ID]],Table4[],2)</f>
        <v>Northern Enedwaith</v>
      </c>
    </row>
    <row r="3700" spans="1:10" x14ac:dyDescent="0.25">
      <c r="A3700">
        <v>96</v>
      </c>
      <c r="B3700" t="s">
        <v>29</v>
      </c>
      <c r="C3700">
        <v>0</v>
      </c>
      <c r="D3700">
        <v>0</v>
      </c>
      <c r="E3700">
        <v>0</v>
      </c>
      <c r="F3700">
        <v>54023</v>
      </c>
      <c r="G3700">
        <v>1750</v>
      </c>
      <c r="H3700">
        <v>0</v>
      </c>
      <c r="J3700" t="str">
        <f>VLOOKUP(Table3[[#This Row],[Faction ID]],Table4[],2)</f>
        <v>Southern Enedwaith</v>
      </c>
    </row>
    <row r="3701" spans="1:10" x14ac:dyDescent="0.25">
      <c r="A3701">
        <v>96</v>
      </c>
      <c r="B3701" t="s">
        <v>30</v>
      </c>
      <c r="C3701">
        <v>0</v>
      </c>
      <c r="D3701">
        <v>0</v>
      </c>
      <c r="E3701">
        <v>0</v>
      </c>
      <c r="F3701">
        <v>32146</v>
      </c>
      <c r="G3701">
        <v>1750</v>
      </c>
      <c r="H3701">
        <v>0</v>
      </c>
      <c r="J3701" t="str">
        <f>VLOOKUP(Table3[[#This Row],[Faction ID]],Table4[],2)</f>
        <v>Druedain</v>
      </c>
    </row>
    <row r="3702" spans="1:10" x14ac:dyDescent="0.25">
      <c r="A3702">
        <v>96</v>
      </c>
      <c r="B3702" t="s">
        <v>31</v>
      </c>
      <c r="C3702">
        <v>0</v>
      </c>
      <c r="D3702">
        <v>0</v>
      </c>
      <c r="E3702">
        <v>0</v>
      </c>
      <c r="F3702">
        <v>15146</v>
      </c>
      <c r="G3702">
        <v>1750</v>
      </c>
      <c r="H3702">
        <v>0</v>
      </c>
      <c r="J3702" t="str">
        <f>VLOOKUP(Table3[[#This Row],[Faction ID]],Table4[],2)</f>
        <v>Harondor</v>
      </c>
    </row>
    <row r="3703" spans="1:10" x14ac:dyDescent="0.25">
      <c r="A3703">
        <v>96</v>
      </c>
      <c r="B3703" t="s">
        <v>35</v>
      </c>
      <c r="C3703">
        <v>0</v>
      </c>
      <c r="D3703">
        <v>0</v>
      </c>
      <c r="E3703">
        <v>0</v>
      </c>
      <c r="F3703">
        <v>4000</v>
      </c>
      <c r="G3703">
        <v>1750</v>
      </c>
      <c r="H3703">
        <v>0</v>
      </c>
      <c r="J3703" t="str">
        <f>VLOOKUP(Table3[[#This Row],[Faction ID]],Table4[],2)</f>
        <v>Southron Nomads</v>
      </c>
    </row>
    <row r="3704" spans="1:10" x14ac:dyDescent="0.25">
      <c r="A3704">
        <v>96</v>
      </c>
      <c r="B3704" t="s">
        <v>36</v>
      </c>
      <c r="C3704">
        <v>0</v>
      </c>
      <c r="D3704">
        <v>0</v>
      </c>
      <c r="E3704">
        <v>0</v>
      </c>
      <c r="F3704">
        <v>4000</v>
      </c>
      <c r="G3704">
        <v>1750</v>
      </c>
      <c r="H3704">
        <v>0</v>
      </c>
      <c r="J3704" t="str">
        <f>VLOOKUP(Table3[[#This Row],[Faction ID]],Table4[],2)</f>
        <v>_</v>
      </c>
    </row>
    <row r="3705" spans="1:10" x14ac:dyDescent="0.25">
      <c r="A3705">
        <v>96</v>
      </c>
      <c r="B3705" t="s">
        <v>37</v>
      </c>
      <c r="C3705">
        <v>0</v>
      </c>
      <c r="D3705">
        <v>0</v>
      </c>
      <c r="E3705">
        <v>0</v>
      </c>
      <c r="F3705">
        <v>4000</v>
      </c>
      <c r="G3705">
        <v>1750</v>
      </c>
      <c r="H3705">
        <v>0</v>
      </c>
      <c r="J3705" t="str">
        <f>VLOOKUP(Table3[[#This Row],[Faction ID]],Table4[],2)</f>
        <v>_</v>
      </c>
    </row>
    <row r="3706" spans="1:10" x14ac:dyDescent="0.25">
      <c r="A3706">
        <v>96</v>
      </c>
      <c r="B3706" t="s">
        <v>38</v>
      </c>
      <c r="C3706">
        <v>0</v>
      </c>
      <c r="D3706">
        <v>0</v>
      </c>
      <c r="E3706">
        <v>0</v>
      </c>
      <c r="F3706">
        <v>4000</v>
      </c>
      <c r="G3706">
        <v>1750</v>
      </c>
      <c r="H3706">
        <v>0</v>
      </c>
      <c r="J3706" t="str">
        <f>VLOOKUP(Table3[[#This Row],[Faction ID]],Table4[],2)</f>
        <v>_</v>
      </c>
    </row>
    <row r="3707" spans="1:10" x14ac:dyDescent="0.25">
      <c r="A3707">
        <v>96</v>
      </c>
      <c r="B3707" t="s">
        <v>39</v>
      </c>
      <c r="C3707">
        <v>0</v>
      </c>
      <c r="D3707">
        <v>0</v>
      </c>
      <c r="E3707">
        <v>0</v>
      </c>
      <c r="F3707">
        <v>4000</v>
      </c>
      <c r="G3707">
        <v>1750</v>
      </c>
      <c r="H3707">
        <v>0</v>
      </c>
      <c r="J3707" t="str">
        <f>VLOOKUP(Table3[[#This Row],[Faction ID]],Table4[],2)</f>
        <v>_</v>
      </c>
    </row>
    <row r="3708" spans="1:10" x14ac:dyDescent="0.25">
      <c r="A3708">
        <v>96</v>
      </c>
      <c r="B3708" t="s">
        <v>40</v>
      </c>
      <c r="C3708">
        <v>0</v>
      </c>
      <c r="D3708">
        <v>0</v>
      </c>
      <c r="E3708">
        <v>0</v>
      </c>
      <c r="F3708">
        <v>4000</v>
      </c>
      <c r="G3708">
        <v>1750</v>
      </c>
      <c r="H3708">
        <v>0</v>
      </c>
      <c r="J3708" t="str">
        <f>VLOOKUP(Table3[[#This Row],[Faction ID]],Table4[],2)</f>
        <v>_</v>
      </c>
    </row>
    <row r="3709" spans="1:10" x14ac:dyDescent="0.25">
      <c r="A3709">
        <v>96</v>
      </c>
      <c r="B3709" t="s">
        <v>41</v>
      </c>
      <c r="C3709">
        <v>0</v>
      </c>
      <c r="D3709">
        <v>0</v>
      </c>
      <c r="E3709">
        <v>0</v>
      </c>
      <c r="F3709">
        <v>4000</v>
      </c>
      <c r="G3709">
        <v>1750</v>
      </c>
      <c r="H3709">
        <v>0</v>
      </c>
      <c r="J3709" t="str">
        <f>VLOOKUP(Table3[[#This Row],[Faction ID]],Table4[],2)</f>
        <v>_</v>
      </c>
    </row>
    <row r="3710" spans="1:10" x14ac:dyDescent="0.25">
      <c r="A3710">
        <v>96</v>
      </c>
      <c r="B3710" t="s">
        <v>42</v>
      </c>
      <c r="C3710">
        <v>0</v>
      </c>
      <c r="D3710">
        <v>0</v>
      </c>
      <c r="E3710">
        <v>0</v>
      </c>
      <c r="F3710">
        <v>4000</v>
      </c>
      <c r="G3710">
        <v>1750</v>
      </c>
      <c r="H3710">
        <v>0</v>
      </c>
      <c r="J3710" t="str">
        <f>VLOOKUP(Table3[[#This Row],[Faction ID]],Table4[],2)</f>
        <v>_</v>
      </c>
    </row>
    <row r="3711" spans="1:10" x14ac:dyDescent="0.25">
      <c r="A3711">
        <v>96</v>
      </c>
      <c r="B3711" t="s">
        <v>43</v>
      </c>
      <c r="C3711">
        <v>0</v>
      </c>
      <c r="D3711">
        <v>0</v>
      </c>
      <c r="E3711">
        <v>0</v>
      </c>
      <c r="F3711">
        <v>4000</v>
      </c>
      <c r="G3711">
        <v>1750</v>
      </c>
      <c r="H3711">
        <v>0</v>
      </c>
      <c r="J3711" t="str">
        <f>VLOOKUP(Table3[[#This Row],[Faction ID]],Table4[],2)</f>
        <v>_</v>
      </c>
    </row>
    <row r="3712" spans="1:10" x14ac:dyDescent="0.25">
      <c r="A3712">
        <v>96</v>
      </c>
      <c r="B3712" t="s">
        <v>44</v>
      </c>
      <c r="C3712">
        <v>0</v>
      </c>
      <c r="D3712">
        <v>0</v>
      </c>
      <c r="E3712">
        <v>0</v>
      </c>
      <c r="F3712">
        <v>4000</v>
      </c>
      <c r="G3712">
        <v>1750</v>
      </c>
      <c r="H3712">
        <v>0</v>
      </c>
      <c r="J3712" t="str">
        <f>VLOOKUP(Table3[[#This Row],[Faction ID]],Table4[],2)</f>
        <v>_</v>
      </c>
    </row>
    <row r="3713" spans="1:10" x14ac:dyDescent="0.25">
      <c r="A3713">
        <v>97</v>
      </c>
      <c r="B3713" t="s">
        <v>9</v>
      </c>
      <c r="C3713">
        <v>466</v>
      </c>
      <c r="D3713">
        <v>28</v>
      </c>
      <c r="E3713">
        <v>331.1</v>
      </c>
      <c r="F3713">
        <v>12213</v>
      </c>
      <c r="G3713">
        <v>46125</v>
      </c>
      <c r="H3713">
        <v>3292</v>
      </c>
      <c r="J3713" t="str">
        <f>VLOOKUP(Table3[[#This Row],[Faction ID]],Table4[],2)</f>
        <v>Mordor</v>
      </c>
    </row>
    <row r="3714" spans="1:10" x14ac:dyDescent="0.25">
      <c r="A3714">
        <v>97</v>
      </c>
      <c r="B3714" t="s">
        <v>4</v>
      </c>
      <c r="C3714">
        <v>146</v>
      </c>
      <c r="D3714">
        <v>0</v>
      </c>
      <c r="E3714">
        <v>0</v>
      </c>
      <c r="F3714">
        <v>55420</v>
      </c>
      <c r="G3714">
        <v>2500</v>
      </c>
      <c r="H3714">
        <v>0</v>
      </c>
      <c r="J3714" t="str">
        <f>VLOOKUP(Table3[[#This Row],[Faction ID]],Table4[],2)</f>
        <v>Gondor</v>
      </c>
    </row>
    <row r="3715" spans="1:10" x14ac:dyDescent="0.25">
      <c r="A3715">
        <v>97</v>
      </c>
      <c r="B3715" t="s">
        <v>6</v>
      </c>
      <c r="C3715">
        <v>195</v>
      </c>
      <c r="D3715">
        <v>1</v>
      </c>
      <c r="E3715">
        <v>14.6</v>
      </c>
      <c r="F3715">
        <v>3321</v>
      </c>
      <c r="G3715">
        <v>6149</v>
      </c>
      <c r="H3715">
        <v>0</v>
      </c>
      <c r="J3715" t="str">
        <f>VLOOKUP(Table3[[#This Row],[Faction ID]],Table4[],2)</f>
        <v>Dale</v>
      </c>
    </row>
    <row r="3716" spans="1:10" x14ac:dyDescent="0.25">
      <c r="A3716">
        <v>97</v>
      </c>
      <c r="B3716" t="s">
        <v>21</v>
      </c>
      <c r="C3716">
        <v>200</v>
      </c>
      <c r="D3716">
        <v>0</v>
      </c>
      <c r="E3716">
        <v>0</v>
      </c>
      <c r="F3716">
        <v>10040</v>
      </c>
      <c r="G3716">
        <v>2500</v>
      </c>
      <c r="H3716">
        <v>0</v>
      </c>
      <c r="J3716" t="str">
        <f>VLOOKUP(Table3[[#This Row],[Faction ID]],Table4[],2)</f>
        <v>Erebor</v>
      </c>
    </row>
    <row r="3717" spans="1:10" x14ac:dyDescent="0.25">
      <c r="A3717">
        <v>97</v>
      </c>
      <c r="B3717" t="s">
        <v>5</v>
      </c>
      <c r="C3717">
        <v>157</v>
      </c>
      <c r="D3717">
        <v>0</v>
      </c>
      <c r="E3717">
        <v>0</v>
      </c>
      <c r="F3717">
        <v>6638</v>
      </c>
      <c r="G3717">
        <v>2500</v>
      </c>
      <c r="H3717">
        <v>0</v>
      </c>
      <c r="J3717" t="str">
        <f>VLOOKUP(Table3[[#This Row],[Faction ID]],Table4[],2)</f>
        <v>Rohan</v>
      </c>
    </row>
    <row r="3718" spans="1:10" x14ac:dyDescent="0.25">
      <c r="A3718">
        <v>97</v>
      </c>
      <c r="B3718" t="s">
        <v>12</v>
      </c>
      <c r="C3718">
        <v>354</v>
      </c>
      <c r="D3718">
        <v>19</v>
      </c>
      <c r="E3718">
        <v>293.2</v>
      </c>
      <c r="F3718">
        <v>42187</v>
      </c>
      <c r="G3718">
        <v>41410</v>
      </c>
      <c r="H3718">
        <v>3530</v>
      </c>
      <c r="J3718" t="str">
        <f>VLOOKUP(Table3[[#This Row],[Faction ID]],Table4[],2)</f>
        <v>Dol Guldur</v>
      </c>
    </row>
    <row r="3719" spans="1:10" x14ac:dyDescent="0.25">
      <c r="A3719">
        <v>97</v>
      </c>
      <c r="B3719" t="s">
        <v>10</v>
      </c>
      <c r="C3719">
        <v>58</v>
      </c>
      <c r="D3719">
        <v>0</v>
      </c>
      <c r="E3719">
        <v>0</v>
      </c>
      <c r="F3719">
        <v>4515</v>
      </c>
      <c r="G3719">
        <v>2500</v>
      </c>
      <c r="H3719">
        <v>0</v>
      </c>
      <c r="J3719" t="str">
        <f>VLOOKUP(Table3[[#This Row],[Faction ID]],Table4[],2)</f>
        <v>Anduin Vale</v>
      </c>
    </row>
    <row r="3720" spans="1:10" x14ac:dyDescent="0.25">
      <c r="A3720">
        <v>97</v>
      </c>
      <c r="B3720" t="s">
        <v>32</v>
      </c>
      <c r="C3720">
        <v>267</v>
      </c>
      <c r="D3720">
        <v>8</v>
      </c>
      <c r="E3720">
        <v>200.6</v>
      </c>
      <c r="F3720">
        <v>94338</v>
      </c>
      <c r="G3720">
        <v>26782</v>
      </c>
      <c r="H3720">
        <v>1334</v>
      </c>
      <c r="J3720" t="str">
        <f>VLOOKUP(Table3[[#This Row],[Faction ID]],Table4[],2)</f>
        <v>Isengard</v>
      </c>
    </row>
    <row r="3721" spans="1:10" x14ac:dyDescent="0.25">
      <c r="A3721">
        <v>97</v>
      </c>
      <c r="B3721" t="s">
        <v>22</v>
      </c>
      <c r="C3721">
        <v>30</v>
      </c>
      <c r="D3721">
        <v>0</v>
      </c>
      <c r="E3721">
        <v>0</v>
      </c>
      <c r="F3721">
        <v>8475</v>
      </c>
      <c r="G3721">
        <v>2500</v>
      </c>
      <c r="H3721">
        <v>0</v>
      </c>
      <c r="J3721" t="str">
        <f>VLOOKUP(Table3[[#This Row],[Faction ID]],Table4[],2)</f>
        <v>Woodland Realm</v>
      </c>
    </row>
    <row r="3722" spans="1:10" x14ac:dyDescent="0.25">
      <c r="A3722">
        <v>97</v>
      </c>
      <c r="B3722" t="s">
        <v>23</v>
      </c>
      <c r="C3722">
        <v>64</v>
      </c>
      <c r="D3722">
        <v>0</v>
      </c>
      <c r="E3722">
        <v>0</v>
      </c>
      <c r="F3722">
        <v>4721</v>
      </c>
      <c r="G3722">
        <v>2500</v>
      </c>
      <c r="H3722">
        <v>0</v>
      </c>
      <c r="J3722" t="str">
        <f>VLOOKUP(Table3[[#This Row],[Faction ID]],Table4[],2)</f>
        <v>Lothlorien</v>
      </c>
    </row>
    <row r="3723" spans="1:10" x14ac:dyDescent="0.25">
      <c r="A3723">
        <v>97</v>
      </c>
      <c r="B3723" t="s">
        <v>24</v>
      </c>
      <c r="C3723">
        <v>0</v>
      </c>
      <c r="D3723">
        <v>0</v>
      </c>
      <c r="E3723">
        <v>0</v>
      </c>
      <c r="F3723">
        <v>4919</v>
      </c>
      <c r="G3723">
        <v>1750</v>
      </c>
      <c r="H3723">
        <v>0</v>
      </c>
      <c r="J3723" t="str">
        <f>VLOOKUP(Table3[[#This Row],[Faction ID]],Table4[],2)</f>
        <v>Variags (Khand)</v>
      </c>
    </row>
    <row r="3724" spans="1:10" x14ac:dyDescent="0.25">
      <c r="A3724">
        <v>97</v>
      </c>
      <c r="B3724" t="s">
        <v>14</v>
      </c>
      <c r="C3724">
        <v>11</v>
      </c>
      <c r="D3724">
        <v>8</v>
      </c>
      <c r="E3724">
        <v>161</v>
      </c>
      <c r="F3724">
        <v>98785</v>
      </c>
      <c r="G3724">
        <v>34025</v>
      </c>
      <c r="H3724">
        <v>2925</v>
      </c>
      <c r="J3724" t="str">
        <f>VLOOKUP(Table3[[#This Row],[Faction ID]],Table4[],2)</f>
        <v>Corsairs of Umbar</v>
      </c>
    </row>
    <row r="3725" spans="1:10" x14ac:dyDescent="0.25">
      <c r="A3725">
        <v>97</v>
      </c>
      <c r="B3725" t="s">
        <v>25</v>
      </c>
      <c r="C3725">
        <v>0</v>
      </c>
      <c r="D3725">
        <v>0</v>
      </c>
      <c r="E3725">
        <v>0</v>
      </c>
      <c r="F3725">
        <v>9228</v>
      </c>
      <c r="G3725">
        <v>1750</v>
      </c>
      <c r="H3725">
        <v>0</v>
      </c>
      <c r="J3725" t="str">
        <f>VLOOKUP(Table3[[#This Row],[Faction ID]],Table4[],2)</f>
        <v>Mahud</v>
      </c>
    </row>
    <row r="3726" spans="1:10" x14ac:dyDescent="0.25">
      <c r="A3726">
        <v>97</v>
      </c>
      <c r="B3726" t="s">
        <v>11</v>
      </c>
      <c r="C3726">
        <v>168</v>
      </c>
      <c r="D3726">
        <v>11</v>
      </c>
      <c r="E3726">
        <v>210</v>
      </c>
      <c r="F3726">
        <v>24327</v>
      </c>
      <c r="G3726">
        <v>30784</v>
      </c>
      <c r="H3726">
        <v>1588</v>
      </c>
      <c r="J3726" t="str">
        <f>VLOOKUP(Table3[[#This Row],[Faction ID]],Table4[],2)</f>
        <v>Haradrim</v>
      </c>
    </row>
    <row r="3727" spans="1:10" x14ac:dyDescent="0.25">
      <c r="A3727">
        <v>97</v>
      </c>
      <c r="B3727" t="s">
        <v>15</v>
      </c>
      <c r="C3727">
        <v>181</v>
      </c>
      <c r="D3727">
        <v>12</v>
      </c>
      <c r="E3727">
        <v>247</v>
      </c>
      <c r="F3727">
        <v>149816</v>
      </c>
      <c r="G3727">
        <v>43179</v>
      </c>
      <c r="H3727">
        <v>2769</v>
      </c>
      <c r="J3727" t="str">
        <f>VLOOKUP(Table3[[#This Row],[Faction ID]],Table4[],2)</f>
        <v>Dunlendings</v>
      </c>
    </row>
    <row r="3728" spans="1:10" x14ac:dyDescent="0.25">
      <c r="A3728">
        <v>97</v>
      </c>
      <c r="B3728" t="s">
        <v>16</v>
      </c>
      <c r="C3728">
        <v>0</v>
      </c>
      <c r="D3728">
        <v>0</v>
      </c>
      <c r="E3728">
        <v>0</v>
      </c>
      <c r="F3728">
        <v>5352</v>
      </c>
      <c r="G3728">
        <v>1750</v>
      </c>
      <c r="H3728">
        <v>0</v>
      </c>
      <c r="J3728" t="str">
        <f>VLOOKUP(Table3[[#This Row],[Faction ID]],Table4[],2)</f>
        <v>Haerrim</v>
      </c>
    </row>
    <row r="3729" spans="1:10" x14ac:dyDescent="0.25">
      <c r="A3729">
        <v>97</v>
      </c>
      <c r="B3729" t="s">
        <v>13</v>
      </c>
      <c r="C3729">
        <v>412</v>
      </c>
      <c r="D3729">
        <v>22</v>
      </c>
      <c r="E3729">
        <v>368.3</v>
      </c>
      <c r="F3729">
        <v>73100</v>
      </c>
      <c r="G3729">
        <v>50234</v>
      </c>
      <c r="H3729">
        <v>5466</v>
      </c>
      <c r="J3729" t="str">
        <f>VLOOKUP(Table3[[#This Row],[Faction ID]],Table4[],2)</f>
        <v>Goblins</v>
      </c>
    </row>
    <row r="3730" spans="1:10" x14ac:dyDescent="0.25">
      <c r="A3730">
        <v>97</v>
      </c>
      <c r="B3730" t="s">
        <v>17</v>
      </c>
      <c r="C3730">
        <v>0</v>
      </c>
      <c r="D3730">
        <v>0</v>
      </c>
      <c r="E3730">
        <v>0</v>
      </c>
      <c r="F3730">
        <v>4872</v>
      </c>
      <c r="G3730">
        <v>1750</v>
      </c>
      <c r="H3730">
        <v>0</v>
      </c>
      <c r="J3730" t="str">
        <f>VLOOKUP(Table3[[#This Row],[Faction ID]],Table4[],2)</f>
        <v>Balchoth</v>
      </c>
    </row>
    <row r="3731" spans="1:10" x14ac:dyDescent="0.25">
      <c r="A3731">
        <v>97</v>
      </c>
      <c r="B3731" t="s">
        <v>18</v>
      </c>
      <c r="C3731">
        <v>435</v>
      </c>
      <c r="D3731">
        <v>31</v>
      </c>
      <c r="E3731">
        <v>447.9</v>
      </c>
      <c r="F3731">
        <v>51724</v>
      </c>
      <c r="G3731">
        <v>48263</v>
      </c>
      <c r="H3731">
        <v>2292</v>
      </c>
      <c r="J3731" t="str">
        <f>VLOOKUP(Table3[[#This Row],[Faction ID]],Table4[],2)</f>
        <v>Rhurim/Rhun</v>
      </c>
    </row>
    <row r="3732" spans="1:10" x14ac:dyDescent="0.25">
      <c r="A3732">
        <v>97</v>
      </c>
      <c r="B3732" t="s">
        <v>19</v>
      </c>
      <c r="C3732">
        <v>0</v>
      </c>
      <c r="D3732">
        <v>0</v>
      </c>
      <c r="E3732">
        <v>0</v>
      </c>
      <c r="F3732">
        <v>7360</v>
      </c>
      <c r="G3732">
        <v>1750</v>
      </c>
      <c r="H3732">
        <v>0</v>
      </c>
      <c r="J3732" t="str">
        <f>VLOOKUP(Table3[[#This Row],[Faction ID]],Table4[],2)</f>
        <v>Feredrim</v>
      </c>
    </row>
    <row r="3733" spans="1:10" x14ac:dyDescent="0.25">
      <c r="A3733">
        <v>97</v>
      </c>
      <c r="B3733" t="s">
        <v>26</v>
      </c>
      <c r="C3733">
        <v>0</v>
      </c>
      <c r="D3733">
        <v>0</v>
      </c>
      <c r="E3733">
        <v>0</v>
      </c>
      <c r="F3733">
        <v>6395</v>
      </c>
      <c r="G3733">
        <v>1750</v>
      </c>
      <c r="H3733">
        <v>0</v>
      </c>
      <c r="J3733" t="str">
        <f>VLOOKUP(Table3[[#This Row],[Faction ID]],Table4[],2)</f>
        <v>Rachrohir (Wainriders)</v>
      </c>
    </row>
    <row r="3734" spans="1:10" x14ac:dyDescent="0.25">
      <c r="A3734">
        <v>97</v>
      </c>
      <c r="B3734" t="s">
        <v>27</v>
      </c>
      <c r="C3734">
        <v>1</v>
      </c>
      <c r="D3734">
        <v>1</v>
      </c>
      <c r="E3734">
        <v>13.2</v>
      </c>
      <c r="F3734">
        <v>7662</v>
      </c>
      <c r="G3734">
        <v>3326</v>
      </c>
      <c r="H3734">
        <v>0</v>
      </c>
      <c r="J3734" t="str">
        <f>VLOOKUP(Table3[[#This Row],[Faction ID]],Table4[],2)</f>
        <v>Blacklock-Stonefoot League</v>
      </c>
    </row>
    <row r="3735" spans="1:10" x14ac:dyDescent="0.25">
      <c r="A3735">
        <v>97</v>
      </c>
      <c r="B3735" t="s">
        <v>28</v>
      </c>
      <c r="C3735">
        <v>4</v>
      </c>
      <c r="D3735">
        <v>2</v>
      </c>
      <c r="E3735">
        <v>55</v>
      </c>
      <c r="F3735">
        <v>79527</v>
      </c>
      <c r="G3735">
        <v>12267</v>
      </c>
      <c r="H3735">
        <v>0</v>
      </c>
      <c r="J3735" t="str">
        <f>VLOOKUP(Table3[[#This Row],[Faction ID]],Table4[],2)</f>
        <v>Ironfist-Stiffbeard Union</v>
      </c>
    </row>
    <row r="3736" spans="1:10" x14ac:dyDescent="0.25">
      <c r="A3736">
        <v>97</v>
      </c>
      <c r="B3736" t="s">
        <v>20</v>
      </c>
      <c r="C3736">
        <v>247</v>
      </c>
      <c r="D3736">
        <v>9</v>
      </c>
      <c r="E3736">
        <v>85.6</v>
      </c>
      <c r="F3736">
        <v>23846</v>
      </c>
      <c r="G3736">
        <v>14928</v>
      </c>
      <c r="H3736">
        <v>0</v>
      </c>
      <c r="J3736" t="str">
        <f>VLOOKUP(Table3[[#This Row],[Faction ID]],Table4[],2)</f>
        <v>Gundabad</v>
      </c>
    </row>
    <row r="3737" spans="1:10" x14ac:dyDescent="0.25">
      <c r="A3737">
        <v>97</v>
      </c>
      <c r="B3737" t="s">
        <v>34</v>
      </c>
      <c r="C3737">
        <v>0</v>
      </c>
      <c r="D3737">
        <v>0</v>
      </c>
      <c r="E3737">
        <v>3</v>
      </c>
      <c r="F3737">
        <v>111616</v>
      </c>
      <c r="G3737">
        <v>2379</v>
      </c>
      <c r="H3737">
        <v>0</v>
      </c>
      <c r="J3737" t="str">
        <f>VLOOKUP(Table3[[#This Row],[Faction ID]],Table4[],2)</f>
        <v>Scouts of Rohan</v>
      </c>
    </row>
    <row r="3738" spans="1:10" x14ac:dyDescent="0.25">
      <c r="A3738">
        <v>97</v>
      </c>
      <c r="B3738" t="s">
        <v>33</v>
      </c>
      <c r="C3738">
        <v>6</v>
      </c>
      <c r="D3738">
        <v>4</v>
      </c>
      <c r="E3738">
        <v>85</v>
      </c>
      <c r="F3738">
        <v>109548</v>
      </c>
      <c r="G3738">
        <v>18193</v>
      </c>
      <c r="H3738">
        <v>883</v>
      </c>
      <c r="J3738" t="str">
        <f>VLOOKUP(Table3[[#This Row],[Faction ID]],Table4[],2)</f>
        <v>Northern Enedwaith</v>
      </c>
    </row>
    <row r="3739" spans="1:10" x14ac:dyDescent="0.25">
      <c r="A3739">
        <v>97</v>
      </c>
      <c r="B3739" t="s">
        <v>29</v>
      </c>
      <c r="C3739">
        <v>0</v>
      </c>
      <c r="D3739">
        <v>0</v>
      </c>
      <c r="E3739">
        <v>0</v>
      </c>
      <c r="F3739">
        <v>54023</v>
      </c>
      <c r="G3739">
        <v>1750</v>
      </c>
      <c r="H3739">
        <v>0</v>
      </c>
      <c r="J3739" t="str">
        <f>VLOOKUP(Table3[[#This Row],[Faction ID]],Table4[],2)</f>
        <v>Southern Enedwaith</v>
      </c>
    </row>
    <row r="3740" spans="1:10" x14ac:dyDescent="0.25">
      <c r="A3740">
        <v>97</v>
      </c>
      <c r="B3740" t="s">
        <v>30</v>
      </c>
      <c r="C3740">
        <v>0</v>
      </c>
      <c r="D3740">
        <v>0</v>
      </c>
      <c r="E3740">
        <v>0</v>
      </c>
      <c r="F3740">
        <v>32146</v>
      </c>
      <c r="G3740">
        <v>1750</v>
      </c>
      <c r="H3740">
        <v>0</v>
      </c>
      <c r="J3740" t="str">
        <f>VLOOKUP(Table3[[#This Row],[Faction ID]],Table4[],2)</f>
        <v>Druedain</v>
      </c>
    </row>
    <row r="3741" spans="1:10" x14ac:dyDescent="0.25">
      <c r="A3741">
        <v>97</v>
      </c>
      <c r="B3741" t="s">
        <v>31</v>
      </c>
      <c r="C3741">
        <v>0</v>
      </c>
      <c r="D3741">
        <v>0</v>
      </c>
      <c r="E3741">
        <v>0</v>
      </c>
      <c r="F3741">
        <v>15146</v>
      </c>
      <c r="G3741">
        <v>1750</v>
      </c>
      <c r="H3741">
        <v>0</v>
      </c>
      <c r="J3741" t="str">
        <f>VLOOKUP(Table3[[#This Row],[Faction ID]],Table4[],2)</f>
        <v>Harondor</v>
      </c>
    </row>
    <row r="3742" spans="1:10" x14ac:dyDescent="0.25">
      <c r="A3742">
        <v>97</v>
      </c>
      <c r="B3742" t="s">
        <v>35</v>
      </c>
      <c r="C3742">
        <v>0</v>
      </c>
      <c r="D3742">
        <v>0</v>
      </c>
      <c r="E3742">
        <v>0</v>
      </c>
      <c r="F3742">
        <v>4000</v>
      </c>
      <c r="G3742">
        <v>1750</v>
      </c>
      <c r="H3742">
        <v>0</v>
      </c>
      <c r="J3742" t="str">
        <f>VLOOKUP(Table3[[#This Row],[Faction ID]],Table4[],2)</f>
        <v>Southron Nomads</v>
      </c>
    </row>
    <row r="3743" spans="1:10" x14ac:dyDescent="0.25">
      <c r="A3743">
        <v>97</v>
      </c>
      <c r="B3743" t="s">
        <v>36</v>
      </c>
      <c r="C3743">
        <v>0</v>
      </c>
      <c r="D3743">
        <v>0</v>
      </c>
      <c r="E3743">
        <v>0</v>
      </c>
      <c r="F3743">
        <v>4000</v>
      </c>
      <c r="G3743">
        <v>1750</v>
      </c>
      <c r="H3743">
        <v>0</v>
      </c>
      <c r="J3743" t="str">
        <f>VLOOKUP(Table3[[#This Row],[Faction ID]],Table4[],2)</f>
        <v>_</v>
      </c>
    </row>
    <row r="3744" spans="1:10" x14ac:dyDescent="0.25">
      <c r="A3744">
        <v>97</v>
      </c>
      <c r="B3744" t="s">
        <v>37</v>
      </c>
      <c r="C3744">
        <v>0</v>
      </c>
      <c r="D3744">
        <v>0</v>
      </c>
      <c r="E3744">
        <v>0</v>
      </c>
      <c r="F3744">
        <v>4000</v>
      </c>
      <c r="G3744">
        <v>1750</v>
      </c>
      <c r="H3744">
        <v>0</v>
      </c>
      <c r="J3744" t="str">
        <f>VLOOKUP(Table3[[#This Row],[Faction ID]],Table4[],2)</f>
        <v>_</v>
      </c>
    </row>
    <row r="3745" spans="1:10" x14ac:dyDescent="0.25">
      <c r="A3745">
        <v>97</v>
      </c>
      <c r="B3745" t="s">
        <v>38</v>
      </c>
      <c r="C3745">
        <v>0</v>
      </c>
      <c r="D3745">
        <v>0</v>
      </c>
      <c r="E3745">
        <v>0</v>
      </c>
      <c r="F3745">
        <v>4000</v>
      </c>
      <c r="G3745">
        <v>1750</v>
      </c>
      <c r="H3745">
        <v>0</v>
      </c>
      <c r="J3745" t="str">
        <f>VLOOKUP(Table3[[#This Row],[Faction ID]],Table4[],2)</f>
        <v>_</v>
      </c>
    </row>
    <row r="3746" spans="1:10" x14ac:dyDescent="0.25">
      <c r="A3746">
        <v>97</v>
      </c>
      <c r="B3746" t="s">
        <v>39</v>
      </c>
      <c r="C3746">
        <v>0</v>
      </c>
      <c r="D3746">
        <v>0</v>
      </c>
      <c r="E3746">
        <v>0</v>
      </c>
      <c r="F3746">
        <v>4000</v>
      </c>
      <c r="G3746">
        <v>1750</v>
      </c>
      <c r="H3746">
        <v>0</v>
      </c>
      <c r="J3746" t="str">
        <f>VLOOKUP(Table3[[#This Row],[Faction ID]],Table4[],2)</f>
        <v>_</v>
      </c>
    </row>
    <row r="3747" spans="1:10" x14ac:dyDescent="0.25">
      <c r="A3747">
        <v>97</v>
      </c>
      <c r="B3747" t="s">
        <v>40</v>
      </c>
      <c r="C3747">
        <v>0</v>
      </c>
      <c r="D3747">
        <v>0</v>
      </c>
      <c r="E3747">
        <v>0</v>
      </c>
      <c r="F3747">
        <v>4000</v>
      </c>
      <c r="G3747">
        <v>1750</v>
      </c>
      <c r="H3747">
        <v>0</v>
      </c>
      <c r="J3747" t="str">
        <f>VLOOKUP(Table3[[#This Row],[Faction ID]],Table4[],2)</f>
        <v>_</v>
      </c>
    </row>
    <row r="3748" spans="1:10" x14ac:dyDescent="0.25">
      <c r="A3748">
        <v>97</v>
      </c>
      <c r="B3748" t="s">
        <v>41</v>
      </c>
      <c r="C3748">
        <v>0</v>
      </c>
      <c r="D3748">
        <v>0</v>
      </c>
      <c r="E3748">
        <v>0</v>
      </c>
      <c r="F3748">
        <v>4000</v>
      </c>
      <c r="G3748">
        <v>1750</v>
      </c>
      <c r="H3748">
        <v>0</v>
      </c>
      <c r="J3748" t="str">
        <f>VLOOKUP(Table3[[#This Row],[Faction ID]],Table4[],2)</f>
        <v>_</v>
      </c>
    </row>
    <row r="3749" spans="1:10" x14ac:dyDescent="0.25">
      <c r="A3749">
        <v>97</v>
      </c>
      <c r="B3749" t="s">
        <v>42</v>
      </c>
      <c r="C3749">
        <v>0</v>
      </c>
      <c r="D3749">
        <v>0</v>
      </c>
      <c r="E3749">
        <v>0</v>
      </c>
      <c r="F3749">
        <v>4000</v>
      </c>
      <c r="G3749">
        <v>1750</v>
      </c>
      <c r="H3749">
        <v>0</v>
      </c>
      <c r="J3749" t="str">
        <f>VLOOKUP(Table3[[#This Row],[Faction ID]],Table4[],2)</f>
        <v>_</v>
      </c>
    </row>
    <row r="3750" spans="1:10" x14ac:dyDescent="0.25">
      <c r="A3750">
        <v>97</v>
      </c>
      <c r="B3750" t="s">
        <v>43</v>
      </c>
      <c r="C3750">
        <v>0</v>
      </c>
      <c r="D3750">
        <v>0</v>
      </c>
      <c r="E3750">
        <v>0</v>
      </c>
      <c r="F3750">
        <v>4000</v>
      </c>
      <c r="G3750">
        <v>1750</v>
      </c>
      <c r="H3750">
        <v>0</v>
      </c>
      <c r="J3750" t="str">
        <f>VLOOKUP(Table3[[#This Row],[Faction ID]],Table4[],2)</f>
        <v>_</v>
      </c>
    </row>
    <row r="3751" spans="1:10" x14ac:dyDescent="0.25">
      <c r="A3751">
        <v>97</v>
      </c>
      <c r="B3751" t="s">
        <v>44</v>
      </c>
      <c r="C3751">
        <v>0</v>
      </c>
      <c r="D3751">
        <v>0</v>
      </c>
      <c r="E3751">
        <v>0</v>
      </c>
      <c r="F3751">
        <v>4000</v>
      </c>
      <c r="G3751">
        <v>1750</v>
      </c>
      <c r="H3751">
        <v>0</v>
      </c>
      <c r="J3751" t="str">
        <f>VLOOKUP(Table3[[#This Row],[Faction ID]],Table4[],2)</f>
        <v>_</v>
      </c>
    </row>
    <row r="3752" spans="1:10" x14ac:dyDescent="0.25">
      <c r="A3752">
        <v>98</v>
      </c>
      <c r="B3752" t="s">
        <v>9</v>
      </c>
      <c r="C3752">
        <v>468</v>
      </c>
      <c r="D3752">
        <v>29</v>
      </c>
      <c r="E3752">
        <v>340.1</v>
      </c>
      <c r="F3752">
        <v>1237</v>
      </c>
      <c r="G3752">
        <v>46365</v>
      </c>
      <c r="H3752">
        <v>3315</v>
      </c>
      <c r="J3752" t="str">
        <f>VLOOKUP(Table3[[#This Row],[Faction ID]],Table4[],2)</f>
        <v>Mordor</v>
      </c>
    </row>
    <row r="3753" spans="1:10" x14ac:dyDescent="0.25">
      <c r="A3753">
        <v>98</v>
      </c>
      <c r="B3753" t="s">
        <v>4</v>
      </c>
      <c r="C3753">
        <v>146</v>
      </c>
      <c r="D3753">
        <v>0</v>
      </c>
      <c r="E3753">
        <v>0</v>
      </c>
      <c r="F3753">
        <v>55420</v>
      </c>
      <c r="G3753">
        <v>2500</v>
      </c>
      <c r="H3753">
        <v>0</v>
      </c>
      <c r="J3753" t="str">
        <f>VLOOKUP(Table3[[#This Row],[Faction ID]],Table4[],2)</f>
        <v>Gondor</v>
      </c>
    </row>
    <row r="3754" spans="1:10" x14ac:dyDescent="0.25">
      <c r="A3754">
        <v>98</v>
      </c>
      <c r="B3754" t="s">
        <v>6</v>
      </c>
      <c r="C3754">
        <v>199</v>
      </c>
      <c r="D3754">
        <v>0</v>
      </c>
      <c r="E3754">
        <v>5.6</v>
      </c>
      <c r="F3754">
        <v>5036</v>
      </c>
      <c r="G3754">
        <v>3285</v>
      </c>
      <c r="H3754">
        <v>0</v>
      </c>
      <c r="J3754" t="str">
        <f>VLOOKUP(Table3[[#This Row],[Faction ID]],Table4[],2)</f>
        <v>Dale</v>
      </c>
    </row>
    <row r="3755" spans="1:10" x14ac:dyDescent="0.25">
      <c r="A3755">
        <v>98</v>
      </c>
      <c r="B3755" t="s">
        <v>21</v>
      </c>
      <c r="C3755">
        <v>200</v>
      </c>
      <c r="D3755">
        <v>0</v>
      </c>
      <c r="E3755">
        <v>0</v>
      </c>
      <c r="F3755">
        <v>10040</v>
      </c>
      <c r="G3755">
        <v>2500</v>
      </c>
      <c r="H3755">
        <v>0</v>
      </c>
      <c r="J3755" t="str">
        <f>VLOOKUP(Table3[[#This Row],[Faction ID]],Table4[],2)</f>
        <v>Erebor</v>
      </c>
    </row>
    <row r="3756" spans="1:10" x14ac:dyDescent="0.25">
      <c r="A3756">
        <v>98</v>
      </c>
      <c r="B3756" t="s">
        <v>5</v>
      </c>
      <c r="C3756">
        <v>157</v>
      </c>
      <c r="D3756">
        <v>0</v>
      </c>
      <c r="E3756">
        <v>0</v>
      </c>
      <c r="F3756">
        <v>6638</v>
      </c>
      <c r="G3756">
        <v>2500</v>
      </c>
      <c r="H3756">
        <v>0</v>
      </c>
      <c r="J3756" t="str">
        <f>VLOOKUP(Table3[[#This Row],[Faction ID]],Table4[],2)</f>
        <v>Rohan</v>
      </c>
    </row>
    <row r="3757" spans="1:10" x14ac:dyDescent="0.25">
      <c r="A3757">
        <v>98</v>
      </c>
      <c r="B3757" t="s">
        <v>12</v>
      </c>
      <c r="C3757">
        <v>390</v>
      </c>
      <c r="D3757">
        <v>19</v>
      </c>
      <c r="E3757">
        <v>307.29999999999899</v>
      </c>
      <c r="F3757">
        <v>39801</v>
      </c>
      <c r="G3757">
        <v>42557</v>
      </c>
      <c r="H3757">
        <v>3547</v>
      </c>
      <c r="J3757" t="str">
        <f>VLOOKUP(Table3[[#This Row],[Faction ID]],Table4[],2)</f>
        <v>Dol Guldur</v>
      </c>
    </row>
    <row r="3758" spans="1:10" x14ac:dyDescent="0.25">
      <c r="A3758">
        <v>98</v>
      </c>
      <c r="B3758" t="s">
        <v>10</v>
      </c>
      <c r="C3758">
        <v>58</v>
      </c>
      <c r="D3758">
        <v>0</v>
      </c>
      <c r="E3758">
        <v>0</v>
      </c>
      <c r="F3758">
        <v>4515</v>
      </c>
      <c r="G3758">
        <v>2500</v>
      </c>
      <c r="H3758">
        <v>0</v>
      </c>
      <c r="J3758" t="str">
        <f>VLOOKUP(Table3[[#This Row],[Faction ID]],Table4[],2)</f>
        <v>Anduin Vale</v>
      </c>
    </row>
    <row r="3759" spans="1:10" x14ac:dyDescent="0.25">
      <c r="A3759">
        <v>98</v>
      </c>
      <c r="B3759" t="s">
        <v>32</v>
      </c>
      <c r="C3759">
        <v>267</v>
      </c>
      <c r="D3759">
        <v>8</v>
      </c>
      <c r="E3759">
        <v>200.6</v>
      </c>
      <c r="F3759">
        <v>98191</v>
      </c>
      <c r="G3759">
        <v>26794</v>
      </c>
      <c r="H3759">
        <v>1346</v>
      </c>
      <c r="J3759" t="str">
        <f>VLOOKUP(Table3[[#This Row],[Faction ID]],Table4[],2)</f>
        <v>Isengard</v>
      </c>
    </row>
    <row r="3760" spans="1:10" x14ac:dyDescent="0.25">
      <c r="A3760">
        <v>98</v>
      </c>
      <c r="B3760" t="s">
        <v>22</v>
      </c>
      <c r="C3760">
        <v>30</v>
      </c>
      <c r="D3760">
        <v>0</v>
      </c>
      <c r="E3760">
        <v>0</v>
      </c>
      <c r="F3760">
        <v>8475</v>
      </c>
      <c r="G3760">
        <v>2500</v>
      </c>
      <c r="H3760">
        <v>0</v>
      </c>
      <c r="J3760" t="str">
        <f>VLOOKUP(Table3[[#This Row],[Faction ID]],Table4[],2)</f>
        <v>Woodland Realm</v>
      </c>
    </row>
    <row r="3761" spans="1:10" x14ac:dyDescent="0.25">
      <c r="A3761">
        <v>98</v>
      </c>
      <c r="B3761" t="s">
        <v>23</v>
      </c>
      <c r="C3761">
        <v>64</v>
      </c>
      <c r="D3761">
        <v>0</v>
      </c>
      <c r="E3761">
        <v>0</v>
      </c>
      <c r="F3761">
        <v>4721</v>
      </c>
      <c r="G3761">
        <v>2500</v>
      </c>
      <c r="H3761">
        <v>0</v>
      </c>
      <c r="J3761" t="str">
        <f>VLOOKUP(Table3[[#This Row],[Faction ID]],Table4[],2)</f>
        <v>Lothlorien</v>
      </c>
    </row>
    <row r="3762" spans="1:10" x14ac:dyDescent="0.25">
      <c r="A3762">
        <v>98</v>
      </c>
      <c r="B3762" t="s">
        <v>24</v>
      </c>
      <c r="C3762">
        <v>0</v>
      </c>
      <c r="D3762">
        <v>0</v>
      </c>
      <c r="E3762">
        <v>0</v>
      </c>
      <c r="F3762">
        <v>4919</v>
      </c>
      <c r="G3762">
        <v>1750</v>
      </c>
      <c r="H3762">
        <v>0</v>
      </c>
      <c r="J3762" t="str">
        <f>VLOOKUP(Table3[[#This Row],[Faction ID]],Table4[],2)</f>
        <v>Variags (Khand)</v>
      </c>
    </row>
    <row r="3763" spans="1:10" x14ac:dyDescent="0.25">
      <c r="A3763">
        <v>98</v>
      </c>
      <c r="B3763" t="s">
        <v>14</v>
      </c>
      <c r="C3763">
        <v>11</v>
      </c>
      <c r="D3763">
        <v>8</v>
      </c>
      <c r="E3763">
        <v>161</v>
      </c>
      <c r="F3763">
        <v>108683</v>
      </c>
      <c r="G3763">
        <v>34920</v>
      </c>
      <c r="H3763">
        <v>2945</v>
      </c>
      <c r="J3763" t="str">
        <f>VLOOKUP(Table3[[#This Row],[Faction ID]],Table4[],2)</f>
        <v>Corsairs of Umbar</v>
      </c>
    </row>
    <row r="3764" spans="1:10" x14ac:dyDescent="0.25">
      <c r="A3764">
        <v>98</v>
      </c>
      <c r="B3764" t="s">
        <v>25</v>
      </c>
      <c r="C3764">
        <v>0</v>
      </c>
      <c r="D3764">
        <v>0</v>
      </c>
      <c r="E3764">
        <v>0</v>
      </c>
      <c r="F3764">
        <v>9228</v>
      </c>
      <c r="G3764">
        <v>1750</v>
      </c>
      <c r="H3764">
        <v>0</v>
      </c>
      <c r="J3764" t="str">
        <f>VLOOKUP(Table3[[#This Row],[Faction ID]],Table4[],2)</f>
        <v>Mahud</v>
      </c>
    </row>
    <row r="3765" spans="1:10" x14ac:dyDescent="0.25">
      <c r="A3765">
        <v>98</v>
      </c>
      <c r="B3765" t="s">
        <v>11</v>
      </c>
      <c r="C3765">
        <v>168</v>
      </c>
      <c r="D3765">
        <v>11</v>
      </c>
      <c r="E3765">
        <v>207.7</v>
      </c>
      <c r="F3765">
        <v>19807</v>
      </c>
      <c r="G3765">
        <v>30751</v>
      </c>
      <c r="H3765">
        <v>1596</v>
      </c>
      <c r="J3765" t="str">
        <f>VLOOKUP(Table3[[#This Row],[Faction ID]],Table4[],2)</f>
        <v>Haradrim</v>
      </c>
    </row>
    <row r="3766" spans="1:10" x14ac:dyDescent="0.25">
      <c r="A3766">
        <v>98</v>
      </c>
      <c r="B3766" t="s">
        <v>15</v>
      </c>
      <c r="C3766">
        <v>253</v>
      </c>
      <c r="D3766">
        <v>12</v>
      </c>
      <c r="E3766">
        <v>256</v>
      </c>
      <c r="F3766">
        <v>154643</v>
      </c>
      <c r="G3766">
        <v>45028</v>
      </c>
      <c r="H3766">
        <v>2805</v>
      </c>
      <c r="J3766" t="str">
        <f>VLOOKUP(Table3[[#This Row],[Faction ID]],Table4[],2)</f>
        <v>Dunlendings</v>
      </c>
    </row>
    <row r="3767" spans="1:10" x14ac:dyDescent="0.25">
      <c r="A3767">
        <v>98</v>
      </c>
      <c r="B3767" t="s">
        <v>16</v>
      </c>
      <c r="C3767">
        <v>0</v>
      </c>
      <c r="D3767">
        <v>0</v>
      </c>
      <c r="E3767">
        <v>0</v>
      </c>
      <c r="F3767">
        <v>5352</v>
      </c>
      <c r="G3767">
        <v>1750</v>
      </c>
      <c r="H3767">
        <v>0</v>
      </c>
      <c r="J3767" t="str">
        <f>VLOOKUP(Table3[[#This Row],[Faction ID]],Table4[],2)</f>
        <v>Haerrim</v>
      </c>
    </row>
    <row r="3768" spans="1:10" x14ac:dyDescent="0.25">
      <c r="A3768">
        <v>98</v>
      </c>
      <c r="B3768" t="s">
        <v>13</v>
      </c>
      <c r="C3768">
        <v>424</v>
      </c>
      <c r="D3768">
        <v>22</v>
      </c>
      <c r="E3768">
        <v>376.9</v>
      </c>
      <c r="F3768">
        <v>62336</v>
      </c>
      <c r="G3768">
        <v>53221</v>
      </c>
      <c r="H3768">
        <v>5604</v>
      </c>
      <c r="J3768" t="str">
        <f>VLOOKUP(Table3[[#This Row],[Faction ID]],Table4[],2)</f>
        <v>Goblins</v>
      </c>
    </row>
    <row r="3769" spans="1:10" x14ac:dyDescent="0.25">
      <c r="A3769">
        <v>98</v>
      </c>
      <c r="B3769" t="s">
        <v>17</v>
      </c>
      <c r="C3769">
        <v>0</v>
      </c>
      <c r="D3769">
        <v>0</v>
      </c>
      <c r="E3769">
        <v>0</v>
      </c>
      <c r="F3769">
        <v>4872</v>
      </c>
      <c r="G3769">
        <v>1750</v>
      </c>
      <c r="H3769">
        <v>0</v>
      </c>
      <c r="J3769" t="str">
        <f>VLOOKUP(Table3[[#This Row],[Faction ID]],Table4[],2)</f>
        <v>Balchoth</v>
      </c>
    </row>
    <row r="3770" spans="1:10" x14ac:dyDescent="0.25">
      <c r="A3770">
        <v>98</v>
      </c>
      <c r="B3770" t="s">
        <v>18</v>
      </c>
      <c r="C3770">
        <v>433</v>
      </c>
      <c r="D3770">
        <v>30</v>
      </c>
      <c r="E3770">
        <v>450.4</v>
      </c>
      <c r="F3770">
        <v>51949</v>
      </c>
      <c r="G3770">
        <v>49278</v>
      </c>
      <c r="H3770">
        <v>2343</v>
      </c>
      <c r="J3770" t="str">
        <f>VLOOKUP(Table3[[#This Row],[Faction ID]],Table4[],2)</f>
        <v>Rhurim/Rhun</v>
      </c>
    </row>
    <row r="3771" spans="1:10" x14ac:dyDescent="0.25">
      <c r="A3771">
        <v>98</v>
      </c>
      <c r="B3771" t="s">
        <v>19</v>
      </c>
      <c r="C3771">
        <v>0</v>
      </c>
      <c r="D3771">
        <v>0</v>
      </c>
      <c r="E3771">
        <v>0</v>
      </c>
      <c r="F3771">
        <v>7360</v>
      </c>
      <c r="G3771">
        <v>1750</v>
      </c>
      <c r="H3771">
        <v>0</v>
      </c>
      <c r="J3771" t="str">
        <f>VLOOKUP(Table3[[#This Row],[Faction ID]],Table4[],2)</f>
        <v>Feredrim</v>
      </c>
    </row>
    <row r="3772" spans="1:10" x14ac:dyDescent="0.25">
      <c r="A3772">
        <v>98</v>
      </c>
      <c r="B3772" t="s">
        <v>26</v>
      </c>
      <c r="C3772">
        <v>0</v>
      </c>
      <c r="D3772">
        <v>0</v>
      </c>
      <c r="E3772">
        <v>0</v>
      </c>
      <c r="F3772">
        <v>6395</v>
      </c>
      <c r="G3772">
        <v>1750</v>
      </c>
      <c r="H3772">
        <v>0</v>
      </c>
      <c r="J3772" t="str">
        <f>VLOOKUP(Table3[[#This Row],[Faction ID]],Table4[],2)</f>
        <v>Rachrohir (Wainriders)</v>
      </c>
    </row>
    <row r="3773" spans="1:10" x14ac:dyDescent="0.25">
      <c r="A3773">
        <v>98</v>
      </c>
      <c r="B3773" t="s">
        <v>27</v>
      </c>
      <c r="C3773">
        <v>1</v>
      </c>
      <c r="D3773">
        <v>1</v>
      </c>
      <c r="E3773">
        <v>17.399999999999999</v>
      </c>
      <c r="F3773">
        <v>8103</v>
      </c>
      <c r="G3773">
        <v>3664</v>
      </c>
      <c r="H3773">
        <v>0</v>
      </c>
      <c r="J3773" t="str">
        <f>VLOOKUP(Table3[[#This Row],[Faction ID]],Table4[],2)</f>
        <v>Blacklock-Stonefoot League</v>
      </c>
    </row>
    <row r="3774" spans="1:10" x14ac:dyDescent="0.25">
      <c r="A3774">
        <v>98</v>
      </c>
      <c r="B3774" t="s">
        <v>28</v>
      </c>
      <c r="C3774">
        <v>6</v>
      </c>
      <c r="D3774">
        <v>3</v>
      </c>
      <c r="E3774">
        <v>60</v>
      </c>
      <c r="F3774">
        <v>74784</v>
      </c>
      <c r="G3774">
        <v>14395</v>
      </c>
      <c r="H3774">
        <v>0</v>
      </c>
      <c r="J3774" t="str">
        <f>VLOOKUP(Table3[[#This Row],[Faction ID]],Table4[],2)</f>
        <v>Ironfist-Stiffbeard Union</v>
      </c>
    </row>
    <row r="3775" spans="1:10" x14ac:dyDescent="0.25">
      <c r="A3775">
        <v>98</v>
      </c>
      <c r="B3775" t="s">
        <v>20</v>
      </c>
      <c r="C3775">
        <v>247</v>
      </c>
      <c r="D3775">
        <v>9</v>
      </c>
      <c r="E3775">
        <v>84.8</v>
      </c>
      <c r="F3775">
        <v>20268</v>
      </c>
      <c r="G3775">
        <v>14625</v>
      </c>
      <c r="H3775">
        <v>0</v>
      </c>
      <c r="J3775" t="str">
        <f>VLOOKUP(Table3[[#This Row],[Faction ID]],Table4[],2)</f>
        <v>Gundabad</v>
      </c>
    </row>
    <row r="3776" spans="1:10" x14ac:dyDescent="0.25">
      <c r="A3776">
        <v>98</v>
      </c>
      <c r="B3776" t="s">
        <v>34</v>
      </c>
      <c r="C3776">
        <v>0</v>
      </c>
      <c r="D3776">
        <v>0</v>
      </c>
      <c r="E3776">
        <v>3</v>
      </c>
      <c r="F3776">
        <v>112737</v>
      </c>
      <c r="G3776">
        <v>2379</v>
      </c>
      <c r="H3776">
        <v>0</v>
      </c>
      <c r="J3776" t="str">
        <f>VLOOKUP(Table3[[#This Row],[Faction ID]],Table4[],2)</f>
        <v>Scouts of Rohan</v>
      </c>
    </row>
    <row r="3777" spans="1:10" x14ac:dyDescent="0.25">
      <c r="A3777">
        <v>98</v>
      </c>
      <c r="B3777" t="s">
        <v>33</v>
      </c>
      <c r="C3777">
        <v>6</v>
      </c>
      <c r="D3777">
        <v>4</v>
      </c>
      <c r="E3777">
        <v>85</v>
      </c>
      <c r="F3777">
        <v>113444</v>
      </c>
      <c r="G3777">
        <v>18202</v>
      </c>
      <c r="H3777">
        <v>892</v>
      </c>
      <c r="J3777" t="str">
        <f>VLOOKUP(Table3[[#This Row],[Faction ID]],Table4[],2)</f>
        <v>Northern Enedwaith</v>
      </c>
    </row>
    <row r="3778" spans="1:10" x14ac:dyDescent="0.25">
      <c r="A3778">
        <v>98</v>
      </c>
      <c r="B3778" t="s">
        <v>29</v>
      </c>
      <c r="C3778">
        <v>0</v>
      </c>
      <c r="D3778">
        <v>0</v>
      </c>
      <c r="E3778">
        <v>0</v>
      </c>
      <c r="F3778">
        <v>54023</v>
      </c>
      <c r="G3778">
        <v>1750</v>
      </c>
      <c r="H3778">
        <v>0</v>
      </c>
      <c r="J3778" t="str">
        <f>VLOOKUP(Table3[[#This Row],[Faction ID]],Table4[],2)</f>
        <v>Southern Enedwaith</v>
      </c>
    </row>
    <row r="3779" spans="1:10" x14ac:dyDescent="0.25">
      <c r="A3779">
        <v>98</v>
      </c>
      <c r="B3779" t="s">
        <v>30</v>
      </c>
      <c r="C3779">
        <v>0</v>
      </c>
      <c r="D3779">
        <v>0</v>
      </c>
      <c r="E3779">
        <v>0</v>
      </c>
      <c r="F3779">
        <v>32146</v>
      </c>
      <c r="G3779">
        <v>1750</v>
      </c>
      <c r="H3779">
        <v>0</v>
      </c>
      <c r="J3779" t="str">
        <f>VLOOKUP(Table3[[#This Row],[Faction ID]],Table4[],2)</f>
        <v>Druedain</v>
      </c>
    </row>
    <row r="3780" spans="1:10" x14ac:dyDescent="0.25">
      <c r="A3780">
        <v>98</v>
      </c>
      <c r="B3780" t="s">
        <v>31</v>
      </c>
      <c r="C3780">
        <v>0</v>
      </c>
      <c r="D3780">
        <v>0</v>
      </c>
      <c r="E3780">
        <v>0</v>
      </c>
      <c r="F3780">
        <v>15146</v>
      </c>
      <c r="G3780">
        <v>1750</v>
      </c>
      <c r="H3780">
        <v>0</v>
      </c>
      <c r="J3780" t="str">
        <f>VLOOKUP(Table3[[#This Row],[Faction ID]],Table4[],2)</f>
        <v>Harondor</v>
      </c>
    </row>
    <row r="3781" spans="1:10" x14ac:dyDescent="0.25">
      <c r="A3781">
        <v>98</v>
      </c>
      <c r="B3781" t="s">
        <v>35</v>
      </c>
      <c r="C3781">
        <v>0</v>
      </c>
      <c r="D3781">
        <v>0</v>
      </c>
      <c r="E3781">
        <v>0</v>
      </c>
      <c r="F3781">
        <v>4000</v>
      </c>
      <c r="G3781">
        <v>1750</v>
      </c>
      <c r="H3781">
        <v>0</v>
      </c>
      <c r="J3781" t="str">
        <f>VLOOKUP(Table3[[#This Row],[Faction ID]],Table4[],2)</f>
        <v>Southron Nomads</v>
      </c>
    </row>
    <row r="3782" spans="1:10" x14ac:dyDescent="0.25">
      <c r="A3782">
        <v>98</v>
      </c>
      <c r="B3782" t="s">
        <v>36</v>
      </c>
      <c r="C3782">
        <v>0</v>
      </c>
      <c r="D3782">
        <v>0</v>
      </c>
      <c r="E3782">
        <v>0</v>
      </c>
      <c r="F3782">
        <v>4000</v>
      </c>
      <c r="G3782">
        <v>1750</v>
      </c>
      <c r="H3782">
        <v>0</v>
      </c>
      <c r="J3782" t="str">
        <f>VLOOKUP(Table3[[#This Row],[Faction ID]],Table4[],2)</f>
        <v>_</v>
      </c>
    </row>
    <row r="3783" spans="1:10" x14ac:dyDescent="0.25">
      <c r="A3783">
        <v>98</v>
      </c>
      <c r="B3783" t="s">
        <v>37</v>
      </c>
      <c r="C3783">
        <v>0</v>
      </c>
      <c r="D3783">
        <v>0</v>
      </c>
      <c r="E3783">
        <v>0</v>
      </c>
      <c r="F3783">
        <v>4000</v>
      </c>
      <c r="G3783">
        <v>1750</v>
      </c>
      <c r="H3783">
        <v>0</v>
      </c>
      <c r="J3783" t="str">
        <f>VLOOKUP(Table3[[#This Row],[Faction ID]],Table4[],2)</f>
        <v>_</v>
      </c>
    </row>
    <row r="3784" spans="1:10" x14ac:dyDescent="0.25">
      <c r="A3784">
        <v>98</v>
      </c>
      <c r="B3784" t="s">
        <v>38</v>
      </c>
      <c r="C3784">
        <v>0</v>
      </c>
      <c r="D3784">
        <v>0</v>
      </c>
      <c r="E3784">
        <v>0</v>
      </c>
      <c r="F3784">
        <v>4000</v>
      </c>
      <c r="G3784">
        <v>1750</v>
      </c>
      <c r="H3784">
        <v>0</v>
      </c>
      <c r="J3784" t="str">
        <f>VLOOKUP(Table3[[#This Row],[Faction ID]],Table4[],2)</f>
        <v>_</v>
      </c>
    </row>
    <row r="3785" spans="1:10" x14ac:dyDescent="0.25">
      <c r="A3785">
        <v>98</v>
      </c>
      <c r="B3785" t="s">
        <v>39</v>
      </c>
      <c r="C3785">
        <v>0</v>
      </c>
      <c r="D3785">
        <v>0</v>
      </c>
      <c r="E3785">
        <v>0</v>
      </c>
      <c r="F3785">
        <v>4000</v>
      </c>
      <c r="G3785">
        <v>1750</v>
      </c>
      <c r="H3785">
        <v>0</v>
      </c>
      <c r="J3785" t="str">
        <f>VLOOKUP(Table3[[#This Row],[Faction ID]],Table4[],2)</f>
        <v>_</v>
      </c>
    </row>
    <row r="3786" spans="1:10" x14ac:dyDescent="0.25">
      <c r="A3786">
        <v>98</v>
      </c>
      <c r="B3786" t="s">
        <v>40</v>
      </c>
      <c r="C3786">
        <v>0</v>
      </c>
      <c r="D3786">
        <v>0</v>
      </c>
      <c r="E3786">
        <v>0</v>
      </c>
      <c r="F3786">
        <v>4000</v>
      </c>
      <c r="G3786">
        <v>1750</v>
      </c>
      <c r="H3786">
        <v>0</v>
      </c>
      <c r="J3786" t="str">
        <f>VLOOKUP(Table3[[#This Row],[Faction ID]],Table4[],2)</f>
        <v>_</v>
      </c>
    </row>
    <row r="3787" spans="1:10" x14ac:dyDescent="0.25">
      <c r="A3787">
        <v>98</v>
      </c>
      <c r="B3787" t="s">
        <v>41</v>
      </c>
      <c r="C3787">
        <v>0</v>
      </c>
      <c r="D3787">
        <v>0</v>
      </c>
      <c r="E3787">
        <v>0</v>
      </c>
      <c r="F3787">
        <v>4000</v>
      </c>
      <c r="G3787">
        <v>1750</v>
      </c>
      <c r="H3787">
        <v>0</v>
      </c>
      <c r="J3787" t="str">
        <f>VLOOKUP(Table3[[#This Row],[Faction ID]],Table4[],2)</f>
        <v>_</v>
      </c>
    </row>
    <row r="3788" spans="1:10" x14ac:dyDescent="0.25">
      <c r="A3788">
        <v>98</v>
      </c>
      <c r="B3788" t="s">
        <v>42</v>
      </c>
      <c r="C3788">
        <v>0</v>
      </c>
      <c r="D3788">
        <v>0</v>
      </c>
      <c r="E3788">
        <v>0</v>
      </c>
      <c r="F3788">
        <v>4000</v>
      </c>
      <c r="G3788">
        <v>1750</v>
      </c>
      <c r="H3788">
        <v>0</v>
      </c>
      <c r="J3788" t="str">
        <f>VLOOKUP(Table3[[#This Row],[Faction ID]],Table4[],2)</f>
        <v>_</v>
      </c>
    </row>
    <row r="3789" spans="1:10" x14ac:dyDescent="0.25">
      <c r="A3789">
        <v>98</v>
      </c>
      <c r="B3789" t="s">
        <v>43</v>
      </c>
      <c r="C3789">
        <v>0</v>
      </c>
      <c r="D3789">
        <v>0</v>
      </c>
      <c r="E3789">
        <v>0</v>
      </c>
      <c r="F3789">
        <v>4000</v>
      </c>
      <c r="G3789">
        <v>1750</v>
      </c>
      <c r="H3789">
        <v>0</v>
      </c>
      <c r="J3789" t="str">
        <f>VLOOKUP(Table3[[#This Row],[Faction ID]],Table4[],2)</f>
        <v>_</v>
      </c>
    </row>
    <row r="3790" spans="1:10" x14ac:dyDescent="0.25">
      <c r="A3790">
        <v>98</v>
      </c>
      <c r="B3790" t="s">
        <v>44</v>
      </c>
      <c r="C3790">
        <v>0</v>
      </c>
      <c r="D3790">
        <v>0</v>
      </c>
      <c r="E3790">
        <v>0</v>
      </c>
      <c r="F3790">
        <v>4000</v>
      </c>
      <c r="G3790">
        <v>1750</v>
      </c>
      <c r="H3790">
        <v>0</v>
      </c>
      <c r="J3790" t="str">
        <f>VLOOKUP(Table3[[#This Row],[Faction ID]],Table4[],2)</f>
        <v>_</v>
      </c>
    </row>
    <row r="3791" spans="1:10" x14ac:dyDescent="0.25">
      <c r="A3791">
        <v>99</v>
      </c>
      <c r="B3791" t="s">
        <v>9</v>
      </c>
      <c r="C3791">
        <v>473</v>
      </c>
      <c r="D3791">
        <v>29</v>
      </c>
      <c r="E3791">
        <v>341.1</v>
      </c>
      <c r="F3791">
        <v>6079</v>
      </c>
      <c r="G3791">
        <v>46050</v>
      </c>
      <c r="H3791">
        <v>3327</v>
      </c>
      <c r="J3791" t="str">
        <f>VLOOKUP(Table3[[#This Row],[Faction ID]],Table4[],2)</f>
        <v>Mordor</v>
      </c>
    </row>
    <row r="3792" spans="1:10" x14ac:dyDescent="0.25">
      <c r="A3792">
        <v>99</v>
      </c>
      <c r="B3792" t="s">
        <v>4</v>
      </c>
      <c r="C3792">
        <v>146</v>
      </c>
      <c r="D3792">
        <v>0</v>
      </c>
      <c r="E3792">
        <v>0</v>
      </c>
      <c r="F3792">
        <v>55420</v>
      </c>
      <c r="G3792">
        <v>2500</v>
      </c>
      <c r="H3792">
        <v>0</v>
      </c>
      <c r="J3792" t="str">
        <f>VLOOKUP(Table3[[#This Row],[Faction ID]],Table4[],2)</f>
        <v>Gondor</v>
      </c>
    </row>
    <row r="3793" spans="1:10" x14ac:dyDescent="0.25">
      <c r="A3793">
        <v>99</v>
      </c>
      <c r="B3793" t="s">
        <v>6</v>
      </c>
      <c r="C3793">
        <v>199</v>
      </c>
      <c r="D3793">
        <v>0</v>
      </c>
      <c r="E3793">
        <v>5.6</v>
      </c>
      <c r="F3793">
        <v>6805</v>
      </c>
      <c r="G3793">
        <v>3231</v>
      </c>
      <c r="H3793">
        <v>0</v>
      </c>
      <c r="J3793" t="str">
        <f>VLOOKUP(Table3[[#This Row],[Faction ID]],Table4[],2)</f>
        <v>Dale</v>
      </c>
    </row>
    <row r="3794" spans="1:10" x14ac:dyDescent="0.25">
      <c r="A3794">
        <v>99</v>
      </c>
      <c r="B3794" t="s">
        <v>21</v>
      </c>
      <c r="C3794">
        <v>200</v>
      </c>
      <c r="D3794">
        <v>0</v>
      </c>
      <c r="E3794">
        <v>0</v>
      </c>
      <c r="F3794">
        <v>10040</v>
      </c>
      <c r="G3794">
        <v>2500</v>
      </c>
      <c r="H3794">
        <v>0</v>
      </c>
      <c r="J3794" t="str">
        <f>VLOOKUP(Table3[[#This Row],[Faction ID]],Table4[],2)</f>
        <v>Erebor</v>
      </c>
    </row>
    <row r="3795" spans="1:10" x14ac:dyDescent="0.25">
      <c r="A3795">
        <v>99</v>
      </c>
      <c r="B3795" t="s">
        <v>5</v>
      </c>
      <c r="C3795">
        <v>157</v>
      </c>
      <c r="D3795">
        <v>0</v>
      </c>
      <c r="E3795">
        <v>0</v>
      </c>
      <c r="F3795">
        <v>6638</v>
      </c>
      <c r="G3795">
        <v>2500</v>
      </c>
      <c r="H3795">
        <v>0</v>
      </c>
      <c r="J3795" t="str">
        <f>VLOOKUP(Table3[[#This Row],[Faction ID]],Table4[],2)</f>
        <v>Rohan</v>
      </c>
    </row>
    <row r="3796" spans="1:10" x14ac:dyDescent="0.25">
      <c r="A3796">
        <v>99</v>
      </c>
      <c r="B3796" t="s">
        <v>12</v>
      </c>
      <c r="C3796">
        <v>390</v>
      </c>
      <c r="D3796">
        <v>19</v>
      </c>
      <c r="E3796">
        <v>312.7</v>
      </c>
      <c r="F3796">
        <v>38885</v>
      </c>
      <c r="G3796">
        <v>42907</v>
      </c>
      <c r="H3796">
        <v>3538</v>
      </c>
      <c r="J3796" t="str">
        <f>VLOOKUP(Table3[[#This Row],[Faction ID]],Table4[],2)</f>
        <v>Dol Guldur</v>
      </c>
    </row>
    <row r="3797" spans="1:10" x14ac:dyDescent="0.25">
      <c r="A3797">
        <v>99</v>
      </c>
      <c r="B3797" t="s">
        <v>10</v>
      </c>
      <c r="C3797">
        <v>58</v>
      </c>
      <c r="D3797">
        <v>0</v>
      </c>
      <c r="E3797">
        <v>0</v>
      </c>
      <c r="F3797">
        <v>4515</v>
      </c>
      <c r="G3797">
        <v>2500</v>
      </c>
      <c r="H3797">
        <v>0</v>
      </c>
      <c r="J3797" t="str">
        <f>VLOOKUP(Table3[[#This Row],[Faction ID]],Table4[],2)</f>
        <v>Anduin Vale</v>
      </c>
    </row>
    <row r="3798" spans="1:10" x14ac:dyDescent="0.25">
      <c r="A3798">
        <v>99</v>
      </c>
      <c r="B3798" t="s">
        <v>32</v>
      </c>
      <c r="C3798">
        <v>267</v>
      </c>
      <c r="D3798">
        <v>8</v>
      </c>
      <c r="E3798">
        <v>201.9</v>
      </c>
      <c r="F3798">
        <v>101362</v>
      </c>
      <c r="G3798">
        <v>27063</v>
      </c>
      <c r="H3798">
        <v>1352</v>
      </c>
      <c r="J3798" t="str">
        <f>VLOOKUP(Table3[[#This Row],[Faction ID]],Table4[],2)</f>
        <v>Isengard</v>
      </c>
    </row>
    <row r="3799" spans="1:10" x14ac:dyDescent="0.25">
      <c r="A3799">
        <v>99</v>
      </c>
      <c r="B3799" t="s">
        <v>22</v>
      </c>
      <c r="C3799">
        <v>30</v>
      </c>
      <c r="D3799">
        <v>0</v>
      </c>
      <c r="E3799">
        <v>0</v>
      </c>
      <c r="F3799">
        <v>8475</v>
      </c>
      <c r="G3799">
        <v>2500</v>
      </c>
      <c r="H3799">
        <v>0</v>
      </c>
      <c r="J3799" t="str">
        <f>VLOOKUP(Table3[[#This Row],[Faction ID]],Table4[],2)</f>
        <v>Woodland Realm</v>
      </c>
    </row>
    <row r="3800" spans="1:10" x14ac:dyDescent="0.25">
      <c r="A3800">
        <v>99</v>
      </c>
      <c r="B3800" t="s">
        <v>23</v>
      </c>
      <c r="C3800">
        <v>64</v>
      </c>
      <c r="D3800">
        <v>0</v>
      </c>
      <c r="E3800">
        <v>0</v>
      </c>
      <c r="F3800">
        <v>4721</v>
      </c>
      <c r="G3800">
        <v>2500</v>
      </c>
      <c r="H3800">
        <v>0</v>
      </c>
      <c r="J3800" t="str">
        <f>VLOOKUP(Table3[[#This Row],[Faction ID]],Table4[],2)</f>
        <v>Lothlorien</v>
      </c>
    </row>
    <row r="3801" spans="1:10" x14ac:dyDescent="0.25">
      <c r="A3801">
        <v>99</v>
      </c>
      <c r="B3801" t="s">
        <v>24</v>
      </c>
      <c r="C3801">
        <v>0</v>
      </c>
      <c r="D3801">
        <v>0</v>
      </c>
      <c r="E3801">
        <v>0</v>
      </c>
      <c r="F3801">
        <v>4919</v>
      </c>
      <c r="G3801">
        <v>1750</v>
      </c>
      <c r="H3801">
        <v>0</v>
      </c>
      <c r="J3801" t="str">
        <f>VLOOKUP(Table3[[#This Row],[Faction ID]],Table4[],2)</f>
        <v>Variags (Khand)</v>
      </c>
    </row>
    <row r="3802" spans="1:10" x14ac:dyDescent="0.25">
      <c r="A3802">
        <v>99</v>
      </c>
      <c r="B3802" t="s">
        <v>14</v>
      </c>
      <c r="C3802">
        <v>11</v>
      </c>
      <c r="D3802">
        <v>8</v>
      </c>
      <c r="E3802">
        <v>163</v>
      </c>
      <c r="F3802">
        <v>108000</v>
      </c>
      <c r="G3802">
        <v>36106</v>
      </c>
      <c r="H3802">
        <v>2961</v>
      </c>
      <c r="J3802" t="str">
        <f>VLOOKUP(Table3[[#This Row],[Faction ID]],Table4[],2)</f>
        <v>Corsairs of Umbar</v>
      </c>
    </row>
    <row r="3803" spans="1:10" x14ac:dyDescent="0.25">
      <c r="A3803">
        <v>99</v>
      </c>
      <c r="B3803" t="s">
        <v>25</v>
      </c>
      <c r="C3803">
        <v>0</v>
      </c>
      <c r="D3803">
        <v>0</v>
      </c>
      <c r="E3803">
        <v>0</v>
      </c>
      <c r="F3803">
        <v>9228</v>
      </c>
      <c r="G3803">
        <v>1750</v>
      </c>
      <c r="H3803">
        <v>0</v>
      </c>
      <c r="J3803" t="str">
        <f>VLOOKUP(Table3[[#This Row],[Faction ID]],Table4[],2)</f>
        <v>Mahud</v>
      </c>
    </row>
    <row r="3804" spans="1:10" x14ac:dyDescent="0.25">
      <c r="A3804">
        <v>99</v>
      </c>
      <c r="B3804" t="s">
        <v>11</v>
      </c>
      <c r="C3804">
        <v>168</v>
      </c>
      <c r="D3804">
        <v>11</v>
      </c>
      <c r="E3804">
        <v>214</v>
      </c>
      <c r="F3804">
        <v>21465</v>
      </c>
      <c r="G3804">
        <v>32137</v>
      </c>
      <c r="H3804">
        <v>1604</v>
      </c>
      <c r="J3804" t="str">
        <f>VLOOKUP(Table3[[#This Row],[Faction ID]],Table4[],2)</f>
        <v>Haradrim</v>
      </c>
    </row>
    <row r="3805" spans="1:10" x14ac:dyDescent="0.25">
      <c r="A3805">
        <v>99</v>
      </c>
      <c r="B3805" t="s">
        <v>15</v>
      </c>
      <c r="C3805">
        <v>274</v>
      </c>
      <c r="D3805">
        <v>12</v>
      </c>
      <c r="E3805">
        <v>258</v>
      </c>
      <c r="F3805">
        <v>160117</v>
      </c>
      <c r="G3805">
        <v>45378</v>
      </c>
      <c r="H3805">
        <v>2821</v>
      </c>
      <c r="J3805" t="str">
        <f>VLOOKUP(Table3[[#This Row],[Faction ID]],Table4[],2)</f>
        <v>Dunlendings</v>
      </c>
    </row>
    <row r="3806" spans="1:10" x14ac:dyDescent="0.25">
      <c r="A3806">
        <v>99</v>
      </c>
      <c r="B3806" t="s">
        <v>16</v>
      </c>
      <c r="C3806">
        <v>0</v>
      </c>
      <c r="D3806">
        <v>0</v>
      </c>
      <c r="E3806">
        <v>0</v>
      </c>
      <c r="F3806">
        <v>5352</v>
      </c>
      <c r="G3806">
        <v>1750</v>
      </c>
      <c r="H3806">
        <v>0</v>
      </c>
      <c r="J3806" t="str">
        <f>VLOOKUP(Table3[[#This Row],[Faction ID]],Table4[],2)</f>
        <v>Haerrim</v>
      </c>
    </row>
    <row r="3807" spans="1:10" x14ac:dyDescent="0.25">
      <c r="A3807">
        <v>99</v>
      </c>
      <c r="B3807" t="s">
        <v>13</v>
      </c>
      <c r="C3807">
        <v>445</v>
      </c>
      <c r="D3807">
        <v>23</v>
      </c>
      <c r="E3807">
        <v>389.3</v>
      </c>
      <c r="F3807">
        <v>64416</v>
      </c>
      <c r="G3807">
        <v>55218</v>
      </c>
      <c r="H3807">
        <v>5739</v>
      </c>
      <c r="J3807" t="str">
        <f>VLOOKUP(Table3[[#This Row],[Faction ID]],Table4[],2)</f>
        <v>Goblins</v>
      </c>
    </row>
    <row r="3808" spans="1:10" x14ac:dyDescent="0.25">
      <c r="A3808">
        <v>99</v>
      </c>
      <c r="B3808" t="s">
        <v>17</v>
      </c>
      <c r="C3808">
        <v>0</v>
      </c>
      <c r="D3808">
        <v>0</v>
      </c>
      <c r="E3808">
        <v>0</v>
      </c>
      <c r="F3808">
        <v>4872</v>
      </c>
      <c r="G3808">
        <v>1750</v>
      </c>
      <c r="H3808">
        <v>0</v>
      </c>
      <c r="J3808" t="str">
        <f>VLOOKUP(Table3[[#This Row],[Faction ID]],Table4[],2)</f>
        <v>Balchoth</v>
      </c>
    </row>
    <row r="3809" spans="1:10" x14ac:dyDescent="0.25">
      <c r="A3809">
        <v>99</v>
      </c>
      <c r="B3809" t="s">
        <v>18</v>
      </c>
      <c r="C3809">
        <v>434</v>
      </c>
      <c r="D3809">
        <v>31</v>
      </c>
      <c r="E3809">
        <v>457.6</v>
      </c>
      <c r="F3809">
        <v>44906</v>
      </c>
      <c r="G3809">
        <v>46094</v>
      </c>
      <c r="H3809">
        <v>2291</v>
      </c>
      <c r="J3809" t="str">
        <f>VLOOKUP(Table3[[#This Row],[Faction ID]],Table4[],2)</f>
        <v>Rhurim/Rhun</v>
      </c>
    </row>
    <row r="3810" spans="1:10" x14ac:dyDescent="0.25">
      <c r="A3810">
        <v>99</v>
      </c>
      <c r="B3810" t="s">
        <v>19</v>
      </c>
      <c r="C3810">
        <v>0</v>
      </c>
      <c r="D3810">
        <v>0</v>
      </c>
      <c r="E3810">
        <v>0</v>
      </c>
      <c r="F3810">
        <v>7360</v>
      </c>
      <c r="G3810">
        <v>1750</v>
      </c>
      <c r="H3810">
        <v>0</v>
      </c>
      <c r="J3810" t="str">
        <f>VLOOKUP(Table3[[#This Row],[Faction ID]],Table4[],2)</f>
        <v>Feredrim</v>
      </c>
    </row>
    <row r="3811" spans="1:10" x14ac:dyDescent="0.25">
      <c r="A3811">
        <v>99</v>
      </c>
      <c r="B3811" t="s">
        <v>26</v>
      </c>
      <c r="C3811">
        <v>0</v>
      </c>
      <c r="D3811">
        <v>0</v>
      </c>
      <c r="E3811">
        <v>0</v>
      </c>
      <c r="F3811">
        <v>6395</v>
      </c>
      <c r="G3811">
        <v>1750</v>
      </c>
      <c r="H3811">
        <v>0</v>
      </c>
      <c r="J3811" t="str">
        <f>VLOOKUP(Table3[[#This Row],[Faction ID]],Table4[],2)</f>
        <v>Rachrohir (Wainriders)</v>
      </c>
    </row>
    <row r="3812" spans="1:10" x14ac:dyDescent="0.25">
      <c r="A3812">
        <v>99</v>
      </c>
      <c r="B3812" t="s">
        <v>27</v>
      </c>
      <c r="C3812">
        <v>1</v>
      </c>
      <c r="D3812">
        <v>1</v>
      </c>
      <c r="E3812">
        <v>18.399999999999999</v>
      </c>
      <c r="F3812">
        <v>8482</v>
      </c>
      <c r="G3812">
        <v>3554</v>
      </c>
      <c r="H3812">
        <v>0</v>
      </c>
      <c r="J3812" t="str">
        <f>VLOOKUP(Table3[[#This Row],[Faction ID]],Table4[],2)</f>
        <v>Blacklock-Stonefoot League</v>
      </c>
    </row>
    <row r="3813" spans="1:10" x14ac:dyDescent="0.25">
      <c r="A3813">
        <v>99</v>
      </c>
      <c r="B3813" t="s">
        <v>28</v>
      </c>
      <c r="C3813">
        <v>5</v>
      </c>
      <c r="D3813">
        <v>2</v>
      </c>
      <c r="E3813">
        <v>54</v>
      </c>
      <c r="F3813">
        <v>66438</v>
      </c>
      <c r="G3813">
        <v>12103</v>
      </c>
      <c r="H3813">
        <v>0</v>
      </c>
      <c r="J3813" t="str">
        <f>VLOOKUP(Table3[[#This Row],[Faction ID]],Table4[],2)</f>
        <v>Ironfist-Stiffbeard Union</v>
      </c>
    </row>
    <row r="3814" spans="1:10" x14ac:dyDescent="0.25">
      <c r="A3814">
        <v>99</v>
      </c>
      <c r="B3814" t="s">
        <v>20</v>
      </c>
      <c r="C3814">
        <v>251</v>
      </c>
      <c r="D3814">
        <v>8</v>
      </c>
      <c r="E3814">
        <v>72.599999999999994</v>
      </c>
      <c r="F3814">
        <v>16703</v>
      </c>
      <c r="G3814">
        <v>10919</v>
      </c>
      <c r="H3814">
        <v>0</v>
      </c>
      <c r="J3814" t="str">
        <f>VLOOKUP(Table3[[#This Row],[Faction ID]],Table4[],2)</f>
        <v>Gundabad</v>
      </c>
    </row>
    <row r="3815" spans="1:10" x14ac:dyDescent="0.25">
      <c r="A3815">
        <v>99</v>
      </c>
      <c r="B3815" t="s">
        <v>34</v>
      </c>
      <c r="C3815">
        <v>0</v>
      </c>
      <c r="D3815">
        <v>0</v>
      </c>
      <c r="E3815">
        <v>3</v>
      </c>
      <c r="F3815">
        <v>113858</v>
      </c>
      <c r="G3815">
        <v>2379</v>
      </c>
      <c r="H3815">
        <v>0</v>
      </c>
      <c r="J3815" t="str">
        <f>VLOOKUP(Table3[[#This Row],[Faction ID]],Table4[],2)</f>
        <v>Scouts of Rohan</v>
      </c>
    </row>
    <row r="3816" spans="1:10" x14ac:dyDescent="0.25">
      <c r="A3816">
        <v>99</v>
      </c>
      <c r="B3816" t="s">
        <v>33</v>
      </c>
      <c r="C3816">
        <v>6</v>
      </c>
      <c r="D3816">
        <v>4</v>
      </c>
      <c r="E3816">
        <v>85</v>
      </c>
      <c r="F3816">
        <v>108566</v>
      </c>
      <c r="G3816">
        <v>18242</v>
      </c>
      <c r="H3816">
        <v>895</v>
      </c>
      <c r="J3816" t="str">
        <f>VLOOKUP(Table3[[#This Row],[Faction ID]],Table4[],2)</f>
        <v>Northern Enedwaith</v>
      </c>
    </row>
    <row r="3817" spans="1:10" x14ac:dyDescent="0.25">
      <c r="A3817">
        <v>99</v>
      </c>
      <c r="B3817" t="s">
        <v>29</v>
      </c>
      <c r="C3817">
        <v>0</v>
      </c>
      <c r="D3817">
        <v>0</v>
      </c>
      <c r="E3817">
        <v>0</v>
      </c>
      <c r="F3817">
        <v>54023</v>
      </c>
      <c r="G3817">
        <v>1750</v>
      </c>
      <c r="H3817">
        <v>0</v>
      </c>
      <c r="J3817" t="str">
        <f>VLOOKUP(Table3[[#This Row],[Faction ID]],Table4[],2)</f>
        <v>Southern Enedwaith</v>
      </c>
    </row>
    <row r="3818" spans="1:10" x14ac:dyDescent="0.25">
      <c r="A3818">
        <v>99</v>
      </c>
      <c r="B3818" t="s">
        <v>30</v>
      </c>
      <c r="C3818">
        <v>0</v>
      </c>
      <c r="D3818">
        <v>0</v>
      </c>
      <c r="E3818">
        <v>0</v>
      </c>
      <c r="F3818">
        <v>32146</v>
      </c>
      <c r="G3818">
        <v>1750</v>
      </c>
      <c r="H3818">
        <v>0</v>
      </c>
      <c r="J3818" t="str">
        <f>VLOOKUP(Table3[[#This Row],[Faction ID]],Table4[],2)</f>
        <v>Druedain</v>
      </c>
    </row>
    <row r="3819" spans="1:10" x14ac:dyDescent="0.25">
      <c r="A3819">
        <v>99</v>
      </c>
      <c r="B3819" t="s">
        <v>31</v>
      </c>
      <c r="C3819">
        <v>0</v>
      </c>
      <c r="D3819">
        <v>0</v>
      </c>
      <c r="E3819">
        <v>0</v>
      </c>
      <c r="F3819">
        <v>15146</v>
      </c>
      <c r="G3819">
        <v>1750</v>
      </c>
      <c r="H3819">
        <v>0</v>
      </c>
      <c r="J3819" t="str">
        <f>VLOOKUP(Table3[[#This Row],[Faction ID]],Table4[],2)</f>
        <v>Harondor</v>
      </c>
    </row>
    <row r="3820" spans="1:10" x14ac:dyDescent="0.25">
      <c r="A3820">
        <v>99</v>
      </c>
      <c r="B3820" t="s">
        <v>35</v>
      </c>
      <c r="C3820">
        <v>0</v>
      </c>
      <c r="D3820">
        <v>0</v>
      </c>
      <c r="E3820">
        <v>0</v>
      </c>
      <c r="F3820">
        <v>4000</v>
      </c>
      <c r="G3820">
        <v>1750</v>
      </c>
      <c r="H3820">
        <v>0</v>
      </c>
      <c r="J3820" t="str">
        <f>VLOOKUP(Table3[[#This Row],[Faction ID]],Table4[],2)</f>
        <v>Southron Nomads</v>
      </c>
    </row>
    <row r="3821" spans="1:10" x14ac:dyDescent="0.25">
      <c r="A3821">
        <v>99</v>
      </c>
      <c r="B3821" t="s">
        <v>36</v>
      </c>
      <c r="C3821">
        <v>0</v>
      </c>
      <c r="D3821">
        <v>0</v>
      </c>
      <c r="E3821">
        <v>0</v>
      </c>
      <c r="F3821">
        <v>4000</v>
      </c>
      <c r="G3821">
        <v>1750</v>
      </c>
      <c r="H3821">
        <v>0</v>
      </c>
      <c r="J3821" t="str">
        <f>VLOOKUP(Table3[[#This Row],[Faction ID]],Table4[],2)</f>
        <v>_</v>
      </c>
    </row>
    <row r="3822" spans="1:10" x14ac:dyDescent="0.25">
      <c r="A3822">
        <v>99</v>
      </c>
      <c r="B3822" t="s">
        <v>37</v>
      </c>
      <c r="C3822">
        <v>0</v>
      </c>
      <c r="D3822">
        <v>0</v>
      </c>
      <c r="E3822">
        <v>0</v>
      </c>
      <c r="F3822">
        <v>4000</v>
      </c>
      <c r="G3822">
        <v>1750</v>
      </c>
      <c r="H3822">
        <v>0</v>
      </c>
      <c r="J3822" t="str">
        <f>VLOOKUP(Table3[[#This Row],[Faction ID]],Table4[],2)</f>
        <v>_</v>
      </c>
    </row>
    <row r="3823" spans="1:10" x14ac:dyDescent="0.25">
      <c r="A3823">
        <v>99</v>
      </c>
      <c r="B3823" t="s">
        <v>38</v>
      </c>
      <c r="C3823">
        <v>0</v>
      </c>
      <c r="D3823">
        <v>0</v>
      </c>
      <c r="E3823">
        <v>0</v>
      </c>
      <c r="F3823">
        <v>4000</v>
      </c>
      <c r="G3823">
        <v>1750</v>
      </c>
      <c r="H3823">
        <v>0</v>
      </c>
      <c r="J3823" t="str">
        <f>VLOOKUP(Table3[[#This Row],[Faction ID]],Table4[],2)</f>
        <v>_</v>
      </c>
    </row>
    <row r="3824" spans="1:10" x14ac:dyDescent="0.25">
      <c r="A3824">
        <v>99</v>
      </c>
      <c r="B3824" t="s">
        <v>39</v>
      </c>
      <c r="C3824">
        <v>0</v>
      </c>
      <c r="D3824">
        <v>0</v>
      </c>
      <c r="E3824">
        <v>0</v>
      </c>
      <c r="F3824">
        <v>4000</v>
      </c>
      <c r="G3824">
        <v>1750</v>
      </c>
      <c r="H3824">
        <v>0</v>
      </c>
      <c r="J3824" t="str">
        <f>VLOOKUP(Table3[[#This Row],[Faction ID]],Table4[],2)</f>
        <v>_</v>
      </c>
    </row>
    <row r="3825" spans="1:10" x14ac:dyDescent="0.25">
      <c r="A3825">
        <v>99</v>
      </c>
      <c r="B3825" t="s">
        <v>40</v>
      </c>
      <c r="C3825">
        <v>0</v>
      </c>
      <c r="D3825">
        <v>0</v>
      </c>
      <c r="E3825">
        <v>0</v>
      </c>
      <c r="F3825">
        <v>4000</v>
      </c>
      <c r="G3825">
        <v>1750</v>
      </c>
      <c r="H3825">
        <v>0</v>
      </c>
      <c r="J3825" t="str">
        <f>VLOOKUP(Table3[[#This Row],[Faction ID]],Table4[],2)</f>
        <v>_</v>
      </c>
    </row>
    <row r="3826" spans="1:10" x14ac:dyDescent="0.25">
      <c r="A3826">
        <v>99</v>
      </c>
      <c r="B3826" t="s">
        <v>41</v>
      </c>
      <c r="C3826">
        <v>0</v>
      </c>
      <c r="D3826">
        <v>0</v>
      </c>
      <c r="E3826">
        <v>0</v>
      </c>
      <c r="F3826">
        <v>4000</v>
      </c>
      <c r="G3826">
        <v>1750</v>
      </c>
      <c r="H3826">
        <v>0</v>
      </c>
      <c r="J3826" t="str">
        <f>VLOOKUP(Table3[[#This Row],[Faction ID]],Table4[],2)</f>
        <v>_</v>
      </c>
    </row>
    <row r="3827" spans="1:10" x14ac:dyDescent="0.25">
      <c r="A3827">
        <v>99</v>
      </c>
      <c r="B3827" t="s">
        <v>42</v>
      </c>
      <c r="C3827">
        <v>0</v>
      </c>
      <c r="D3827">
        <v>0</v>
      </c>
      <c r="E3827">
        <v>0</v>
      </c>
      <c r="F3827">
        <v>4000</v>
      </c>
      <c r="G3827">
        <v>1750</v>
      </c>
      <c r="H3827">
        <v>0</v>
      </c>
      <c r="J3827" t="str">
        <f>VLOOKUP(Table3[[#This Row],[Faction ID]],Table4[],2)</f>
        <v>_</v>
      </c>
    </row>
    <row r="3828" spans="1:10" x14ac:dyDescent="0.25">
      <c r="A3828">
        <v>99</v>
      </c>
      <c r="B3828" t="s">
        <v>43</v>
      </c>
      <c r="C3828">
        <v>0</v>
      </c>
      <c r="D3828">
        <v>0</v>
      </c>
      <c r="E3828">
        <v>0</v>
      </c>
      <c r="F3828">
        <v>4000</v>
      </c>
      <c r="G3828">
        <v>1750</v>
      </c>
      <c r="H3828">
        <v>0</v>
      </c>
      <c r="J3828" t="str">
        <f>VLOOKUP(Table3[[#This Row],[Faction ID]],Table4[],2)</f>
        <v>_</v>
      </c>
    </row>
    <row r="3829" spans="1:10" x14ac:dyDescent="0.25">
      <c r="A3829">
        <v>99</v>
      </c>
      <c r="B3829" t="s">
        <v>44</v>
      </c>
      <c r="C3829">
        <v>0</v>
      </c>
      <c r="D3829">
        <v>0</v>
      </c>
      <c r="E3829">
        <v>0</v>
      </c>
      <c r="F3829">
        <v>4000</v>
      </c>
      <c r="G3829">
        <v>1750</v>
      </c>
      <c r="H3829">
        <v>0</v>
      </c>
      <c r="J3829" t="str">
        <f>VLOOKUP(Table3[[#This Row],[Faction ID]],Table4[],2)</f>
        <v>_</v>
      </c>
    </row>
    <row r="3830" spans="1:10" x14ac:dyDescent="0.25">
      <c r="A3830">
        <v>100</v>
      </c>
      <c r="B3830" t="s">
        <v>9</v>
      </c>
      <c r="C3830">
        <v>488</v>
      </c>
      <c r="D3830">
        <v>29</v>
      </c>
      <c r="E3830">
        <v>345.1</v>
      </c>
      <c r="F3830">
        <v>3652</v>
      </c>
      <c r="G3830">
        <v>46498</v>
      </c>
      <c r="H3830">
        <v>3334</v>
      </c>
      <c r="J3830" t="str">
        <f>VLOOKUP(Table3[[#This Row],[Faction ID]],Table4[],2)</f>
        <v>Mordor</v>
      </c>
    </row>
    <row r="3831" spans="1:10" x14ac:dyDescent="0.25">
      <c r="A3831">
        <v>100</v>
      </c>
      <c r="B3831" t="s">
        <v>4</v>
      </c>
      <c r="C3831">
        <v>146</v>
      </c>
      <c r="D3831">
        <v>0</v>
      </c>
      <c r="E3831">
        <v>0</v>
      </c>
      <c r="F3831">
        <v>55420</v>
      </c>
      <c r="G3831">
        <v>2500</v>
      </c>
      <c r="H3831">
        <v>0</v>
      </c>
      <c r="J3831" t="str">
        <f>VLOOKUP(Table3[[#This Row],[Faction ID]],Table4[],2)</f>
        <v>Gondor</v>
      </c>
    </row>
    <row r="3832" spans="1:10" x14ac:dyDescent="0.25">
      <c r="A3832">
        <v>100</v>
      </c>
      <c r="B3832" t="s">
        <v>6</v>
      </c>
      <c r="C3832">
        <v>199</v>
      </c>
      <c r="D3832">
        <v>0</v>
      </c>
      <c r="E3832">
        <v>5.6</v>
      </c>
      <c r="F3832">
        <v>8574</v>
      </c>
      <c r="G3832">
        <v>3231</v>
      </c>
      <c r="H3832">
        <v>0</v>
      </c>
      <c r="J3832" t="str">
        <f>VLOOKUP(Table3[[#This Row],[Faction ID]],Table4[],2)</f>
        <v>Dale</v>
      </c>
    </row>
    <row r="3833" spans="1:10" x14ac:dyDescent="0.25">
      <c r="A3833">
        <v>100</v>
      </c>
      <c r="B3833" t="s">
        <v>21</v>
      </c>
      <c r="C3833">
        <v>200</v>
      </c>
      <c r="D3833">
        <v>0</v>
      </c>
      <c r="E3833">
        <v>0</v>
      </c>
      <c r="F3833">
        <v>10040</v>
      </c>
      <c r="G3833">
        <v>2500</v>
      </c>
      <c r="H3833">
        <v>0</v>
      </c>
      <c r="J3833" t="str">
        <f>VLOOKUP(Table3[[#This Row],[Faction ID]],Table4[],2)</f>
        <v>Erebor</v>
      </c>
    </row>
    <row r="3834" spans="1:10" x14ac:dyDescent="0.25">
      <c r="A3834">
        <v>100</v>
      </c>
      <c r="B3834" t="s">
        <v>5</v>
      </c>
      <c r="C3834">
        <v>157</v>
      </c>
      <c r="D3834">
        <v>0</v>
      </c>
      <c r="E3834">
        <v>0</v>
      </c>
      <c r="F3834">
        <v>6638</v>
      </c>
      <c r="G3834">
        <v>2500</v>
      </c>
      <c r="H3834">
        <v>0</v>
      </c>
      <c r="J3834" t="str">
        <f>VLOOKUP(Table3[[#This Row],[Faction ID]],Table4[],2)</f>
        <v>Rohan</v>
      </c>
    </row>
    <row r="3835" spans="1:10" x14ac:dyDescent="0.25">
      <c r="A3835">
        <v>100</v>
      </c>
      <c r="B3835" t="s">
        <v>12</v>
      </c>
      <c r="C3835">
        <v>395</v>
      </c>
      <c r="D3835">
        <v>20</v>
      </c>
      <c r="E3835">
        <v>297.8</v>
      </c>
      <c r="F3835">
        <v>37509</v>
      </c>
      <c r="G3835">
        <v>40802</v>
      </c>
      <c r="H3835">
        <v>3560</v>
      </c>
      <c r="J3835" t="str">
        <f>VLOOKUP(Table3[[#This Row],[Faction ID]],Table4[],2)</f>
        <v>Dol Guldur</v>
      </c>
    </row>
    <row r="3836" spans="1:10" x14ac:dyDescent="0.25">
      <c r="A3836">
        <v>100</v>
      </c>
      <c r="B3836" t="s">
        <v>10</v>
      </c>
      <c r="C3836">
        <v>58</v>
      </c>
      <c r="D3836">
        <v>0</v>
      </c>
      <c r="E3836">
        <v>0</v>
      </c>
      <c r="F3836">
        <v>4515</v>
      </c>
      <c r="G3836">
        <v>2500</v>
      </c>
      <c r="H3836">
        <v>0</v>
      </c>
      <c r="J3836" t="str">
        <f>VLOOKUP(Table3[[#This Row],[Faction ID]],Table4[],2)</f>
        <v>Anduin Vale</v>
      </c>
    </row>
    <row r="3837" spans="1:10" x14ac:dyDescent="0.25">
      <c r="A3837">
        <v>100</v>
      </c>
      <c r="B3837" t="s">
        <v>32</v>
      </c>
      <c r="C3837">
        <v>272</v>
      </c>
      <c r="D3837">
        <v>8</v>
      </c>
      <c r="E3837">
        <v>204.5</v>
      </c>
      <c r="F3837">
        <v>99548</v>
      </c>
      <c r="G3837">
        <v>27226</v>
      </c>
      <c r="H3837">
        <v>1351</v>
      </c>
      <c r="J3837" t="str">
        <f>VLOOKUP(Table3[[#This Row],[Faction ID]],Table4[],2)</f>
        <v>Isengard</v>
      </c>
    </row>
    <row r="3838" spans="1:10" x14ac:dyDescent="0.25">
      <c r="A3838">
        <v>100</v>
      </c>
      <c r="B3838" t="s">
        <v>22</v>
      </c>
      <c r="C3838">
        <v>30</v>
      </c>
      <c r="D3838">
        <v>0</v>
      </c>
      <c r="E3838">
        <v>0</v>
      </c>
      <c r="F3838">
        <v>8475</v>
      </c>
      <c r="G3838">
        <v>2500</v>
      </c>
      <c r="H3838">
        <v>0</v>
      </c>
      <c r="J3838" t="str">
        <f>VLOOKUP(Table3[[#This Row],[Faction ID]],Table4[],2)</f>
        <v>Woodland Realm</v>
      </c>
    </row>
    <row r="3839" spans="1:10" x14ac:dyDescent="0.25">
      <c r="A3839">
        <v>100</v>
      </c>
      <c r="B3839" t="s">
        <v>23</v>
      </c>
      <c r="C3839">
        <v>64</v>
      </c>
      <c r="D3839">
        <v>0</v>
      </c>
      <c r="E3839">
        <v>0</v>
      </c>
      <c r="F3839">
        <v>4721</v>
      </c>
      <c r="G3839">
        <v>2500</v>
      </c>
      <c r="H3839">
        <v>0</v>
      </c>
      <c r="J3839" t="str">
        <f>VLOOKUP(Table3[[#This Row],[Faction ID]],Table4[],2)</f>
        <v>Lothlorien</v>
      </c>
    </row>
    <row r="3840" spans="1:10" x14ac:dyDescent="0.25">
      <c r="A3840">
        <v>100</v>
      </c>
      <c r="B3840" t="s">
        <v>24</v>
      </c>
      <c r="C3840">
        <v>0</v>
      </c>
      <c r="D3840">
        <v>0</v>
      </c>
      <c r="E3840">
        <v>0</v>
      </c>
      <c r="F3840">
        <v>4919</v>
      </c>
      <c r="G3840">
        <v>1750</v>
      </c>
      <c r="H3840">
        <v>0</v>
      </c>
      <c r="J3840" t="str">
        <f>VLOOKUP(Table3[[#This Row],[Faction ID]],Table4[],2)</f>
        <v>Variags (Khand)</v>
      </c>
    </row>
    <row r="3841" spans="1:10" x14ac:dyDescent="0.25">
      <c r="A3841">
        <v>100</v>
      </c>
      <c r="B3841" t="s">
        <v>14</v>
      </c>
      <c r="C3841">
        <v>13</v>
      </c>
      <c r="D3841">
        <v>9</v>
      </c>
      <c r="E3841">
        <v>170</v>
      </c>
      <c r="F3841">
        <v>113812</v>
      </c>
      <c r="G3841">
        <v>37940</v>
      </c>
      <c r="H3841">
        <v>2978</v>
      </c>
      <c r="J3841" t="str">
        <f>VLOOKUP(Table3[[#This Row],[Faction ID]],Table4[],2)</f>
        <v>Corsairs of Umbar</v>
      </c>
    </row>
    <row r="3842" spans="1:10" x14ac:dyDescent="0.25">
      <c r="A3842">
        <v>100</v>
      </c>
      <c r="B3842" t="s">
        <v>25</v>
      </c>
      <c r="C3842">
        <v>0</v>
      </c>
      <c r="D3842">
        <v>0</v>
      </c>
      <c r="E3842">
        <v>0</v>
      </c>
      <c r="F3842">
        <v>9228</v>
      </c>
      <c r="G3842">
        <v>1750</v>
      </c>
      <c r="H3842">
        <v>0</v>
      </c>
      <c r="J3842" t="str">
        <f>VLOOKUP(Table3[[#This Row],[Faction ID]],Table4[],2)</f>
        <v>Mahud</v>
      </c>
    </row>
    <row r="3843" spans="1:10" x14ac:dyDescent="0.25">
      <c r="A3843">
        <v>100</v>
      </c>
      <c r="B3843" t="s">
        <v>11</v>
      </c>
      <c r="C3843">
        <v>174</v>
      </c>
      <c r="D3843">
        <v>12</v>
      </c>
      <c r="E3843">
        <v>204.7</v>
      </c>
      <c r="F3843">
        <v>24435</v>
      </c>
      <c r="G3843">
        <v>30785</v>
      </c>
      <c r="H3843">
        <v>1665</v>
      </c>
      <c r="J3843" t="str">
        <f>VLOOKUP(Table3[[#This Row],[Faction ID]],Table4[],2)</f>
        <v>Haradrim</v>
      </c>
    </row>
    <row r="3844" spans="1:10" x14ac:dyDescent="0.25">
      <c r="A3844">
        <v>100</v>
      </c>
      <c r="B3844" t="s">
        <v>15</v>
      </c>
      <c r="C3844">
        <v>274</v>
      </c>
      <c r="D3844">
        <v>12</v>
      </c>
      <c r="E3844">
        <v>258</v>
      </c>
      <c r="F3844">
        <v>165330</v>
      </c>
      <c r="G3844">
        <v>43575</v>
      </c>
      <c r="H3844">
        <v>2808</v>
      </c>
      <c r="J3844" t="str">
        <f>VLOOKUP(Table3[[#This Row],[Faction ID]],Table4[],2)</f>
        <v>Dunlendings</v>
      </c>
    </row>
    <row r="3845" spans="1:10" x14ac:dyDescent="0.25">
      <c r="A3845">
        <v>100</v>
      </c>
      <c r="B3845" t="s">
        <v>16</v>
      </c>
      <c r="C3845">
        <v>0</v>
      </c>
      <c r="D3845">
        <v>0</v>
      </c>
      <c r="E3845">
        <v>0</v>
      </c>
      <c r="F3845">
        <v>5352</v>
      </c>
      <c r="G3845">
        <v>1750</v>
      </c>
      <c r="H3845">
        <v>0</v>
      </c>
      <c r="J3845" t="str">
        <f>VLOOKUP(Table3[[#This Row],[Faction ID]],Table4[],2)</f>
        <v>Haerrim</v>
      </c>
    </row>
    <row r="3846" spans="1:10" x14ac:dyDescent="0.25">
      <c r="A3846">
        <v>100</v>
      </c>
      <c r="B3846" t="s">
        <v>13</v>
      </c>
      <c r="C3846">
        <v>482</v>
      </c>
      <c r="D3846">
        <v>23</v>
      </c>
      <c r="E3846">
        <v>394.3</v>
      </c>
      <c r="F3846">
        <v>57928</v>
      </c>
      <c r="G3846">
        <v>55435</v>
      </c>
      <c r="H3846">
        <v>5900</v>
      </c>
      <c r="J3846" t="str">
        <f>VLOOKUP(Table3[[#This Row],[Faction ID]],Table4[],2)</f>
        <v>Goblins</v>
      </c>
    </row>
    <row r="3847" spans="1:10" x14ac:dyDescent="0.25">
      <c r="A3847">
        <v>100</v>
      </c>
      <c r="B3847" t="s">
        <v>17</v>
      </c>
      <c r="C3847">
        <v>0</v>
      </c>
      <c r="D3847">
        <v>0</v>
      </c>
      <c r="E3847">
        <v>0</v>
      </c>
      <c r="F3847">
        <v>4872</v>
      </c>
      <c r="G3847">
        <v>1750</v>
      </c>
      <c r="H3847">
        <v>0</v>
      </c>
      <c r="J3847" t="str">
        <f>VLOOKUP(Table3[[#This Row],[Faction ID]],Table4[],2)</f>
        <v>Balchoth</v>
      </c>
    </row>
    <row r="3848" spans="1:10" x14ac:dyDescent="0.25">
      <c r="A3848">
        <v>100</v>
      </c>
      <c r="B3848" t="s">
        <v>18</v>
      </c>
      <c r="C3848">
        <v>438</v>
      </c>
      <c r="D3848">
        <v>30</v>
      </c>
      <c r="E3848">
        <v>424.9</v>
      </c>
      <c r="F3848">
        <v>50847</v>
      </c>
      <c r="G3848">
        <v>50366</v>
      </c>
      <c r="H3848">
        <v>2661</v>
      </c>
      <c r="J3848" t="str">
        <f>VLOOKUP(Table3[[#This Row],[Faction ID]],Table4[],2)</f>
        <v>Rhurim/Rhun</v>
      </c>
    </row>
    <row r="3849" spans="1:10" x14ac:dyDescent="0.25">
      <c r="A3849">
        <v>100</v>
      </c>
      <c r="B3849" t="s">
        <v>19</v>
      </c>
      <c r="C3849">
        <v>0</v>
      </c>
      <c r="D3849">
        <v>0</v>
      </c>
      <c r="E3849">
        <v>0</v>
      </c>
      <c r="F3849">
        <v>7360</v>
      </c>
      <c r="G3849">
        <v>1750</v>
      </c>
      <c r="H3849">
        <v>0</v>
      </c>
      <c r="J3849" t="str">
        <f>VLOOKUP(Table3[[#This Row],[Faction ID]],Table4[],2)</f>
        <v>Feredrim</v>
      </c>
    </row>
    <row r="3850" spans="1:10" x14ac:dyDescent="0.25">
      <c r="A3850">
        <v>100</v>
      </c>
      <c r="B3850" t="s">
        <v>26</v>
      </c>
      <c r="C3850">
        <v>0</v>
      </c>
      <c r="D3850">
        <v>0</v>
      </c>
      <c r="E3850">
        <v>0</v>
      </c>
      <c r="F3850">
        <v>6395</v>
      </c>
      <c r="G3850">
        <v>1750</v>
      </c>
      <c r="H3850">
        <v>0</v>
      </c>
      <c r="J3850" t="str">
        <f>VLOOKUP(Table3[[#This Row],[Faction ID]],Table4[],2)</f>
        <v>Rachrohir (Wainriders)</v>
      </c>
    </row>
    <row r="3851" spans="1:10" x14ac:dyDescent="0.25">
      <c r="A3851">
        <v>100</v>
      </c>
      <c r="B3851" t="s">
        <v>27</v>
      </c>
      <c r="C3851">
        <v>1</v>
      </c>
      <c r="D3851">
        <v>1</v>
      </c>
      <c r="E3851">
        <v>19.5</v>
      </c>
      <c r="F3851">
        <v>8619</v>
      </c>
      <c r="G3851">
        <v>3651</v>
      </c>
      <c r="H3851">
        <v>0</v>
      </c>
      <c r="J3851" t="str">
        <f>VLOOKUP(Table3[[#This Row],[Faction ID]],Table4[],2)</f>
        <v>Blacklock-Stonefoot League</v>
      </c>
    </row>
    <row r="3852" spans="1:10" x14ac:dyDescent="0.25">
      <c r="A3852">
        <v>100</v>
      </c>
      <c r="B3852" t="s">
        <v>28</v>
      </c>
      <c r="C3852">
        <v>5</v>
      </c>
      <c r="D3852">
        <v>2</v>
      </c>
      <c r="E3852">
        <v>54</v>
      </c>
      <c r="F3852">
        <v>62785</v>
      </c>
      <c r="G3852">
        <v>12537</v>
      </c>
      <c r="H3852">
        <v>0</v>
      </c>
      <c r="J3852" t="str">
        <f>VLOOKUP(Table3[[#This Row],[Faction ID]],Table4[],2)</f>
        <v>Ironfist-Stiffbeard Union</v>
      </c>
    </row>
    <row r="3853" spans="1:10" x14ac:dyDescent="0.25">
      <c r="A3853">
        <v>100</v>
      </c>
      <c r="B3853" t="s">
        <v>20</v>
      </c>
      <c r="C3853">
        <v>248</v>
      </c>
      <c r="D3853">
        <v>6</v>
      </c>
      <c r="E3853">
        <v>79.400000000000006</v>
      </c>
      <c r="F3853">
        <v>16200</v>
      </c>
      <c r="G3853">
        <v>13070</v>
      </c>
      <c r="H3853">
        <v>0</v>
      </c>
      <c r="J3853" t="str">
        <f>VLOOKUP(Table3[[#This Row],[Faction ID]],Table4[],2)</f>
        <v>Gundabad</v>
      </c>
    </row>
    <row r="3854" spans="1:10" x14ac:dyDescent="0.25">
      <c r="A3854">
        <v>100</v>
      </c>
      <c r="B3854" t="s">
        <v>34</v>
      </c>
      <c r="C3854">
        <v>0</v>
      </c>
      <c r="D3854">
        <v>0</v>
      </c>
      <c r="E3854">
        <v>3</v>
      </c>
      <c r="F3854">
        <v>114979</v>
      </c>
      <c r="G3854">
        <v>2379</v>
      </c>
      <c r="H3854">
        <v>0</v>
      </c>
      <c r="J3854" t="str">
        <f>VLOOKUP(Table3[[#This Row],[Faction ID]],Table4[],2)</f>
        <v>Scouts of Rohan</v>
      </c>
    </row>
    <row r="3855" spans="1:10" x14ac:dyDescent="0.25">
      <c r="A3855">
        <v>100</v>
      </c>
      <c r="B3855" t="s">
        <v>33</v>
      </c>
      <c r="C3855">
        <v>6</v>
      </c>
      <c r="D3855">
        <v>4</v>
      </c>
      <c r="E3855">
        <v>87</v>
      </c>
      <c r="F3855">
        <v>111925</v>
      </c>
      <c r="G3855">
        <v>18738</v>
      </c>
      <c r="H3855">
        <v>891</v>
      </c>
      <c r="J3855" t="str">
        <f>VLOOKUP(Table3[[#This Row],[Faction ID]],Table4[],2)</f>
        <v>Northern Enedwaith</v>
      </c>
    </row>
    <row r="3856" spans="1:10" x14ac:dyDescent="0.25">
      <c r="A3856">
        <v>100</v>
      </c>
      <c r="B3856" t="s">
        <v>29</v>
      </c>
      <c r="C3856">
        <v>0</v>
      </c>
      <c r="D3856">
        <v>0</v>
      </c>
      <c r="E3856">
        <v>0</v>
      </c>
      <c r="F3856">
        <v>54023</v>
      </c>
      <c r="G3856">
        <v>1750</v>
      </c>
      <c r="H3856">
        <v>0</v>
      </c>
      <c r="J3856" t="str">
        <f>VLOOKUP(Table3[[#This Row],[Faction ID]],Table4[],2)</f>
        <v>Southern Enedwaith</v>
      </c>
    </row>
    <row r="3857" spans="1:10" x14ac:dyDescent="0.25">
      <c r="A3857">
        <v>100</v>
      </c>
      <c r="B3857" t="s">
        <v>30</v>
      </c>
      <c r="C3857">
        <v>0</v>
      </c>
      <c r="D3857">
        <v>0</v>
      </c>
      <c r="E3857">
        <v>0</v>
      </c>
      <c r="F3857">
        <v>32146</v>
      </c>
      <c r="G3857">
        <v>1750</v>
      </c>
      <c r="H3857">
        <v>0</v>
      </c>
      <c r="J3857" t="str">
        <f>VLOOKUP(Table3[[#This Row],[Faction ID]],Table4[],2)</f>
        <v>Druedain</v>
      </c>
    </row>
    <row r="3858" spans="1:10" x14ac:dyDescent="0.25">
      <c r="A3858">
        <v>100</v>
      </c>
      <c r="B3858" t="s">
        <v>31</v>
      </c>
      <c r="C3858">
        <v>0</v>
      </c>
      <c r="D3858">
        <v>0</v>
      </c>
      <c r="E3858">
        <v>0</v>
      </c>
      <c r="F3858">
        <v>15146</v>
      </c>
      <c r="G3858">
        <v>1750</v>
      </c>
      <c r="H3858">
        <v>0</v>
      </c>
      <c r="J3858" t="str">
        <f>VLOOKUP(Table3[[#This Row],[Faction ID]],Table4[],2)</f>
        <v>Harondor</v>
      </c>
    </row>
    <row r="3859" spans="1:10" x14ac:dyDescent="0.25">
      <c r="A3859">
        <v>100</v>
      </c>
      <c r="B3859" t="s">
        <v>35</v>
      </c>
      <c r="C3859">
        <v>0</v>
      </c>
      <c r="D3859">
        <v>0</v>
      </c>
      <c r="E3859">
        <v>0</v>
      </c>
      <c r="F3859">
        <v>4000</v>
      </c>
      <c r="G3859">
        <v>1750</v>
      </c>
      <c r="H3859">
        <v>0</v>
      </c>
      <c r="J3859" t="str">
        <f>VLOOKUP(Table3[[#This Row],[Faction ID]],Table4[],2)</f>
        <v>Southron Nomads</v>
      </c>
    </row>
    <row r="3860" spans="1:10" x14ac:dyDescent="0.25">
      <c r="A3860">
        <v>100</v>
      </c>
      <c r="B3860" t="s">
        <v>36</v>
      </c>
      <c r="C3860">
        <v>0</v>
      </c>
      <c r="D3860">
        <v>0</v>
      </c>
      <c r="E3860">
        <v>0</v>
      </c>
      <c r="F3860">
        <v>4000</v>
      </c>
      <c r="G3860">
        <v>1750</v>
      </c>
      <c r="H3860">
        <v>0</v>
      </c>
      <c r="J3860" t="str">
        <f>VLOOKUP(Table3[[#This Row],[Faction ID]],Table4[],2)</f>
        <v>_</v>
      </c>
    </row>
    <row r="3861" spans="1:10" x14ac:dyDescent="0.25">
      <c r="A3861">
        <v>100</v>
      </c>
      <c r="B3861" t="s">
        <v>37</v>
      </c>
      <c r="C3861">
        <v>0</v>
      </c>
      <c r="D3861">
        <v>0</v>
      </c>
      <c r="E3861">
        <v>0</v>
      </c>
      <c r="F3861">
        <v>4000</v>
      </c>
      <c r="G3861">
        <v>1750</v>
      </c>
      <c r="H3861">
        <v>0</v>
      </c>
      <c r="J3861" t="str">
        <f>VLOOKUP(Table3[[#This Row],[Faction ID]],Table4[],2)</f>
        <v>_</v>
      </c>
    </row>
    <row r="3862" spans="1:10" x14ac:dyDescent="0.25">
      <c r="A3862">
        <v>100</v>
      </c>
      <c r="B3862" t="s">
        <v>38</v>
      </c>
      <c r="C3862">
        <v>0</v>
      </c>
      <c r="D3862">
        <v>0</v>
      </c>
      <c r="E3862">
        <v>0</v>
      </c>
      <c r="F3862">
        <v>4000</v>
      </c>
      <c r="G3862">
        <v>1750</v>
      </c>
      <c r="H3862">
        <v>0</v>
      </c>
      <c r="J3862" t="str">
        <f>VLOOKUP(Table3[[#This Row],[Faction ID]],Table4[],2)</f>
        <v>_</v>
      </c>
    </row>
    <row r="3863" spans="1:10" x14ac:dyDescent="0.25">
      <c r="A3863">
        <v>100</v>
      </c>
      <c r="B3863" t="s">
        <v>39</v>
      </c>
      <c r="C3863">
        <v>0</v>
      </c>
      <c r="D3863">
        <v>0</v>
      </c>
      <c r="E3863">
        <v>0</v>
      </c>
      <c r="F3863">
        <v>4000</v>
      </c>
      <c r="G3863">
        <v>1750</v>
      </c>
      <c r="H3863">
        <v>0</v>
      </c>
      <c r="J3863" t="str">
        <f>VLOOKUP(Table3[[#This Row],[Faction ID]],Table4[],2)</f>
        <v>_</v>
      </c>
    </row>
    <row r="3864" spans="1:10" x14ac:dyDescent="0.25">
      <c r="A3864">
        <v>100</v>
      </c>
      <c r="B3864" t="s">
        <v>40</v>
      </c>
      <c r="C3864">
        <v>0</v>
      </c>
      <c r="D3864">
        <v>0</v>
      </c>
      <c r="E3864">
        <v>0</v>
      </c>
      <c r="F3864">
        <v>4000</v>
      </c>
      <c r="G3864">
        <v>1750</v>
      </c>
      <c r="H3864">
        <v>0</v>
      </c>
      <c r="J3864" t="str">
        <f>VLOOKUP(Table3[[#This Row],[Faction ID]],Table4[],2)</f>
        <v>_</v>
      </c>
    </row>
    <row r="3865" spans="1:10" x14ac:dyDescent="0.25">
      <c r="A3865">
        <v>100</v>
      </c>
      <c r="B3865" t="s">
        <v>41</v>
      </c>
      <c r="C3865">
        <v>0</v>
      </c>
      <c r="D3865">
        <v>0</v>
      </c>
      <c r="E3865">
        <v>0</v>
      </c>
      <c r="F3865">
        <v>4000</v>
      </c>
      <c r="G3865">
        <v>1750</v>
      </c>
      <c r="H3865">
        <v>0</v>
      </c>
      <c r="J3865" t="str">
        <f>VLOOKUP(Table3[[#This Row],[Faction ID]],Table4[],2)</f>
        <v>_</v>
      </c>
    </row>
    <row r="3866" spans="1:10" x14ac:dyDescent="0.25">
      <c r="A3866">
        <v>100</v>
      </c>
      <c r="B3866" t="s">
        <v>42</v>
      </c>
      <c r="C3866">
        <v>0</v>
      </c>
      <c r="D3866">
        <v>0</v>
      </c>
      <c r="E3866">
        <v>0</v>
      </c>
      <c r="F3866">
        <v>4000</v>
      </c>
      <c r="G3866">
        <v>1750</v>
      </c>
      <c r="H3866">
        <v>0</v>
      </c>
      <c r="J3866" t="str">
        <f>VLOOKUP(Table3[[#This Row],[Faction ID]],Table4[],2)</f>
        <v>_</v>
      </c>
    </row>
    <row r="3867" spans="1:10" x14ac:dyDescent="0.25">
      <c r="A3867">
        <v>100</v>
      </c>
      <c r="B3867" t="s">
        <v>43</v>
      </c>
      <c r="C3867">
        <v>0</v>
      </c>
      <c r="D3867">
        <v>0</v>
      </c>
      <c r="E3867">
        <v>0</v>
      </c>
      <c r="F3867">
        <v>4000</v>
      </c>
      <c r="G3867">
        <v>1750</v>
      </c>
      <c r="H3867">
        <v>0</v>
      </c>
      <c r="J3867" t="str">
        <f>VLOOKUP(Table3[[#This Row],[Faction ID]],Table4[],2)</f>
        <v>_</v>
      </c>
    </row>
    <row r="3868" spans="1:10" x14ac:dyDescent="0.25">
      <c r="A3868">
        <v>100</v>
      </c>
      <c r="B3868" t="s">
        <v>44</v>
      </c>
      <c r="C3868">
        <v>0</v>
      </c>
      <c r="D3868">
        <v>0</v>
      </c>
      <c r="E3868">
        <v>0</v>
      </c>
      <c r="F3868">
        <v>4000</v>
      </c>
      <c r="G3868">
        <v>1750</v>
      </c>
      <c r="H3868">
        <v>0</v>
      </c>
      <c r="J3868" t="str">
        <f>VLOOKUP(Table3[[#This Row],[Faction ID]],Table4[],2)</f>
        <v>_</v>
      </c>
    </row>
    <row r="3869" spans="1:10" x14ac:dyDescent="0.25">
      <c r="A3869">
        <v>101</v>
      </c>
      <c r="B3869" t="s">
        <v>9</v>
      </c>
      <c r="C3869">
        <v>508</v>
      </c>
      <c r="D3869">
        <v>29</v>
      </c>
      <c r="E3869">
        <v>349.1</v>
      </c>
      <c r="F3869">
        <v>12049</v>
      </c>
      <c r="G3869">
        <v>46673</v>
      </c>
      <c r="H3869">
        <v>3352</v>
      </c>
      <c r="J3869" t="str">
        <f>VLOOKUP(Table3[[#This Row],[Faction ID]],Table4[],2)</f>
        <v>Mordor</v>
      </c>
    </row>
    <row r="3870" spans="1:10" x14ac:dyDescent="0.25">
      <c r="A3870">
        <v>101</v>
      </c>
      <c r="B3870" t="s">
        <v>4</v>
      </c>
      <c r="C3870">
        <v>146</v>
      </c>
      <c r="D3870">
        <v>0</v>
      </c>
      <c r="E3870">
        <v>0</v>
      </c>
      <c r="F3870">
        <v>55420</v>
      </c>
      <c r="G3870">
        <v>2500</v>
      </c>
      <c r="H3870">
        <v>0</v>
      </c>
      <c r="J3870" t="str">
        <f>VLOOKUP(Table3[[#This Row],[Faction ID]],Table4[],2)</f>
        <v>Gondor</v>
      </c>
    </row>
    <row r="3871" spans="1:10" x14ac:dyDescent="0.25">
      <c r="A3871">
        <v>101</v>
      </c>
      <c r="B3871" t="s">
        <v>6</v>
      </c>
      <c r="C3871">
        <v>199</v>
      </c>
      <c r="D3871">
        <v>0</v>
      </c>
      <c r="E3871">
        <v>5.6</v>
      </c>
      <c r="F3871">
        <v>10343</v>
      </c>
      <c r="G3871">
        <v>3231</v>
      </c>
      <c r="H3871">
        <v>0</v>
      </c>
      <c r="J3871" t="str">
        <f>VLOOKUP(Table3[[#This Row],[Faction ID]],Table4[],2)</f>
        <v>Dale</v>
      </c>
    </row>
    <row r="3872" spans="1:10" x14ac:dyDescent="0.25">
      <c r="A3872">
        <v>101</v>
      </c>
      <c r="B3872" t="s">
        <v>21</v>
      </c>
      <c r="C3872">
        <v>200</v>
      </c>
      <c r="D3872">
        <v>0</v>
      </c>
      <c r="E3872">
        <v>0</v>
      </c>
      <c r="F3872">
        <v>10040</v>
      </c>
      <c r="G3872">
        <v>2500</v>
      </c>
      <c r="H3872">
        <v>0</v>
      </c>
      <c r="J3872" t="str">
        <f>VLOOKUP(Table3[[#This Row],[Faction ID]],Table4[],2)</f>
        <v>Erebor</v>
      </c>
    </row>
    <row r="3873" spans="1:10" x14ac:dyDescent="0.25">
      <c r="A3873">
        <v>101</v>
      </c>
      <c r="B3873" t="s">
        <v>5</v>
      </c>
      <c r="C3873">
        <v>157</v>
      </c>
      <c r="D3873">
        <v>0</v>
      </c>
      <c r="E3873">
        <v>0</v>
      </c>
      <c r="F3873">
        <v>6638</v>
      </c>
      <c r="G3873">
        <v>2500</v>
      </c>
      <c r="H3873">
        <v>0</v>
      </c>
      <c r="J3873" t="str">
        <f>VLOOKUP(Table3[[#This Row],[Faction ID]],Table4[],2)</f>
        <v>Rohan</v>
      </c>
    </row>
    <row r="3874" spans="1:10" x14ac:dyDescent="0.25">
      <c r="A3874">
        <v>101</v>
      </c>
      <c r="B3874" t="s">
        <v>12</v>
      </c>
      <c r="C3874">
        <v>395</v>
      </c>
      <c r="D3874">
        <v>20</v>
      </c>
      <c r="E3874">
        <v>306</v>
      </c>
      <c r="F3874">
        <v>40953</v>
      </c>
      <c r="G3874">
        <v>43085</v>
      </c>
      <c r="H3874">
        <v>3804</v>
      </c>
      <c r="J3874" t="str">
        <f>VLOOKUP(Table3[[#This Row],[Faction ID]],Table4[],2)</f>
        <v>Dol Guldur</v>
      </c>
    </row>
    <row r="3875" spans="1:10" x14ac:dyDescent="0.25">
      <c r="A3875">
        <v>101</v>
      </c>
      <c r="B3875" t="s">
        <v>10</v>
      </c>
      <c r="C3875">
        <v>58</v>
      </c>
      <c r="D3875">
        <v>0</v>
      </c>
      <c r="E3875">
        <v>0</v>
      </c>
      <c r="F3875">
        <v>4515</v>
      </c>
      <c r="G3875">
        <v>2500</v>
      </c>
      <c r="H3875">
        <v>0</v>
      </c>
      <c r="J3875" t="str">
        <f>VLOOKUP(Table3[[#This Row],[Faction ID]],Table4[],2)</f>
        <v>Anduin Vale</v>
      </c>
    </row>
    <row r="3876" spans="1:10" x14ac:dyDescent="0.25">
      <c r="A3876">
        <v>101</v>
      </c>
      <c r="B3876" t="s">
        <v>32</v>
      </c>
      <c r="C3876">
        <v>272</v>
      </c>
      <c r="D3876">
        <v>8</v>
      </c>
      <c r="E3876">
        <v>204.5</v>
      </c>
      <c r="F3876">
        <v>102618</v>
      </c>
      <c r="G3876">
        <v>27470</v>
      </c>
      <c r="H3876">
        <v>1361</v>
      </c>
      <c r="J3876" t="str">
        <f>VLOOKUP(Table3[[#This Row],[Faction ID]],Table4[],2)</f>
        <v>Isengard</v>
      </c>
    </row>
    <row r="3877" spans="1:10" x14ac:dyDescent="0.25">
      <c r="A3877">
        <v>101</v>
      </c>
      <c r="B3877" t="s">
        <v>22</v>
      </c>
      <c r="C3877">
        <v>30</v>
      </c>
      <c r="D3877">
        <v>0</v>
      </c>
      <c r="E3877">
        <v>0</v>
      </c>
      <c r="F3877">
        <v>8475</v>
      </c>
      <c r="G3877">
        <v>2500</v>
      </c>
      <c r="H3877">
        <v>0</v>
      </c>
      <c r="J3877" t="str">
        <f>VLOOKUP(Table3[[#This Row],[Faction ID]],Table4[],2)</f>
        <v>Woodland Realm</v>
      </c>
    </row>
    <row r="3878" spans="1:10" x14ac:dyDescent="0.25">
      <c r="A3878">
        <v>101</v>
      </c>
      <c r="B3878" t="s">
        <v>23</v>
      </c>
      <c r="C3878">
        <v>64</v>
      </c>
      <c r="D3878">
        <v>0</v>
      </c>
      <c r="E3878">
        <v>0</v>
      </c>
      <c r="F3878">
        <v>4721</v>
      </c>
      <c r="G3878">
        <v>2500</v>
      </c>
      <c r="H3878">
        <v>0</v>
      </c>
      <c r="J3878" t="str">
        <f>VLOOKUP(Table3[[#This Row],[Faction ID]],Table4[],2)</f>
        <v>Lothlorien</v>
      </c>
    </row>
    <row r="3879" spans="1:10" x14ac:dyDescent="0.25">
      <c r="A3879">
        <v>101</v>
      </c>
      <c r="B3879" t="s">
        <v>24</v>
      </c>
      <c r="C3879">
        <v>0</v>
      </c>
      <c r="D3879">
        <v>0</v>
      </c>
      <c r="E3879">
        <v>0</v>
      </c>
      <c r="F3879">
        <v>4919</v>
      </c>
      <c r="G3879">
        <v>1750</v>
      </c>
      <c r="H3879">
        <v>0</v>
      </c>
      <c r="J3879" t="str">
        <f>VLOOKUP(Table3[[#This Row],[Faction ID]],Table4[],2)</f>
        <v>Variags (Khand)</v>
      </c>
    </row>
    <row r="3880" spans="1:10" x14ac:dyDescent="0.25">
      <c r="A3880">
        <v>101</v>
      </c>
      <c r="B3880" t="s">
        <v>14</v>
      </c>
      <c r="C3880">
        <v>15</v>
      </c>
      <c r="D3880">
        <v>10</v>
      </c>
      <c r="E3880">
        <v>173.7</v>
      </c>
      <c r="F3880">
        <v>123938</v>
      </c>
      <c r="G3880">
        <v>38707</v>
      </c>
      <c r="H3880">
        <v>3033</v>
      </c>
      <c r="J3880" t="str">
        <f>VLOOKUP(Table3[[#This Row],[Faction ID]],Table4[],2)</f>
        <v>Corsairs of Umbar</v>
      </c>
    </row>
    <row r="3881" spans="1:10" x14ac:dyDescent="0.25">
      <c r="A3881">
        <v>101</v>
      </c>
      <c r="B3881" t="s">
        <v>25</v>
      </c>
      <c r="C3881">
        <v>0</v>
      </c>
      <c r="D3881">
        <v>0</v>
      </c>
      <c r="E3881">
        <v>0</v>
      </c>
      <c r="F3881">
        <v>9228</v>
      </c>
      <c r="G3881">
        <v>1750</v>
      </c>
      <c r="H3881">
        <v>0</v>
      </c>
      <c r="J3881" t="str">
        <f>VLOOKUP(Table3[[#This Row],[Faction ID]],Table4[],2)</f>
        <v>Mahud</v>
      </c>
    </row>
    <row r="3882" spans="1:10" x14ac:dyDescent="0.25">
      <c r="A3882">
        <v>101</v>
      </c>
      <c r="B3882" t="s">
        <v>11</v>
      </c>
      <c r="C3882">
        <v>182</v>
      </c>
      <c r="D3882">
        <v>12</v>
      </c>
      <c r="E3882">
        <v>206.9</v>
      </c>
      <c r="F3882">
        <v>27750</v>
      </c>
      <c r="G3882">
        <v>32434</v>
      </c>
      <c r="H3882">
        <v>1672</v>
      </c>
      <c r="J3882" t="str">
        <f>VLOOKUP(Table3[[#This Row],[Faction ID]],Table4[],2)</f>
        <v>Haradrim</v>
      </c>
    </row>
    <row r="3883" spans="1:10" x14ac:dyDescent="0.25">
      <c r="A3883">
        <v>101</v>
      </c>
      <c r="B3883" t="s">
        <v>15</v>
      </c>
      <c r="C3883">
        <v>274</v>
      </c>
      <c r="D3883">
        <v>12</v>
      </c>
      <c r="E3883">
        <v>258</v>
      </c>
      <c r="F3883">
        <v>170555</v>
      </c>
      <c r="G3883">
        <v>43588</v>
      </c>
      <c r="H3883">
        <v>2821</v>
      </c>
      <c r="J3883" t="str">
        <f>VLOOKUP(Table3[[#This Row],[Faction ID]],Table4[],2)</f>
        <v>Dunlendings</v>
      </c>
    </row>
    <row r="3884" spans="1:10" x14ac:dyDescent="0.25">
      <c r="A3884">
        <v>101</v>
      </c>
      <c r="B3884" t="s">
        <v>16</v>
      </c>
      <c r="C3884">
        <v>0</v>
      </c>
      <c r="D3884">
        <v>0</v>
      </c>
      <c r="E3884">
        <v>0</v>
      </c>
      <c r="F3884">
        <v>5352</v>
      </c>
      <c r="G3884">
        <v>1750</v>
      </c>
      <c r="H3884">
        <v>0</v>
      </c>
      <c r="J3884" t="str">
        <f>VLOOKUP(Table3[[#This Row],[Faction ID]],Table4[],2)</f>
        <v>Haerrim</v>
      </c>
    </row>
    <row r="3885" spans="1:10" x14ac:dyDescent="0.25">
      <c r="A3885">
        <v>101</v>
      </c>
      <c r="B3885" t="s">
        <v>13</v>
      </c>
      <c r="C3885">
        <v>518</v>
      </c>
      <c r="D3885">
        <v>23</v>
      </c>
      <c r="E3885">
        <v>403.3</v>
      </c>
      <c r="F3885">
        <v>68337</v>
      </c>
      <c r="G3885">
        <v>57832</v>
      </c>
      <c r="H3885">
        <v>5915</v>
      </c>
      <c r="J3885" t="str">
        <f>VLOOKUP(Table3[[#This Row],[Faction ID]],Table4[],2)</f>
        <v>Goblins</v>
      </c>
    </row>
    <row r="3886" spans="1:10" x14ac:dyDescent="0.25">
      <c r="A3886">
        <v>101</v>
      </c>
      <c r="B3886" t="s">
        <v>17</v>
      </c>
      <c r="C3886">
        <v>0</v>
      </c>
      <c r="D3886">
        <v>0</v>
      </c>
      <c r="E3886">
        <v>0</v>
      </c>
      <c r="F3886">
        <v>4872</v>
      </c>
      <c r="G3886">
        <v>1750</v>
      </c>
      <c r="H3886">
        <v>0</v>
      </c>
      <c r="J3886" t="str">
        <f>VLOOKUP(Table3[[#This Row],[Faction ID]],Table4[],2)</f>
        <v>Balchoth</v>
      </c>
    </row>
    <row r="3887" spans="1:10" x14ac:dyDescent="0.25">
      <c r="A3887">
        <v>101</v>
      </c>
      <c r="B3887" t="s">
        <v>18</v>
      </c>
      <c r="C3887">
        <v>438</v>
      </c>
      <c r="D3887">
        <v>30</v>
      </c>
      <c r="E3887">
        <v>405.8</v>
      </c>
      <c r="F3887">
        <v>48454</v>
      </c>
      <c r="G3887">
        <v>49595</v>
      </c>
      <c r="H3887">
        <v>2648</v>
      </c>
      <c r="J3887" t="str">
        <f>VLOOKUP(Table3[[#This Row],[Faction ID]],Table4[],2)</f>
        <v>Rhurim/Rhun</v>
      </c>
    </row>
    <row r="3888" spans="1:10" x14ac:dyDescent="0.25">
      <c r="A3888">
        <v>101</v>
      </c>
      <c r="B3888" t="s">
        <v>19</v>
      </c>
      <c r="C3888">
        <v>0</v>
      </c>
      <c r="D3888">
        <v>0</v>
      </c>
      <c r="E3888">
        <v>0</v>
      </c>
      <c r="F3888">
        <v>7360</v>
      </c>
      <c r="G3888">
        <v>1750</v>
      </c>
      <c r="H3888">
        <v>0</v>
      </c>
      <c r="J3888" t="str">
        <f>VLOOKUP(Table3[[#This Row],[Faction ID]],Table4[],2)</f>
        <v>Feredrim</v>
      </c>
    </row>
    <row r="3889" spans="1:10" x14ac:dyDescent="0.25">
      <c r="A3889">
        <v>101</v>
      </c>
      <c r="B3889" t="s">
        <v>26</v>
      </c>
      <c r="C3889">
        <v>0</v>
      </c>
      <c r="D3889">
        <v>0</v>
      </c>
      <c r="E3889">
        <v>0</v>
      </c>
      <c r="F3889">
        <v>6395</v>
      </c>
      <c r="G3889">
        <v>1750</v>
      </c>
      <c r="H3889">
        <v>0</v>
      </c>
      <c r="J3889" t="str">
        <f>VLOOKUP(Table3[[#This Row],[Faction ID]],Table4[],2)</f>
        <v>Rachrohir (Wainriders)</v>
      </c>
    </row>
    <row r="3890" spans="1:10" x14ac:dyDescent="0.25">
      <c r="A3890">
        <v>101</v>
      </c>
      <c r="B3890" t="s">
        <v>27</v>
      </c>
      <c r="C3890">
        <v>1</v>
      </c>
      <c r="D3890">
        <v>1</v>
      </c>
      <c r="E3890">
        <v>20.6</v>
      </c>
      <c r="F3890">
        <v>7211</v>
      </c>
      <c r="G3890">
        <v>3745</v>
      </c>
      <c r="H3890">
        <v>0</v>
      </c>
      <c r="J3890" t="str">
        <f>VLOOKUP(Table3[[#This Row],[Faction ID]],Table4[],2)</f>
        <v>Blacklock-Stonefoot League</v>
      </c>
    </row>
    <row r="3891" spans="1:10" x14ac:dyDescent="0.25">
      <c r="A3891">
        <v>101</v>
      </c>
      <c r="B3891" t="s">
        <v>28</v>
      </c>
      <c r="C3891">
        <v>5</v>
      </c>
      <c r="D3891">
        <v>2</v>
      </c>
      <c r="E3891">
        <v>62</v>
      </c>
      <c r="F3891">
        <v>48570</v>
      </c>
      <c r="G3891">
        <v>12288</v>
      </c>
      <c r="H3891">
        <v>0</v>
      </c>
      <c r="J3891" t="str">
        <f>VLOOKUP(Table3[[#This Row],[Faction ID]],Table4[],2)</f>
        <v>Ironfist-Stiffbeard Union</v>
      </c>
    </row>
    <row r="3892" spans="1:10" x14ac:dyDescent="0.25">
      <c r="A3892">
        <v>101</v>
      </c>
      <c r="B3892" t="s">
        <v>20</v>
      </c>
      <c r="C3892">
        <v>245</v>
      </c>
      <c r="D3892">
        <v>5</v>
      </c>
      <c r="E3892">
        <v>38.5</v>
      </c>
      <c r="F3892">
        <v>11301</v>
      </c>
      <c r="G3892">
        <v>9786</v>
      </c>
      <c r="H3892">
        <v>0</v>
      </c>
      <c r="J3892" t="str">
        <f>VLOOKUP(Table3[[#This Row],[Faction ID]],Table4[],2)</f>
        <v>Gundabad</v>
      </c>
    </row>
    <row r="3893" spans="1:10" x14ac:dyDescent="0.25">
      <c r="A3893">
        <v>101</v>
      </c>
      <c r="B3893" t="s">
        <v>34</v>
      </c>
      <c r="C3893">
        <v>0</v>
      </c>
      <c r="D3893">
        <v>0</v>
      </c>
      <c r="E3893">
        <v>3</v>
      </c>
      <c r="F3893">
        <v>116125</v>
      </c>
      <c r="G3893">
        <v>2354</v>
      </c>
      <c r="H3893">
        <v>0</v>
      </c>
      <c r="J3893" t="str">
        <f>VLOOKUP(Table3[[#This Row],[Faction ID]],Table4[],2)</f>
        <v>Scouts of Rohan</v>
      </c>
    </row>
    <row r="3894" spans="1:10" x14ac:dyDescent="0.25">
      <c r="A3894">
        <v>101</v>
      </c>
      <c r="B3894" t="s">
        <v>33</v>
      </c>
      <c r="C3894">
        <v>6</v>
      </c>
      <c r="D3894">
        <v>4</v>
      </c>
      <c r="E3894">
        <v>87</v>
      </c>
      <c r="F3894">
        <v>112944</v>
      </c>
      <c r="G3894">
        <v>19077</v>
      </c>
      <c r="H3894">
        <v>896</v>
      </c>
      <c r="J3894" t="str">
        <f>VLOOKUP(Table3[[#This Row],[Faction ID]],Table4[],2)</f>
        <v>Northern Enedwaith</v>
      </c>
    </row>
    <row r="3895" spans="1:10" x14ac:dyDescent="0.25">
      <c r="A3895">
        <v>101</v>
      </c>
      <c r="B3895" t="s">
        <v>29</v>
      </c>
      <c r="C3895">
        <v>0</v>
      </c>
      <c r="D3895">
        <v>0</v>
      </c>
      <c r="E3895">
        <v>0</v>
      </c>
      <c r="F3895">
        <v>54023</v>
      </c>
      <c r="G3895">
        <v>1750</v>
      </c>
      <c r="H3895">
        <v>0</v>
      </c>
      <c r="J3895" t="str">
        <f>VLOOKUP(Table3[[#This Row],[Faction ID]],Table4[],2)</f>
        <v>Southern Enedwaith</v>
      </c>
    </row>
    <row r="3896" spans="1:10" x14ac:dyDescent="0.25">
      <c r="A3896">
        <v>101</v>
      </c>
      <c r="B3896" t="s">
        <v>30</v>
      </c>
      <c r="C3896">
        <v>0</v>
      </c>
      <c r="D3896">
        <v>0</v>
      </c>
      <c r="E3896">
        <v>0</v>
      </c>
      <c r="F3896">
        <v>32146</v>
      </c>
      <c r="G3896">
        <v>1750</v>
      </c>
      <c r="H3896">
        <v>0</v>
      </c>
      <c r="J3896" t="str">
        <f>VLOOKUP(Table3[[#This Row],[Faction ID]],Table4[],2)</f>
        <v>Druedain</v>
      </c>
    </row>
    <row r="3897" spans="1:10" x14ac:dyDescent="0.25">
      <c r="A3897">
        <v>101</v>
      </c>
      <c r="B3897" t="s">
        <v>31</v>
      </c>
      <c r="C3897">
        <v>0</v>
      </c>
      <c r="D3897">
        <v>0</v>
      </c>
      <c r="E3897">
        <v>0</v>
      </c>
      <c r="F3897">
        <v>15146</v>
      </c>
      <c r="G3897">
        <v>1750</v>
      </c>
      <c r="H3897">
        <v>0</v>
      </c>
      <c r="J3897" t="str">
        <f>VLOOKUP(Table3[[#This Row],[Faction ID]],Table4[],2)</f>
        <v>Harondor</v>
      </c>
    </row>
    <row r="3898" spans="1:10" x14ac:dyDescent="0.25">
      <c r="A3898">
        <v>101</v>
      </c>
      <c r="B3898" t="s">
        <v>35</v>
      </c>
      <c r="C3898">
        <v>0</v>
      </c>
      <c r="D3898">
        <v>0</v>
      </c>
      <c r="E3898">
        <v>0</v>
      </c>
      <c r="F3898">
        <v>4000</v>
      </c>
      <c r="G3898">
        <v>1750</v>
      </c>
      <c r="H3898">
        <v>0</v>
      </c>
      <c r="J3898" t="str">
        <f>VLOOKUP(Table3[[#This Row],[Faction ID]],Table4[],2)</f>
        <v>Southron Nomads</v>
      </c>
    </row>
    <row r="3899" spans="1:10" x14ac:dyDescent="0.25">
      <c r="A3899">
        <v>101</v>
      </c>
      <c r="B3899" t="s">
        <v>36</v>
      </c>
      <c r="C3899">
        <v>0</v>
      </c>
      <c r="D3899">
        <v>0</v>
      </c>
      <c r="E3899">
        <v>0</v>
      </c>
      <c r="F3899">
        <v>4000</v>
      </c>
      <c r="G3899">
        <v>1750</v>
      </c>
      <c r="H3899">
        <v>0</v>
      </c>
      <c r="J3899" t="str">
        <f>VLOOKUP(Table3[[#This Row],[Faction ID]],Table4[],2)</f>
        <v>_</v>
      </c>
    </row>
    <row r="3900" spans="1:10" x14ac:dyDescent="0.25">
      <c r="A3900">
        <v>101</v>
      </c>
      <c r="B3900" t="s">
        <v>37</v>
      </c>
      <c r="C3900">
        <v>0</v>
      </c>
      <c r="D3900">
        <v>0</v>
      </c>
      <c r="E3900">
        <v>0</v>
      </c>
      <c r="F3900">
        <v>4000</v>
      </c>
      <c r="G3900">
        <v>1750</v>
      </c>
      <c r="H3900">
        <v>0</v>
      </c>
      <c r="J3900" t="str">
        <f>VLOOKUP(Table3[[#This Row],[Faction ID]],Table4[],2)</f>
        <v>_</v>
      </c>
    </row>
    <row r="3901" spans="1:10" x14ac:dyDescent="0.25">
      <c r="A3901">
        <v>101</v>
      </c>
      <c r="B3901" t="s">
        <v>38</v>
      </c>
      <c r="C3901">
        <v>0</v>
      </c>
      <c r="D3901">
        <v>0</v>
      </c>
      <c r="E3901">
        <v>0</v>
      </c>
      <c r="F3901">
        <v>4000</v>
      </c>
      <c r="G3901">
        <v>1750</v>
      </c>
      <c r="H3901">
        <v>0</v>
      </c>
      <c r="J3901" t="str">
        <f>VLOOKUP(Table3[[#This Row],[Faction ID]],Table4[],2)</f>
        <v>_</v>
      </c>
    </row>
    <row r="3902" spans="1:10" x14ac:dyDescent="0.25">
      <c r="A3902">
        <v>101</v>
      </c>
      <c r="B3902" t="s">
        <v>39</v>
      </c>
      <c r="C3902">
        <v>0</v>
      </c>
      <c r="D3902">
        <v>0</v>
      </c>
      <c r="E3902">
        <v>0</v>
      </c>
      <c r="F3902">
        <v>4000</v>
      </c>
      <c r="G3902">
        <v>1750</v>
      </c>
      <c r="H3902">
        <v>0</v>
      </c>
      <c r="J3902" t="str">
        <f>VLOOKUP(Table3[[#This Row],[Faction ID]],Table4[],2)</f>
        <v>_</v>
      </c>
    </row>
    <row r="3903" spans="1:10" x14ac:dyDescent="0.25">
      <c r="A3903">
        <v>101</v>
      </c>
      <c r="B3903" t="s">
        <v>40</v>
      </c>
      <c r="C3903">
        <v>0</v>
      </c>
      <c r="D3903">
        <v>0</v>
      </c>
      <c r="E3903">
        <v>0</v>
      </c>
      <c r="F3903">
        <v>4000</v>
      </c>
      <c r="G3903">
        <v>1750</v>
      </c>
      <c r="H3903">
        <v>0</v>
      </c>
      <c r="J3903" t="str">
        <f>VLOOKUP(Table3[[#This Row],[Faction ID]],Table4[],2)</f>
        <v>_</v>
      </c>
    </row>
    <row r="3904" spans="1:10" x14ac:dyDescent="0.25">
      <c r="A3904">
        <v>101</v>
      </c>
      <c r="B3904" t="s">
        <v>41</v>
      </c>
      <c r="C3904">
        <v>0</v>
      </c>
      <c r="D3904">
        <v>0</v>
      </c>
      <c r="E3904">
        <v>0</v>
      </c>
      <c r="F3904">
        <v>4000</v>
      </c>
      <c r="G3904">
        <v>1750</v>
      </c>
      <c r="H3904">
        <v>0</v>
      </c>
      <c r="J3904" t="str">
        <f>VLOOKUP(Table3[[#This Row],[Faction ID]],Table4[],2)</f>
        <v>_</v>
      </c>
    </row>
    <row r="3905" spans="1:10" x14ac:dyDescent="0.25">
      <c r="A3905">
        <v>101</v>
      </c>
      <c r="B3905" t="s">
        <v>42</v>
      </c>
      <c r="C3905">
        <v>0</v>
      </c>
      <c r="D3905">
        <v>0</v>
      </c>
      <c r="E3905">
        <v>0</v>
      </c>
      <c r="F3905">
        <v>4000</v>
      </c>
      <c r="G3905">
        <v>1750</v>
      </c>
      <c r="H3905">
        <v>0</v>
      </c>
      <c r="J3905" t="str">
        <f>VLOOKUP(Table3[[#This Row],[Faction ID]],Table4[],2)</f>
        <v>_</v>
      </c>
    </row>
    <row r="3906" spans="1:10" x14ac:dyDescent="0.25">
      <c r="A3906">
        <v>101</v>
      </c>
      <c r="B3906" t="s">
        <v>43</v>
      </c>
      <c r="C3906">
        <v>0</v>
      </c>
      <c r="D3906">
        <v>0</v>
      </c>
      <c r="E3906">
        <v>0</v>
      </c>
      <c r="F3906">
        <v>4000</v>
      </c>
      <c r="G3906">
        <v>1750</v>
      </c>
      <c r="H3906">
        <v>0</v>
      </c>
      <c r="J3906" t="str">
        <f>VLOOKUP(Table3[[#This Row],[Faction ID]],Table4[],2)</f>
        <v>_</v>
      </c>
    </row>
    <row r="3907" spans="1:10" x14ac:dyDescent="0.25">
      <c r="A3907">
        <v>101</v>
      </c>
      <c r="B3907" t="s">
        <v>44</v>
      </c>
      <c r="C3907">
        <v>0</v>
      </c>
      <c r="D3907">
        <v>0</v>
      </c>
      <c r="E3907">
        <v>0</v>
      </c>
      <c r="F3907">
        <v>4000</v>
      </c>
      <c r="G3907">
        <v>1750</v>
      </c>
      <c r="H3907">
        <v>0</v>
      </c>
      <c r="J3907" t="str">
        <f>VLOOKUP(Table3[[#This Row],[Faction ID]],Table4[],2)</f>
        <v>_</v>
      </c>
    </row>
    <row r="3908" spans="1:10" x14ac:dyDescent="0.25">
      <c r="A3908">
        <v>102</v>
      </c>
      <c r="B3908" t="s">
        <v>9</v>
      </c>
      <c r="C3908">
        <v>508</v>
      </c>
      <c r="D3908">
        <v>29</v>
      </c>
      <c r="E3908">
        <v>349.1</v>
      </c>
      <c r="F3908">
        <v>1922</v>
      </c>
      <c r="G3908">
        <v>47526</v>
      </c>
      <c r="H3908">
        <v>3426</v>
      </c>
      <c r="J3908" t="str">
        <f>VLOOKUP(Table3[[#This Row],[Faction ID]],Table4[],2)</f>
        <v>Mordor</v>
      </c>
    </row>
    <row r="3909" spans="1:10" x14ac:dyDescent="0.25">
      <c r="A3909">
        <v>102</v>
      </c>
      <c r="B3909" t="s">
        <v>4</v>
      </c>
      <c r="C3909">
        <v>146</v>
      </c>
      <c r="D3909">
        <v>0</v>
      </c>
      <c r="E3909">
        <v>0</v>
      </c>
      <c r="F3909">
        <v>55420</v>
      </c>
      <c r="G3909">
        <v>2500</v>
      </c>
      <c r="H3909">
        <v>0</v>
      </c>
      <c r="J3909" t="str">
        <f>VLOOKUP(Table3[[#This Row],[Faction ID]],Table4[],2)</f>
        <v>Gondor</v>
      </c>
    </row>
    <row r="3910" spans="1:10" x14ac:dyDescent="0.25">
      <c r="A3910">
        <v>102</v>
      </c>
      <c r="B3910" t="s">
        <v>6</v>
      </c>
      <c r="C3910">
        <v>199</v>
      </c>
      <c r="D3910">
        <v>0</v>
      </c>
      <c r="E3910">
        <v>0</v>
      </c>
      <c r="F3910">
        <v>10343</v>
      </c>
      <c r="G3910">
        <v>2500</v>
      </c>
      <c r="H3910">
        <v>0</v>
      </c>
      <c r="J3910" t="str">
        <f>VLOOKUP(Table3[[#This Row],[Faction ID]],Table4[],2)</f>
        <v>Dale</v>
      </c>
    </row>
    <row r="3911" spans="1:10" x14ac:dyDescent="0.25">
      <c r="A3911">
        <v>102</v>
      </c>
      <c r="B3911" t="s">
        <v>21</v>
      </c>
      <c r="C3911">
        <v>200</v>
      </c>
      <c r="D3911">
        <v>0</v>
      </c>
      <c r="E3911">
        <v>0</v>
      </c>
      <c r="F3911">
        <v>10040</v>
      </c>
      <c r="G3911">
        <v>2500</v>
      </c>
      <c r="H3911">
        <v>0</v>
      </c>
      <c r="J3911" t="str">
        <f>VLOOKUP(Table3[[#This Row],[Faction ID]],Table4[],2)</f>
        <v>Erebor</v>
      </c>
    </row>
    <row r="3912" spans="1:10" x14ac:dyDescent="0.25">
      <c r="A3912">
        <v>102</v>
      </c>
      <c r="B3912" t="s">
        <v>5</v>
      </c>
      <c r="C3912">
        <v>157</v>
      </c>
      <c r="D3912">
        <v>0</v>
      </c>
      <c r="E3912">
        <v>0</v>
      </c>
      <c r="F3912">
        <v>6638</v>
      </c>
      <c r="G3912">
        <v>2500</v>
      </c>
      <c r="H3912">
        <v>0</v>
      </c>
      <c r="J3912" t="str">
        <f>VLOOKUP(Table3[[#This Row],[Faction ID]],Table4[],2)</f>
        <v>Rohan</v>
      </c>
    </row>
    <row r="3913" spans="1:10" x14ac:dyDescent="0.25">
      <c r="A3913">
        <v>102</v>
      </c>
      <c r="B3913" t="s">
        <v>12</v>
      </c>
      <c r="C3913">
        <v>395</v>
      </c>
      <c r="D3913">
        <v>20</v>
      </c>
      <c r="E3913">
        <v>306</v>
      </c>
      <c r="F3913">
        <v>45062</v>
      </c>
      <c r="G3913">
        <v>42904</v>
      </c>
      <c r="H3913">
        <v>3798</v>
      </c>
      <c r="J3913" t="str">
        <f>VLOOKUP(Table3[[#This Row],[Faction ID]],Table4[],2)</f>
        <v>Dol Guldur</v>
      </c>
    </row>
    <row r="3914" spans="1:10" x14ac:dyDescent="0.25">
      <c r="A3914">
        <v>102</v>
      </c>
      <c r="B3914" t="s">
        <v>10</v>
      </c>
      <c r="C3914">
        <v>58</v>
      </c>
      <c r="D3914">
        <v>0</v>
      </c>
      <c r="E3914">
        <v>0</v>
      </c>
      <c r="F3914">
        <v>4515</v>
      </c>
      <c r="G3914">
        <v>2500</v>
      </c>
      <c r="H3914">
        <v>0</v>
      </c>
      <c r="J3914" t="str">
        <f>VLOOKUP(Table3[[#This Row],[Faction ID]],Table4[],2)</f>
        <v>Anduin Vale</v>
      </c>
    </row>
    <row r="3915" spans="1:10" x14ac:dyDescent="0.25">
      <c r="A3915">
        <v>102</v>
      </c>
      <c r="B3915" t="s">
        <v>32</v>
      </c>
      <c r="C3915">
        <v>272</v>
      </c>
      <c r="D3915">
        <v>8</v>
      </c>
      <c r="E3915">
        <v>205.8</v>
      </c>
      <c r="F3915">
        <v>105858</v>
      </c>
      <c r="G3915">
        <v>27385</v>
      </c>
      <c r="H3915">
        <v>1359</v>
      </c>
      <c r="J3915" t="str">
        <f>VLOOKUP(Table3[[#This Row],[Faction ID]],Table4[],2)</f>
        <v>Isengard</v>
      </c>
    </row>
    <row r="3916" spans="1:10" x14ac:dyDescent="0.25">
      <c r="A3916">
        <v>102</v>
      </c>
      <c r="B3916" t="s">
        <v>22</v>
      </c>
      <c r="C3916">
        <v>30</v>
      </c>
      <c r="D3916">
        <v>0</v>
      </c>
      <c r="E3916">
        <v>0</v>
      </c>
      <c r="F3916">
        <v>8475</v>
      </c>
      <c r="G3916">
        <v>2500</v>
      </c>
      <c r="H3916">
        <v>0</v>
      </c>
      <c r="J3916" t="str">
        <f>VLOOKUP(Table3[[#This Row],[Faction ID]],Table4[],2)</f>
        <v>Woodland Realm</v>
      </c>
    </row>
    <row r="3917" spans="1:10" x14ac:dyDescent="0.25">
      <c r="A3917">
        <v>102</v>
      </c>
      <c r="B3917" t="s">
        <v>23</v>
      </c>
      <c r="C3917">
        <v>64</v>
      </c>
      <c r="D3917">
        <v>0</v>
      </c>
      <c r="E3917">
        <v>0</v>
      </c>
      <c r="F3917">
        <v>4721</v>
      </c>
      <c r="G3917">
        <v>2500</v>
      </c>
      <c r="H3917">
        <v>0</v>
      </c>
      <c r="J3917" t="str">
        <f>VLOOKUP(Table3[[#This Row],[Faction ID]],Table4[],2)</f>
        <v>Lothlorien</v>
      </c>
    </row>
    <row r="3918" spans="1:10" x14ac:dyDescent="0.25">
      <c r="A3918">
        <v>102</v>
      </c>
      <c r="B3918" t="s">
        <v>24</v>
      </c>
      <c r="C3918">
        <v>0</v>
      </c>
      <c r="D3918">
        <v>0</v>
      </c>
      <c r="E3918">
        <v>0</v>
      </c>
      <c r="F3918">
        <v>4919</v>
      </c>
      <c r="G3918">
        <v>1750</v>
      </c>
      <c r="H3918">
        <v>0</v>
      </c>
      <c r="J3918" t="str">
        <f>VLOOKUP(Table3[[#This Row],[Faction ID]],Table4[],2)</f>
        <v>Variags (Khand)</v>
      </c>
    </row>
    <row r="3919" spans="1:10" x14ac:dyDescent="0.25">
      <c r="A3919">
        <v>102</v>
      </c>
      <c r="B3919" t="s">
        <v>14</v>
      </c>
      <c r="C3919">
        <v>16</v>
      </c>
      <c r="D3919">
        <v>11</v>
      </c>
      <c r="E3919">
        <v>174.7</v>
      </c>
      <c r="F3919">
        <v>133198</v>
      </c>
      <c r="G3919">
        <v>40407</v>
      </c>
      <c r="H3919">
        <v>3453</v>
      </c>
      <c r="J3919" t="str">
        <f>VLOOKUP(Table3[[#This Row],[Faction ID]],Table4[],2)</f>
        <v>Corsairs of Umbar</v>
      </c>
    </row>
    <row r="3920" spans="1:10" x14ac:dyDescent="0.25">
      <c r="A3920">
        <v>102</v>
      </c>
      <c r="B3920" t="s">
        <v>25</v>
      </c>
      <c r="C3920">
        <v>0</v>
      </c>
      <c r="D3920">
        <v>0</v>
      </c>
      <c r="E3920">
        <v>0</v>
      </c>
      <c r="F3920">
        <v>9228</v>
      </c>
      <c r="G3920">
        <v>1750</v>
      </c>
      <c r="H3920">
        <v>0</v>
      </c>
      <c r="J3920" t="str">
        <f>VLOOKUP(Table3[[#This Row],[Faction ID]],Table4[],2)</f>
        <v>Mahud</v>
      </c>
    </row>
    <row r="3921" spans="1:10" x14ac:dyDescent="0.25">
      <c r="A3921">
        <v>102</v>
      </c>
      <c r="B3921" t="s">
        <v>11</v>
      </c>
      <c r="C3921">
        <v>182</v>
      </c>
      <c r="D3921">
        <v>12</v>
      </c>
      <c r="E3921">
        <v>211.6</v>
      </c>
      <c r="F3921">
        <v>21815</v>
      </c>
      <c r="G3921">
        <v>32905</v>
      </c>
      <c r="H3921">
        <v>1682</v>
      </c>
      <c r="J3921" t="str">
        <f>VLOOKUP(Table3[[#This Row],[Faction ID]],Table4[],2)</f>
        <v>Haradrim</v>
      </c>
    </row>
    <row r="3922" spans="1:10" x14ac:dyDescent="0.25">
      <c r="A3922">
        <v>102</v>
      </c>
      <c r="B3922" t="s">
        <v>15</v>
      </c>
      <c r="C3922">
        <v>274</v>
      </c>
      <c r="D3922">
        <v>12</v>
      </c>
      <c r="E3922">
        <v>258</v>
      </c>
      <c r="F3922">
        <v>175791</v>
      </c>
      <c r="G3922">
        <v>43597</v>
      </c>
      <c r="H3922">
        <v>2830</v>
      </c>
      <c r="J3922" t="str">
        <f>VLOOKUP(Table3[[#This Row],[Faction ID]],Table4[],2)</f>
        <v>Dunlendings</v>
      </c>
    </row>
    <row r="3923" spans="1:10" x14ac:dyDescent="0.25">
      <c r="A3923">
        <v>102</v>
      </c>
      <c r="B3923" t="s">
        <v>16</v>
      </c>
      <c r="C3923">
        <v>0</v>
      </c>
      <c r="D3923">
        <v>0</v>
      </c>
      <c r="E3923">
        <v>0</v>
      </c>
      <c r="F3923">
        <v>5352</v>
      </c>
      <c r="G3923">
        <v>1750</v>
      </c>
      <c r="H3923">
        <v>0</v>
      </c>
      <c r="J3923" t="str">
        <f>VLOOKUP(Table3[[#This Row],[Faction ID]],Table4[],2)</f>
        <v>Haerrim</v>
      </c>
    </row>
    <row r="3924" spans="1:10" x14ac:dyDescent="0.25">
      <c r="A3924">
        <v>102</v>
      </c>
      <c r="B3924" t="s">
        <v>13</v>
      </c>
      <c r="C3924">
        <v>550</v>
      </c>
      <c r="D3924">
        <v>23</v>
      </c>
      <c r="E3924">
        <v>408.3</v>
      </c>
      <c r="F3924">
        <v>79376</v>
      </c>
      <c r="G3924">
        <v>57386</v>
      </c>
      <c r="H3924">
        <v>5916</v>
      </c>
      <c r="J3924" t="str">
        <f>VLOOKUP(Table3[[#This Row],[Faction ID]],Table4[],2)</f>
        <v>Goblins</v>
      </c>
    </row>
    <row r="3925" spans="1:10" x14ac:dyDescent="0.25">
      <c r="A3925">
        <v>102</v>
      </c>
      <c r="B3925" t="s">
        <v>17</v>
      </c>
      <c r="C3925">
        <v>0</v>
      </c>
      <c r="D3925">
        <v>0</v>
      </c>
      <c r="E3925">
        <v>0</v>
      </c>
      <c r="F3925">
        <v>4872</v>
      </c>
      <c r="G3925">
        <v>1750</v>
      </c>
      <c r="H3925">
        <v>0</v>
      </c>
      <c r="J3925" t="str">
        <f>VLOOKUP(Table3[[#This Row],[Faction ID]],Table4[],2)</f>
        <v>Balchoth</v>
      </c>
    </row>
    <row r="3926" spans="1:10" x14ac:dyDescent="0.25">
      <c r="A3926">
        <v>102</v>
      </c>
      <c r="B3926" t="s">
        <v>18</v>
      </c>
      <c r="C3926">
        <v>437</v>
      </c>
      <c r="D3926">
        <v>29</v>
      </c>
      <c r="E3926">
        <v>411.9</v>
      </c>
      <c r="F3926">
        <v>53195</v>
      </c>
      <c r="G3926">
        <v>47957</v>
      </c>
      <c r="H3926">
        <v>2645</v>
      </c>
      <c r="J3926" t="str">
        <f>VLOOKUP(Table3[[#This Row],[Faction ID]],Table4[],2)</f>
        <v>Rhurim/Rhun</v>
      </c>
    </row>
    <row r="3927" spans="1:10" x14ac:dyDescent="0.25">
      <c r="A3927">
        <v>102</v>
      </c>
      <c r="B3927" t="s">
        <v>19</v>
      </c>
      <c r="C3927">
        <v>0</v>
      </c>
      <c r="D3927">
        <v>0</v>
      </c>
      <c r="E3927">
        <v>0</v>
      </c>
      <c r="F3927">
        <v>7360</v>
      </c>
      <c r="G3927">
        <v>1750</v>
      </c>
      <c r="H3927">
        <v>0</v>
      </c>
      <c r="J3927" t="str">
        <f>VLOOKUP(Table3[[#This Row],[Faction ID]],Table4[],2)</f>
        <v>Feredrim</v>
      </c>
    </row>
    <row r="3928" spans="1:10" x14ac:dyDescent="0.25">
      <c r="A3928">
        <v>102</v>
      </c>
      <c r="B3928" t="s">
        <v>26</v>
      </c>
      <c r="C3928">
        <v>0</v>
      </c>
      <c r="D3928">
        <v>0</v>
      </c>
      <c r="E3928">
        <v>0</v>
      </c>
      <c r="F3928">
        <v>6395</v>
      </c>
      <c r="G3928">
        <v>1750</v>
      </c>
      <c r="H3928">
        <v>0</v>
      </c>
      <c r="J3928" t="str">
        <f>VLOOKUP(Table3[[#This Row],[Faction ID]],Table4[],2)</f>
        <v>Rachrohir (Wainriders)</v>
      </c>
    </row>
    <row r="3929" spans="1:10" x14ac:dyDescent="0.25">
      <c r="A3929">
        <v>102</v>
      </c>
      <c r="B3929" t="s">
        <v>27</v>
      </c>
      <c r="C3929">
        <v>1</v>
      </c>
      <c r="D3929">
        <v>1</v>
      </c>
      <c r="E3929">
        <v>20.6</v>
      </c>
      <c r="F3929">
        <v>7825</v>
      </c>
      <c r="G3929">
        <v>3745</v>
      </c>
      <c r="H3929">
        <v>0</v>
      </c>
      <c r="J3929" t="str">
        <f>VLOOKUP(Table3[[#This Row],[Faction ID]],Table4[],2)</f>
        <v>Blacklock-Stonefoot League</v>
      </c>
    </row>
    <row r="3930" spans="1:10" x14ac:dyDescent="0.25">
      <c r="A3930">
        <v>102</v>
      </c>
      <c r="B3930" t="s">
        <v>28</v>
      </c>
      <c r="C3930">
        <v>6</v>
      </c>
      <c r="D3930">
        <v>3</v>
      </c>
      <c r="E3930">
        <v>68</v>
      </c>
      <c r="F3930">
        <v>33023</v>
      </c>
      <c r="G3930">
        <v>13958</v>
      </c>
      <c r="H3930">
        <v>0</v>
      </c>
      <c r="J3930" t="str">
        <f>VLOOKUP(Table3[[#This Row],[Faction ID]],Table4[],2)</f>
        <v>Ironfist-Stiffbeard Union</v>
      </c>
    </row>
    <row r="3931" spans="1:10" x14ac:dyDescent="0.25">
      <c r="A3931">
        <v>102</v>
      </c>
      <c r="B3931" t="s">
        <v>20</v>
      </c>
      <c r="C3931">
        <v>244</v>
      </c>
      <c r="D3931">
        <v>4</v>
      </c>
      <c r="E3931">
        <v>37</v>
      </c>
      <c r="F3931">
        <v>11304</v>
      </c>
      <c r="G3931">
        <v>9049</v>
      </c>
      <c r="H3931">
        <v>0</v>
      </c>
      <c r="J3931" t="str">
        <f>VLOOKUP(Table3[[#This Row],[Faction ID]],Table4[],2)</f>
        <v>Gundabad</v>
      </c>
    </row>
    <row r="3932" spans="1:10" x14ac:dyDescent="0.25">
      <c r="A3932">
        <v>102</v>
      </c>
      <c r="B3932" t="s">
        <v>34</v>
      </c>
      <c r="C3932">
        <v>0</v>
      </c>
      <c r="D3932">
        <v>0</v>
      </c>
      <c r="E3932">
        <v>3</v>
      </c>
      <c r="F3932">
        <v>117271</v>
      </c>
      <c r="G3932">
        <v>2354</v>
      </c>
      <c r="H3932">
        <v>0</v>
      </c>
      <c r="J3932" t="str">
        <f>VLOOKUP(Table3[[#This Row],[Faction ID]],Table4[],2)</f>
        <v>Scouts of Rohan</v>
      </c>
    </row>
    <row r="3933" spans="1:10" x14ac:dyDescent="0.25">
      <c r="A3933">
        <v>102</v>
      </c>
      <c r="B3933" t="s">
        <v>33</v>
      </c>
      <c r="C3933">
        <v>6</v>
      </c>
      <c r="D3933">
        <v>4</v>
      </c>
      <c r="E3933">
        <v>90</v>
      </c>
      <c r="F3933">
        <v>114544</v>
      </c>
      <c r="G3933">
        <v>19560</v>
      </c>
      <c r="H3933">
        <v>899</v>
      </c>
      <c r="J3933" t="str">
        <f>VLOOKUP(Table3[[#This Row],[Faction ID]],Table4[],2)</f>
        <v>Northern Enedwaith</v>
      </c>
    </row>
    <row r="3934" spans="1:10" x14ac:dyDescent="0.25">
      <c r="A3934">
        <v>102</v>
      </c>
      <c r="B3934" t="s">
        <v>29</v>
      </c>
      <c r="C3934">
        <v>0</v>
      </c>
      <c r="D3934">
        <v>0</v>
      </c>
      <c r="E3934">
        <v>0</v>
      </c>
      <c r="F3934">
        <v>54023</v>
      </c>
      <c r="G3934">
        <v>1750</v>
      </c>
      <c r="H3934">
        <v>0</v>
      </c>
      <c r="J3934" t="str">
        <f>VLOOKUP(Table3[[#This Row],[Faction ID]],Table4[],2)</f>
        <v>Southern Enedwaith</v>
      </c>
    </row>
    <row r="3935" spans="1:10" x14ac:dyDescent="0.25">
      <c r="A3935">
        <v>102</v>
      </c>
      <c r="B3935" t="s">
        <v>30</v>
      </c>
      <c r="C3935">
        <v>0</v>
      </c>
      <c r="D3935">
        <v>0</v>
      </c>
      <c r="E3935">
        <v>0</v>
      </c>
      <c r="F3935">
        <v>32146</v>
      </c>
      <c r="G3935">
        <v>1750</v>
      </c>
      <c r="H3935">
        <v>0</v>
      </c>
      <c r="J3935" t="str">
        <f>VLOOKUP(Table3[[#This Row],[Faction ID]],Table4[],2)</f>
        <v>Druedain</v>
      </c>
    </row>
    <row r="3936" spans="1:10" x14ac:dyDescent="0.25">
      <c r="A3936">
        <v>102</v>
      </c>
      <c r="B3936" t="s">
        <v>31</v>
      </c>
      <c r="C3936">
        <v>0</v>
      </c>
      <c r="D3936">
        <v>0</v>
      </c>
      <c r="E3936">
        <v>0</v>
      </c>
      <c r="F3936">
        <v>15146</v>
      </c>
      <c r="G3936">
        <v>1750</v>
      </c>
      <c r="H3936">
        <v>0</v>
      </c>
      <c r="J3936" t="str">
        <f>VLOOKUP(Table3[[#This Row],[Faction ID]],Table4[],2)</f>
        <v>Harondor</v>
      </c>
    </row>
    <row r="3937" spans="1:10" x14ac:dyDescent="0.25">
      <c r="A3937">
        <v>102</v>
      </c>
      <c r="B3937" t="s">
        <v>35</v>
      </c>
      <c r="C3937">
        <v>0</v>
      </c>
      <c r="D3937">
        <v>0</v>
      </c>
      <c r="E3937">
        <v>0</v>
      </c>
      <c r="F3937">
        <v>4000</v>
      </c>
      <c r="G3937">
        <v>1750</v>
      </c>
      <c r="H3937">
        <v>0</v>
      </c>
      <c r="J3937" t="str">
        <f>VLOOKUP(Table3[[#This Row],[Faction ID]],Table4[],2)</f>
        <v>Southron Nomads</v>
      </c>
    </row>
    <row r="3938" spans="1:10" x14ac:dyDescent="0.25">
      <c r="A3938">
        <v>102</v>
      </c>
      <c r="B3938" t="s">
        <v>36</v>
      </c>
      <c r="C3938">
        <v>0</v>
      </c>
      <c r="D3938">
        <v>0</v>
      </c>
      <c r="E3938">
        <v>0</v>
      </c>
      <c r="F3938">
        <v>4000</v>
      </c>
      <c r="G3938">
        <v>1750</v>
      </c>
      <c r="H3938">
        <v>0</v>
      </c>
      <c r="J3938" t="str">
        <f>VLOOKUP(Table3[[#This Row],[Faction ID]],Table4[],2)</f>
        <v>_</v>
      </c>
    </row>
    <row r="3939" spans="1:10" x14ac:dyDescent="0.25">
      <c r="A3939">
        <v>102</v>
      </c>
      <c r="B3939" t="s">
        <v>37</v>
      </c>
      <c r="C3939">
        <v>0</v>
      </c>
      <c r="D3939">
        <v>0</v>
      </c>
      <c r="E3939">
        <v>0</v>
      </c>
      <c r="F3939">
        <v>4000</v>
      </c>
      <c r="G3939">
        <v>1750</v>
      </c>
      <c r="H3939">
        <v>0</v>
      </c>
      <c r="J3939" t="str">
        <f>VLOOKUP(Table3[[#This Row],[Faction ID]],Table4[],2)</f>
        <v>_</v>
      </c>
    </row>
    <row r="3940" spans="1:10" x14ac:dyDescent="0.25">
      <c r="A3940">
        <v>102</v>
      </c>
      <c r="B3940" t="s">
        <v>38</v>
      </c>
      <c r="C3940">
        <v>0</v>
      </c>
      <c r="D3940">
        <v>0</v>
      </c>
      <c r="E3940">
        <v>0</v>
      </c>
      <c r="F3940">
        <v>4000</v>
      </c>
      <c r="G3940">
        <v>1750</v>
      </c>
      <c r="H3940">
        <v>0</v>
      </c>
      <c r="J3940" t="str">
        <f>VLOOKUP(Table3[[#This Row],[Faction ID]],Table4[],2)</f>
        <v>_</v>
      </c>
    </row>
    <row r="3941" spans="1:10" x14ac:dyDescent="0.25">
      <c r="A3941">
        <v>102</v>
      </c>
      <c r="B3941" t="s">
        <v>39</v>
      </c>
      <c r="C3941">
        <v>0</v>
      </c>
      <c r="D3941">
        <v>0</v>
      </c>
      <c r="E3941">
        <v>0</v>
      </c>
      <c r="F3941">
        <v>4000</v>
      </c>
      <c r="G3941">
        <v>1750</v>
      </c>
      <c r="H3941">
        <v>0</v>
      </c>
      <c r="J3941" t="str">
        <f>VLOOKUP(Table3[[#This Row],[Faction ID]],Table4[],2)</f>
        <v>_</v>
      </c>
    </row>
    <row r="3942" spans="1:10" x14ac:dyDescent="0.25">
      <c r="A3942">
        <v>102</v>
      </c>
      <c r="B3942" t="s">
        <v>40</v>
      </c>
      <c r="C3942">
        <v>0</v>
      </c>
      <c r="D3942">
        <v>0</v>
      </c>
      <c r="E3942">
        <v>0</v>
      </c>
      <c r="F3942">
        <v>4000</v>
      </c>
      <c r="G3942">
        <v>1750</v>
      </c>
      <c r="H3942">
        <v>0</v>
      </c>
      <c r="J3942" t="str">
        <f>VLOOKUP(Table3[[#This Row],[Faction ID]],Table4[],2)</f>
        <v>_</v>
      </c>
    </row>
    <row r="3943" spans="1:10" x14ac:dyDescent="0.25">
      <c r="A3943">
        <v>102</v>
      </c>
      <c r="B3943" t="s">
        <v>41</v>
      </c>
      <c r="C3943">
        <v>0</v>
      </c>
      <c r="D3943">
        <v>0</v>
      </c>
      <c r="E3943">
        <v>0</v>
      </c>
      <c r="F3943">
        <v>4000</v>
      </c>
      <c r="G3943">
        <v>1750</v>
      </c>
      <c r="H3943">
        <v>0</v>
      </c>
      <c r="J3943" t="str">
        <f>VLOOKUP(Table3[[#This Row],[Faction ID]],Table4[],2)</f>
        <v>_</v>
      </c>
    </row>
    <row r="3944" spans="1:10" x14ac:dyDescent="0.25">
      <c r="A3944">
        <v>102</v>
      </c>
      <c r="B3944" t="s">
        <v>42</v>
      </c>
      <c r="C3944">
        <v>0</v>
      </c>
      <c r="D3944">
        <v>0</v>
      </c>
      <c r="E3944">
        <v>0</v>
      </c>
      <c r="F3944">
        <v>4000</v>
      </c>
      <c r="G3944">
        <v>1750</v>
      </c>
      <c r="H3944">
        <v>0</v>
      </c>
      <c r="J3944" t="str">
        <f>VLOOKUP(Table3[[#This Row],[Faction ID]],Table4[],2)</f>
        <v>_</v>
      </c>
    </row>
    <row r="3945" spans="1:10" x14ac:dyDescent="0.25">
      <c r="A3945">
        <v>102</v>
      </c>
      <c r="B3945" t="s">
        <v>43</v>
      </c>
      <c r="C3945">
        <v>0</v>
      </c>
      <c r="D3945">
        <v>0</v>
      </c>
      <c r="E3945">
        <v>0</v>
      </c>
      <c r="F3945">
        <v>4000</v>
      </c>
      <c r="G3945">
        <v>1750</v>
      </c>
      <c r="H3945">
        <v>0</v>
      </c>
      <c r="J3945" t="str">
        <f>VLOOKUP(Table3[[#This Row],[Faction ID]],Table4[],2)</f>
        <v>_</v>
      </c>
    </row>
    <row r="3946" spans="1:10" x14ac:dyDescent="0.25">
      <c r="A3946">
        <v>102</v>
      </c>
      <c r="B3946" t="s">
        <v>44</v>
      </c>
      <c r="C3946">
        <v>0</v>
      </c>
      <c r="D3946">
        <v>0</v>
      </c>
      <c r="E3946">
        <v>0</v>
      </c>
      <c r="F3946">
        <v>4000</v>
      </c>
      <c r="G3946">
        <v>1750</v>
      </c>
      <c r="H3946">
        <v>0</v>
      </c>
      <c r="J3946" t="str">
        <f>VLOOKUP(Table3[[#This Row],[Faction ID]],Table4[],2)</f>
        <v>_</v>
      </c>
    </row>
    <row r="3947" spans="1:10" x14ac:dyDescent="0.25">
      <c r="A3947">
        <v>103</v>
      </c>
      <c r="B3947" t="s">
        <v>9</v>
      </c>
      <c r="C3947">
        <v>521</v>
      </c>
      <c r="D3947">
        <v>29</v>
      </c>
      <c r="E3947">
        <v>351.1</v>
      </c>
      <c r="F3947">
        <v>1908</v>
      </c>
      <c r="G3947">
        <v>47659</v>
      </c>
      <c r="H3947">
        <v>3445</v>
      </c>
      <c r="J3947" t="str">
        <f>VLOOKUP(Table3[[#This Row],[Faction ID]],Table4[],2)</f>
        <v>Mordor</v>
      </c>
    </row>
    <row r="3948" spans="1:10" x14ac:dyDescent="0.25">
      <c r="A3948">
        <v>103</v>
      </c>
      <c r="B3948" t="s">
        <v>4</v>
      </c>
      <c r="C3948">
        <v>146</v>
      </c>
      <c r="D3948">
        <v>0</v>
      </c>
      <c r="E3948">
        <v>0</v>
      </c>
      <c r="F3948">
        <v>55420</v>
      </c>
      <c r="G3948">
        <v>2500</v>
      </c>
      <c r="H3948">
        <v>0</v>
      </c>
      <c r="J3948" t="str">
        <f>VLOOKUP(Table3[[#This Row],[Faction ID]],Table4[],2)</f>
        <v>Gondor</v>
      </c>
    </row>
    <row r="3949" spans="1:10" x14ac:dyDescent="0.25">
      <c r="A3949">
        <v>103</v>
      </c>
      <c r="B3949" t="s">
        <v>6</v>
      </c>
      <c r="C3949">
        <v>199</v>
      </c>
      <c r="D3949">
        <v>0</v>
      </c>
      <c r="E3949">
        <v>0</v>
      </c>
      <c r="F3949">
        <v>10343</v>
      </c>
      <c r="G3949">
        <v>2500</v>
      </c>
      <c r="H3949">
        <v>0</v>
      </c>
      <c r="J3949" t="str">
        <f>VLOOKUP(Table3[[#This Row],[Faction ID]],Table4[],2)</f>
        <v>Dale</v>
      </c>
    </row>
    <row r="3950" spans="1:10" x14ac:dyDescent="0.25">
      <c r="A3950">
        <v>103</v>
      </c>
      <c r="B3950" t="s">
        <v>21</v>
      </c>
      <c r="C3950">
        <v>200</v>
      </c>
      <c r="D3950">
        <v>0</v>
      </c>
      <c r="E3950">
        <v>0</v>
      </c>
      <c r="F3950">
        <v>10040</v>
      </c>
      <c r="G3950">
        <v>2500</v>
      </c>
      <c r="H3950">
        <v>0</v>
      </c>
      <c r="J3950" t="str">
        <f>VLOOKUP(Table3[[#This Row],[Faction ID]],Table4[],2)</f>
        <v>Erebor</v>
      </c>
    </row>
    <row r="3951" spans="1:10" x14ac:dyDescent="0.25">
      <c r="A3951">
        <v>103</v>
      </c>
      <c r="B3951" t="s">
        <v>5</v>
      </c>
      <c r="C3951">
        <v>157</v>
      </c>
      <c r="D3951">
        <v>0</v>
      </c>
      <c r="E3951">
        <v>0</v>
      </c>
      <c r="F3951">
        <v>6638</v>
      </c>
      <c r="G3951">
        <v>2500</v>
      </c>
      <c r="H3951">
        <v>0</v>
      </c>
      <c r="J3951" t="str">
        <f>VLOOKUP(Table3[[#This Row],[Faction ID]],Table4[],2)</f>
        <v>Rohan</v>
      </c>
    </row>
    <row r="3952" spans="1:10" x14ac:dyDescent="0.25">
      <c r="A3952">
        <v>103</v>
      </c>
      <c r="B3952" t="s">
        <v>12</v>
      </c>
      <c r="C3952">
        <v>412</v>
      </c>
      <c r="D3952">
        <v>20</v>
      </c>
      <c r="E3952">
        <v>311.5</v>
      </c>
      <c r="F3952">
        <v>51142</v>
      </c>
      <c r="G3952">
        <v>43665</v>
      </c>
      <c r="H3952">
        <v>3801</v>
      </c>
      <c r="J3952" t="str">
        <f>VLOOKUP(Table3[[#This Row],[Faction ID]],Table4[],2)</f>
        <v>Dol Guldur</v>
      </c>
    </row>
    <row r="3953" spans="1:10" x14ac:dyDescent="0.25">
      <c r="A3953">
        <v>103</v>
      </c>
      <c r="B3953" t="s">
        <v>10</v>
      </c>
      <c r="C3953">
        <v>58</v>
      </c>
      <c r="D3953">
        <v>0</v>
      </c>
      <c r="E3953">
        <v>0</v>
      </c>
      <c r="F3953">
        <v>4515</v>
      </c>
      <c r="G3953">
        <v>2500</v>
      </c>
      <c r="H3953">
        <v>0</v>
      </c>
      <c r="J3953" t="str">
        <f>VLOOKUP(Table3[[#This Row],[Faction ID]],Table4[],2)</f>
        <v>Anduin Vale</v>
      </c>
    </row>
    <row r="3954" spans="1:10" x14ac:dyDescent="0.25">
      <c r="A3954">
        <v>103</v>
      </c>
      <c r="B3954" t="s">
        <v>32</v>
      </c>
      <c r="C3954">
        <v>272</v>
      </c>
      <c r="D3954">
        <v>8</v>
      </c>
      <c r="E3954">
        <v>207.1</v>
      </c>
      <c r="F3954">
        <v>109131</v>
      </c>
      <c r="G3954">
        <v>27861</v>
      </c>
      <c r="H3954">
        <v>1366</v>
      </c>
      <c r="J3954" t="str">
        <f>VLOOKUP(Table3[[#This Row],[Faction ID]],Table4[],2)</f>
        <v>Isengard</v>
      </c>
    </row>
    <row r="3955" spans="1:10" x14ac:dyDescent="0.25">
      <c r="A3955">
        <v>103</v>
      </c>
      <c r="B3955" t="s">
        <v>22</v>
      </c>
      <c r="C3955">
        <v>30</v>
      </c>
      <c r="D3955">
        <v>0</v>
      </c>
      <c r="E3955">
        <v>0</v>
      </c>
      <c r="F3955">
        <v>8475</v>
      </c>
      <c r="G3955">
        <v>2500</v>
      </c>
      <c r="H3955">
        <v>0</v>
      </c>
      <c r="J3955" t="str">
        <f>VLOOKUP(Table3[[#This Row],[Faction ID]],Table4[],2)</f>
        <v>Woodland Realm</v>
      </c>
    </row>
    <row r="3956" spans="1:10" x14ac:dyDescent="0.25">
      <c r="A3956">
        <v>103</v>
      </c>
      <c r="B3956" t="s">
        <v>23</v>
      </c>
      <c r="C3956">
        <v>64</v>
      </c>
      <c r="D3956">
        <v>0</v>
      </c>
      <c r="E3956">
        <v>0</v>
      </c>
      <c r="F3956">
        <v>4721</v>
      </c>
      <c r="G3956">
        <v>2500</v>
      </c>
      <c r="H3956">
        <v>0</v>
      </c>
      <c r="J3956" t="str">
        <f>VLOOKUP(Table3[[#This Row],[Faction ID]],Table4[],2)</f>
        <v>Lothlorien</v>
      </c>
    </row>
    <row r="3957" spans="1:10" x14ac:dyDescent="0.25">
      <c r="A3957">
        <v>103</v>
      </c>
      <c r="B3957" t="s">
        <v>24</v>
      </c>
      <c r="C3957">
        <v>0</v>
      </c>
      <c r="D3957">
        <v>0</v>
      </c>
      <c r="E3957">
        <v>0</v>
      </c>
      <c r="F3957">
        <v>4919</v>
      </c>
      <c r="G3957">
        <v>1750</v>
      </c>
      <c r="H3957">
        <v>0</v>
      </c>
      <c r="J3957" t="str">
        <f>VLOOKUP(Table3[[#This Row],[Faction ID]],Table4[],2)</f>
        <v>Variags (Khand)</v>
      </c>
    </row>
    <row r="3958" spans="1:10" x14ac:dyDescent="0.25">
      <c r="A3958">
        <v>103</v>
      </c>
      <c r="B3958" t="s">
        <v>14</v>
      </c>
      <c r="C3958">
        <v>17</v>
      </c>
      <c r="D3958">
        <v>12</v>
      </c>
      <c r="E3958">
        <v>175.7</v>
      </c>
      <c r="F3958">
        <v>140027</v>
      </c>
      <c r="G3958">
        <v>41224</v>
      </c>
      <c r="H3958">
        <v>3481</v>
      </c>
      <c r="J3958" t="str">
        <f>VLOOKUP(Table3[[#This Row],[Faction ID]],Table4[],2)</f>
        <v>Corsairs of Umbar</v>
      </c>
    </row>
    <row r="3959" spans="1:10" x14ac:dyDescent="0.25">
      <c r="A3959">
        <v>103</v>
      </c>
      <c r="B3959" t="s">
        <v>25</v>
      </c>
      <c r="C3959">
        <v>0</v>
      </c>
      <c r="D3959">
        <v>0</v>
      </c>
      <c r="E3959">
        <v>0</v>
      </c>
      <c r="F3959">
        <v>9228</v>
      </c>
      <c r="G3959">
        <v>1750</v>
      </c>
      <c r="H3959">
        <v>0</v>
      </c>
      <c r="J3959" t="str">
        <f>VLOOKUP(Table3[[#This Row],[Faction ID]],Table4[],2)</f>
        <v>Mahud</v>
      </c>
    </row>
    <row r="3960" spans="1:10" x14ac:dyDescent="0.25">
      <c r="A3960">
        <v>103</v>
      </c>
      <c r="B3960" t="s">
        <v>11</v>
      </c>
      <c r="C3960">
        <v>188</v>
      </c>
      <c r="D3960">
        <v>13</v>
      </c>
      <c r="E3960">
        <v>217.8</v>
      </c>
      <c r="F3960">
        <v>23229</v>
      </c>
      <c r="G3960">
        <v>33167</v>
      </c>
      <c r="H3960">
        <v>1697</v>
      </c>
      <c r="J3960" t="str">
        <f>VLOOKUP(Table3[[#This Row],[Faction ID]],Table4[],2)</f>
        <v>Haradrim</v>
      </c>
    </row>
    <row r="3961" spans="1:10" x14ac:dyDescent="0.25">
      <c r="A3961">
        <v>103</v>
      </c>
      <c r="B3961" t="s">
        <v>15</v>
      </c>
      <c r="C3961">
        <v>274</v>
      </c>
      <c r="D3961">
        <v>12</v>
      </c>
      <c r="E3961">
        <v>258</v>
      </c>
      <c r="F3961">
        <v>177620</v>
      </c>
      <c r="G3961">
        <v>43863</v>
      </c>
      <c r="H3961">
        <v>2843</v>
      </c>
      <c r="J3961" t="str">
        <f>VLOOKUP(Table3[[#This Row],[Faction ID]],Table4[],2)</f>
        <v>Dunlendings</v>
      </c>
    </row>
    <row r="3962" spans="1:10" x14ac:dyDescent="0.25">
      <c r="A3962">
        <v>103</v>
      </c>
      <c r="B3962" t="s">
        <v>16</v>
      </c>
      <c r="C3962">
        <v>0</v>
      </c>
      <c r="D3962">
        <v>0</v>
      </c>
      <c r="E3962">
        <v>0</v>
      </c>
      <c r="F3962">
        <v>5352</v>
      </c>
      <c r="G3962">
        <v>1750</v>
      </c>
      <c r="H3962">
        <v>0</v>
      </c>
      <c r="J3962" t="str">
        <f>VLOOKUP(Table3[[#This Row],[Faction ID]],Table4[],2)</f>
        <v>Haerrim</v>
      </c>
    </row>
    <row r="3963" spans="1:10" x14ac:dyDescent="0.25">
      <c r="A3963">
        <v>103</v>
      </c>
      <c r="B3963" t="s">
        <v>13</v>
      </c>
      <c r="C3963">
        <v>563</v>
      </c>
      <c r="D3963">
        <v>23</v>
      </c>
      <c r="E3963">
        <v>409.3</v>
      </c>
      <c r="F3963">
        <v>95610</v>
      </c>
      <c r="G3963">
        <v>57932</v>
      </c>
      <c r="H3963">
        <v>6081</v>
      </c>
      <c r="J3963" t="str">
        <f>VLOOKUP(Table3[[#This Row],[Faction ID]],Table4[],2)</f>
        <v>Goblins</v>
      </c>
    </row>
    <row r="3964" spans="1:10" x14ac:dyDescent="0.25">
      <c r="A3964">
        <v>103</v>
      </c>
      <c r="B3964" t="s">
        <v>17</v>
      </c>
      <c r="C3964">
        <v>0</v>
      </c>
      <c r="D3964">
        <v>0</v>
      </c>
      <c r="E3964">
        <v>0</v>
      </c>
      <c r="F3964">
        <v>4872</v>
      </c>
      <c r="G3964">
        <v>1750</v>
      </c>
      <c r="H3964">
        <v>0</v>
      </c>
      <c r="J3964" t="str">
        <f>VLOOKUP(Table3[[#This Row],[Faction ID]],Table4[],2)</f>
        <v>Balchoth</v>
      </c>
    </row>
    <row r="3965" spans="1:10" x14ac:dyDescent="0.25">
      <c r="A3965">
        <v>103</v>
      </c>
      <c r="B3965" t="s">
        <v>18</v>
      </c>
      <c r="C3965">
        <v>448</v>
      </c>
      <c r="D3965">
        <v>28</v>
      </c>
      <c r="E3965">
        <v>408.9</v>
      </c>
      <c r="F3965">
        <v>52296</v>
      </c>
      <c r="G3965">
        <v>48047</v>
      </c>
      <c r="H3965">
        <v>2590</v>
      </c>
      <c r="J3965" t="str">
        <f>VLOOKUP(Table3[[#This Row],[Faction ID]],Table4[],2)</f>
        <v>Rhurim/Rhun</v>
      </c>
    </row>
    <row r="3966" spans="1:10" x14ac:dyDescent="0.25">
      <c r="A3966">
        <v>103</v>
      </c>
      <c r="B3966" t="s">
        <v>19</v>
      </c>
      <c r="C3966">
        <v>0</v>
      </c>
      <c r="D3966">
        <v>0</v>
      </c>
      <c r="E3966">
        <v>0</v>
      </c>
      <c r="F3966">
        <v>7360</v>
      </c>
      <c r="G3966">
        <v>1750</v>
      </c>
      <c r="H3966">
        <v>0</v>
      </c>
      <c r="J3966" t="str">
        <f>VLOOKUP(Table3[[#This Row],[Faction ID]],Table4[],2)</f>
        <v>Feredrim</v>
      </c>
    </row>
    <row r="3967" spans="1:10" x14ac:dyDescent="0.25">
      <c r="A3967">
        <v>103</v>
      </c>
      <c r="B3967" t="s">
        <v>26</v>
      </c>
      <c r="C3967">
        <v>0</v>
      </c>
      <c r="D3967">
        <v>0</v>
      </c>
      <c r="E3967">
        <v>0</v>
      </c>
      <c r="F3967">
        <v>6395</v>
      </c>
      <c r="G3967">
        <v>1750</v>
      </c>
      <c r="H3967">
        <v>0</v>
      </c>
      <c r="J3967" t="str">
        <f>VLOOKUP(Table3[[#This Row],[Faction ID]],Table4[],2)</f>
        <v>Rachrohir (Wainriders)</v>
      </c>
    </row>
    <row r="3968" spans="1:10" x14ac:dyDescent="0.25">
      <c r="A3968">
        <v>103</v>
      </c>
      <c r="B3968" t="s">
        <v>27</v>
      </c>
      <c r="C3968">
        <v>1</v>
      </c>
      <c r="D3968">
        <v>1</v>
      </c>
      <c r="E3968">
        <v>20.6</v>
      </c>
      <c r="F3968">
        <v>8442</v>
      </c>
      <c r="G3968">
        <v>3885</v>
      </c>
      <c r="H3968">
        <v>0</v>
      </c>
      <c r="J3968" t="str">
        <f>VLOOKUP(Table3[[#This Row],[Faction ID]],Table4[],2)</f>
        <v>Blacklock-Stonefoot League</v>
      </c>
    </row>
    <row r="3969" spans="1:10" x14ac:dyDescent="0.25">
      <c r="A3969">
        <v>103</v>
      </c>
      <c r="B3969" t="s">
        <v>28</v>
      </c>
      <c r="C3969">
        <v>6</v>
      </c>
      <c r="D3969">
        <v>3</v>
      </c>
      <c r="E3969">
        <v>45</v>
      </c>
      <c r="F3969">
        <v>35395</v>
      </c>
      <c r="G3969">
        <v>12817</v>
      </c>
      <c r="H3969">
        <v>0</v>
      </c>
      <c r="J3969" t="str">
        <f>VLOOKUP(Table3[[#This Row],[Faction ID]],Table4[],2)</f>
        <v>Ironfist-Stiffbeard Union</v>
      </c>
    </row>
    <row r="3970" spans="1:10" x14ac:dyDescent="0.25">
      <c r="A3970">
        <v>103</v>
      </c>
      <c r="B3970" t="s">
        <v>20</v>
      </c>
      <c r="C3970">
        <v>248</v>
      </c>
      <c r="D3970">
        <v>3</v>
      </c>
      <c r="E3970">
        <v>29.1</v>
      </c>
      <c r="F3970">
        <v>9240</v>
      </c>
      <c r="G3970">
        <v>6668</v>
      </c>
      <c r="H3970">
        <v>0</v>
      </c>
      <c r="J3970" t="str">
        <f>VLOOKUP(Table3[[#This Row],[Faction ID]],Table4[],2)</f>
        <v>Gundabad</v>
      </c>
    </row>
    <row r="3971" spans="1:10" x14ac:dyDescent="0.25">
      <c r="A3971">
        <v>103</v>
      </c>
      <c r="B3971" t="s">
        <v>34</v>
      </c>
      <c r="C3971">
        <v>0</v>
      </c>
      <c r="D3971">
        <v>0</v>
      </c>
      <c r="E3971">
        <v>3</v>
      </c>
      <c r="F3971">
        <v>118417</v>
      </c>
      <c r="G3971">
        <v>2354</v>
      </c>
      <c r="H3971">
        <v>0</v>
      </c>
      <c r="J3971" t="str">
        <f>VLOOKUP(Table3[[#This Row],[Faction ID]],Table4[],2)</f>
        <v>Scouts of Rohan</v>
      </c>
    </row>
    <row r="3972" spans="1:10" x14ac:dyDescent="0.25">
      <c r="A3972">
        <v>103</v>
      </c>
      <c r="B3972" t="s">
        <v>33</v>
      </c>
      <c r="C3972">
        <v>6</v>
      </c>
      <c r="D3972">
        <v>4</v>
      </c>
      <c r="E3972">
        <v>90</v>
      </c>
      <c r="F3972">
        <v>117728</v>
      </c>
      <c r="G3972">
        <v>19524</v>
      </c>
      <c r="H3972">
        <v>902</v>
      </c>
      <c r="J3972" t="str">
        <f>VLOOKUP(Table3[[#This Row],[Faction ID]],Table4[],2)</f>
        <v>Northern Enedwaith</v>
      </c>
    </row>
    <row r="3973" spans="1:10" x14ac:dyDescent="0.25">
      <c r="A3973">
        <v>103</v>
      </c>
      <c r="B3973" t="s">
        <v>29</v>
      </c>
      <c r="C3973">
        <v>0</v>
      </c>
      <c r="D3973">
        <v>0</v>
      </c>
      <c r="E3973">
        <v>0</v>
      </c>
      <c r="F3973">
        <v>54023</v>
      </c>
      <c r="G3973">
        <v>1750</v>
      </c>
      <c r="H3973">
        <v>0</v>
      </c>
      <c r="J3973" t="str">
        <f>VLOOKUP(Table3[[#This Row],[Faction ID]],Table4[],2)</f>
        <v>Southern Enedwaith</v>
      </c>
    </row>
    <row r="3974" spans="1:10" x14ac:dyDescent="0.25">
      <c r="A3974">
        <v>103</v>
      </c>
      <c r="B3974" t="s">
        <v>30</v>
      </c>
      <c r="C3974">
        <v>0</v>
      </c>
      <c r="D3974">
        <v>0</v>
      </c>
      <c r="E3974">
        <v>0</v>
      </c>
      <c r="F3974">
        <v>32146</v>
      </c>
      <c r="G3974">
        <v>1750</v>
      </c>
      <c r="H3974">
        <v>0</v>
      </c>
      <c r="J3974" t="str">
        <f>VLOOKUP(Table3[[#This Row],[Faction ID]],Table4[],2)</f>
        <v>Druedain</v>
      </c>
    </row>
    <row r="3975" spans="1:10" x14ac:dyDescent="0.25">
      <c r="A3975">
        <v>103</v>
      </c>
      <c r="B3975" t="s">
        <v>31</v>
      </c>
      <c r="C3975">
        <v>0</v>
      </c>
      <c r="D3975">
        <v>0</v>
      </c>
      <c r="E3975">
        <v>0</v>
      </c>
      <c r="F3975">
        <v>15146</v>
      </c>
      <c r="G3975">
        <v>1750</v>
      </c>
      <c r="H3975">
        <v>0</v>
      </c>
      <c r="J3975" t="str">
        <f>VLOOKUP(Table3[[#This Row],[Faction ID]],Table4[],2)</f>
        <v>Harondor</v>
      </c>
    </row>
    <row r="3976" spans="1:10" x14ac:dyDescent="0.25">
      <c r="A3976">
        <v>103</v>
      </c>
      <c r="B3976" t="s">
        <v>35</v>
      </c>
      <c r="C3976">
        <v>0</v>
      </c>
      <c r="D3976">
        <v>0</v>
      </c>
      <c r="E3976">
        <v>0</v>
      </c>
      <c r="F3976">
        <v>4000</v>
      </c>
      <c r="G3976">
        <v>1750</v>
      </c>
      <c r="H3976">
        <v>0</v>
      </c>
      <c r="J3976" t="str">
        <f>VLOOKUP(Table3[[#This Row],[Faction ID]],Table4[],2)</f>
        <v>Southron Nomads</v>
      </c>
    </row>
    <row r="3977" spans="1:10" x14ac:dyDescent="0.25">
      <c r="A3977">
        <v>103</v>
      </c>
      <c r="B3977" t="s">
        <v>36</v>
      </c>
      <c r="C3977">
        <v>0</v>
      </c>
      <c r="D3977">
        <v>0</v>
      </c>
      <c r="E3977">
        <v>0</v>
      </c>
      <c r="F3977">
        <v>4000</v>
      </c>
      <c r="G3977">
        <v>1750</v>
      </c>
      <c r="H3977">
        <v>0</v>
      </c>
      <c r="J3977" t="str">
        <f>VLOOKUP(Table3[[#This Row],[Faction ID]],Table4[],2)</f>
        <v>_</v>
      </c>
    </row>
    <row r="3978" spans="1:10" x14ac:dyDescent="0.25">
      <c r="A3978">
        <v>103</v>
      </c>
      <c r="B3978" t="s">
        <v>37</v>
      </c>
      <c r="C3978">
        <v>0</v>
      </c>
      <c r="D3978">
        <v>0</v>
      </c>
      <c r="E3978">
        <v>0</v>
      </c>
      <c r="F3978">
        <v>4000</v>
      </c>
      <c r="G3978">
        <v>1750</v>
      </c>
      <c r="H3978">
        <v>0</v>
      </c>
      <c r="J3978" t="str">
        <f>VLOOKUP(Table3[[#This Row],[Faction ID]],Table4[],2)</f>
        <v>_</v>
      </c>
    </row>
    <row r="3979" spans="1:10" x14ac:dyDescent="0.25">
      <c r="A3979">
        <v>103</v>
      </c>
      <c r="B3979" t="s">
        <v>38</v>
      </c>
      <c r="C3979">
        <v>0</v>
      </c>
      <c r="D3979">
        <v>0</v>
      </c>
      <c r="E3979">
        <v>0</v>
      </c>
      <c r="F3979">
        <v>4000</v>
      </c>
      <c r="G3979">
        <v>1750</v>
      </c>
      <c r="H3979">
        <v>0</v>
      </c>
      <c r="J3979" t="str">
        <f>VLOOKUP(Table3[[#This Row],[Faction ID]],Table4[],2)</f>
        <v>_</v>
      </c>
    </row>
    <row r="3980" spans="1:10" x14ac:dyDescent="0.25">
      <c r="A3980">
        <v>103</v>
      </c>
      <c r="B3980" t="s">
        <v>39</v>
      </c>
      <c r="C3980">
        <v>0</v>
      </c>
      <c r="D3980">
        <v>0</v>
      </c>
      <c r="E3980">
        <v>0</v>
      </c>
      <c r="F3980">
        <v>4000</v>
      </c>
      <c r="G3980">
        <v>1750</v>
      </c>
      <c r="H3980">
        <v>0</v>
      </c>
      <c r="J3980" t="str">
        <f>VLOOKUP(Table3[[#This Row],[Faction ID]],Table4[],2)</f>
        <v>_</v>
      </c>
    </row>
    <row r="3981" spans="1:10" x14ac:dyDescent="0.25">
      <c r="A3981">
        <v>103</v>
      </c>
      <c r="B3981" t="s">
        <v>40</v>
      </c>
      <c r="C3981">
        <v>0</v>
      </c>
      <c r="D3981">
        <v>0</v>
      </c>
      <c r="E3981">
        <v>0</v>
      </c>
      <c r="F3981">
        <v>4000</v>
      </c>
      <c r="G3981">
        <v>1750</v>
      </c>
      <c r="H3981">
        <v>0</v>
      </c>
      <c r="J3981" t="str">
        <f>VLOOKUP(Table3[[#This Row],[Faction ID]],Table4[],2)</f>
        <v>_</v>
      </c>
    </row>
    <row r="3982" spans="1:10" x14ac:dyDescent="0.25">
      <c r="A3982">
        <v>103</v>
      </c>
      <c r="B3982" t="s">
        <v>41</v>
      </c>
      <c r="C3982">
        <v>0</v>
      </c>
      <c r="D3982">
        <v>0</v>
      </c>
      <c r="E3982">
        <v>0</v>
      </c>
      <c r="F3982">
        <v>4000</v>
      </c>
      <c r="G3982">
        <v>1750</v>
      </c>
      <c r="H3982">
        <v>0</v>
      </c>
      <c r="J3982" t="str">
        <f>VLOOKUP(Table3[[#This Row],[Faction ID]],Table4[],2)</f>
        <v>_</v>
      </c>
    </row>
    <row r="3983" spans="1:10" x14ac:dyDescent="0.25">
      <c r="A3983">
        <v>103</v>
      </c>
      <c r="B3983" t="s">
        <v>42</v>
      </c>
      <c r="C3983">
        <v>0</v>
      </c>
      <c r="D3983">
        <v>0</v>
      </c>
      <c r="E3983">
        <v>0</v>
      </c>
      <c r="F3983">
        <v>4000</v>
      </c>
      <c r="G3983">
        <v>1750</v>
      </c>
      <c r="H3983">
        <v>0</v>
      </c>
      <c r="J3983" t="str">
        <f>VLOOKUP(Table3[[#This Row],[Faction ID]],Table4[],2)</f>
        <v>_</v>
      </c>
    </row>
    <row r="3984" spans="1:10" x14ac:dyDescent="0.25">
      <c r="A3984">
        <v>103</v>
      </c>
      <c r="B3984" t="s">
        <v>43</v>
      </c>
      <c r="C3984">
        <v>0</v>
      </c>
      <c r="D3984">
        <v>0</v>
      </c>
      <c r="E3984">
        <v>0</v>
      </c>
      <c r="F3984">
        <v>4000</v>
      </c>
      <c r="G3984">
        <v>1750</v>
      </c>
      <c r="H3984">
        <v>0</v>
      </c>
      <c r="J3984" t="str">
        <f>VLOOKUP(Table3[[#This Row],[Faction ID]],Table4[],2)</f>
        <v>_</v>
      </c>
    </row>
    <row r="3985" spans="1:10" x14ac:dyDescent="0.25">
      <c r="A3985">
        <v>103</v>
      </c>
      <c r="B3985" t="s">
        <v>44</v>
      </c>
      <c r="C3985">
        <v>0</v>
      </c>
      <c r="D3985">
        <v>0</v>
      </c>
      <c r="E3985">
        <v>0</v>
      </c>
      <c r="F3985">
        <v>4000</v>
      </c>
      <c r="G3985">
        <v>1750</v>
      </c>
      <c r="H3985">
        <v>0</v>
      </c>
      <c r="J3985" t="str">
        <f>VLOOKUP(Table3[[#This Row],[Faction ID]],Table4[],2)</f>
        <v>_</v>
      </c>
    </row>
    <row r="3986" spans="1:10" x14ac:dyDescent="0.25">
      <c r="A3986">
        <v>104</v>
      </c>
      <c r="B3986" t="s">
        <v>9</v>
      </c>
      <c r="C3986">
        <v>521</v>
      </c>
      <c r="D3986">
        <v>29</v>
      </c>
      <c r="E3986">
        <v>351.1</v>
      </c>
      <c r="F3986">
        <v>1816</v>
      </c>
      <c r="G3986">
        <v>48311</v>
      </c>
      <c r="H3986">
        <v>3455</v>
      </c>
      <c r="J3986" t="str">
        <f>VLOOKUP(Table3[[#This Row],[Faction ID]],Table4[],2)</f>
        <v>Mordor</v>
      </c>
    </row>
    <row r="3987" spans="1:10" x14ac:dyDescent="0.25">
      <c r="A3987">
        <v>104</v>
      </c>
      <c r="B3987" t="s">
        <v>4</v>
      </c>
      <c r="C3987">
        <v>146</v>
      </c>
      <c r="D3987">
        <v>0</v>
      </c>
      <c r="E3987">
        <v>0</v>
      </c>
      <c r="F3987">
        <v>55420</v>
      </c>
      <c r="G3987">
        <v>2500</v>
      </c>
      <c r="H3987">
        <v>0</v>
      </c>
      <c r="J3987" t="str">
        <f>VLOOKUP(Table3[[#This Row],[Faction ID]],Table4[],2)</f>
        <v>Gondor</v>
      </c>
    </row>
    <row r="3988" spans="1:10" x14ac:dyDescent="0.25">
      <c r="A3988">
        <v>104</v>
      </c>
      <c r="B3988" t="s">
        <v>6</v>
      </c>
      <c r="C3988">
        <v>199</v>
      </c>
      <c r="D3988">
        <v>0</v>
      </c>
      <c r="E3988">
        <v>0</v>
      </c>
      <c r="F3988">
        <v>10343</v>
      </c>
      <c r="G3988">
        <v>2500</v>
      </c>
      <c r="H3988">
        <v>0</v>
      </c>
      <c r="J3988" t="str">
        <f>VLOOKUP(Table3[[#This Row],[Faction ID]],Table4[],2)</f>
        <v>Dale</v>
      </c>
    </row>
    <row r="3989" spans="1:10" x14ac:dyDescent="0.25">
      <c r="A3989">
        <v>104</v>
      </c>
      <c r="B3989" t="s">
        <v>21</v>
      </c>
      <c r="C3989">
        <v>200</v>
      </c>
      <c r="D3989">
        <v>0</v>
      </c>
      <c r="E3989">
        <v>0</v>
      </c>
      <c r="F3989">
        <v>10040</v>
      </c>
      <c r="G3989">
        <v>2500</v>
      </c>
      <c r="H3989">
        <v>0</v>
      </c>
      <c r="J3989" t="str">
        <f>VLOOKUP(Table3[[#This Row],[Faction ID]],Table4[],2)</f>
        <v>Erebor</v>
      </c>
    </row>
    <row r="3990" spans="1:10" x14ac:dyDescent="0.25">
      <c r="A3990">
        <v>104</v>
      </c>
      <c r="B3990" t="s">
        <v>5</v>
      </c>
      <c r="C3990">
        <v>157</v>
      </c>
      <c r="D3990">
        <v>0</v>
      </c>
      <c r="E3990">
        <v>0</v>
      </c>
      <c r="F3990">
        <v>6638</v>
      </c>
      <c r="G3990">
        <v>2500</v>
      </c>
      <c r="H3990">
        <v>0</v>
      </c>
      <c r="J3990" t="str">
        <f>VLOOKUP(Table3[[#This Row],[Faction ID]],Table4[],2)</f>
        <v>Rohan</v>
      </c>
    </row>
    <row r="3991" spans="1:10" x14ac:dyDescent="0.25">
      <c r="A3991">
        <v>104</v>
      </c>
      <c r="B3991" t="s">
        <v>12</v>
      </c>
      <c r="C3991">
        <v>412</v>
      </c>
      <c r="D3991">
        <v>20</v>
      </c>
      <c r="E3991">
        <v>311.5</v>
      </c>
      <c r="F3991">
        <v>54630</v>
      </c>
      <c r="G3991">
        <v>43293</v>
      </c>
      <c r="H3991">
        <v>3798</v>
      </c>
      <c r="J3991" t="str">
        <f>VLOOKUP(Table3[[#This Row],[Faction ID]],Table4[],2)</f>
        <v>Dol Guldur</v>
      </c>
    </row>
    <row r="3992" spans="1:10" x14ac:dyDescent="0.25">
      <c r="A3992">
        <v>104</v>
      </c>
      <c r="B3992" t="s">
        <v>10</v>
      </c>
      <c r="C3992">
        <v>58</v>
      </c>
      <c r="D3992">
        <v>0</v>
      </c>
      <c r="E3992">
        <v>0</v>
      </c>
      <c r="F3992">
        <v>4515</v>
      </c>
      <c r="G3992">
        <v>2500</v>
      </c>
      <c r="H3992">
        <v>0</v>
      </c>
      <c r="J3992" t="str">
        <f>VLOOKUP(Table3[[#This Row],[Faction ID]],Table4[],2)</f>
        <v>Anduin Vale</v>
      </c>
    </row>
    <row r="3993" spans="1:10" x14ac:dyDescent="0.25">
      <c r="A3993">
        <v>104</v>
      </c>
      <c r="B3993" t="s">
        <v>32</v>
      </c>
      <c r="C3993">
        <v>277</v>
      </c>
      <c r="D3993">
        <v>8</v>
      </c>
      <c r="E3993">
        <v>207.1</v>
      </c>
      <c r="F3993">
        <v>88573</v>
      </c>
      <c r="G3993">
        <v>27840</v>
      </c>
      <c r="H3993">
        <v>1364</v>
      </c>
      <c r="J3993" t="str">
        <f>VLOOKUP(Table3[[#This Row],[Faction ID]],Table4[],2)</f>
        <v>Isengard</v>
      </c>
    </row>
    <row r="3994" spans="1:10" x14ac:dyDescent="0.25">
      <c r="A3994">
        <v>104</v>
      </c>
      <c r="B3994" t="s">
        <v>22</v>
      </c>
      <c r="C3994">
        <v>30</v>
      </c>
      <c r="D3994">
        <v>0</v>
      </c>
      <c r="E3994">
        <v>0</v>
      </c>
      <c r="F3994">
        <v>8475</v>
      </c>
      <c r="G3994">
        <v>2500</v>
      </c>
      <c r="H3994">
        <v>0</v>
      </c>
      <c r="J3994" t="str">
        <f>VLOOKUP(Table3[[#This Row],[Faction ID]],Table4[],2)</f>
        <v>Woodland Realm</v>
      </c>
    </row>
    <row r="3995" spans="1:10" x14ac:dyDescent="0.25">
      <c r="A3995">
        <v>104</v>
      </c>
      <c r="B3995" t="s">
        <v>23</v>
      </c>
      <c r="C3995">
        <v>64</v>
      </c>
      <c r="D3995">
        <v>0</v>
      </c>
      <c r="E3995">
        <v>0</v>
      </c>
      <c r="F3995">
        <v>4721</v>
      </c>
      <c r="G3995">
        <v>2500</v>
      </c>
      <c r="H3995">
        <v>0</v>
      </c>
      <c r="J3995" t="str">
        <f>VLOOKUP(Table3[[#This Row],[Faction ID]],Table4[],2)</f>
        <v>Lothlorien</v>
      </c>
    </row>
    <row r="3996" spans="1:10" x14ac:dyDescent="0.25">
      <c r="A3996">
        <v>104</v>
      </c>
      <c r="B3996" t="s">
        <v>24</v>
      </c>
      <c r="C3996">
        <v>0</v>
      </c>
      <c r="D3996">
        <v>0</v>
      </c>
      <c r="E3996">
        <v>0</v>
      </c>
      <c r="F3996">
        <v>4919</v>
      </c>
      <c r="G3996">
        <v>1750</v>
      </c>
      <c r="H3996">
        <v>0</v>
      </c>
      <c r="J3996" t="str">
        <f>VLOOKUP(Table3[[#This Row],[Faction ID]],Table4[],2)</f>
        <v>Variags (Khand)</v>
      </c>
    </row>
    <row r="3997" spans="1:10" x14ac:dyDescent="0.25">
      <c r="A3997">
        <v>104</v>
      </c>
      <c r="B3997" t="s">
        <v>14</v>
      </c>
      <c r="C3997">
        <v>17</v>
      </c>
      <c r="D3997">
        <v>12</v>
      </c>
      <c r="E3997">
        <v>175.7</v>
      </c>
      <c r="F3997">
        <v>129729</v>
      </c>
      <c r="G3997">
        <v>42975</v>
      </c>
      <c r="H3997">
        <v>3506</v>
      </c>
      <c r="J3997" t="str">
        <f>VLOOKUP(Table3[[#This Row],[Faction ID]],Table4[],2)</f>
        <v>Corsairs of Umbar</v>
      </c>
    </row>
    <row r="3998" spans="1:10" x14ac:dyDescent="0.25">
      <c r="A3998">
        <v>104</v>
      </c>
      <c r="B3998" t="s">
        <v>25</v>
      </c>
      <c r="C3998">
        <v>0</v>
      </c>
      <c r="D3998">
        <v>0</v>
      </c>
      <c r="E3998">
        <v>0</v>
      </c>
      <c r="F3998">
        <v>9228</v>
      </c>
      <c r="G3998">
        <v>1750</v>
      </c>
      <c r="H3998">
        <v>0</v>
      </c>
      <c r="J3998" t="str">
        <f>VLOOKUP(Table3[[#This Row],[Faction ID]],Table4[],2)</f>
        <v>Mahud</v>
      </c>
    </row>
    <row r="3999" spans="1:10" x14ac:dyDescent="0.25">
      <c r="A3999">
        <v>104</v>
      </c>
      <c r="B3999" t="s">
        <v>11</v>
      </c>
      <c r="C3999">
        <v>188</v>
      </c>
      <c r="D3999">
        <v>13</v>
      </c>
      <c r="E3999">
        <v>222</v>
      </c>
      <c r="F3999">
        <v>23904</v>
      </c>
      <c r="G3999">
        <v>34528</v>
      </c>
      <c r="H3999">
        <v>1755</v>
      </c>
      <c r="J3999" t="str">
        <f>VLOOKUP(Table3[[#This Row],[Faction ID]],Table4[],2)</f>
        <v>Haradrim</v>
      </c>
    </row>
    <row r="4000" spans="1:10" x14ac:dyDescent="0.25">
      <c r="A4000">
        <v>104</v>
      </c>
      <c r="B4000" t="s">
        <v>15</v>
      </c>
      <c r="C4000">
        <v>279</v>
      </c>
      <c r="D4000">
        <v>12</v>
      </c>
      <c r="E4000">
        <v>258</v>
      </c>
      <c r="F4000">
        <v>167376</v>
      </c>
      <c r="G4000">
        <v>44434</v>
      </c>
      <c r="H4000">
        <v>2859</v>
      </c>
      <c r="J4000" t="str">
        <f>VLOOKUP(Table3[[#This Row],[Faction ID]],Table4[],2)</f>
        <v>Dunlendings</v>
      </c>
    </row>
    <row r="4001" spans="1:10" x14ac:dyDescent="0.25">
      <c r="A4001">
        <v>104</v>
      </c>
      <c r="B4001" t="s">
        <v>16</v>
      </c>
      <c r="C4001">
        <v>0</v>
      </c>
      <c r="D4001">
        <v>0</v>
      </c>
      <c r="E4001">
        <v>0</v>
      </c>
      <c r="F4001">
        <v>5352</v>
      </c>
      <c r="G4001">
        <v>1750</v>
      </c>
      <c r="H4001">
        <v>0</v>
      </c>
      <c r="J4001" t="str">
        <f>VLOOKUP(Table3[[#This Row],[Faction ID]],Table4[],2)</f>
        <v>Haerrim</v>
      </c>
    </row>
    <row r="4002" spans="1:10" x14ac:dyDescent="0.25">
      <c r="A4002">
        <v>104</v>
      </c>
      <c r="B4002" t="s">
        <v>13</v>
      </c>
      <c r="C4002">
        <v>563</v>
      </c>
      <c r="D4002">
        <v>23</v>
      </c>
      <c r="E4002">
        <v>409.3</v>
      </c>
      <c r="F4002">
        <v>114908</v>
      </c>
      <c r="G4002">
        <v>58262</v>
      </c>
      <c r="H4002">
        <v>6079</v>
      </c>
      <c r="J4002" t="str">
        <f>VLOOKUP(Table3[[#This Row],[Faction ID]],Table4[],2)</f>
        <v>Goblins</v>
      </c>
    </row>
    <row r="4003" spans="1:10" x14ac:dyDescent="0.25">
      <c r="A4003">
        <v>104</v>
      </c>
      <c r="B4003" t="s">
        <v>17</v>
      </c>
      <c r="C4003">
        <v>0</v>
      </c>
      <c r="D4003">
        <v>0</v>
      </c>
      <c r="E4003">
        <v>0</v>
      </c>
      <c r="F4003">
        <v>4872</v>
      </c>
      <c r="G4003">
        <v>1750</v>
      </c>
      <c r="H4003">
        <v>0</v>
      </c>
      <c r="J4003" t="str">
        <f>VLOOKUP(Table3[[#This Row],[Faction ID]],Table4[],2)</f>
        <v>Balchoth</v>
      </c>
    </row>
    <row r="4004" spans="1:10" x14ac:dyDescent="0.25">
      <c r="A4004">
        <v>104</v>
      </c>
      <c r="B4004" t="s">
        <v>18</v>
      </c>
      <c r="C4004">
        <v>448</v>
      </c>
      <c r="D4004">
        <v>28</v>
      </c>
      <c r="E4004">
        <v>413.1</v>
      </c>
      <c r="F4004">
        <v>54980</v>
      </c>
      <c r="G4004">
        <v>48521</v>
      </c>
      <c r="H4004">
        <v>2591</v>
      </c>
      <c r="J4004" t="str">
        <f>VLOOKUP(Table3[[#This Row],[Faction ID]],Table4[],2)</f>
        <v>Rhurim/Rhun</v>
      </c>
    </row>
    <row r="4005" spans="1:10" x14ac:dyDescent="0.25">
      <c r="A4005">
        <v>104</v>
      </c>
      <c r="B4005" t="s">
        <v>19</v>
      </c>
      <c r="C4005">
        <v>0</v>
      </c>
      <c r="D4005">
        <v>0</v>
      </c>
      <c r="E4005">
        <v>0</v>
      </c>
      <c r="F4005">
        <v>7360</v>
      </c>
      <c r="G4005">
        <v>1750</v>
      </c>
      <c r="H4005">
        <v>0</v>
      </c>
      <c r="J4005" t="str">
        <f>VLOOKUP(Table3[[#This Row],[Faction ID]],Table4[],2)</f>
        <v>Feredrim</v>
      </c>
    </row>
    <row r="4006" spans="1:10" x14ac:dyDescent="0.25">
      <c r="A4006">
        <v>104</v>
      </c>
      <c r="B4006" t="s">
        <v>26</v>
      </c>
      <c r="C4006">
        <v>0</v>
      </c>
      <c r="D4006">
        <v>0</v>
      </c>
      <c r="E4006">
        <v>0</v>
      </c>
      <c r="F4006">
        <v>6395</v>
      </c>
      <c r="G4006">
        <v>1750</v>
      </c>
      <c r="H4006">
        <v>0</v>
      </c>
      <c r="J4006" t="str">
        <f>VLOOKUP(Table3[[#This Row],[Faction ID]],Table4[],2)</f>
        <v>Rachrohir (Wainriders)</v>
      </c>
    </row>
    <row r="4007" spans="1:10" x14ac:dyDescent="0.25">
      <c r="A4007">
        <v>104</v>
      </c>
      <c r="B4007" t="s">
        <v>27</v>
      </c>
      <c r="C4007">
        <v>1</v>
      </c>
      <c r="D4007">
        <v>1</v>
      </c>
      <c r="E4007">
        <v>20.6</v>
      </c>
      <c r="F4007">
        <v>8922</v>
      </c>
      <c r="G4007">
        <v>3952</v>
      </c>
      <c r="H4007">
        <v>0</v>
      </c>
      <c r="J4007" t="str">
        <f>VLOOKUP(Table3[[#This Row],[Faction ID]],Table4[],2)</f>
        <v>Blacklock-Stonefoot League</v>
      </c>
    </row>
    <row r="4008" spans="1:10" x14ac:dyDescent="0.25">
      <c r="A4008">
        <v>104</v>
      </c>
      <c r="B4008" t="s">
        <v>28</v>
      </c>
      <c r="C4008">
        <v>6</v>
      </c>
      <c r="D4008">
        <v>3</v>
      </c>
      <c r="E4008">
        <v>47</v>
      </c>
      <c r="F4008">
        <v>33451</v>
      </c>
      <c r="G4008">
        <v>10900</v>
      </c>
      <c r="H4008">
        <v>0</v>
      </c>
      <c r="J4008" t="str">
        <f>VLOOKUP(Table3[[#This Row],[Faction ID]],Table4[],2)</f>
        <v>Ironfist-Stiffbeard Union</v>
      </c>
    </row>
    <row r="4009" spans="1:10" x14ac:dyDescent="0.25">
      <c r="A4009">
        <v>104</v>
      </c>
      <c r="B4009" t="s">
        <v>20</v>
      </c>
      <c r="C4009">
        <v>248</v>
      </c>
      <c r="D4009">
        <v>3</v>
      </c>
      <c r="E4009">
        <v>35.9</v>
      </c>
      <c r="F4009">
        <v>7720</v>
      </c>
      <c r="G4009">
        <v>6959</v>
      </c>
      <c r="H4009">
        <v>0</v>
      </c>
      <c r="J4009" t="str">
        <f>VLOOKUP(Table3[[#This Row],[Faction ID]],Table4[],2)</f>
        <v>Gundabad</v>
      </c>
    </row>
    <row r="4010" spans="1:10" x14ac:dyDescent="0.25">
      <c r="A4010">
        <v>104</v>
      </c>
      <c r="B4010" t="s">
        <v>34</v>
      </c>
      <c r="C4010">
        <v>0</v>
      </c>
      <c r="D4010">
        <v>0</v>
      </c>
      <c r="E4010">
        <v>3</v>
      </c>
      <c r="F4010">
        <v>119563</v>
      </c>
      <c r="G4010">
        <v>2354</v>
      </c>
      <c r="H4010">
        <v>0</v>
      </c>
      <c r="J4010" t="str">
        <f>VLOOKUP(Table3[[#This Row],[Faction ID]],Table4[],2)</f>
        <v>Scouts of Rohan</v>
      </c>
    </row>
    <row r="4011" spans="1:10" x14ac:dyDescent="0.25">
      <c r="A4011">
        <v>104</v>
      </c>
      <c r="B4011" t="s">
        <v>33</v>
      </c>
      <c r="C4011">
        <v>6</v>
      </c>
      <c r="D4011">
        <v>4</v>
      </c>
      <c r="E4011">
        <v>90</v>
      </c>
      <c r="F4011">
        <v>119971</v>
      </c>
      <c r="G4011">
        <v>19640</v>
      </c>
      <c r="H4011">
        <v>907</v>
      </c>
      <c r="J4011" t="str">
        <f>VLOOKUP(Table3[[#This Row],[Faction ID]],Table4[],2)</f>
        <v>Northern Enedwaith</v>
      </c>
    </row>
    <row r="4012" spans="1:10" x14ac:dyDescent="0.25">
      <c r="A4012">
        <v>104</v>
      </c>
      <c r="B4012" t="s">
        <v>29</v>
      </c>
      <c r="C4012">
        <v>0</v>
      </c>
      <c r="D4012">
        <v>0</v>
      </c>
      <c r="E4012">
        <v>0</v>
      </c>
      <c r="F4012">
        <v>54023</v>
      </c>
      <c r="G4012">
        <v>1750</v>
      </c>
      <c r="H4012">
        <v>0</v>
      </c>
      <c r="J4012" t="str">
        <f>VLOOKUP(Table3[[#This Row],[Faction ID]],Table4[],2)</f>
        <v>Southern Enedwaith</v>
      </c>
    </row>
    <row r="4013" spans="1:10" x14ac:dyDescent="0.25">
      <c r="A4013">
        <v>104</v>
      </c>
      <c r="B4013" t="s">
        <v>30</v>
      </c>
      <c r="C4013">
        <v>0</v>
      </c>
      <c r="D4013">
        <v>0</v>
      </c>
      <c r="E4013">
        <v>0</v>
      </c>
      <c r="F4013">
        <v>32146</v>
      </c>
      <c r="G4013">
        <v>1750</v>
      </c>
      <c r="H4013">
        <v>0</v>
      </c>
      <c r="J4013" t="str">
        <f>VLOOKUP(Table3[[#This Row],[Faction ID]],Table4[],2)</f>
        <v>Druedain</v>
      </c>
    </row>
    <row r="4014" spans="1:10" x14ac:dyDescent="0.25">
      <c r="A4014">
        <v>104</v>
      </c>
      <c r="B4014" t="s">
        <v>31</v>
      </c>
      <c r="C4014">
        <v>0</v>
      </c>
      <c r="D4014">
        <v>0</v>
      </c>
      <c r="E4014">
        <v>0</v>
      </c>
      <c r="F4014">
        <v>15146</v>
      </c>
      <c r="G4014">
        <v>1750</v>
      </c>
      <c r="H4014">
        <v>0</v>
      </c>
      <c r="J4014" t="str">
        <f>VLOOKUP(Table3[[#This Row],[Faction ID]],Table4[],2)</f>
        <v>Harondor</v>
      </c>
    </row>
    <row r="4015" spans="1:10" x14ac:dyDescent="0.25">
      <c r="A4015">
        <v>104</v>
      </c>
      <c r="B4015" t="s">
        <v>35</v>
      </c>
      <c r="C4015">
        <v>0</v>
      </c>
      <c r="D4015">
        <v>0</v>
      </c>
      <c r="E4015">
        <v>0</v>
      </c>
      <c r="F4015">
        <v>4000</v>
      </c>
      <c r="G4015">
        <v>1750</v>
      </c>
      <c r="H4015">
        <v>0</v>
      </c>
      <c r="J4015" t="str">
        <f>VLOOKUP(Table3[[#This Row],[Faction ID]],Table4[],2)</f>
        <v>Southron Nomads</v>
      </c>
    </row>
    <row r="4016" spans="1:10" x14ac:dyDescent="0.25">
      <c r="A4016">
        <v>104</v>
      </c>
      <c r="B4016" t="s">
        <v>36</v>
      </c>
      <c r="C4016">
        <v>0</v>
      </c>
      <c r="D4016">
        <v>0</v>
      </c>
      <c r="E4016">
        <v>0</v>
      </c>
      <c r="F4016">
        <v>4000</v>
      </c>
      <c r="G4016">
        <v>1750</v>
      </c>
      <c r="H4016">
        <v>0</v>
      </c>
      <c r="J4016" t="str">
        <f>VLOOKUP(Table3[[#This Row],[Faction ID]],Table4[],2)</f>
        <v>_</v>
      </c>
    </row>
    <row r="4017" spans="1:10" x14ac:dyDescent="0.25">
      <c r="A4017">
        <v>104</v>
      </c>
      <c r="B4017" t="s">
        <v>37</v>
      </c>
      <c r="C4017">
        <v>0</v>
      </c>
      <c r="D4017">
        <v>0</v>
      </c>
      <c r="E4017">
        <v>0</v>
      </c>
      <c r="F4017">
        <v>4000</v>
      </c>
      <c r="G4017">
        <v>1750</v>
      </c>
      <c r="H4017">
        <v>0</v>
      </c>
      <c r="J4017" t="str">
        <f>VLOOKUP(Table3[[#This Row],[Faction ID]],Table4[],2)</f>
        <v>_</v>
      </c>
    </row>
    <row r="4018" spans="1:10" x14ac:dyDescent="0.25">
      <c r="A4018">
        <v>104</v>
      </c>
      <c r="B4018" t="s">
        <v>38</v>
      </c>
      <c r="C4018">
        <v>0</v>
      </c>
      <c r="D4018">
        <v>0</v>
      </c>
      <c r="E4018">
        <v>0</v>
      </c>
      <c r="F4018">
        <v>4000</v>
      </c>
      <c r="G4018">
        <v>1750</v>
      </c>
      <c r="H4018">
        <v>0</v>
      </c>
      <c r="J4018" t="str">
        <f>VLOOKUP(Table3[[#This Row],[Faction ID]],Table4[],2)</f>
        <v>_</v>
      </c>
    </row>
    <row r="4019" spans="1:10" x14ac:dyDescent="0.25">
      <c r="A4019">
        <v>104</v>
      </c>
      <c r="B4019" t="s">
        <v>39</v>
      </c>
      <c r="C4019">
        <v>0</v>
      </c>
      <c r="D4019">
        <v>0</v>
      </c>
      <c r="E4019">
        <v>0</v>
      </c>
      <c r="F4019">
        <v>4000</v>
      </c>
      <c r="G4019">
        <v>1750</v>
      </c>
      <c r="H4019">
        <v>0</v>
      </c>
      <c r="J4019" t="str">
        <f>VLOOKUP(Table3[[#This Row],[Faction ID]],Table4[],2)</f>
        <v>_</v>
      </c>
    </row>
    <row r="4020" spans="1:10" x14ac:dyDescent="0.25">
      <c r="A4020">
        <v>104</v>
      </c>
      <c r="B4020" t="s">
        <v>40</v>
      </c>
      <c r="C4020">
        <v>0</v>
      </c>
      <c r="D4020">
        <v>0</v>
      </c>
      <c r="E4020">
        <v>0</v>
      </c>
      <c r="F4020">
        <v>4000</v>
      </c>
      <c r="G4020">
        <v>1750</v>
      </c>
      <c r="H4020">
        <v>0</v>
      </c>
      <c r="J4020" t="str">
        <f>VLOOKUP(Table3[[#This Row],[Faction ID]],Table4[],2)</f>
        <v>_</v>
      </c>
    </row>
    <row r="4021" spans="1:10" x14ac:dyDescent="0.25">
      <c r="A4021">
        <v>104</v>
      </c>
      <c r="B4021" t="s">
        <v>41</v>
      </c>
      <c r="C4021">
        <v>0</v>
      </c>
      <c r="D4021">
        <v>0</v>
      </c>
      <c r="E4021">
        <v>0</v>
      </c>
      <c r="F4021">
        <v>4000</v>
      </c>
      <c r="G4021">
        <v>1750</v>
      </c>
      <c r="H4021">
        <v>0</v>
      </c>
      <c r="J4021" t="str">
        <f>VLOOKUP(Table3[[#This Row],[Faction ID]],Table4[],2)</f>
        <v>_</v>
      </c>
    </row>
    <row r="4022" spans="1:10" x14ac:dyDescent="0.25">
      <c r="A4022">
        <v>104</v>
      </c>
      <c r="B4022" t="s">
        <v>42</v>
      </c>
      <c r="C4022">
        <v>0</v>
      </c>
      <c r="D4022">
        <v>0</v>
      </c>
      <c r="E4022">
        <v>0</v>
      </c>
      <c r="F4022">
        <v>4000</v>
      </c>
      <c r="G4022">
        <v>1750</v>
      </c>
      <c r="H4022">
        <v>0</v>
      </c>
      <c r="J4022" t="str">
        <f>VLOOKUP(Table3[[#This Row],[Faction ID]],Table4[],2)</f>
        <v>_</v>
      </c>
    </row>
    <row r="4023" spans="1:10" x14ac:dyDescent="0.25">
      <c r="A4023">
        <v>104</v>
      </c>
      <c r="B4023" t="s">
        <v>43</v>
      </c>
      <c r="C4023">
        <v>0</v>
      </c>
      <c r="D4023">
        <v>0</v>
      </c>
      <c r="E4023">
        <v>0</v>
      </c>
      <c r="F4023">
        <v>4000</v>
      </c>
      <c r="G4023">
        <v>1750</v>
      </c>
      <c r="H4023">
        <v>0</v>
      </c>
      <c r="J4023" t="str">
        <f>VLOOKUP(Table3[[#This Row],[Faction ID]],Table4[],2)</f>
        <v>_</v>
      </c>
    </row>
    <row r="4024" spans="1:10" x14ac:dyDescent="0.25">
      <c r="A4024">
        <v>104</v>
      </c>
      <c r="B4024" t="s">
        <v>44</v>
      </c>
      <c r="C4024">
        <v>0</v>
      </c>
      <c r="D4024">
        <v>0</v>
      </c>
      <c r="E4024">
        <v>0</v>
      </c>
      <c r="F4024">
        <v>4000</v>
      </c>
      <c r="G4024">
        <v>1750</v>
      </c>
      <c r="H4024">
        <v>0</v>
      </c>
      <c r="J4024" t="str">
        <f>VLOOKUP(Table3[[#This Row],[Faction ID]],Table4[],2)</f>
        <v>_</v>
      </c>
    </row>
    <row r="4025" spans="1:10" x14ac:dyDescent="0.25">
      <c r="A4025">
        <v>105</v>
      </c>
      <c r="B4025" t="s">
        <v>9</v>
      </c>
      <c r="C4025">
        <v>526</v>
      </c>
      <c r="D4025">
        <v>29</v>
      </c>
      <c r="E4025">
        <v>351.1</v>
      </c>
      <c r="F4025">
        <v>13281</v>
      </c>
      <c r="G4025">
        <v>48462</v>
      </c>
      <c r="H4025">
        <v>3468</v>
      </c>
      <c r="J4025" t="str">
        <f>VLOOKUP(Table3[[#This Row],[Faction ID]],Table4[],2)</f>
        <v>Mordor</v>
      </c>
    </row>
    <row r="4026" spans="1:10" x14ac:dyDescent="0.25">
      <c r="A4026">
        <v>105</v>
      </c>
      <c r="B4026" t="s">
        <v>4</v>
      </c>
      <c r="C4026">
        <v>146</v>
      </c>
      <c r="D4026">
        <v>0</v>
      </c>
      <c r="E4026">
        <v>0</v>
      </c>
      <c r="F4026">
        <v>55420</v>
      </c>
      <c r="G4026">
        <v>2500</v>
      </c>
      <c r="H4026">
        <v>0</v>
      </c>
      <c r="J4026" t="str">
        <f>VLOOKUP(Table3[[#This Row],[Faction ID]],Table4[],2)</f>
        <v>Gondor</v>
      </c>
    </row>
    <row r="4027" spans="1:10" x14ac:dyDescent="0.25">
      <c r="A4027">
        <v>105</v>
      </c>
      <c r="B4027" t="s">
        <v>6</v>
      </c>
      <c r="C4027">
        <v>199</v>
      </c>
      <c r="D4027">
        <v>0</v>
      </c>
      <c r="E4027">
        <v>0</v>
      </c>
      <c r="F4027">
        <v>10343</v>
      </c>
      <c r="G4027">
        <v>2500</v>
      </c>
      <c r="H4027">
        <v>0</v>
      </c>
      <c r="J4027" t="str">
        <f>VLOOKUP(Table3[[#This Row],[Faction ID]],Table4[],2)</f>
        <v>Dale</v>
      </c>
    </row>
    <row r="4028" spans="1:10" x14ac:dyDescent="0.25">
      <c r="A4028">
        <v>105</v>
      </c>
      <c r="B4028" t="s">
        <v>21</v>
      </c>
      <c r="C4028">
        <v>200</v>
      </c>
      <c r="D4028">
        <v>0</v>
      </c>
      <c r="E4028">
        <v>0</v>
      </c>
      <c r="F4028">
        <v>10040</v>
      </c>
      <c r="G4028">
        <v>2500</v>
      </c>
      <c r="H4028">
        <v>0</v>
      </c>
      <c r="J4028" t="str">
        <f>VLOOKUP(Table3[[#This Row],[Faction ID]],Table4[],2)</f>
        <v>Erebor</v>
      </c>
    </row>
    <row r="4029" spans="1:10" x14ac:dyDescent="0.25">
      <c r="A4029">
        <v>105</v>
      </c>
      <c r="B4029" t="s">
        <v>5</v>
      </c>
      <c r="C4029">
        <v>157</v>
      </c>
      <c r="D4029">
        <v>0</v>
      </c>
      <c r="E4029">
        <v>0</v>
      </c>
      <c r="F4029">
        <v>6638</v>
      </c>
      <c r="G4029">
        <v>2500</v>
      </c>
      <c r="H4029">
        <v>0</v>
      </c>
      <c r="J4029" t="str">
        <f>VLOOKUP(Table3[[#This Row],[Faction ID]],Table4[],2)</f>
        <v>Rohan</v>
      </c>
    </row>
    <row r="4030" spans="1:10" x14ac:dyDescent="0.25">
      <c r="A4030">
        <v>105</v>
      </c>
      <c r="B4030" t="s">
        <v>12</v>
      </c>
      <c r="C4030">
        <v>412</v>
      </c>
      <c r="D4030">
        <v>20</v>
      </c>
      <c r="E4030">
        <v>312.2</v>
      </c>
      <c r="F4030">
        <v>61788</v>
      </c>
      <c r="G4030">
        <v>43472</v>
      </c>
      <c r="H4030">
        <v>3794</v>
      </c>
      <c r="J4030" t="str">
        <f>VLOOKUP(Table3[[#This Row],[Faction ID]],Table4[],2)</f>
        <v>Dol Guldur</v>
      </c>
    </row>
    <row r="4031" spans="1:10" x14ac:dyDescent="0.25">
      <c r="A4031">
        <v>105</v>
      </c>
      <c r="B4031" t="s">
        <v>10</v>
      </c>
      <c r="C4031">
        <v>58</v>
      </c>
      <c r="D4031">
        <v>0</v>
      </c>
      <c r="E4031">
        <v>0</v>
      </c>
      <c r="F4031">
        <v>4515</v>
      </c>
      <c r="G4031">
        <v>2500</v>
      </c>
      <c r="H4031">
        <v>0</v>
      </c>
      <c r="J4031" t="str">
        <f>VLOOKUP(Table3[[#This Row],[Faction ID]],Table4[],2)</f>
        <v>Anduin Vale</v>
      </c>
    </row>
    <row r="4032" spans="1:10" x14ac:dyDescent="0.25">
      <c r="A4032">
        <v>105</v>
      </c>
      <c r="B4032" t="s">
        <v>32</v>
      </c>
      <c r="C4032">
        <v>277</v>
      </c>
      <c r="D4032">
        <v>8</v>
      </c>
      <c r="E4032">
        <v>209.7</v>
      </c>
      <c r="F4032">
        <v>94567</v>
      </c>
      <c r="G4032">
        <v>28068</v>
      </c>
      <c r="H4032">
        <v>1359</v>
      </c>
      <c r="J4032" t="str">
        <f>VLOOKUP(Table3[[#This Row],[Faction ID]],Table4[],2)</f>
        <v>Isengard</v>
      </c>
    </row>
    <row r="4033" spans="1:10" x14ac:dyDescent="0.25">
      <c r="A4033">
        <v>105</v>
      </c>
      <c r="B4033" t="s">
        <v>22</v>
      </c>
      <c r="C4033">
        <v>30</v>
      </c>
      <c r="D4033">
        <v>0</v>
      </c>
      <c r="E4033">
        <v>0</v>
      </c>
      <c r="F4033">
        <v>8475</v>
      </c>
      <c r="G4033">
        <v>2500</v>
      </c>
      <c r="H4033">
        <v>0</v>
      </c>
      <c r="J4033" t="str">
        <f>VLOOKUP(Table3[[#This Row],[Faction ID]],Table4[],2)</f>
        <v>Woodland Realm</v>
      </c>
    </row>
    <row r="4034" spans="1:10" x14ac:dyDescent="0.25">
      <c r="A4034">
        <v>105</v>
      </c>
      <c r="B4034" t="s">
        <v>23</v>
      </c>
      <c r="C4034">
        <v>64</v>
      </c>
      <c r="D4034">
        <v>0</v>
      </c>
      <c r="E4034">
        <v>0</v>
      </c>
      <c r="F4034">
        <v>4721</v>
      </c>
      <c r="G4034">
        <v>2500</v>
      </c>
      <c r="H4034">
        <v>0</v>
      </c>
      <c r="J4034" t="str">
        <f>VLOOKUP(Table3[[#This Row],[Faction ID]],Table4[],2)</f>
        <v>Lothlorien</v>
      </c>
    </row>
    <row r="4035" spans="1:10" x14ac:dyDescent="0.25">
      <c r="A4035">
        <v>105</v>
      </c>
      <c r="B4035" t="s">
        <v>24</v>
      </c>
      <c r="C4035">
        <v>0</v>
      </c>
      <c r="D4035">
        <v>0</v>
      </c>
      <c r="E4035">
        <v>0</v>
      </c>
      <c r="F4035">
        <v>4919</v>
      </c>
      <c r="G4035">
        <v>1750</v>
      </c>
      <c r="H4035">
        <v>0</v>
      </c>
      <c r="J4035" t="str">
        <f>VLOOKUP(Table3[[#This Row],[Faction ID]],Table4[],2)</f>
        <v>Variags (Khand)</v>
      </c>
    </row>
    <row r="4036" spans="1:10" x14ac:dyDescent="0.25">
      <c r="A4036">
        <v>105</v>
      </c>
      <c r="B4036" t="s">
        <v>14</v>
      </c>
      <c r="C4036">
        <v>17</v>
      </c>
      <c r="D4036">
        <v>12</v>
      </c>
      <c r="E4036">
        <v>183.7</v>
      </c>
      <c r="F4036">
        <v>114085</v>
      </c>
      <c r="G4036">
        <v>43472</v>
      </c>
      <c r="H4036">
        <v>3522</v>
      </c>
      <c r="J4036" t="str">
        <f>VLOOKUP(Table3[[#This Row],[Faction ID]],Table4[],2)</f>
        <v>Corsairs of Umbar</v>
      </c>
    </row>
    <row r="4037" spans="1:10" x14ac:dyDescent="0.25">
      <c r="A4037">
        <v>105</v>
      </c>
      <c r="B4037" t="s">
        <v>25</v>
      </c>
      <c r="C4037">
        <v>0</v>
      </c>
      <c r="D4037">
        <v>0</v>
      </c>
      <c r="E4037">
        <v>0</v>
      </c>
      <c r="F4037">
        <v>9228</v>
      </c>
      <c r="G4037">
        <v>1750</v>
      </c>
      <c r="H4037">
        <v>0</v>
      </c>
      <c r="J4037" t="str">
        <f>VLOOKUP(Table3[[#This Row],[Faction ID]],Table4[],2)</f>
        <v>Mahud</v>
      </c>
    </row>
    <row r="4038" spans="1:10" x14ac:dyDescent="0.25">
      <c r="A4038">
        <v>105</v>
      </c>
      <c r="B4038" t="s">
        <v>11</v>
      </c>
      <c r="C4038">
        <v>196</v>
      </c>
      <c r="D4038">
        <v>13</v>
      </c>
      <c r="E4038">
        <v>230.3</v>
      </c>
      <c r="F4038">
        <v>28259</v>
      </c>
      <c r="G4038">
        <v>35211</v>
      </c>
      <c r="H4038">
        <v>1762</v>
      </c>
      <c r="J4038" t="str">
        <f>VLOOKUP(Table3[[#This Row],[Faction ID]],Table4[],2)</f>
        <v>Haradrim</v>
      </c>
    </row>
    <row r="4039" spans="1:10" x14ac:dyDescent="0.25">
      <c r="A4039">
        <v>105</v>
      </c>
      <c r="B4039" t="s">
        <v>15</v>
      </c>
      <c r="C4039">
        <v>279</v>
      </c>
      <c r="D4039">
        <v>12</v>
      </c>
      <c r="E4039">
        <v>258</v>
      </c>
      <c r="F4039">
        <v>177249</v>
      </c>
      <c r="G4039">
        <v>44443</v>
      </c>
      <c r="H4039">
        <v>2858</v>
      </c>
      <c r="J4039" t="str">
        <f>VLOOKUP(Table3[[#This Row],[Faction ID]],Table4[],2)</f>
        <v>Dunlendings</v>
      </c>
    </row>
    <row r="4040" spans="1:10" x14ac:dyDescent="0.25">
      <c r="A4040">
        <v>105</v>
      </c>
      <c r="B4040" t="s">
        <v>16</v>
      </c>
      <c r="C4040">
        <v>0</v>
      </c>
      <c r="D4040">
        <v>0</v>
      </c>
      <c r="E4040">
        <v>0</v>
      </c>
      <c r="F4040">
        <v>5352</v>
      </c>
      <c r="G4040">
        <v>1750</v>
      </c>
      <c r="H4040">
        <v>0</v>
      </c>
      <c r="J4040" t="str">
        <f>VLOOKUP(Table3[[#This Row],[Faction ID]],Table4[],2)</f>
        <v>Haerrim</v>
      </c>
    </row>
    <row r="4041" spans="1:10" x14ac:dyDescent="0.25">
      <c r="A4041">
        <v>105</v>
      </c>
      <c r="B4041" t="s">
        <v>13</v>
      </c>
      <c r="C4041">
        <v>571</v>
      </c>
      <c r="D4041">
        <v>23</v>
      </c>
      <c r="E4041">
        <v>411.3</v>
      </c>
      <c r="F4041">
        <v>129232</v>
      </c>
      <c r="G4041">
        <v>55069</v>
      </c>
      <c r="H4041">
        <v>6056</v>
      </c>
      <c r="J4041" t="str">
        <f>VLOOKUP(Table3[[#This Row],[Faction ID]],Table4[],2)</f>
        <v>Goblins</v>
      </c>
    </row>
    <row r="4042" spans="1:10" x14ac:dyDescent="0.25">
      <c r="A4042">
        <v>105</v>
      </c>
      <c r="B4042" t="s">
        <v>17</v>
      </c>
      <c r="C4042">
        <v>0</v>
      </c>
      <c r="D4042">
        <v>0</v>
      </c>
      <c r="E4042">
        <v>0</v>
      </c>
      <c r="F4042">
        <v>4872</v>
      </c>
      <c r="G4042">
        <v>1750</v>
      </c>
      <c r="H4042">
        <v>0</v>
      </c>
      <c r="J4042" t="str">
        <f>VLOOKUP(Table3[[#This Row],[Faction ID]],Table4[],2)</f>
        <v>Balchoth</v>
      </c>
    </row>
    <row r="4043" spans="1:10" x14ac:dyDescent="0.25">
      <c r="A4043">
        <v>105</v>
      </c>
      <c r="B4043" t="s">
        <v>18</v>
      </c>
      <c r="C4043">
        <v>460</v>
      </c>
      <c r="D4043">
        <v>27</v>
      </c>
      <c r="E4043">
        <v>401.9</v>
      </c>
      <c r="F4043">
        <v>55160</v>
      </c>
      <c r="G4043">
        <v>47357</v>
      </c>
      <c r="H4043">
        <v>2541</v>
      </c>
      <c r="J4043" t="str">
        <f>VLOOKUP(Table3[[#This Row],[Faction ID]],Table4[],2)</f>
        <v>Rhurim/Rhun</v>
      </c>
    </row>
    <row r="4044" spans="1:10" x14ac:dyDescent="0.25">
      <c r="A4044">
        <v>105</v>
      </c>
      <c r="B4044" t="s">
        <v>19</v>
      </c>
      <c r="C4044">
        <v>0</v>
      </c>
      <c r="D4044">
        <v>0</v>
      </c>
      <c r="E4044">
        <v>0</v>
      </c>
      <c r="F4044">
        <v>7360</v>
      </c>
      <c r="G4044">
        <v>1750</v>
      </c>
      <c r="H4044">
        <v>0</v>
      </c>
      <c r="J4044" t="str">
        <f>VLOOKUP(Table3[[#This Row],[Faction ID]],Table4[],2)</f>
        <v>Feredrim</v>
      </c>
    </row>
    <row r="4045" spans="1:10" x14ac:dyDescent="0.25">
      <c r="A4045">
        <v>105</v>
      </c>
      <c r="B4045" t="s">
        <v>26</v>
      </c>
      <c r="C4045">
        <v>0</v>
      </c>
      <c r="D4045">
        <v>0</v>
      </c>
      <c r="E4045">
        <v>0</v>
      </c>
      <c r="F4045">
        <v>6395</v>
      </c>
      <c r="G4045">
        <v>1750</v>
      </c>
      <c r="H4045">
        <v>0</v>
      </c>
      <c r="J4045" t="str">
        <f>VLOOKUP(Table3[[#This Row],[Faction ID]],Table4[],2)</f>
        <v>Rachrohir (Wainriders)</v>
      </c>
    </row>
    <row r="4046" spans="1:10" x14ac:dyDescent="0.25">
      <c r="A4046">
        <v>105</v>
      </c>
      <c r="B4046" t="s">
        <v>27</v>
      </c>
      <c r="C4046">
        <v>1</v>
      </c>
      <c r="D4046">
        <v>1</v>
      </c>
      <c r="E4046">
        <v>21.7</v>
      </c>
      <c r="F4046">
        <v>9327</v>
      </c>
      <c r="G4046">
        <v>4041</v>
      </c>
      <c r="H4046">
        <v>0</v>
      </c>
      <c r="J4046" t="str">
        <f>VLOOKUP(Table3[[#This Row],[Faction ID]],Table4[],2)</f>
        <v>Blacklock-Stonefoot League</v>
      </c>
    </row>
    <row r="4047" spans="1:10" x14ac:dyDescent="0.25">
      <c r="A4047">
        <v>105</v>
      </c>
      <c r="B4047" t="s">
        <v>28</v>
      </c>
      <c r="C4047">
        <v>7</v>
      </c>
      <c r="D4047">
        <v>4</v>
      </c>
      <c r="E4047">
        <v>48</v>
      </c>
      <c r="F4047">
        <v>25653</v>
      </c>
      <c r="G4047">
        <v>13151</v>
      </c>
      <c r="H4047">
        <v>0</v>
      </c>
      <c r="J4047" t="str">
        <f>VLOOKUP(Table3[[#This Row],[Faction ID]],Table4[],2)</f>
        <v>Ironfist-Stiffbeard Union</v>
      </c>
    </row>
    <row r="4048" spans="1:10" x14ac:dyDescent="0.25">
      <c r="A4048">
        <v>105</v>
      </c>
      <c r="B4048" t="s">
        <v>20</v>
      </c>
      <c r="C4048">
        <v>248</v>
      </c>
      <c r="D4048">
        <v>3</v>
      </c>
      <c r="E4048">
        <v>14.7</v>
      </c>
      <c r="F4048">
        <v>8091</v>
      </c>
      <c r="G4048">
        <v>4980</v>
      </c>
      <c r="H4048">
        <v>0</v>
      </c>
      <c r="J4048" t="str">
        <f>VLOOKUP(Table3[[#This Row],[Faction ID]],Table4[],2)</f>
        <v>Gundabad</v>
      </c>
    </row>
    <row r="4049" spans="1:10" x14ac:dyDescent="0.25">
      <c r="A4049">
        <v>105</v>
      </c>
      <c r="B4049" t="s">
        <v>34</v>
      </c>
      <c r="C4049">
        <v>0</v>
      </c>
      <c r="D4049">
        <v>0</v>
      </c>
      <c r="E4049">
        <v>3</v>
      </c>
      <c r="F4049">
        <v>120709</v>
      </c>
      <c r="G4049">
        <v>2354</v>
      </c>
      <c r="H4049">
        <v>0</v>
      </c>
      <c r="J4049" t="str">
        <f>VLOOKUP(Table3[[#This Row],[Faction ID]],Table4[],2)</f>
        <v>Scouts of Rohan</v>
      </c>
    </row>
    <row r="4050" spans="1:10" x14ac:dyDescent="0.25">
      <c r="A4050">
        <v>105</v>
      </c>
      <c r="B4050" t="s">
        <v>33</v>
      </c>
      <c r="C4050">
        <v>6</v>
      </c>
      <c r="D4050">
        <v>4</v>
      </c>
      <c r="E4050">
        <v>93</v>
      </c>
      <c r="F4050">
        <v>119507</v>
      </c>
      <c r="G4050">
        <v>19935</v>
      </c>
      <c r="H4050">
        <v>909</v>
      </c>
      <c r="J4050" t="str">
        <f>VLOOKUP(Table3[[#This Row],[Faction ID]],Table4[],2)</f>
        <v>Northern Enedwaith</v>
      </c>
    </row>
    <row r="4051" spans="1:10" x14ac:dyDescent="0.25">
      <c r="A4051">
        <v>105</v>
      </c>
      <c r="B4051" t="s">
        <v>29</v>
      </c>
      <c r="C4051">
        <v>0</v>
      </c>
      <c r="D4051">
        <v>0</v>
      </c>
      <c r="E4051">
        <v>0</v>
      </c>
      <c r="F4051">
        <v>54023</v>
      </c>
      <c r="G4051">
        <v>1750</v>
      </c>
      <c r="H4051">
        <v>0</v>
      </c>
      <c r="J4051" t="str">
        <f>VLOOKUP(Table3[[#This Row],[Faction ID]],Table4[],2)</f>
        <v>Southern Enedwaith</v>
      </c>
    </row>
    <row r="4052" spans="1:10" x14ac:dyDescent="0.25">
      <c r="A4052">
        <v>105</v>
      </c>
      <c r="B4052" t="s">
        <v>30</v>
      </c>
      <c r="C4052">
        <v>0</v>
      </c>
      <c r="D4052">
        <v>0</v>
      </c>
      <c r="E4052">
        <v>0</v>
      </c>
      <c r="F4052">
        <v>32146</v>
      </c>
      <c r="G4052">
        <v>1750</v>
      </c>
      <c r="H4052">
        <v>0</v>
      </c>
      <c r="J4052" t="str">
        <f>VLOOKUP(Table3[[#This Row],[Faction ID]],Table4[],2)</f>
        <v>Druedain</v>
      </c>
    </row>
    <row r="4053" spans="1:10" x14ac:dyDescent="0.25">
      <c r="A4053">
        <v>105</v>
      </c>
      <c r="B4053" t="s">
        <v>31</v>
      </c>
      <c r="C4053">
        <v>0</v>
      </c>
      <c r="D4053">
        <v>0</v>
      </c>
      <c r="E4053">
        <v>0</v>
      </c>
      <c r="F4053">
        <v>15146</v>
      </c>
      <c r="G4053">
        <v>1750</v>
      </c>
      <c r="H4053">
        <v>0</v>
      </c>
      <c r="J4053" t="str">
        <f>VLOOKUP(Table3[[#This Row],[Faction ID]],Table4[],2)</f>
        <v>Harondor</v>
      </c>
    </row>
    <row r="4054" spans="1:10" x14ac:dyDescent="0.25">
      <c r="A4054">
        <v>105</v>
      </c>
      <c r="B4054" t="s">
        <v>35</v>
      </c>
      <c r="C4054">
        <v>0</v>
      </c>
      <c r="D4054">
        <v>0</v>
      </c>
      <c r="E4054">
        <v>0</v>
      </c>
      <c r="F4054">
        <v>4000</v>
      </c>
      <c r="G4054">
        <v>1750</v>
      </c>
      <c r="H4054">
        <v>0</v>
      </c>
      <c r="J4054" t="str">
        <f>VLOOKUP(Table3[[#This Row],[Faction ID]],Table4[],2)</f>
        <v>Southron Nomads</v>
      </c>
    </row>
    <row r="4055" spans="1:10" x14ac:dyDescent="0.25">
      <c r="A4055">
        <v>105</v>
      </c>
      <c r="B4055" t="s">
        <v>36</v>
      </c>
      <c r="C4055">
        <v>0</v>
      </c>
      <c r="D4055">
        <v>0</v>
      </c>
      <c r="E4055">
        <v>0</v>
      </c>
      <c r="F4055">
        <v>4000</v>
      </c>
      <c r="G4055">
        <v>1750</v>
      </c>
      <c r="H4055">
        <v>0</v>
      </c>
      <c r="J4055" t="str">
        <f>VLOOKUP(Table3[[#This Row],[Faction ID]],Table4[],2)</f>
        <v>_</v>
      </c>
    </row>
    <row r="4056" spans="1:10" x14ac:dyDescent="0.25">
      <c r="A4056">
        <v>105</v>
      </c>
      <c r="B4056" t="s">
        <v>37</v>
      </c>
      <c r="C4056">
        <v>0</v>
      </c>
      <c r="D4056">
        <v>0</v>
      </c>
      <c r="E4056">
        <v>0</v>
      </c>
      <c r="F4056">
        <v>4000</v>
      </c>
      <c r="G4056">
        <v>1750</v>
      </c>
      <c r="H4056">
        <v>0</v>
      </c>
      <c r="J4056" t="str">
        <f>VLOOKUP(Table3[[#This Row],[Faction ID]],Table4[],2)</f>
        <v>_</v>
      </c>
    </row>
    <row r="4057" spans="1:10" x14ac:dyDescent="0.25">
      <c r="A4057">
        <v>105</v>
      </c>
      <c r="B4057" t="s">
        <v>38</v>
      </c>
      <c r="C4057">
        <v>0</v>
      </c>
      <c r="D4057">
        <v>0</v>
      </c>
      <c r="E4057">
        <v>0</v>
      </c>
      <c r="F4057">
        <v>4000</v>
      </c>
      <c r="G4057">
        <v>1750</v>
      </c>
      <c r="H4057">
        <v>0</v>
      </c>
      <c r="J4057" t="str">
        <f>VLOOKUP(Table3[[#This Row],[Faction ID]],Table4[],2)</f>
        <v>_</v>
      </c>
    </row>
    <row r="4058" spans="1:10" x14ac:dyDescent="0.25">
      <c r="A4058">
        <v>105</v>
      </c>
      <c r="B4058" t="s">
        <v>39</v>
      </c>
      <c r="C4058">
        <v>0</v>
      </c>
      <c r="D4058">
        <v>0</v>
      </c>
      <c r="E4058">
        <v>0</v>
      </c>
      <c r="F4058">
        <v>4000</v>
      </c>
      <c r="G4058">
        <v>1750</v>
      </c>
      <c r="H4058">
        <v>0</v>
      </c>
      <c r="J4058" t="str">
        <f>VLOOKUP(Table3[[#This Row],[Faction ID]],Table4[],2)</f>
        <v>_</v>
      </c>
    </row>
    <row r="4059" spans="1:10" x14ac:dyDescent="0.25">
      <c r="A4059">
        <v>105</v>
      </c>
      <c r="B4059" t="s">
        <v>40</v>
      </c>
      <c r="C4059">
        <v>0</v>
      </c>
      <c r="D4059">
        <v>0</v>
      </c>
      <c r="E4059">
        <v>0</v>
      </c>
      <c r="F4059">
        <v>4000</v>
      </c>
      <c r="G4059">
        <v>1750</v>
      </c>
      <c r="H4059">
        <v>0</v>
      </c>
      <c r="J4059" t="str">
        <f>VLOOKUP(Table3[[#This Row],[Faction ID]],Table4[],2)</f>
        <v>_</v>
      </c>
    </row>
    <row r="4060" spans="1:10" x14ac:dyDescent="0.25">
      <c r="A4060">
        <v>105</v>
      </c>
      <c r="B4060" t="s">
        <v>41</v>
      </c>
      <c r="C4060">
        <v>0</v>
      </c>
      <c r="D4060">
        <v>0</v>
      </c>
      <c r="E4060">
        <v>0</v>
      </c>
      <c r="F4060">
        <v>4000</v>
      </c>
      <c r="G4060">
        <v>1750</v>
      </c>
      <c r="H4060">
        <v>0</v>
      </c>
      <c r="J4060" t="str">
        <f>VLOOKUP(Table3[[#This Row],[Faction ID]],Table4[],2)</f>
        <v>_</v>
      </c>
    </row>
    <row r="4061" spans="1:10" x14ac:dyDescent="0.25">
      <c r="A4061">
        <v>105</v>
      </c>
      <c r="B4061" t="s">
        <v>42</v>
      </c>
      <c r="C4061">
        <v>0</v>
      </c>
      <c r="D4061">
        <v>0</v>
      </c>
      <c r="E4061">
        <v>0</v>
      </c>
      <c r="F4061">
        <v>4000</v>
      </c>
      <c r="G4061">
        <v>1750</v>
      </c>
      <c r="H4061">
        <v>0</v>
      </c>
      <c r="J4061" t="str">
        <f>VLOOKUP(Table3[[#This Row],[Faction ID]],Table4[],2)</f>
        <v>_</v>
      </c>
    </row>
    <row r="4062" spans="1:10" x14ac:dyDescent="0.25">
      <c r="A4062">
        <v>105</v>
      </c>
      <c r="B4062" t="s">
        <v>43</v>
      </c>
      <c r="C4062">
        <v>0</v>
      </c>
      <c r="D4062">
        <v>0</v>
      </c>
      <c r="E4062">
        <v>0</v>
      </c>
      <c r="F4062">
        <v>4000</v>
      </c>
      <c r="G4062">
        <v>1750</v>
      </c>
      <c r="H4062">
        <v>0</v>
      </c>
      <c r="J4062" t="str">
        <f>VLOOKUP(Table3[[#This Row],[Faction ID]],Table4[],2)</f>
        <v>_</v>
      </c>
    </row>
    <row r="4063" spans="1:10" x14ac:dyDescent="0.25">
      <c r="A4063">
        <v>105</v>
      </c>
      <c r="B4063" t="s">
        <v>44</v>
      </c>
      <c r="C4063">
        <v>0</v>
      </c>
      <c r="D4063">
        <v>0</v>
      </c>
      <c r="E4063">
        <v>0</v>
      </c>
      <c r="F4063">
        <v>4000</v>
      </c>
      <c r="G4063">
        <v>1750</v>
      </c>
      <c r="H4063">
        <v>0</v>
      </c>
      <c r="J4063" t="str">
        <f>VLOOKUP(Table3[[#This Row],[Faction ID]],Table4[],2)</f>
        <v>_</v>
      </c>
    </row>
    <row r="4064" spans="1:10" x14ac:dyDescent="0.25">
      <c r="A4064">
        <v>106</v>
      </c>
      <c r="B4064" t="s">
        <v>9</v>
      </c>
      <c r="C4064">
        <v>528</v>
      </c>
      <c r="D4064">
        <v>30</v>
      </c>
      <c r="E4064">
        <v>359.1</v>
      </c>
      <c r="F4064">
        <v>11271</v>
      </c>
      <c r="G4064">
        <v>48626</v>
      </c>
      <c r="H4064">
        <v>3496</v>
      </c>
      <c r="J4064" t="str">
        <f>VLOOKUP(Table3[[#This Row],[Faction ID]],Table4[],2)</f>
        <v>Mordor</v>
      </c>
    </row>
    <row r="4065" spans="1:10" x14ac:dyDescent="0.25">
      <c r="A4065">
        <v>106</v>
      </c>
      <c r="B4065" t="s">
        <v>4</v>
      </c>
      <c r="C4065">
        <v>146</v>
      </c>
      <c r="D4065">
        <v>0</v>
      </c>
      <c r="E4065">
        <v>0</v>
      </c>
      <c r="F4065">
        <v>55420</v>
      </c>
      <c r="G4065">
        <v>2500</v>
      </c>
      <c r="H4065">
        <v>0</v>
      </c>
      <c r="J4065" t="str">
        <f>VLOOKUP(Table3[[#This Row],[Faction ID]],Table4[],2)</f>
        <v>Gondor</v>
      </c>
    </row>
    <row r="4066" spans="1:10" x14ac:dyDescent="0.25">
      <c r="A4066">
        <v>106</v>
      </c>
      <c r="B4066" t="s">
        <v>6</v>
      </c>
      <c r="C4066">
        <v>199</v>
      </c>
      <c r="D4066">
        <v>0</v>
      </c>
      <c r="E4066">
        <v>0</v>
      </c>
      <c r="F4066">
        <v>10343</v>
      </c>
      <c r="G4066">
        <v>2500</v>
      </c>
      <c r="H4066">
        <v>0</v>
      </c>
      <c r="J4066" t="str">
        <f>VLOOKUP(Table3[[#This Row],[Faction ID]],Table4[],2)</f>
        <v>Dale</v>
      </c>
    </row>
    <row r="4067" spans="1:10" x14ac:dyDescent="0.25">
      <c r="A4067">
        <v>106</v>
      </c>
      <c r="B4067" t="s">
        <v>21</v>
      </c>
      <c r="C4067">
        <v>200</v>
      </c>
      <c r="D4067">
        <v>0</v>
      </c>
      <c r="E4067">
        <v>0</v>
      </c>
      <c r="F4067">
        <v>10040</v>
      </c>
      <c r="G4067">
        <v>2500</v>
      </c>
      <c r="H4067">
        <v>0</v>
      </c>
      <c r="J4067" t="str">
        <f>VLOOKUP(Table3[[#This Row],[Faction ID]],Table4[],2)</f>
        <v>Erebor</v>
      </c>
    </row>
    <row r="4068" spans="1:10" x14ac:dyDescent="0.25">
      <c r="A4068">
        <v>106</v>
      </c>
      <c r="B4068" t="s">
        <v>5</v>
      </c>
      <c r="C4068">
        <v>157</v>
      </c>
      <c r="D4068">
        <v>0</v>
      </c>
      <c r="E4068">
        <v>0</v>
      </c>
      <c r="F4068">
        <v>6638</v>
      </c>
      <c r="G4068">
        <v>2500</v>
      </c>
      <c r="H4068">
        <v>0</v>
      </c>
      <c r="J4068" t="str">
        <f>VLOOKUP(Table3[[#This Row],[Faction ID]],Table4[],2)</f>
        <v>Rohan</v>
      </c>
    </row>
    <row r="4069" spans="1:10" x14ac:dyDescent="0.25">
      <c r="A4069">
        <v>106</v>
      </c>
      <c r="B4069" t="s">
        <v>12</v>
      </c>
      <c r="C4069">
        <v>441</v>
      </c>
      <c r="D4069">
        <v>21</v>
      </c>
      <c r="E4069">
        <v>319.8</v>
      </c>
      <c r="F4069">
        <v>74117</v>
      </c>
      <c r="G4069">
        <v>44018</v>
      </c>
      <c r="H4069">
        <v>3799</v>
      </c>
      <c r="J4069" t="str">
        <f>VLOOKUP(Table3[[#This Row],[Faction ID]],Table4[],2)</f>
        <v>Dol Guldur</v>
      </c>
    </row>
    <row r="4070" spans="1:10" x14ac:dyDescent="0.25">
      <c r="A4070">
        <v>106</v>
      </c>
      <c r="B4070" t="s">
        <v>10</v>
      </c>
      <c r="C4070">
        <v>58</v>
      </c>
      <c r="D4070">
        <v>0</v>
      </c>
      <c r="E4070">
        <v>0</v>
      </c>
      <c r="F4070">
        <v>4515</v>
      </c>
      <c r="G4070">
        <v>2500</v>
      </c>
      <c r="H4070">
        <v>0</v>
      </c>
      <c r="J4070" t="str">
        <f>VLOOKUP(Table3[[#This Row],[Faction ID]],Table4[],2)</f>
        <v>Anduin Vale</v>
      </c>
    </row>
    <row r="4071" spans="1:10" x14ac:dyDescent="0.25">
      <c r="A4071">
        <v>106</v>
      </c>
      <c r="B4071" t="s">
        <v>32</v>
      </c>
      <c r="C4071">
        <v>277</v>
      </c>
      <c r="D4071">
        <v>8</v>
      </c>
      <c r="E4071">
        <v>210.7</v>
      </c>
      <c r="F4071">
        <v>95624</v>
      </c>
      <c r="G4071">
        <v>28548</v>
      </c>
      <c r="H4071">
        <v>1230</v>
      </c>
      <c r="J4071" t="str">
        <f>VLOOKUP(Table3[[#This Row],[Faction ID]],Table4[],2)</f>
        <v>Isengard</v>
      </c>
    </row>
    <row r="4072" spans="1:10" x14ac:dyDescent="0.25">
      <c r="A4072">
        <v>106</v>
      </c>
      <c r="B4072" t="s">
        <v>22</v>
      </c>
      <c r="C4072">
        <v>30</v>
      </c>
      <c r="D4072">
        <v>0</v>
      </c>
      <c r="E4072">
        <v>0</v>
      </c>
      <c r="F4072">
        <v>8475</v>
      </c>
      <c r="G4072">
        <v>2500</v>
      </c>
      <c r="H4072">
        <v>0</v>
      </c>
      <c r="J4072" t="str">
        <f>VLOOKUP(Table3[[#This Row],[Faction ID]],Table4[],2)</f>
        <v>Woodland Realm</v>
      </c>
    </row>
    <row r="4073" spans="1:10" x14ac:dyDescent="0.25">
      <c r="A4073">
        <v>106</v>
      </c>
      <c r="B4073" t="s">
        <v>23</v>
      </c>
      <c r="C4073">
        <v>64</v>
      </c>
      <c r="D4073">
        <v>0</v>
      </c>
      <c r="E4073">
        <v>0</v>
      </c>
      <c r="F4073">
        <v>4721</v>
      </c>
      <c r="G4073">
        <v>2500</v>
      </c>
      <c r="H4073">
        <v>0</v>
      </c>
      <c r="J4073" t="str">
        <f>VLOOKUP(Table3[[#This Row],[Faction ID]],Table4[],2)</f>
        <v>Lothlorien</v>
      </c>
    </row>
    <row r="4074" spans="1:10" x14ac:dyDescent="0.25">
      <c r="A4074">
        <v>106</v>
      </c>
      <c r="B4074" t="s">
        <v>24</v>
      </c>
      <c r="C4074">
        <v>0</v>
      </c>
      <c r="D4074">
        <v>0</v>
      </c>
      <c r="E4074">
        <v>0</v>
      </c>
      <c r="F4074">
        <v>4919</v>
      </c>
      <c r="G4074">
        <v>1750</v>
      </c>
      <c r="H4074">
        <v>0</v>
      </c>
      <c r="J4074" t="str">
        <f>VLOOKUP(Table3[[#This Row],[Faction ID]],Table4[],2)</f>
        <v>Variags (Khand)</v>
      </c>
    </row>
    <row r="4075" spans="1:10" x14ac:dyDescent="0.25">
      <c r="A4075">
        <v>106</v>
      </c>
      <c r="B4075" t="s">
        <v>14</v>
      </c>
      <c r="C4075">
        <v>18</v>
      </c>
      <c r="D4075">
        <v>13</v>
      </c>
      <c r="E4075">
        <v>198.7</v>
      </c>
      <c r="F4075">
        <v>94272</v>
      </c>
      <c r="G4075">
        <v>43539</v>
      </c>
      <c r="H4075">
        <v>3545</v>
      </c>
      <c r="J4075" t="str">
        <f>VLOOKUP(Table3[[#This Row],[Faction ID]],Table4[],2)</f>
        <v>Corsairs of Umbar</v>
      </c>
    </row>
    <row r="4076" spans="1:10" x14ac:dyDescent="0.25">
      <c r="A4076">
        <v>106</v>
      </c>
      <c r="B4076" t="s">
        <v>25</v>
      </c>
      <c r="C4076">
        <v>0</v>
      </c>
      <c r="D4076">
        <v>0</v>
      </c>
      <c r="E4076">
        <v>0</v>
      </c>
      <c r="F4076">
        <v>9228</v>
      </c>
      <c r="G4076">
        <v>1750</v>
      </c>
      <c r="H4076">
        <v>0</v>
      </c>
      <c r="J4076" t="str">
        <f>VLOOKUP(Table3[[#This Row],[Faction ID]],Table4[],2)</f>
        <v>Mahud</v>
      </c>
    </row>
    <row r="4077" spans="1:10" x14ac:dyDescent="0.25">
      <c r="A4077">
        <v>106</v>
      </c>
      <c r="B4077" t="s">
        <v>11</v>
      </c>
      <c r="C4077">
        <v>204</v>
      </c>
      <c r="D4077">
        <v>13</v>
      </c>
      <c r="E4077">
        <v>241.29999999999899</v>
      </c>
      <c r="F4077">
        <v>27931</v>
      </c>
      <c r="G4077">
        <v>36654</v>
      </c>
      <c r="H4077">
        <v>1875</v>
      </c>
      <c r="J4077" t="str">
        <f>VLOOKUP(Table3[[#This Row],[Faction ID]],Table4[],2)</f>
        <v>Haradrim</v>
      </c>
    </row>
    <row r="4078" spans="1:10" x14ac:dyDescent="0.25">
      <c r="A4078">
        <v>106</v>
      </c>
      <c r="B4078" t="s">
        <v>15</v>
      </c>
      <c r="C4078">
        <v>279</v>
      </c>
      <c r="D4078">
        <v>12</v>
      </c>
      <c r="E4078">
        <v>258</v>
      </c>
      <c r="F4078">
        <v>175183</v>
      </c>
      <c r="G4078">
        <v>46196</v>
      </c>
      <c r="H4078">
        <v>2887</v>
      </c>
      <c r="J4078" t="str">
        <f>VLOOKUP(Table3[[#This Row],[Faction ID]],Table4[],2)</f>
        <v>Dunlendings</v>
      </c>
    </row>
    <row r="4079" spans="1:10" x14ac:dyDescent="0.25">
      <c r="A4079">
        <v>106</v>
      </c>
      <c r="B4079" t="s">
        <v>16</v>
      </c>
      <c r="C4079">
        <v>0</v>
      </c>
      <c r="D4079">
        <v>0</v>
      </c>
      <c r="E4079">
        <v>0</v>
      </c>
      <c r="F4079">
        <v>5352</v>
      </c>
      <c r="G4079">
        <v>1750</v>
      </c>
      <c r="H4079">
        <v>0</v>
      </c>
      <c r="J4079" t="str">
        <f>VLOOKUP(Table3[[#This Row],[Faction ID]],Table4[],2)</f>
        <v>Haerrim</v>
      </c>
    </row>
    <row r="4080" spans="1:10" x14ac:dyDescent="0.25">
      <c r="A4080">
        <v>106</v>
      </c>
      <c r="B4080" t="s">
        <v>13</v>
      </c>
      <c r="C4080">
        <v>571</v>
      </c>
      <c r="D4080">
        <v>23</v>
      </c>
      <c r="E4080">
        <v>411.3</v>
      </c>
      <c r="F4080">
        <v>141379</v>
      </c>
      <c r="G4080">
        <v>54625</v>
      </c>
      <c r="H4080">
        <v>6065</v>
      </c>
      <c r="J4080" t="str">
        <f>VLOOKUP(Table3[[#This Row],[Faction ID]],Table4[],2)</f>
        <v>Goblins</v>
      </c>
    </row>
    <row r="4081" spans="1:10" x14ac:dyDescent="0.25">
      <c r="A4081">
        <v>106</v>
      </c>
      <c r="B4081" t="s">
        <v>17</v>
      </c>
      <c r="C4081">
        <v>0</v>
      </c>
      <c r="D4081">
        <v>0</v>
      </c>
      <c r="E4081">
        <v>0</v>
      </c>
      <c r="F4081">
        <v>4872</v>
      </c>
      <c r="G4081">
        <v>1750</v>
      </c>
      <c r="H4081">
        <v>0</v>
      </c>
      <c r="J4081" t="str">
        <f>VLOOKUP(Table3[[#This Row],[Faction ID]],Table4[],2)</f>
        <v>Balchoth</v>
      </c>
    </row>
    <row r="4082" spans="1:10" x14ac:dyDescent="0.25">
      <c r="A4082">
        <v>106</v>
      </c>
      <c r="B4082" t="s">
        <v>18</v>
      </c>
      <c r="C4082">
        <v>480</v>
      </c>
      <c r="D4082">
        <v>27</v>
      </c>
      <c r="E4082">
        <v>417.9</v>
      </c>
      <c r="F4082">
        <v>64431</v>
      </c>
      <c r="G4082">
        <v>48800</v>
      </c>
      <c r="H4082">
        <v>2706</v>
      </c>
      <c r="J4082" t="str">
        <f>VLOOKUP(Table3[[#This Row],[Faction ID]],Table4[],2)</f>
        <v>Rhurim/Rhun</v>
      </c>
    </row>
    <row r="4083" spans="1:10" x14ac:dyDescent="0.25">
      <c r="A4083">
        <v>106</v>
      </c>
      <c r="B4083" t="s">
        <v>19</v>
      </c>
      <c r="C4083">
        <v>0</v>
      </c>
      <c r="D4083">
        <v>0</v>
      </c>
      <c r="E4083">
        <v>0</v>
      </c>
      <c r="F4083">
        <v>7360</v>
      </c>
      <c r="G4083">
        <v>1750</v>
      </c>
      <c r="H4083">
        <v>0</v>
      </c>
      <c r="J4083" t="str">
        <f>VLOOKUP(Table3[[#This Row],[Faction ID]],Table4[],2)</f>
        <v>Feredrim</v>
      </c>
    </row>
    <row r="4084" spans="1:10" x14ac:dyDescent="0.25">
      <c r="A4084">
        <v>106</v>
      </c>
      <c r="B4084" t="s">
        <v>26</v>
      </c>
      <c r="C4084">
        <v>0</v>
      </c>
      <c r="D4084">
        <v>0</v>
      </c>
      <c r="E4084">
        <v>0</v>
      </c>
      <c r="F4084">
        <v>6395</v>
      </c>
      <c r="G4084">
        <v>1750</v>
      </c>
      <c r="H4084">
        <v>0</v>
      </c>
      <c r="J4084" t="str">
        <f>VLOOKUP(Table3[[#This Row],[Faction ID]],Table4[],2)</f>
        <v>Rachrohir (Wainriders)</v>
      </c>
    </row>
    <row r="4085" spans="1:10" x14ac:dyDescent="0.25">
      <c r="A4085">
        <v>106</v>
      </c>
      <c r="B4085" t="s">
        <v>27</v>
      </c>
      <c r="C4085">
        <v>1</v>
      </c>
      <c r="D4085">
        <v>1</v>
      </c>
      <c r="E4085">
        <v>22.8</v>
      </c>
      <c r="F4085">
        <v>4596</v>
      </c>
      <c r="G4085">
        <v>4133</v>
      </c>
      <c r="H4085">
        <v>0</v>
      </c>
      <c r="J4085" t="str">
        <f>VLOOKUP(Table3[[#This Row],[Faction ID]],Table4[],2)</f>
        <v>Blacklock-Stonefoot League</v>
      </c>
    </row>
    <row r="4086" spans="1:10" x14ac:dyDescent="0.25">
      <c r="A4086">
        <v>106</v>
      </c>
      <c r="B4086" t="s">
        <v>28</v>
      </c>
      <c r="C4086">
        <v>7</v>
      </c>
      <c r="D4086">
        <v>4</v>
      </c>
      <c r="E4086">
        <v>45</v>
      </c>
      <c r="F4086">
        <v>19158</v>
      </c>
      <c r="G4086">
        <v>11109</v>
      </c>
      <c r="H4086">
        <v>0</v>
      </c>
      <c r="J4086" t="str">
        <f>VLOOKUP(Table3[[#This Row],[Faction ID]],Table4[],2)</f>
        <v>Ironfist-Stiffbeard Union</v>
      </c>
    </row>
    <row r="4087" spans="1:10" x14ac:dyDescent="0.25">
      <c r="A4087">
        <v>106</v>
      </c>
      <c r="B4087" t="s">
        <v>20</v>
      </c>
      <c r="C4087">
        <v>245</v>
      </c>
      <c r="D4087">
        <v>0</v>
      </c>
      <c r="E4087">
        <v>0</v>
      </c>
      <c r="F4087">
        <v>9750</v>
      </c>
      <c r="G4087">
        <v>2500</v>
      </c>
      <c r="H4087">
        <v>0</v>
      </c>
      <c r="J4087" t="str">
        <f>VLOOKUP(Table3[[#This Row],[Faction ID]],Table4[],2)</f>
        <v>Gundabad</v>
      </c>
    </row>
    <row r="4088" spans="1:10" x14ac:dyDescent="0.25">
      <c r="A4088">
        <v>106</v>
      </c>
      <c r="B4088" t="s">
        <v>34</v>
      </c>
      <c r="C4088">
        <v>0</v>
      </c>
      <c r="D4088">
        <v>0</v>
      </c>
      <c r="E4088">
        <v>3</v>
      </c>
      <c r="F4088">
        <v>121855</v>
      </c>
      <c r="G4088">
        <v>2354</v>
      </c>
      <c r="H4088">
        <v>0</v>
      </c>
      <c r="J4088" t="str">
        <f>VLOOKUP(Table3[[#This Row],[Faction ID]],Table4[],2)</f>
        <v>Scouts of Rohan</v>
      </c>
    </row>
    <row r="4089" spans="1:10" x14ac:dyDescent="0.25">
      <c r="A4089">
        <v>106</v>
      </c>
      <c r="B4089" t="s">
        <v>33</v>
      </c>
      <c r="C4089">
        <v>6</v>
      </c>
      <c r="D4089">
        <v>4</v>
      </c>
      <c r="E4089">
        <v>94</v>
      </c>
      <c r="F4089">
        <v>122451</v>
      </c>
      <c r="G4089">
        <v>20169</v>
      </c>
      <c r="H4089">
        <v>918</v>
      </c>
      <c r="J4089" t="str">
        <f>VLOOKUP(Table3[[#This Row],[Faction ID]],Table4[],2)</f>
        <v>Northern Enedwaith</v>
      </c>
    </row>
    <row r="4090" spans="1:10" x14ac:dyDescent="0.25">
      <c r="A4090">
        <v>106</v>
      </c>
      <c r="B4090" t="s">
        <v>29</v>
      </c>
      <c r="C4090">
        <v>0</v>
      </c>
      <c r="D4090">
        <v>0</v>
      </c>
      <c r="E4090">
        <v>0</v>
      </c>
      <c r="F4090">
        <v>54023</v>
      </c>
      <c r="G4090">
        <v>1750</v>
      </c>
      <c r="H4090">
        <v>0</v>
      </c>
      <c r="J4090" t="str">
        <f>VLOOKUP(Table3[[#This Row],[Faction ID]],Table4[],2)</f>
        <v>Southern Enedwaith</v>
      </c>
    </row>
    <row r="4091" spans="1:10" x14ac:dyDescent="0.25">
      <c r="A4091">
        <v>106</v>
      </c>
      <c r="B4091" t="s">
        <v>30</v>
      </c>
      <c r="C4091">
        <v>0</v>
      </c>
      <c r="D4091">
        <v>0</v>
      </c>
      <c r="E4091">
        <v>0</v>
      </c>
      <c r="F4091">
        <v>32146</v>
      </c>
      <c r="G4091">
        <v>1750</v>
      </c>
      <c r="H4091">
        <v>0</v>
      </c>
      <c r="J4091" t="str">
        <f>VLOOKUP(Table3[[#This Row],[Faction ID]],Table4[],2)</f>
        <v>Druedain</v>
      </c>
    </row>
    <row r="4092" spans="1:10" x14ac:dyDescent="0.25">
      <c r="A4092">
        <v>106</v>
      </c>
      <c r="B4092" t="s">
        <v>31</v>
      </c>
      <c r="C4092">
        <v>0</v>
      </c>
      <c r="D4092">
        <v>0</v>
      </c>
      <c r="E4092">
        <v>0</v>
      </c>
      <c r="F4092">
        <v>15146</v>
      </c>
      <c r="G4092">
        <v>1750</v>
      </c>
      <c r="H4092">
        <v>0</v>
      </c>
      <c r="J4092" t="str">
        <f>VLOOKUP(Table3[[#This Row],[Faction ID]],Table4[],2)</f>
        <v>Harondor</v>
      </c>
    </row>
    <row r="4093" spans="1:10" x14ac:dyDescent="0.25">
      <c r="A4093">
        <v>106</v>
      </c>
      <c r="B4093" t="s">
        <v>35</v>
      </c>
      <c r="C4093">
        <v>0</v>
      </c>
      <c r="D4093">
        <v>0</v>
      </c>
      <c r="E4093">
        <v>0</v>
      </c>
      <c r="F4093">
        <v>4000</v>
      </c>
      <c r="G4093">
        <v>1750</v>
      </c>
      <c r="H4093">
        <v>0</v>
      </c>
      <c r="J4093" t="str">
        <f>VLOOKUP(Table3[[#This Row],[Faction ID]],Table4[],2)</f>
        <v>Southron Nomads</v>
      </c>
    </row>
    <row r="4094" spans="1:10" x14ac:dyDescent="0.25">
      <c r="A4094">
        <v>106</v>
      </c>
      <c r="B4094" t="s">
        <v>36</v>
      </c>
      <c r="C4094">
        <v>0</v>
      </c>
      <c r="D4094">
        <v>0</v>
      </c>
      <c r="E4094">
        <v>0</v>
      </c>
      <c r="F4094">
        <v>4000</v>
      </c>
      <c r="G4094">
        <v>1750</v>
      </c>
      <c r="H4094">
        <v>0</v>
      </c>
      <c r="J4094" t="str">
        <f>VLOOKUP(Table3[[#This Row],[Faction ID]],Table4[],2)</f>
        <v>_</v>
      </c>
    </row>
    <row r="4095" spans="1:10" x14ac:dyDescent="0.25">
      <c r="A4095">
        <v>106</v>
      </c>
      <c r="B4095" t="s">
        <v>37</v>
      </c>
      <c r="C4095">
        <v>0</v>
      </c>
      <c r="D4095">
        <v>0</v>
      </c>
      <c r="E4095">
        <v>0</v>
      </c>
      <c r="F4095">
        <v>4000</v>
      </c>
      <c r="G4095">
        <v>1750</v>
      </c>
      <c r="H4095">
        <v>0</v>
      </c>
      <c r="J4095" t="str">
        <f>VLOOKUP(Table3[[#This Row],[Faction ID]],Table4[],2)</f>
        <v>_</v>
      </c>
    </row>
    <row r="4096" spans="1:10" x14ac:dyDescent="0.25">
      <c r="A4096">
        <v>106</v>
      </c>
      <c r="B4096" t="s">
        <v>38</v>
      </c>
      <c r="C4096">
        <v>0</v>
      </c>
      <c r="D4096">
        <v>0</v>
      </c>
      <c r="E4096">
        <v>0</v>
      </c>
      <c r="F4096">
        <v>4000</v>
      </c>
      <c r="G4096">
        <v>1750</v>
      </c>
      <c r="H4096">
        <v>0</v>
      </c>
      <c r="J4096" t="str">
        <f>VLOOKUP(Table3[[#This Row],[Faction ID]],Table4[],2)</f>
        <v>_</v>
      </c>
    </row>
    <row r="4097" spans="1:10" x14ac:dyDescent="0.25">
      <c r="A4097">
        <v>106</v>
      </c>
      <c r="B4097" t="s">
        <v>39</v>
      </c>
      <c r="C4097">
        <v>0</v>
      </c>
      <c r="D4097">
        <v>0</v>
      </c>
      <c r="E4097">
        <v>0</v>
      </c>
      <c r="F4097">
        <v>4000</v>
      </c>
      <c r="G4097">
        <v>1750</v>
      </c>
      <c r="H4097">
        <v>0</v>
      </c>
      <c r="J4097" t="str">
        <f>VLOOKUP(Table3[[#This Row],[Faction ID]],Table4[],2)</f>
        <v>_</v>
      </c>
    </row>
    <row r="4098" spans="1:10" x14ac:dyDescent="0.25">
      <c r="A4098">
        <v>106</v>
      </c>
      <c r="B4098" t="s">
        <v>40</v>
      </c>
      <c r="C4098">
        <v>0</v>
      </c>
      <c r="D4098">
        <v>0</v>
      </c>
      <c r="E4098">
        <v>0</v>
      </c>
      <c r="F4098">
        <v>4000</v>
      </c>
      <c r="G4098">
        <v>1750</v>
      </c>
      <c r="H4098">
        <v>0</v>
      </c>
      <c r="J4098" t="str">
        <f>VLOOKUP(Table3[[#This Row],[Faction ID]],Table4[],2)</f>
        <v>_</v>
      </c>
    </row>
    <row r="4099" spans="1:10" x14ac:dyDescent="0.25">
      <c r="A4099">
        <v>106</v>
      </c>
      <c r="B4099" t="s">
        <v>41</v>
      </c>
      <c r="C4099">
        <v>0</v>
      </c>
      <c r="D4099">
        <v>0</v>
      </c>
      <c r="E4099">
        <v>0</v>
      </c>
      <c r="F4099">
        <v>4000</v>
      </c>
      <c r="G4099">
        <v>1750</v>
      </c>
      <c r="H4099">
        <v>0</v>
      </c>
      <c r="J4099" t="str">
        <f>VLOOKUP(Table3[[#This Row],[Faction ID]],Table4[],2)</f>
        <v>_</v>
      </c>
    </row>
    <row r="4100" spans="1:10" x14ac:dyDescent="0.25">
      <c r="A4100">
        <v>106</v>
      </c>
      <c r="B4100" t="s">
        <v>42</v>
      </c>
      <c r="C4100">
        <v>0</v>
      </c>
      <c r="D4100">
        <v>0</v>
      </c>
      <c r="E4100">
        <v>0</v>
      </c>
      <c r="F4100">
        <v>4000</v>
      </c>
      <c r="G4100">
        <v>1750</v>
      </c>
      <c r="H4100">
        <v>0</v>
      </c>
      <c r="J4100" t="str">
        <f>VLOOKUP(Table3[[#This Row],[Faction ID]],Table4[],2)</f>
        <v>_</v>
      </c>
    </row>
    <row r="4101" spans="1:10" x14ac:dyDescent="0.25">
      <c r="A4101">
        <v>106</v>
      </c>
      <c r="B4101" t="s">
        <v>43</v>
      </c>
      <c r="C4101">
        <v>0</v>
      </c>
      <c r="D4101">
        <v>0</v>
      </c>
      <c r="E4101">
        <v>0</v>
      </c>
      <c r="F4101">
        <v>4000</v>
      </c>
      <c r="G4101">
        <v>1750</v>
      </c>
      <c r="H4101">
        <v>0</v>
      </c>
      <c r="J4101" t="str">
        <f>VLOOKUP(Table3[[#This Row],[Faction ID]],Table4[],2)</f>
        <v>_</v>
      </c>
    </row>
    <row r="4102" spans="1:10" x14ac:dyDescent="0.25">
      <c r="A4102">
        <v>106</v>
      </c>
      <c r="B4102" t="s">
        <v>44</v>
      </c>
      <c r="C4102">
        <v>0</v>
      </c>
      <c r="D4102">
        <v>0</v>
      </c>
      <c r="E4102">
        <v>0</v>
      </c>
      <c r="F4102">
        <v>4000</v>
      </c>
      <c r="G4102">
        <v>1750</v>
      </c>
      <c r="H4102">
        <v>0</v>
      </c>
      <c r="J4102" t="str">
        <f>VLOOKUP(Table3[[#This Row],[Faction ID]],Table4[],2)</f>
        <v>_</v>
      </c>
    </row>
    <row r="4103" spans="1:10" x14ac:dyDescent="0.25">
      <c r="A4103">
        <v>107</v>
      </c>
      <c r="B4103" t="s">
        <v>9</v>
      </c>
      <c r="C4103">
        <v>553</v>
      </c>
      <c r="D4103">
        <v>30</v>
      </c>
      <c r="E4103">
        <v>362.9</v>
      </c>
      <c r="F4103">
        <v>14807</v>
      </c>
      <c r="G4103">
        <v>46312</v>
      </c>
      <c r="H4103">
        <v>3140</v>
      </c>
      <c r="J4103" t="str">
        <f>VLOOKUP(Table3[[#This Row],[Faction ID]],Table4[],2)</f>
        <v>Mordor</v>
      </c>
    </row>
    <row r="4104" spans="1:10" x14ac:dyDescent="0.25">
      <c r="A4104">
        <v>107</v>
      </c>
      <c r="B4104" t="s">
        <v>4</v>
      </c>
      <c r="C4104">
        <v>146</v>
      </c>
      <c r="D4104">
        <v>0</v>
      </c>
      <c r="E4104">
        <v>0</v>
      </c>
      <c r="F4104">
        <v>55420</v>
      </c>
      <c r="G4104">
        <v>2500</v>
      </c>
      <c r="H4104">
        <v>0</v>
      </c>
      <c r="J4104" t="str">
        <f>VLOOKUP(Table3[[#This Row],[Faction ID]],Table4[],2)</f>
        <v>Gondor</v>
      </c>
    </row>
    <row r="4105" spans="1:10" x14ac:dyDescent="0.25">
      <c r="A4105">
        <v>107</v>
      </c>
      <c r="B4105" t="s">
        <v>6</v>
      </c>
      <c r="C4105">
        <v>199</v>
      </c>
      <c r="D4105">
        <v>0</v>
      </c>
      <c r="E4105">
        <v>0</v>
      </c>
      <c r="F4105">
        <v>10343</v>
      </c>
      <c r="G4105">
        <v>2500</v>
      </c>
      <c r="H4105">
        <v>0</v>
      </c>
      <c r="J4105" t="str">
        <f>VLOOKUP(Table3[[#This Row],[Faction ID]],Table4[],2)</f>
        <v>Dale</v>
      </c>
    </row>
    <row r="4106" spans="1:10" x14ac:dyDescent="0.25">
      <c r="A4106">
        <v>107</v>
      </c>
      <c r="B4106" t="s">
        <v>21</v>
      </c>
      <c r="C4106">
        <v>200</v>
      </c>
      <c r="D4106">
        <v>0</v>
      </c>
      <c r="E4106">
        <v>0</v>
      </c>
      <c r="F4106">
        <v>10040</v>
      </c>
      <c r="G4106">
        <v>2500</v>
      </c>
      <c r="H4106">
        <v>0</v>
      </c>
      <c r="J4106" t="str">
        <f>VLOOKUP(Table3[[#This Row],[Faction ID]],Table4[],2)</f>
        <v>Erebor</v>
      </c>
    </row>
    <row r="4107" spans="1:10" x14ac:dyDescent="0.25">
      <c r="A4107">
        <v>107</v>
      </c>
      <c r="B4107" t="s">
        <v>5</v>
      </c>
      <c r="C4107">
        <v>157</v>
      </c>
      <c r="D4107">
        <v>0</v>
      </c>
      <c r="E4107">
        <v>0</v>
      </c>
      <c r="F4107">
        <v>6638</v>
      </c>
      <c r="G4107">
        <v>2500</v>
      </c>
      <c r="H4107">
        <v>0</v>
      </c>
      <c r="J4107" t="str">
        <f>VLOOKUP(Table3[[#This Row],[Faction ID]],Table4[],2)</f>
        <v>Rohan</v>
      </c>
    </row>
    <row r="4108" spans="1:10" x14ac:dyDescent="0.25">
      <c r="A4108">
        <v>107</v>
      </c>
      <c r="B4108" t="s">
        <v>12</v>
      </c>
      <c r="C4108">
        <v>446</v>
      </c>
      <c r="D4108">
        <v>21</v>
      </c>
      <c r="E4108">
        <v>319.8</v>
      </c>
      <c r="F4108">
        <v>88438</v>
      </c>
      <c r="G4108">
        <v>45263</v>
      </c>
      <c r="H4108">
        <v>3802</v>
      </c>
      <c r="J4108" t="str">
        <f>VLOOKUP(Table3[[#This Row],[Faction ID]],Table4[],2)</f>
        <v>Dol Guldur</v>
      </c>
    </row>
    <row r="4109" spans="1:10" x14ac:dyDescent="0.25">
      <c r="A4109">
        <v>107</v>
      </c>
      <c r="B4109" t="s">
        <v>10</v>
      </c>
      <c r="C4109">
        <v>58</v>
      </c>
      <c r="D4109">
        <v>0</v>
      </c>
      <c r="E4109">
        <v>0</v>
      </c>
      <c r="F4109">
        <v>4515</v>
      </c>
      <c r="G4109">
        <v>2500</v>
      </c>
      <c r="H4109">
        <v>0</v>
      </c>
      <c r="J4109" t="str">
        <f>VLOOKUP(Table3[[#This Row],[Faction ID]],Table4[],2)</f>
        <v>Anduin Vale</v>
      </c>
    </row>
    <row r="4110" spans="1:10" x14ac:dyDescent="0.25">
      <c r="A4110">
        <v>107</v>
      </c>
      <c r="B4110" t="s">
        <v>32</v>
      </c>
      <c r="C4110">
        <v>277</v>
      </c>
      <c r="D4110">
        <v>8</v>
      </c>
      <c r="E4110">
        <v>218.7</v>
      </c>
      <c r="F4110">
        <v>91330</v>
      </c>
      <c r="G4110">
        <v>31112</v>
      </c>
      <c r="H4110">
        <v>1734</v>
      </c>
      <c r="J4110" t="str">
        <f>VLOOKUP(Table3[[#This Row],[Faction ID]],Table4[],2)</f>
        <v>Isengard</v>
      </c>
    </row>
    <row r="4111" spans="1:10" x14ac:dyDescent="0.25">
      <c r="A4111">
        <v>107</v>
      </c>
      <c r="B4111" t="s">
        <v>22</v>
      </c>
      <c r="C4111">
        <v>30</v>
      </c>
      <c r="D4111">
        <v>0</v>
      </c>
      <c r="E4111">
        <v>0</v>
      </c>
      <c r="F4111">
        <v>8475</v>
      </c>
      <c r="G4111">
        <v>2500</v>
      </c>
      <c r="H4111">
        <v>0</v>
      </c>
      <c r="J4111" t="str">
        <f>VLOOKUP(Table3[[#This Row],[Faction ID]],Table4[],2)</f>
        <v>Woodland Realm</v>
      </c>
    </row>
    <row r="4112" spans="1:10" x14ac:dyDescent="0.25">
      <c r="A4112">
        <v>107</v>
      </c>
      <c r="B4112" t="s">
        <v>23</v>
      </c>
      <c r="C4112">
        <v>64</v>
      </c>
      <c r="D4112">
        <v>0</v>
      </c>
      <c r="E4112">
        <v>0</v>
      </c>
      <c r="F4112">
        <v>4721</v>
      </c>
      <c r="G4112">
        <v>2500</v>
      </c>
      <c r="H4112">
        <v>0</v>
      </c>
      <c r="J4112" t="str">
        <f>VLOOKUP(Table3[[#This Row],[Faction ID]],Table4[],2)</f>
        <v>Lothlorien</v>
      </c>
    </row>
    <row r="4113" spans="1:10" x14ac:dyDescent="0.25">
      <c r="A4113">
        <v>107</v>
      </c>
      <c r="B4113" t="s">
        <v>24</v>
      </c>
      <c r="C4113">
        <v>0</v>
      </c>
      <c r="D4113">
        <v>0</v>
      </c>
      <c r="E4113">
        <v>0</v>
      </c>
      <c r="F4113">
        <v>4919</v>
      </c>
      <c r="G4113">
        <v>1750</v>
      </c>
      <c r="H4113">
        <v>0</v>
      </c>
      <c r="J4113" t="str">
        <f>VLOOKUP(Table3[[#This Row],[Faction ID]],Table4[],2)</f>
        <v>Variags (Khand)</v>
      </c>
    </row>
    <row r="4114" spans="1:10" x14ac:dyDescent="0.25">
      <c r="A4114">
        <v>107</v>
      </c>
      <c r="B4114" t="s">
        <v>14</v>
      </c>
      <c r="C4114">
        <v>18</v>
      </c>
      <c r="D4114">
        <v>13</v>
      </c>
      <c r="E4114">
        <v>212.8</v>
      </c>
      <c r="F4114">
        <v>79941</v>
      </c>
      <c r="G4114">
        <v>44123</v>
      </c>
      <c r="H4114">
        <v>3213</v>
      </c>
      <c r="J4114" t="str">
        <f>VLOOKUP(Table3[[#This Row],[Faction ID]],Table4[],2)</f>
        <v>Corsairs of Umbar</v>
      </c>
    </row>
    <row r="4115" spans="1:10" x14ac:dyDescent="0.25">
      <c r="A4115">
        <v>107</v>
      </c>
      <c r="B4115" t="s">
        <v>25</v>
      </c>
      <c r="C4115">
        <v>0</v>
      </c>
      <c r="D4115">
        <v>0</v>
      </c>
      <c r="E4115">
        <v>0</v>
      </c>
      <c r="F4115">
        <v>9228</v>
      </c>
      <c r="G4115">
        <v>1750</v>
      </c>
      <c r="H4115">
        <v>0</v>
      </c>
      <c r="J4115" t="str">
        <f>VLOOKUP(Table3[[#This Row],[Faction ID]],Table4[],2)</f>
        <v>Mahud</v>
      </c>
    </row>
    <row r="4116" spans="1:10" x14ac:dyDescent="0.25">
      <c r="A4116">
        <v>107</v>
      </c>
      <c r="B4116" t="s">
        <v>11</v>
      </c>
      <c r="C4116">
        <v>209</v>
      </c>
      <c r="D4116">
        <v>13</v>
      </c>
      <c r="E4116">
        <v>242.5</v>
      </c>
      <c r="F4116">
        <v>37979</v>
      </c>
      <c r="G4116">
        <v>36282</v>
      </c>
      <c r="H4116">
        <v>1880</v>
      </c>
      <c r="J4116" t="str">
        <f>VLOOKUP(Table3[[#This Row],[Faction ID]],Table4[],2)</f>
        <v>Haradrim</v>
      </c>
    </row>
    <row r="4117" spans="1:10" x14ac:dyDescent="0.25">
      <c r="A4117">
        <v>107</v>
      </c>
      <c r="B4117" t="s">
        <v>15</v>
      </c>
      <c r="C4117">
        <v>279</v>
      </c>
      <c r="D4117">
        <v>12</v>
      </c>
      <c r="E4117">
        <v>258</v>
      </c>
      <c r="F4117">
        <v>166046</v>
      </c>
      <c r="G4117">
        <v>45644</v>
      </c>
      <c r="H4117">
        <v>2195</v>
      </c>
      <c r="J4117" t="str">
        <f>VLOOKUP(Table3[[#This Row],[Faction ID]],Table4[],2)</f>
        <v>Dunlendings</v>
      </c>
    </row>
    <row r="4118" spans="1:10" x14ac:dyDescent="0.25">
      <c r="A4118">
        <v>107</v>
      </c>
      <c r="B4118" t="s">
        <v>16</v>
      </c>
      <c r="C4118">
        <v>0</v>
      </c>
      <c r="D4118">
        <v>0</v>
      </c>
      <c r="E4118">
        <v>0</v>
      </c>
      <c r="F4118">
        <v>5352</v>
      </c>
      <c r="G4118">
        <v>1750</v>
      </c>
      <c r="H4118">
        <v>0</v>
      </c>
      <c r="J4118" t="str">
        <f>VLOOKUP(Table3[[#This Row],[Faction ID]],Table4[],2)</f>
        <v>Haerrim</v>
      </c>
    </row>
    <row r="4119" spans="1:10" x14ac:dyDescent="0.25">
      <c r="A4119">
        <v>107</v>
      </c>
      <c r="B4119" t="s">
        <v>13</v>
      </c>
      <c r="C4119">
        <v>576</v>
      </c>
      <c r="D4119">
        <v>23</v>
      </c>
      <c r="E4119">
        <v>411.3</v>
      </c>
      <c r="F4119">
        <v>153908</v>
      </c>
      <c r="G4119">
        <v>55408</v>
      </c>
      <c r="H4119">
        <v>6070</v>
      </c>
      <c r="J4119" t="str">
        <f>VLOOKUP(Table3[[#This Row],[Faction ID]],Table4[],2)</f>
        <v>Goblins</v>
      </c>
    </row>
    <row r="4120" spans="1:10" x14ac:dyDescent="0.25">
      <c r="A4120">
        <v>107</v>
      </c>
      <c r="B4120" t="s">
        <v>17</v>
      </c>
      <c r="C4120">
        <v>0</v>
      </c>
      <c r="D4120">
        <v>0</v>
      </c>
      <c r="E4120">
        <v>0</v>
      </c>
      <c r="F4120">
        <v>4872</v>
      </c>
      <c r="G4120">
        <v>1750</v>
      </c>
      <c r="H4120">
        <v>0</v>
      </c>
      <c r="J4120" t="str">
        <f>VLOOKUP(Table3[[#This Row],[Faction ID]],Table4[],2)</f>
        <v>Balchoth</v>
      </c>
    </row>
    <row r="4121" spans="1:10" x14ac:dyDescent="0.25">
      <c r="A4121">
        <v>107</v>
      </c>
      <c r="B4121" t="s">
        <v>18</v>
      </c>
      <c r="C4121">
        <v>487</v>
      </c>
      <c r="D4121">
        <v>26</v>
      </c>
      <c r="E4121">
        <v>421.7</v>
      </c>
      <c r="F4121">
        <v>57412</v>
      </c>
      <c r="G4121">
        <v>50009</v>
      </c>
      <c r="H4121">
        <v>2686</v>
      </c>
      <c r="J4121" t="str">
        <f>VLOOKUP(Table3[[#This Row],[Faction ID]],Table4[],2)</f>
        <v>Rhurim/Rhun</v>
      </c>
    </row>
    <row r="4122" spans="1:10" x14ac:dyDescent="0.25">
      <c r="A4122">
        <v>107</v>
      </c>
      <c r="B4122" t="s">
        <v>19</v>
      </c>
      <c r="C4122">
        <v>0</v>
      </c>
      <c r="D4122">
        <v>0</v>
      </c>
      <c r="E4122">
        <v>0</v>
      </c>
      <c r="F4122">
        <v>7360</v>
      </c>
      <c r="G4122">
        <v>1750</v>
      </c>
      <c r="H4122">
        <v>0</v>
      </c>
      <c r="J4122" t="str">
        <f>VLOOKUP(Table3[[#This Row],[Faction ID]],Table4[],2)</f>
        <v>Feredrim</v>
      </c>
    </row>
    <row r="4123" spans="1:10" x14ac:dyDescent="0.25">
      <c r="A4123">
        <v>107</v>
      </c>
      <c r="B4123" t="s">
        <v>26</v>
      </c>
      <c r="C4123">
        <v>0</v>
      </c>
      <c r="D4123">
        <v>0</v>
      </c>
      <c r="E4123">
        <v>0</v>
      </c>
      <c r="F4123">
        <v>6395</v>
      </c>
      <c r="G4123">
        <v>1750</v>
      </c>
      <c r="H4123">
        <v>0</v>
      </c>
      <c r="J4123" t="str">
        <f>VLOOKUP(Table3[[#This Row],[Faction ID]],Table4[],2)</f>
        <v>Rachrohir (Wainriders)</v>
      </c>
    </row>
    <row r="4124" spans="1:10" x14ac:dyDescent="0.25">
      <c r="A4124">
        <v>107</v>
      </c>
      <c r="B4124" t="s">
        <v>27</v>
      </c>
      <c r="C4124">
        <v>2</v>
      </c>
      <c r="D4124">
        <v>2</v>
      </c>
      <c r="E4124">
        <v>26.4</v>
      </c>
      <c r="F4124">
        <v>3867</v>
      </c>
      <c r="G4124">
        <v>4992</v>
      </c>
      <c r="H4124">
        <v>0</v>
      </c>
      <c r="J4124" t="str">
        <f>VLOOKUP(Table3[[#This Row],[Faction ID]],Table4[],2)</f>
        <v>Blacklock-Stonefoot League</v>
      </c>
    </row>
    <row r="4125" spans="1:10" x14ac:dyDescent="0.25">
      <c r="A4125">
        <v>107</v>
      </c>
      <c r="B4125" t="s">
        <v>28</v>
      </c>
      <c r="C4125">
        <v>7</v>
      </c>
      <c r="D4125">
        <v>4</v>
      </c>
      <c r="E4125">
        <v>48</v>
      </c>
      <c r="F4125">
        <v>13448</v>
      </c>
      <c r="G4125">
        <v>11217</v>
      </c>
      <c r="H4125">
        <v>0</v>
      </c>
      <c r="J4125" t="str">
        <f>VLOOKUP(Table3[[#This Row],[Faction ID]],Table4[],2)</f>
        <v>Ironfist-Stiffbeard Union</v>
      </c>
    </row>
    <row r="4126" spans="1:10" x14ac:dyDescent="0.25">
      <c r="A4126">
        <v>107</v>
      </c>
      <c r="B4126" t="s">
        <v>20</v>
      </c>
      <c r="C4126">
        <v>245</v>
      </c>
      <c r="D4126">
        <v>0</v>
      </c>
      <c r="E4126">
        <v>0</v>
      </c>
      <c r="F4126">
        <v>9750</v>
      </c>
      <c r="G4126">
        <v>2500</v>
      </c>
      <c r="H4126">
        <v>0</v>
      </c>
      <c r="J4126" t="str">
        <f>VLOOKUP(Table3[[#This Row],[Faction ID]],Table4[],2)</f>
        <v>Gundabad</v>
      </c>
    </row>
    <row r="4127" spans="1:10" x14ac:dyDescent="0.25">
      <c r="A4127">
        <v>107</v>
      </c>
      <c r="B4127" t="s">
        <v>34</v>
      </c>
      <c r="C4127">
        <v>0</v>
      </c>
      <c r="D4127">
        <v>0</v>
      </c>
      <c r="E4127">
        <v>3</v>
      </c>
      <c r="F4127">
        <v>123001</v>
      </c>
      <c r="G4127">
        <v>2354</v>
      </c>
      <c r="H4127">
        <v>0</v>
      </c>
      <c r="J4127" t="str">
        <f>VLOOKUP(Table3[[#This Row],[Faction ID]],Table4[],2)</f>
        <v>Scouts of Rohan</v>
      </c>
    </row>
    <row r="4128" spans="1:10" x14ac:dyDescent="0.25">
      <c r="A4128">
        <v>107</v>
      </c>
      <c r="B4128" t="s">
        <v>33</v>
      </c>
      <c r="C4128">
        <v>6</v>
      </c>
      <c r="D4128">
        <v>4</v>
      </c>
      <c r="E4128">
        <v>94</v>
      </c>
      <c r="F4128">
        <v>109029</v>
      </c>
      <c r="G4128">
        <v>20292</v>
      </c>
      <c r="H4128">
        <v>919</v>
      </c>
      <c r="J4128" t="str">
        <f>VLOOKUP(Table3[[#This Row],[Faction ID]],Table4[],2)</f>
        <v>Northern Enedwaith</v>
      </c>
    </row>
    <row r="4129" spans="1:10" x14ac:dyDescent="0.25">
      <c r="A4129">
        <v>107</v>
      </c>
      <c r="B4129" t="s">
        <v>29</v>
      </c>
      <c r="C4129">
        <v>0</v>
      </c>
      <c r="D4129">
        <v>0</v>
      </c>
      <c r="E4129">
        <v>0</v>
      </c>
      <c r="F4129">
        <v>54023</v>
      </c>
      <c r="G4129">
        <v>1750</v>
      </c>
      <c r="H4129">
        <v>0</v>
      </c>
      <c r="J4129" t="str">
        <f>VLOOKUP(Table3[[#This Row],[Faction ID]],Table4[],2)</f>
        <v>Southern Enedwaith</v>
      </c>
    </row>
    <row r="4130" spans="1:10" x14ac:dyDescent="0.25">
      <c r="A4130">
        <v>107</v>
      </c>
      <c r="B4130" t="s">
        <v>30</v>
      </c>
      <c r="C4130">
        <v>0</v>
      </c>
      <c r="D4130">
        <v>0</v>
      </c>
      <c r="E4130">
        <v>0</v>
      </c>
      <c r="F4130">
        <v>32146</v>
      </c>
      <c r="G4130">
        <v>1750</v>
      </c>
      <c r="H4130">
        <v>0</v>
      </c>
      <c r="J4130" t="str">
        <f>VLOOKUP(Table3[[#This Row],[Faction ID]],Table4[],2)</f>
        <v>Druedain</v>
      </c>
    </row>
    <row r="4131" spans="1:10" x14ac:dyDescent="0.25">
      <c r="A4131">
        <v>107</v>
      </c>
      <c r="B4131" t="s">
        <v>31</v>
      </c>
      <c r="C4131">
        <v>0</v>
      </c>
      <c r="D4131">
        <v>0</v>
      </c>
      <c r="E4131">
        <v>0</v>
      </c>
      <c r="F4131">
        <v>15146</v>
      </c>
      <c r="G4131">
        <v>1750</v>
      </c>
      <c r="H4131">
        <v>0</v>
      </c>
      <c r="J4131" t="str">
        <f>VLOOKUP(Table3[[#This Row],[Faction ID]],Table4[],2)</f>
        <v>Harondor</v>
      </c>
    </row>
    <row r="4132" spans="1:10" x14ac:dyDescent="0.25">
      <c r="A4132">
        <v>107</v>
      </c>
      <c r="B4132" t="s">
        <v>35</v>
      </c>
      <c r="C4132">
        <v>0</v>
      </c>
      <c r="D4132">
        <v>0</v>
      </c>
      <c r="E4132">
        <v>0</v>
      </c>
      <c r="F4132">
        <v>4000</v>
      </c>
      <c r="G4132">
        <v>1750</v>
      </c>
      <c r="H4132">
        <v>0</v>
      </c>
      <c r="J4132" t="str">
        <f>VLOOKUP(Table3[[#This Row],[Faction ID]],Table4[],2)</f>
        <v>Southron Nomads</v>
      </c>
    </row>
    <row r="4133" spans="1:10" x14ac:dyDescent="0.25">
      <c r="A4133">
        <v>107</v>
      </c>
      <c r="B4133" t="s">
        <v>36</v>
      </c>
      <c r="C4133">
        <v>0</v>
      </c>
      <c r="D4133">
        <v>0</v>
      </c>
      <c r="E4133">
        <v>0</v>
      </c>
      <c r="F4133">
        <v>4000</v>
      </c>
      <c r="G4133">
        <v>1750</v>
      </c>
      <c r="H4133">
        <v>0</v>
      </c>
      <c r="J4133" t="str">
        <f>VLOOKUP(Table3[[#This Row],[Faction ID]],Table4[],2)</f>
        <v>_</v>
      </c>
    </row>
    <row r="4134" spans="1:10" x14ac:dyDescent="0.25">
      <c r="A4134">
        <v>107</v>
      </c>
      <c r="B4134" t="s">
        <v>37</v>
      </c>
      <c r="C4134">
        <v>0</v>
      </c>
      <c r="D4134">
        <v>0</v>
      </c>
      <c r="E4134">
        <v>0</v>
      </c>
      <c r="F4134">
        <v>4000</v>
      </c>
      <c r="G4134">
        <v>1750</v>
      </c>
      <c r="H4134">
        <v>0</v>
      </c>
      <c r="J4134" t="str">
        <f>VLOOKUP(Table3[[#This Row],[Faction ID]],Table4[],2)</f>
        <v>_</v>
      </c>
    </row>
    <row r="4135" spans="1:10" x14ac:dyDescent="0.25">
      <c r="A4135">
        <v>107</v>
      </c>
      <c r="B4135" t="s">
        <v>38</v>
      </c>
      <c r="C4135">
        <v>0</v>
      </c>
      <c r="D4135">
        <v>0</v>
      </c>
      <c r="E4135">
        <v>0</v>
      </c>
      <c r="F4135">
        <v>4000</v>
      </c>
      <c r="G4135">
        <v>1750</v>
      </c>
      <c r="H4135">
        <v>0</v>
      </c>
      <c r="J4135" t="str">
        <f>VLOOKUP(Table3[[#This Row],[Faction ID]],Table4[],2)</f>
        <v>_</v>
      </c>
    </row>
    <row r="4136" spans="1:10" x14ac:dyDescent="0.25">
      <c r="A4136">
        <v>107</v>
      </c>
      <c r="B4136" t="s">
        <v>39</v>
      </c>
      <c r="C4136">
        <v>0</v>
      </c>
      <c r="D4136">
        <v>0</v>
      </c>
      <c r="E4136">
        <v>0</v>
      </c>
      <c r="F4136">
        <v>4000</v>
      </c>
      <c r="G4136">
        <v>1750</v>
      </c>
      <c r="H4136">
        <v>0</v>
      </c>
      <c r="J4136" t="str">
        <f>VLOOKUP(Table3[[#This Row],[Faction ID]],Table4[],2)</f>
        <v>_</v>
      </c>
    </row>
    <row r="4137" spans="1:10" x14ac:dyDescent="0.25">
      <c r="A4137">
        <v>107</v>
      </c>
      <c r="B4137" t="s">
        <v>40</v>
      </c>
      <c r="C4137">
        <v>0</v>
      </c>
      <c r="D4137">
        <v>0</v>
      </c>
      <c r="E4137">
        <v>0</v>
      </c>
      <c r="F4137">
        <v>4000</v>
      </c>
      <c r="G4137">
        <v>1750</v>
      </c>
      <c r="H4137">
        <v>0</v>
      </c>
      <c r="J4137" t="str">
        <f>VLOOKUP(Table3[[#This Row],[Faction ID]],Table4[],2)</f>
        <v>_</v>
      </c>
    </row>
    <row r="4138" spans="1:10" x14ac:dyDescent="0.25">
      <c r="A4138">
        <v>107</v>
      </c>
      <c r="B4138" t="s">
        <v>41</v>
      </c>
      <c r="C4138">
        <v>0</v>
      </c>
      <c r="D4138">
        <v>0</v>
      </c>
      <c r="E4138">
        <v>0</v>
      </c>
      <c r="F4138">
        <v>4000</v>
      </c>
      <c r="G4138">
        <v>1750</v>
      </c>
      <c r="H4138">
        <v>0</v>
      </c>
      <c r="J4138" t="str">
        <f>VLOOKUP(Table3[[#This Row],[Faction ID]],Table4[],2)</f>
        <v>_</v>
      </c>
    </row>
    <row r="4139" spans="1:10" x14ac:dyDescent="0.25">
      <c r="A4139">
        <v>107</v>
      </c>
      <c r="B4139" t="s">
        <v>42</v>
      </c>
      <c r="C4139">
        <v>0</v>
      </c>
      <c r="D4139">
        <v>0</v>
      </c>
      <c r="E4139">
        <v>0</v>
      </c>
      <c r="F4139">
        <v>4000</v>
      </c>
      <c r="G4139">
        <v>1750</v>
      </c>
      <c r="H4139">
        <v>0</v>
      </c>
      <c r="J4139" t="str">
        <f>VLOOKUP(Table3[[#This Row],[Faction ID]],Table4[],2)</f>
        <v>_</v>
      </c>
    </row>
    <row r="4140" spans="1:10" x14ac:dyDescent="0.25">
      <c r="A4140">
        <v>107</v>
      </c>
      <c r="B4140" t="s">
        <v>43</v>
      </c>
      <c r="C4140">
        <v>0</v>
      </c>
      <c r="D4140">
        <v>0</v>
      </c>
      <c r="E4140">
        <v>0</v>
      </c>
      <c r="F4140">
        <v>4000</v>
      </c>
      <c r="G4140">
        <v>1750</v>
      </c>
      <c r="H4140">
        <v>0</v>
      </c>
      <c r="J4140" t="str">
        <f>VLOOKUP(Table3[[#This Row],[Faction ID]],Table4[],2)</f>
        <v>_</v>
      </c>
    </row>
    <row r="4141" spans="1:10" x14ac:dyDescent="0.25">
      <c r="A4141">
        <v>107</v>
      </c>
      <c r="B4141" t="s">
        <v>44</v>
      </c>
      <c r="C4141">
        <v>0</v>
      </c>
      <c r="D4141">
        <v>0</v>
      </c>
      <c r="E4141">
        <v>0</v>
      </c>
      <c r="F4141">
        <v>4000</v>
      </c>
      <c r="G4141">
        <v>1750</v>
      </c>
      <c r="H4141">
        <v>0</v>
      </c>
      <c r="J4141" t="str">
        <f>VLOOKUP(Table3[[#This Row],[Faction ID]],Table4[],2)</f>
        <v>_</v>
      </c>
    </row>
    <row r="4142" spans="1:10" x14ac:dyDescent="0.25">
      <c r="A4142">
        <v>108</v>
      </c>
      <c r="B4142" t="s">
        <v>9</v>
      </c>
      <c r="C4142">
        <v>558</v>
      </c>
      <c r="D4142">
        <v>30</v>
      </c>
      <c r="E4142">
        <v>379.7</v>
      </c>
      <c r="F4142">
        <v>2054</v>
      </c>
      <c r="G4142">
        <v>49500</v>
      </c>
      <c r="H4142">
        <v>3272</v>
      </c>
      <c r="J4142" t="str">
        <f>VLOOKUP(Table3[[#This Row],[Faction ID]],Table4[],2)</f>
        <v>Mordor</v>
      </c>
    </row>
    <row r="4143" spans="1:10" x14ac:dyDescent="0.25">
      <c r="A4143">
        <v>108</v>
      </c>
      <c r="B4143" t="s">
        <v>4</v>
      </c>
      <c r="C4143">
        <v>146</v>
      </c>
      <c r="D4143">
        <v>0</v>
      </c>
      <c r="E4143">
        <v>0</v>
      </c>
      <c r="F4143">
        <v>55420</v>
      </c>
      <c r="G4143">
        <v>2500</v>
      </c>
      <c r="H4143">
        <v>0</v>
      </c>
      <c r="J4143" t="str">
        <f>VLOOKUP(Table3[[#This Row],[Faction ID]],Table4[],2)</f>
        <v>Gondor</v>
      </c>
    </row>
    <row r="4144" spans="1:10" x14ac:dyDescent="0.25">
      <c r="A4144">
        <v>108</v>
      </c>
      <c r="B4144" t="s">
        <v>6</v>
      </c>
      <c r="C4144">
        <v>199</v>
      </c>
      <c r="D4144">
        <v>0</v>
      </c>
      <c r="E4144">
        <v>0</v>
      </c>
      <c r="F4144">
        <v>10343</v>
      </c>
      <c r="G4144">
        <v>2500</v>
      </c>
      <c r="H4144">
        <v>0</v>
      </c>
      <c r="J4144" t="str">
        <f>VLOOKUP(Table3[[#This Row],[Faction ID]],Table4[],2)</f>
        <v>Dale</v>
      </c>
    </row>
    <row r="4145" spans="1:10" x14ac:dyDescent="0.25">
      <c r="A4145">
        <v>108</v>
      </c>
      <c r="B4145" t="s">
        <v>21</v>
      </c>
      <c r="C4145">
        <v>200</v>
      </c>
      <c r="D4145">
        <v>0</v>
      </c>
      <c r="E4145">
        <v>0</v>
      </c>
      <c r="F4145">
        <v>10040</v>
      </c>
      <c r="G4145">
        <v>2500</v>
      </c>
      <c r="H4145">
        <v>0</v>
      </c>
      <c r="J4145" t="str">
        <f>VLOOKUP(Table3[[#This Row],[Faction ID]],Table4[],2)</f>
        <v>Erebor</v>
      </c>
    </row>
    <row r="4146" spans="1:10" x14ac:dyDescent="0.25">
      <c r="A4146">
        <v>108</v>
      </c>
      <c r="B4146" t="s">
        <v>5</v>
      </c>
      <c r="C4146">
        <v>157</v>
      </c>
      <c r="D4146">
        <v>0</v>
      </c>
      <c r="E4146">
        <v>0</v>
      </c>
      <c r="F4146">
        <v>6638</v>
      </c>
      <c r="G4146">
        <v>2500</v>
      </c>
      <c r="H4146">
        <v>0</v>
      </c>
      <c r="J4146" t="str">
        <f>VLOOKUP(Table3[[#This Row],[Faction ID]],Table4[],2)</f>
        <v>Rohan</v>
      </c>
    </row>
    <row r="4147" spans="1:10" x14ac:dyDescent="0.25">
      <c r="A4147">
        <v>108</v>
      </c>
      <c r="B4147" t="s">
        <v>12</v>
      </c>
      <c r="C4147">
        <v>446</v>
      </c>
      <c r="D4147">
        <v>21</v>
      </c>
      <c r="E4147">
        <v>321.8</v>
      </c>
      <c r="F4147">
        <v>104534</v>
      </c>
      <c r="G4147">
        <v>44854</v>
      </c>
      <c r="H4147">
        <v>3810</v>
      </c>
      <c r="J4147" t="str">
        <f>VLOOKUP(Table3[[#This Row],[Faction ID]],Table4[],2)</f>
        <v>Dol Guldur</v>
      </c>
    </row>
    <row r="4148" spans="1:10" x14ac:dyDescent="0.25">
      <c r="A4148">
        <v>108</v>
      </c>
      <c r="B4148" t="s">
        <v>10</v>
      </c>
      <c r="C4148">
        <v>58</v>
      </c>
      <c r="D4148">
        <v>0</v>
      </c>
      <c r="E4148">
        <v>0</v>
      </c>
      <c r="F4148">
        <v>4515</v>
      </c>
      <c r="G4148">
        <v>2500</v>
      </c>
      <c r="H4148">
        <v>0</v>
      </c>
      <c r="J4148" t="str">
        <f>VLOOKUP(Table3[[#This Row],[Faction ID]],Table4[],2)</f>
        <v>Anduin Vale</v>
      </c>
    </row>
    <row r="4149" spans="1:10" x14ac:dyDescent="0.25">
      <c r="A4149">
        <v>108</v>
      </c>
      <c r="B4149" t="s">
        <v>32</v>
      </c>
      <c r="C4149">
        <v>277</v>
      </c>
      <c r="D4149">
        <v>8</v>
      </c>
      <c r="E4149">
        <v>224.7</v>
      </c>
      <c r="F4149">
        <v>92402</v>
      </c>
      <c r="G4149">
        <v>31837</v>
      </c>
      <c r="H4149">
        <v>1747</v>
      </c>
      <c r="J4149" t="str">
        <f>VLOOKUP(Table3[[#This Row],[Faction ID]],Table4[],2)</f>
        <v>Isengard</v>
      </c>
    </row>
    <row r="4150" spans="1:10" x14ac:dyDescent="0.25">
      <c r="A4150">
        <v>108</v>
      </c>
      <c r="B4150" t="s">
        <v>22</v>
      </c>
      <c r="C4150">
        <v>30</v>
      </c>
      <c r="D4150">
        <v>0</v>
      </c>
      <c r="E4150">
        <v>0</v>
      </c>
      <c r="F4150">
        <v>8475</v>
      </c>
      <c r="G4150">
        <v>2500</v>
      </c>
      <c r="H4150">
        <v>0</v>
      </c>
      <c r="J4150" t="str">
        <f>VLOOKUP(Table3[[#This Row],[Faction ID]],Table4[],2)</f>
        <v>Woodland Realm</v>
      </c>
    </row>
    <row r="4151" spans="1:10" x14ac:dyDescent="0.25">
      <c r="A4151">
        <v>108</v>
      </c>
      <c r="B4151" t="s">
        <v>23</v>
      </c>
      <c r="C4151">
        <v>64</v>
      </c>
      <c r="D4151">
        <v>0</v>
      </c>
      <c r="E4151">
        <v>0</v>
      </c>
      <c r="F4151">
        <v>4721</v>
      </c>
      <c r="G4151">
        <v>2500</v>
      </c>
      <c r="H4151">
        <v>0</v>
      </c>
      <c r="J4151" t="str">
        <f>VLOOKUP(Table3[[#This Row],[Faction ID]],Table4[],2)</f>
        <v>Lothlorien</v>
      </c>
    </row>
    <row r="4152" spans="1:10" x14ac:dyDescent="0.25">
      <c r="A4152">
        <v>108</v>
      </c>
      <c r="B4152" t="s">
        <v>24</v>
      </c>
      <c r="C4152">
        <v>0</v>
      </c>
      <c r="D4152">
        <v>0</v>
      </c>
      <c r="E4152">
        <v>0</v>
      </c>
      <c r="F4152">
        <v>4919</v>
      </c>
      <c r="G4152">
        <v>1750</v>
      </c>
      <c r="H4152">
        <v>0</v>
      </c>
      <c r="J4152" t="str">
        <f>VLOOKUP(Table3[[#This Row],[Faction ID]],Table4[],2)</f>
        <v>Variags (Khand)</v>
      </c>
    </row>
    <row r="4153" spans="1:10" x14ac:dyDescent="0.25">
      <c r="A4153">
        <v>108</v>
      </c>
      <c r="B4153" t="s">
        <v>14</v>
      </c>
      <c r="C4153">
        <v>18</v>
      </c>
      <c r="D4153">
        <v>13</v>
      </c>
      <c r="E4153">
        <v>219.8</v>
      </c>
      <c r="F4153">
        <v>76714</v>
      </c>
      <c r="G4153">
        <v>45050</v>
      </c>
      <c r="H4153">
        <v>3464</v>
      </c>
      <c r="J4153" t="str">
        <f>VLOOKUP(Table3[[#This Row],[Faction ID]],Table4[],2)</f>
        <v>Corsairs of Umbar</v>
      </c>
    </row>
    <row r="4154" spans="1:10" x14ac:dyDescent="0.25">
      <c r="A4154">
        <v>108</v>
      </c>
      <c r="B4154" t="s">
        <v>25</v>
      </c>
      <c r="C4154">
        <v>0</v>
      </c>
      <c r="D4154">
        <v>0</v>
      </c>
      <c r="E4154">
        <v>0</v>
      </c>
      <c r="F4154">
        <v>9228</v>
      </c>
      <c r="G4154">
        <v>1750</v>
      </c>
      <c r="H4154">
        <v>0</v>
      </c>
      <c r="J4154" t="str">
        <f>VLOOKUP(Table3[[#This Row],[Faction ID]],Table4[],2)</f>
        <v>Mahud</v>
      </c>
    </row>
    <row r="4155" spans="1:10" x14ac:dyDescent="0.25">
      <c r="A4155">
        <v>108</v>
      </c>
      <c r="B4155" t="s">
        <v>11</v>
      </c>
      <c r="C4155">
        <v>222</v>
      </c>
      <c r="D4155">
        <v>13</v>
      </c>
      <c r="E4155">
        <v>256.89999999999998</v>
      </c>
      <c r="F4155">
        <v>32694</v>
      </c>
      <c r="G4155">
        <v>36709</v>
      </c>
      <c r="H4155">
        <v>2082</v>
      </c>
      <c r="J4155" t="str">
        <f>VLOOKUP(Table3[[#This Row],[Faction ID]],Table4[],2)</f>
        <v>Haradrim</v>
      </c>
    </row>
    <row r="4156" spans="1:10" x14ac:dyDescent="0.25">
      <c r="A4156">
        <v>108</v>
      </c>
      <c r="B4156" t="s">
        <v>15</v>
      </c>
      <c r="C4156">
        <v>279</v>
      </c>
      <c r="D4156">
        <v>12</v>
      </c>
      <c r="E4156">
        <v>258</v>
      </c>
      <c r="F4156">
        <v>172726</v>
      </c>
      <c r="G4156">
        <v>46760</v>
      </c>
      <c r="H4156">
        <v>2292</v>
      </c>
      <c r="J4156" t="str">
        <f>VLOOKUP(Table3[[#This Row],[Faction ID]],Table4[],2)</f>
        <v>Dunlendings</v>
      </c>
    </row>
    <row r="4157" spans="1:10" x14ac:dyDescent="0.25">
      <c r="A4157">
        <v>108</v>
      </c>
      <c r="B4157" t="s">
        <v>16</v>
      </c>
      <c r="C4157">
        <v>0</v>
      </c>
      <c r="D4157">
        <v>0</v>
      </c>
      <c r="E4157">
        <v>0</v>
      </c>
      <c r="F4157">
        <v>5352</v>
      </c>
      <c r="G4157">
        <v>1750</v>
      </c>
      <c r="H4157">
        <v>0</v>
      </c>
      <c r="J4157" t="str">
        <f>VLOOKUP(Table3[[#This Row],[Faction ID]],Table4[],2)</f>
        <v>Haerrim</v>
      </c>
    </row>
    <row r="4158" spans="1:10" x14ac:dyDescent="0.25">
      <c r="A4158">
        <v>108</v>
      </c>
      <c r="B4158" t="s">
        <v>13</v>
      </c>
      <c r="C4158">
        <v>576</v>
      </c>
      <c r="D4158">
        <v>23</v>
      </c>
      <c r="E4158">
        <v>412.6</v>
      </c>
      <c r="F4158">
        <v>162300</v>
      </c>
      <c r="G4158">
        <v>59000</v>
      </c>
      <c r="H4158">
        <v>6106</v>
      </c>
      <c r="J4158" t="str">
        <f>VLOOKUP(Table3[[#This Row],[Faction ID]],Table4[],2)</f>
        <v>Goblins</v>
      </c>
    </row>
    <row r="4159" spans="1:10" x14ac:dyDescent="0.25">
      <c r="A4159">
        <v>108</v>
      </c>
      <c r="B4159" t="s">
        <v>17</v>
      </c>
      <c r="C4159">
        <v>0</v>
      </c>
      <c r="D4159">
        <v>0</v>
      </c>
      <c r="E4159">
        <v>0</v>
      </c>
      <c r="F4159">
        <v>4872</v>
      </c>
      <c r="G4159">
        <v>1750</v>
      </c>
      <c r="H4159">
        <v>0</v>
      </c>
      <c r="J4159" t="str">
        <f>VLOOKUP(Table3[[#This Row],[Faction ID]],Table4[],2)</f>
        <v>Balchoth</v>
      </c>
    </row>
    <row r="4160" spans="1:10" x14ac:dyDescent="0.25">
      <c r="A4160">
        <v>108</v>
      </c>
      <c r="B4160" t="s">
        <v>18</v>
      </c>
      <c r="C4160">
        <v>495</v>
      </c>
      <c r="D4160">
        <v>26</v>
      </c>
      <c r="E4160">
        <v>424.9</v>
      </c>
      <c r="F4160">
        <v>57579</v>
      </c>
      <c r="G4160">
        <v>50375</v>
      </c>
      <c r="H4160">
        <v>2885</v>
      </c>
      <c r="J4160" t="str">
        <f>VLOOKUP(Table3[[#This Row],[Faction ID]],Table4[],2)</f>
        <v>Rhurim/Rhun</v>
      </c>
    </row>
    <row r="4161" spans="1:10" x14ac:dyDescent="0.25">
      <c r="A4161">
        <v>108</v>
      </c>
      <c r="B4161" t="s">
        <v>19</v>
      </c>
      <c r="C4161">
        <v>0</v>
      </c>
      <c r="D4161">
        <v>0</v>
      </c>
      <c r="E4161">
        <v>0</v>
      </c>
      <c r="F4161">
        <v>7360</v>
      </c>
      <c r="G4161">
        <v>1750</v>
      </c>
      <c r="H4161">
        <v>0</v>
      </c>
      <c r="J4161" t="str">
        <f>VLOOKUP(Table3[[#This Row],[Faction ID]],Table4[],2)</f>
        <v>Feredrim</v>
      </c>
    </row>
    <row r="4162" spans="1:10" x14ac:dyDescent="0.25">
      <c r="A4162">
        <v>108</v>
      </c>
      <c r="B4162" t="s">
        <v>26</v>
      </c>
      <c r="C4162">
        <v>0</v>
      </c>
      <c r="D4162">
        <v>0</v>
      </c>
      <c r="E4162">
        <v>0</v>
      </c>
      <c r="F4162">
        <v>6395</v>
      </c>
      <c r="G4162">
        <v>1750</v>
      </c>
      <c r="H4162">
        <v>0</v>
      </c>
      <c r="J4162" t="str">
        <f>VLOOKUP(Table3[[#This Row],[Faction ID]],Table4[],2)</f>
        <v>Rachrohir (Wainriders)</v>
      </c>
    </row>
    <row r="4163" spans="1:10" x14ac:dyDescent="0.25">
      <c r="A4163">
        <v>108</v>
      </c>
      <c r="B4163" t="s">
        <v>27</v>
      </c>
      <c r="C4163">
        <v>2</v>
      </c>
      <c r="D4163">
        <v>2</v>
      </c>
      <c r="E4163">
        <v>25.4</v>
      </c>
      <c r="F4163">
        <v>6788</v>
      </c>
      <c r="G4163">
        <v>5880</v>
      </c>
      <c r="H4163">
        <v>426</v>
      </c>
      <c r="J4163" t="str">
        <f>VLOOKUP(Table3[[#This Row],[Faction ID]],Table4[],2)</f>
        <v>Blacklock-Stonefoot League</v>
      </c>
    </row>
    <row r="4164" spans="1:10" x14ac:dyDescent="0.25">
      <c r="A4164">
        <v>108</v>
      </c>
      <c r="B4164" t="s">
        <v>28</v>
      </c>
      <c r="C4164">
        <v>7</v>
      </c>
      <c r="D4164">
        <v>4</v>
      </c>
      <c r="E4164">
        <v>48</v>
      </c>
      <c r="F4164">
        <v>6033</v>
      </c>
      <c r="G4164">
        <v>11958</v>
      </c>
      <c r="H4164">
        <v>0</v>
      </c>
      <c r="J4164" t="str">
        <f>VLOOKUP(Table3[[#This Row],[Faction ID]],Table4[],2)</f>
        <v>Ironfist-Stiffbeard Union</v>
      </c>
    </row>
    <row r="4165" spans="1:10" x14ac:dyDescent="0.25">
      <c r="A4165">
        <v>108</v>
      </c>
      <c r="B4165" t="s">
        <v>20</v>
      </c>
      <c r="C4165">
        <v>245</v>
      </c>
      <c r="D4165">
        <v>0</v>
      </c>
      <c r="E4165">
        <v>0</v>
      </c>
      <c r="F4165">
        <v>9750</v>
      </c>
      <c r="G4165">
        <v>2500</v>
      </c>
      <c r="H4165">
        <v>0</v>
      </c>
      <c r="J4165" t="str">
        <f>VLOOKUP(Table3[[#This Row],[Faction ID]],Table4[],2)</f>
        <v>Gundabad</v>
      </c>
    </row>
    <row r="4166" spans="1:10" x14ac:dyDescent="0.25">
      <c r="A4166">
        <v>108</v>
      </c>
      <c r="B4166" t="s">
        <v>34</v>
      </c>
      <c r="C4166">
        <v>0</v>
      </c>
      <c r="D4166">
        <v>0</v>
      </c>
      <c r="E4166">
        <v>3</v>
      </c>
      <c r="F4166">
        <v>124147</v>
      </c>
      <c r="G4166">
        <v>2354</v>
      </c>
      <c r="H4166">
        <v>0</v>
      </c>
      <c r="J4166" t="str">
        <f>VLOOKUP(Table3[[#This Row],[Faction ID]],Table4[],2)</f>
        <v>Scouts of Rohan</v>
      </c>
    </row>
    <row r="4167" spans="1:10" x14ac:dyDescent="0.25">
      <c r="A4167">
        <v>108</v>
      </c>
      <c r="B4167" t="s">
        <v>33</v>
      </c>
      <c r="C4167">
        <v>6</v>
      </c>
      <c r="D4167">
        <v>4</v>
      </c>
      <c r="E4167">
        <v>95</v>
      </c>
      <c r="F4167">
        <v>111839</v>
      </c>
      <c r="G4167">
        <v>20561</v>
      </c>
      <c r="H4167">
        <v>925</v>
      </c>
      <c r="J4167" t="str">
        <f>VLOOKUP(Table3[[#This Row],[Faction ID]],Table4[],2)</f>
        <v>Northern Enedwaith</v>
      </c>
    </row>
    <row r="4168" spans="1:10" x14ac:dyDescent="0.25">
      <c r="A4168">
        <v>108</v>
      </c>
      <c r="B4168" t="s">
        <v>29</v>
      </c>
      <c r="C4168">
        <v>0</v>
      </c>
      <c r="D4168">
        <v>0</v>
      </c>
      <c r="E4168">
        <v>0</v>
      </c>
      <c r="F4168">
        <v>54023</v>
      </c>
      <c r="G4168">
        <v>1750</v>
      </c>
      <c r="H4168">
        <v>0</v>
      </c>
      <c r="J4168" t="str">
        <f>VLOOKUP(Table3[[#This Row],[Faction ID]],Table4[],2)</f>
        <v>Southern Enedwaith</v>
      </c>
    </row>
    <row r="4169" spans="1:10" x14ac:dyDescent="0.25">
      <c r="A4169">
        <v>108</v>
      </c>
      <c r="B4169" t="s">
        <v>30</v>
      </c>
      <c r="C4169">
        <v>0</v>
      </c>
      <c r="D4169">
        <v>0</v>
      </c>
      <c r="E4169">
        <v>0</v>
      </c>
      <c r="F4169">
        <v>32146</v>
      </c>
      <c r="G4169">
        <v>1750</v>
      </c>
      <c r="H4169">
        <v>0</v>
      </c>
      <c r="J4169" t="str">
        <f>VLOOKUP(Table3[[#This Row],[Faction ID]],Table4[],2)</f>
        <v>Druedain</v>
      </c>
    </row>
    <row r="4170" spans="1:10" x14ac:dyDescent="0.25">
      <c r="A4170">
        <v>108</v>
      </c>
      <c r="B4170" t="s">
        <v>31</v>
      </c>
      <c r="C4170">
        <v>0</v>
      </c>
      <c r="D4170">
        <v>0</v>
      </c>
      <c r="E4170">
        <v>0</v>
      </c>
      <c r="F4170">
        <v>15146</v>
      </c>
      <c r="G4170">
        <v>1750</v>
      </c>
      <c r="H4170">
        <v>0</v>
      </c>
      <c r="J4170" t="str">
        <f>VLOOKUP(Table3[[#This Row],[Faction ID]],Table4[],2)</f>
        <v>Harondor</v>
      </c>
    </row>
    <row r="4171" spans="1:10" x14ac:dyDescent="0.25">
      <c r="A4171">
        <v>108</v>
      </c>
      <c r="B4171" t="s">
        <v>35</v>
      </c>
      <c r="C4171">
        <v>0</v>
      </c>
      <c r="D4171">
        <v>0</v>
      </c>
      <c r="E4171">
        <v>0</v>
      </c>
      <c r="F4171">
        <v>4000</v>
      </c>
      <c r="G4171">
        <v>1750</v>
      </c>
      <c r="H4171">
        <v>0</v>
      </c>
      <c r="J4171" t="str">
        <f>VLOOKUP(Table3[[#This Row],[Faction ID]],Table4[],2)</f>
        <v>Southron Nomads</v>
      </c>
    </row>
    <row r="4172" spans="1:10" x14ac:dyDescent="0.25">
      <c r="A4172">
        <v>108</v>
      </c>
      <c r="B4172" t="s">
        <v>36</v>
      </c>
      <c r="C4172">
        <v>0</v>
      </c>
      <c r="D4172">
        <v>0</v>
      </c>
      <c r="E4172">
        <v>0</v>
      </c>
      <c r="F4172">
        <v>4000</v>
      </c>
      <c r="G4172">
        <v>1750</v>
      </c>
      <c r="H4172">
        <v>0</v>
      </c>
      <c r="J4172" t="str">
        <f>VLOOKUP(Table3[[#This Row],[Faction ID]],Table4[],2)</f>
        <v>_</v>
      </c>
    </row>
    <row r="4173" spans="1:10" x14ac:dyDescent="0.25">
      <c r="A4173">
        <v>108</v>
      </c>
      <c r="B4173" t="s">
        <v>37</v>
      </c>
      <c r="C4173">
        <v>0</v>
      </c>
      <c r="D4173">
        <v>0</v>
      </c>
      <c r="E4173">
        <v>0</v>
      </c>
      <c r="F4173">
        <v>4000</v>
      </c>
      <c r="G4173">
        <v>1750</v>
      </c>
      <c r="H4173">
        <v>0</v>
      </c>
      <c r="J4173" t="str">
        <f>VLOOKUP(Table3[[#This Row],[Faction ID]],Table4[],2)</f>
        <v>_</v>
      </c>
    </row>
    <row r="4174" spans="1:10" x14ac:dyDescent="0.25">
      <c r="A4174">
        <v>108</v>
      </c>
      <c r="B4174" t="s">
        <v>38</v>
      </c>
      <c r="C4174">
        <v>0</v>
      </c>
      <c r="D4174">
        <v>0</v>
      </c>
      <c r="E4174">
        <v>0</v>
      </c>
      <c r="F4174">
        <v>4000</v>
      </c>
      <c r="G4174">
        <v>1750</v>
      </c>
      <c r="H4174">
        <v>0</v>
      </c>
      <c r="J4174" t="str">
        <f>VLOOKUP(Table3[[#This Row],[Faction ID]],Table4[],2)</f>
        <v>_</v>
      </c>
    </row>
    <row r="4175" spans="1:10" x14ac:dyDescent="0.25">
      <c r="A4175">
        <v>108</v>
      </c>
      <c r="B4175" t="s">
        <v>39</v>
      </c>
      <c r="C4175">
        <v>0</v>
      </c>
      <c r="D4175">
        <v>0</v>
      </c>
      <c r="E4175">
        <v>0</v>
      </c>
      <c r="F4175">
        <v>4000</v>
      </c>
      <c r="G4175">
        <v>1750</v>
      </c>
      <c r="H4175">
        <v>0</v>
      </c>
      <c r="J4175" t="str">
        <f>VLOOKUP(Table3[[#This Row],[Faction ID]],Table4[],2)</f>
        <v>_</v>
      </c>
    </row>
    <row r="4176" spans="1:10" x14ac:dyDescent="0.25">
      <c r="A4176">
        <v>108</v>
      </c>
      <c r="B4176" t="s">
        <v>40</v>
      </c>
      <c r="C4176">
        <v>0</v>
      </c>
      <c r="D4176">
        <v>0</v>
      </c>
      <c r="E4176">
        <v>0</v>
      </c>
      <c r="F4176">
        <v>4000</v>
      </c>
      <c r="G4176">
        <v>1750</v>
      </c>
      <c r="H4176">
        <v>0</v>
      </c>
      <c r="J4176" t="str">
        <f>VLOOKUP(Table3[[#This Row],[Faction ID]],Table4[],2)</f>
        <v>_</v>
      </c>
    </row>
    <row r="4177" spans="1:10" x14ac:dyDescent="0.25">
      <c r="A4177">
        <v>108</v>
      </c>
      <c r="B4177" t="s">
        <v>41</v>
      </c>
      <c r="C4177">
        <v>0</v>
      </c>
      <c r="D4177">
        <v>0</v>
      </c>
      <c r="E4177">
        <v>0</v>
      </c>
      <c r="F4177">
        <v>4000</v>
      </c>
      <c r="G4177">
        <v>1750</v>
      </c>
      <c r="H4177">
        <v>0</v>
      </c>
      <c r="J4177" t="str">
        <f>VLOOKUP(Table3[[#This Row],[Faction ID]],Table4[],2)</f>
        <v>_</v>
      </c>
    </row>
    <row r="4178" spans="1:10" x14ac:dyDescent="0.25">
      <c r="A4178">
        <v>108</v>
      </c>
      <c r="B4178" t="s">
        <v>42</v>
      </c>
      <c r="C4178">
        <v>0</v>
      </c>
      <c r="D4178">
        <v>0</v>
      </c>
      <c r="E4178">
        <v>0</v>
      </c>
      <c r="F4178">
        <v>4000</v>
      </c>
      <c r="G4178">
        <v>1750</v>
      </c>
      <c r="H4178">
        <v>0</v>
      </c>
      <c r="J4178" t="str">
        <f>VLOOKUP(Table3[[#This Row],[Faction ID]],Table4[],2)</f>
        <v>_</v>
      </c>
    </row>
    <row r="4179" spans="1:10" x14ac:dyDescent="0.25">
      <c r="A4179">
        <v>108</v>
      </c>
      <c r="B4179" t="s">
        <v>43</v>
      </c>
      <c r="C4179">
        <v>0</v>
      </c>
      <c r="D4179">
        <v>0</v>
      </c>
      <c r="E4179">
        <v>0</v>
      </c>
      <c r="F4179">
        <v>4000</v>
      </c>
      <c r="G4179">
        <v>1750</v>
      </c>
      <c r="H4179">
        <v>0</v>
      </c>
      <c r="J4179" t="str">
        <f>VLOOKUP(Table3[[#This Row],[Faction ID]],Table4[],2)</f>
        <v>_</v>
      </c>
    </row>
    <row r="4180" spans="1:10" x14ac:dyDescent="0.25">
      <c r="A4180">
        <v>108</v>
      </c>
      <c r="B4180" t="s">
        <v>44</v>
      </c>
      <c r="C4180">
        <v>0</v>
      </c>
      <c r="D4180">
        <v>0</v>
      </c>
      <c r="E4180">
        <v>0</v>
      </c>
      <c r="F4180">
        <v>4000</v>
      </c>
      <c r="G4180">
        <v>1750</v>
      </c>
      <c r="H4180">
        <v>0</v>
      </c>
      <c r="J4180" t="str">
        <f>VLOOKUP(Table3[[#This Row],[Faction ID]],Table4[],2)</f>
        <v>_</v>
      </c>
    </row>
    <row r="4181" spans="1:10" x14ac:dyDescent="0.25">
      <c r="A4181">
        <v>109</v>
      </c>
      <c r="B4181" t="s">
        <v>9</v>
      </c>
      <c r="C4181">
        <v>575</v>
      </c>
      <c r="D4181">
        <v>30</v>
      </c>
      <c r="E4181">
        <v>395.1</v>
      </c>
      <c r="F4181">
        <v>2759</v>
      </c>
      <c r="G4181">
        <v>53236</v>
      </c>
      <c r="H4181">
        <v>3287</v>
      </c>
      <c r="J4181" t="str">
        <f>VLOOKUP(Table3[[#This Row],[Faction ID]],Table4[],2)</f>
        <v>Mordor</v>
      </c>
    </row>
    <row r="4182" spans="1:10" x14ac:dyDescent="0.25">
      <c r="A4182">
        <v>109</v>
      </c>
      <c r="B4182" t="s">
        <v>4</v>
      </c>
      <c r="C4182">
        <v>146</v>
      </c>
      <c r="D4182">
        <v>0</v>
      </c>
      <c r="E4182">
        <v>0</v>
      </c>
      <c r="F4182">
        <v>55420</v>
      </c>
      <c r="G4182">
        <v>2500</v>
      </c>
      <c r="H4182">
        <v>0</v>
      </c>
      <c r="J4182" t="str">
        <f>VLOOKUP(Table3[[#This Row],[Faction ID]],Table4[],2)</f>
        <v>Gondor</v>
      </c>
    </row>
    <row r="4183" spans="1:10" x14ac:dyDescent="0.25">
      <c r="A4183">
        <v>109</v>
      </c>
      <c r="B4183" t="s">
        <v>6</v>
      </c>
      <c r="C4183">
        <v>199</v>
      </c>
      <c r="D4183">
        <v>0</v>
      </c>
      <c r="E4183">
        <v>0</v>
      </c>
      <c r="F4183">
        <v>10343</v>
      </c>
      <c r="G4183">
        <v>2500</v>
      </c>
      <c r="H4183">
        <v>0</v>
      </c>
      <c r="J4183" t="str">
        <f>VLOOKUP(Table3[[#This Row],[Faction ID]],Table4[],2)</f>
        <v>Dale</v>
      </c>
    </row>
    <row r="4184" spans="1:10" x14ac:dyDescent="0.25">
      <c r="A4184">
        <v>109</v>
      </c>
      <c r="B4184" t="s">
        <v>21</v>
      </c>
      <c r="C4184">
        <v>200</v>
      </c>
      <c r="D4184">
        <v>0</v>
      </c>
      <c r="E4184">
        <v>0</v>
      </c>
      <c r="F4184">
        <v>10040</v>
      </c>
      <c r="G4184">
        <v>2500</v>
      </c>
      <c r="H4184">
        <v>0</v>
      </c>
      <c r="J4184" t="str">
        <f>VLOOKUP(Table3[[#This Row],[Faction ID]],Table4[],2)</f>
        <v>Erebor</v>
      </c>
    </row>
    <row r="4185" spans="1:10" x14ac:dyDescent="0.25">
      <c r="A4185">
        <v>109</v>
      </c>
      <c r="B4185" t="s">
        <v>5</v>
      </c>
      <c r="C4185">
        <v>157</v>
      </c>
      <c r="D4185">
        <v>0</v>
      </c>
      <c r="E4185">
        <v>0</v>
      </c>
      <c r="F4185">
        <v>6638</v>
      </c>
      <c r="G4185">
        <v>2500</v>
      </c>
      <c r="H4185">
        <v>0</v>
      </c>
      <c r="J4185" t="str">
        <f>VLOOKUP(Table3[[#This Row],[Faction ID]],Table4[],2)</f>
        <v>Rohan</v>
      </c>
    </row>
    <row r="4186" spans="1:10" x14ac:dyDescent="0.25">
      <c r="A4186">
        <v>109</v>
      </c>
      <c r="B4186" t="s">
        <v>12</v>
      </c>
      <c r="C4186">
        <v>454</v>
      </c>
      <c r="D4186">
        <v>21</v>
      </c>
      <c r="E4186">
        <v>338.6</v>
      </c>
      <c r="F4186">
        <v>110165</v>
      </c>
      <c r="G4186">
        <v>46636</v>
      </c>
      <c r="H4186">
        <v>3814</v>
      </c>
      <c r="J4186" t="str">
        <f>VLOOKUP(Table3[[#This Row],[Faction ID]],Table4[],2)</f>
        <v>Dol Guldur</v>
      </c>
    </row>
    <row r="4187" spans="1:10" x14ac:dyDescent="0.25">
      <c r="A4187">
        <v>109</v>
      </c>
      <c r="B4187" t="s">
        <v>10</v>
      </c>
      <c r="C4187">
        <v>58</v>
      </c>
      <c r="D4187">
        <v>0</v>
      </c>
      <c r="E4187">
        <v>0</v>
      </c>
      <c r="F4187">
        <v>4515</v>
      </c>
      <c r="G4187">
        <v>2500</v>
      </c>
      <c r="H4187">
        <v>0</v>
      </c>
      <c r="J4187" t="str">
        <f>VLOOKUP(Table3[[#This Row],[Faction ID]],Table4[],2)</f>
        <v>Anduin Vale</v>
      </c>
    </row>
    <row r="4188" spans="1:10" x14ac:dyDescent="0.25">
      <c r="A4188">
        <v>109</v>
      </c>
      <c r="B4188" t="s">
        <v>32</v>
      </c>
      <c r="C4188">
        <v>282</v>
      </c>
      <c r="D4188">
        <v>8</v>
      </c>
      <c r="E4188">
        <v>228</v>
      </c>
      <c r="F4188">
        <v>55861</v>
      </c>
      <c r="G4188">
        <v>31204</v>
      </c>
      <c r="H4188">
        <v>1749</v>
      </c>
      <c r="J4188" t="str">
        <f>VLOOKUP(Table3[[#This Row],[Faction ID]],Table4[],2)</f>
        <v>Isengard</v>
      </c>
    </row>
    <row r="4189" spans="1:10" x14ac:dyDescent="0.25">
      <c r="A4189">
        <v>109</v>
      </c>
      <c r="B4189" t="s">
        <v>22</v>
      </c>
      <c r="C4189">
        <v>30</v>
      </c>
      <c r="D4189">
        <v>0</v>
      </c>
      <c r="E4189">
        <v>0</v>
      </c>
      <c r="F4189">
        <v>8475</v>
      </c>
      <c r="G4189">
        <v>2500</v>
      </c>
      <c r="H4189">
        <v>0</v>
      </c>
      <c r="J4189" t="str">
        <f>VLOOKUP(Table3[[#This Row],[Faction ID]],Table4[],2)</f>
        <v>Woodland Realm</v>
      </c>
    </row>
    <row r="4190" spans="1:10" x14ac:dyDescent="0.25">
      <c r="A4190">
        <v>109</v>
      </c>
      <c r="B4190" t="s">
        <v>23</v>
      </c>
      <c r="C4190">
        <v>64</v>
      </c>
      <c r="D4190">
        <v>0</v>
      </c>
      <c r="E4190">
        <v>0</v>
      </c>
      <c r="F4190">
        <v>4721</v>
      </c>
      <c r="G4190">
        <v>2500</v>
      </c>
      <c r="H4190">
        <v>0</v>
      </c>
      <c r="J4190" t="str">
        <f>VLOOKUP(Table3[[#This Row],[Faction ID]],Table4[],2)</f>
        <v>Lothlorien</v>
      </c>
    </row>
    <row r="4191" spans="1:10" x14ac:dyDescent="0.25">
      <c r="A4191">
        <v>109</v>
      </c>
      <c r="B4191" t="s">
        <v>24</v>
      </c>
      <c r="C4191">
        <v>0</v>
      </c>
      <c r="D4191">
        <v>0</v>
      </c>
      <c r="E4191">
        <v>0</v>
      </c>
      <c r="F4191">
        <v>4919</v>
      </c>
      <c r="G4191">
        <v>1750</v>
      </c>
      <c r="H4191">
        <v>0</v>
      </c>
      <c r="J4191" t="str">
        <f>VLOOKUP(Table3[[#This Row],[Faction ID]],Table4[],2)</f>
        <v>Variags (Khand)</v>
      </c>
    </row>
    <row r="4192" spans="1:10" x14ac:dyDescent="0.25">
      <c r="A4192">
        <v>109</v>
      </c>
      <c r="B4192" t="s">
        <v>14</v>
      </c>
      <c r="C4192">
        <v>20</v>
      </c>
      <c r="D4192">
        <v>14</v>
      </c>
      <c r="E4192">
        <v>224.8</v>
      </c>
      <c r="F4192">
        <v>68313</v>
      </c>
      <c r="G4192">
        <v>48052</v>
      </c>
      <c r="H4192">
        <v>3887</v>
      </c>
      <c r="J4192" t="str">
        <f>VLOOKUP(Table3[[#This Row],[Faction ID]],Table4[],2)</f>
        <v>Corsairs of Umbar</v>
      </c>
    </row>
    <row r="4193" spans="1:10" x14ac:dyDescent="0.25">
      <c r="A4193">
        <v>109</v>
      </c>
      <c r="B4193" t="s">
        <v>25</v>
      </c>
      <c r="C4193">
        <v>0</v>
      </c>
      <c r="D4193">
        <v>0</v>
      </c>
      <c r="E4193">
        <v>0</v>
      </c>
      <c r="F4193">
        <v>9228</v>
      </c>
      <c r="G4193">
        <v>1750</v>
      </c>
      <c r="H4193">
        <v>0</v>
      </c>
      <c r="J4193" t="str">
        <f>VLOOKUP(Table3[[#This Row],[Faction ID]],Table4[],2)</f>
        <v>Mahud</v>
      </c>
    </row>
    <row r="4194" spans="1:10" x14ac:dyDescent="0.25">
      <c r="A4194">
        <v>109</v>
      </c>
      <c r="B4194" t="s">
        <v>11</v>
      </c>
      <c r="C4194">
        <v>229</v>
      </c>
      <c r="D4194">
        <v>14</v>
      </c>
      <c r="E4194">
        <v>257.89999999999998</v>
      </c>
      <c r="F4194">
        <v>36162</v>
      </c>
      <c r="G4194">
        <v>39080</v>
      </c>
      <c r="H4194">
        <v>2214</v>
      </c>
      <c r="J4194" t="str">
        <f>VLOOKUP(Table3[[#This Row],[Faction ID]],Table4[],2)</f>
        <v>Haradrim</v>
      </c>
    </row>
    <row r="4195" spans="1:10" x14ac:dyDescent="0.25">
      <c r="A4195">
        <v>109</v>
      </c>
      <c r="B4195" t="s">
        <v>15</v>
      </c>
      <c r="C4195">
        <v>284</v>
      </c>
      <c r="D4195">
        <v>12</v>
      </c>
      <c r="E4195">
        <v>258</v>
      </c>
      <c r="F4195">
        <v>163330</v>
      </c>
      <c r="G4195">
        <v>47243</v>
      </c>
      <c r="H4195">
        <v>2296</v>
      </c>
      <c r="J4195" t="str">
        <f>VLOOKUP(Table3[[#This Row],[Faction ID]],Table4[],2)</f>
        <v>Dunlendings</v>
      </c>
    </row>
    <row r="4196" spans="1:10" x14ac:dyDescent="0.25">
      <c r="A4196">
        <v>109</v>
      </c>
      <c r="B4196" t="s">
        <v>16</v>
      </c>
      <c r="C4196">
        <v>0</v>
      </c>
      <c r="D4196">
        <v>0</v>
      </c>
      <c r="E4196">
        <v>0</v>
      </c>
      <c r="F4196">
        <v>5352</v>
      </c>
      <c r="G4196">
        <v>1750</v>
      </c>
      <c r="H4196">
        <v>0</v>
      </c>
      <c r="J4196" t="str">
        <f>VLOOKUP(Table3[[#This Row],[Faction ID]],Table4[],2)</f>
        <v>Haerrim</v>
      </c>
    </row>
    <row r="4197" spans="1:10" x14ac:dyDescent="0.25">
      <c r="A4197">
        <v>109</v>
      </c>
      <c r="B4197" t="s">
        <v>13</v>
      </c>
      <c r="C4197">
        <v>576</v>
      </c>
      <c r="D4197">
        <v>23</v>
      </c>
      <c r="E4197">
        <v>430</v>
      </c>
      <c r="F4197">
        <v>176320</v>
      </c>
      <c r="G4197">
        <v>60725</v>
      </c>
      <c r="H4197">
        <v>6109</v>
      </c>
      <c r="J4197" t="str">
        <f>VLOOKUP(Table3[[#This Row],[Faction ID]],Table4[],2)</f>
        <v>Goblins</v>
      </c>
    </row>
    <row r="4198" spans="1:10" x14ac:dyDescent="0.25">
      <c r="A4198">
        <v>109</v>
      </c>
      <c r="B4198" t="s">
        <v>17</v>
      </c>
      <c r="C4198">
        <v>0</v>
      </c>
      <c r="D4198">
        <v>0</v>
      </c>
      <c r="E4198">
        <v>0</v>
      </c>
      <c r="F4198">
        <v>4872</v>
      </c>
      <c r="G4198">
        <v>1750</v>
      </c>
      <c r="H4198">
        <v>0</v>
      </c>
      <c r="J4198" t="str">
        <f>VLOOKUP(Table3[[#This Row],[Faction ID]],Table4[],2)</f>
        <v>Balchoth</v>
      </c>
    </row>
    <row r="4199" spans="1:10" x14ac:dyDescent="0.25">
      <c r="A4199">
        <v>109</v>
      </c>
      <c r="B4199" t="s">
        <v>18</v>
      </c>
      <c r="C4199">
        <v>491</v>
      </c>
      <c r="D4199">
        <v>25</v>
      </c>
      <c r="E4199">
        <v>379.9</v>
      </c>
      <c r="F4199">
        <v>66432</v>
      </c>
      <c r="G4199">
        <v>44524</v>
      </c>
      <c r="H4199">
        <v>2544</v>
      </c>
      <c r="J4199" t="str">
        <f>VLOOKUP(Table3[[#This Row],[Faction ID]],Table4[],2)</f>
        <v>Rhurim/Rhun</v>
      </c>
    </row>
    <row r="4200" spans="1:10" x14ac:dyDescent="0.25">
      <c r="A4200">
        <v>109</v>
      </c>
      <c r="B4200" t="s">
        <v>19</v>
      </c>
      <c r="C4200">
        <v>0</v>
      </c>
      <c r="D4200">
        <v>0</v>
      </c>
      <c r="E4200">
        <v>0</v>
      </c>
      <c r="F4200">
        <v>7360</v>
      </c>
      <c r="G4200">
        <v>1750</v>
      </c>
      <c r="H4200">
        <v>0</v>
      </c>
      <c r="J4200" t="str">
        <f>VLOOKUP(Table3[[#This Row],[Faction ID]],Table4[],2)</f>
        <v>Feredrim</v>
      </c>
    </row>
    <row r="4201" spans="1:10" x14ac:dyDescent="0.25">
      <c r="A4201">
        <v>109</v>
      </c>
      <c r="B4201" t="s">
        <v>26</v>
      </c>
      <c r="C4201">
        <v>0</v>
      </c>
      <c r="D4201">
        <v>0</v>
      </c>
      <c r="E4201">
        <v>0</v>
      </c>
      <c r="F4201">
        <v>6395</v>
      </c>
      <c r="G4201">
        <v>1750</v>
      </c>
      <c r="H4201">
        <v>0</v>
      </c>
      <c r="J4201" t="str">
        <f>VLOOKUP(Table3[[#This Row],[Faction ID]],Table4[],2)</f>
        <v>Rachrohir (Wainriders)</v>
      </c>
    </row>
    <row r="4202" spans="1:10" x14ac:dyDescent="0.25">
      <c r="A4202">
        <v>109</v>
      </c>
      <c r="B4202" t="s">
        <v>27</v>
      </c>
      <c r="C4202">
        <v>2</v>
      </c>
      <c r="D4202">
        <v>2</v>
      </c>
      <c r="E4202">
        <v>26.5</v>
      </c>
      <c r="F4202">
        <v>6822</v>
      </c>
      <c r="G4202">
        <v>5973</v>
      </c>
      <c r="H4202">
        <v>436</v>
      </c>
      <c r="J4202" t="str">
        <f>VLOOKUP(Table3[[#This Row],[Faction ID]],Table4[],2)</f>
        <v>Blacklock-Stonefoot League</v>
      </c>
    </row>
    <row r="4203" spans="1:10" x14ac:dyDescent="0.25">
      <c r="A4203">
        <v>109</v>
      </c>
      <c r="B4203" t="s">
        <v>28</v>
      </c>
      <c r="C4203">
        <v>5</v>
      </c>
      <c r="D4203">
        <v>2</v>
      </c>
      <c r="E4203">
        <v>40</v>
      </c>
      <c r="F4203">
        <v>6702</v>
      </c>
      <c r="G4203">
        <v>6628</v>
      </c>
      <c r="H4203">
        <v>0</v>
      </c>
      <c r="J4203" t="str">
        <f>VLOOKUP(Table3[[#This Row],[Faction ID]],Table4[],2)</f>
        <v>Ironfist-Stiffbeard Union</v>
      </c>
    </row>
    <row r="4204" spans="1:10" x14ac:dyDescent="0.25">
      <c r="A4204">
        <v>109</v>
      </c>
      <c r="B4204" t="s">
        <v>20</v>
      </c>
      <c r="C4204">
        <v>245</v>
      </c>
      <c r="D4204">
        <v>0</v>
      </c>
      <c r="E4204">
        <v>0</v>
      </c>
      <c r="F4204">
        <v>9750</v>
      </c>
      <c r="G4204">
        <v>2500</v>
      </c>
      <c r="H4204">
        <v>0</v>
      </c>
      <c r="J4204" t="str">
        <f>VLOOKUP(Table3[[#This Row],[Faction ID]],Table4[],2)</f>
        <v>Gundabad</v>
      </c>
    </row>
    <row r="4205" spans="1:10" x14ac:dyDescent="0.25">
      <c r="A4205">
        <v>109</v>
      </c>
      <c r="B4205" t="s">
        <v>34</v>
      </c>
      <c r="C4205">
        <v>0</v>
      </c>
      <c r="D4205">
        <v>0</v>
      </c>
      <c r="E4205">
        <v>3</v>
      </c>
      <c r="F4205">
        <v>125293</v>
      </c>
      <c r="G4205">
        <v>2354</v>
      </c>
      <c r="H4205">
        <v>0</v>
      </c>
      <c r="J4205" t="str">
        <f>VLOOKUP(Table3[[#This Row],[Faction ID]],Table4[],2)</f>
        <v>Scouts of Rohan</v>
      </c>
    </row>
    <row r="4206" spans="1:10" x14ac:dyDescent="0.25">
      <c r="A4206">
        <v>109</v>
      </c>
      <c r="B4206" t="s">
        <v>33</v>
      </c>
      <c r="C4206">
        <v>6</v>
      </c>
      <c r="D4206">
        <v>4</v>
      </c>
      <c r="E4206">
        <v>95</v>
      </c>
      <c r="F4206">
        <v>114701</v>
      </c>
      <c r="G4206">
        <v>20885</v>
      </c>
      <c r="H4206">
        <v>928</v>
      </c>
      <c r="J4206" t="str">
        <f>VLOOKUP(Table3[[#This Row],[Faction ID]],Table4[],2)</f>
        <v>Northern Enedwaith</v>
      </c>
    </row>
    <row r="4207" spans="1:10" x14ac:dyDescent="0.25">
      <c r="A4207">
        <v>109</v>
      </c>
      <c r="B4207" t="s">
        <v>29</v>
      </c>
      <c r="C4207">
        <v>0</v>
      </c>
      <c r="D4207">
        <v>0</v>
      </c>
      <c r="E4207">
        <v>0</v>
      </c>
      <c r="F4207">
        <v>54023</v>
      </c>
      <c r="G4207">
        <v>1750</v>
      </c>
      <c r="H4207">
        <v>0</v>
      </c>
      <c r="J4207" t="str">
        <f>VLOOKUP(Table3[[#This Row],[Faction ID]],Table4[],2)</f>
        <v>Southern Enedwaith</v>
      </c>
    </row>
    <row r="4208" spans="1:10" x14ac:dyDescent="0.25">
      <c r="A4208">
        <v>109</v>
      </c>
      <c r="B4208" t="s">
        <v>30</v>
      </c>
      <c r="C4208">
        <v>0</v>
      </c>
      <c r="D4208">
        <v>0</v>
      </c>
      <c r="E4208">
        <v>0</v>
      </c>
      <c r="F4208">
        <v>32146</v>
      </c>
      <c r="G4208">
        <v>1750</v>
      </c>
      <c r="H4208">
        <v>0</v>
      </c>
      <c r="J4208" t="str">
        <f>VLOOKUP(Table3[[#This Row],[Faction ID]],Table4[],2)</f>
        <v>Druedain</v>
      </c>
    </row>
    <row r="4209" spans="1:10" x14ac:dyDescent="0.25">
      <c r="A4209">
        <v>109</v>
      </c>
      <c r="B4209" t="s">
        <v>31</v>
      </c>
      <c r="C4209">
        <v>0</v>
      </c>
      <c r="D4209">
        <v>0</v>
      </c>
      <c r="E4209">
        <v>0</v>
      </c>
      <c r="F4209">
        <v>15146</v>
      </c>
      <c r="G4209">
        <v>1750</v>
      </c>
      <c r="H4209">
        <v>0</v>
      </c>
      <c r="J4209" t="str">
        <f>VLOOKUP(Table3[[#This Row],[Faction ID]],Table4[],2)</f>
        <v>Harondor</v>
      </c>
    </row>
    <row r="4210" spans="1:10" x14ac:dyDescent="0.25">
      <c r="A4210">
        <v>109</v>
      </c>
      <c r="B4210" t="s">
        <v>35</v>
      </c>
      <c r="C4210">
        <v>0</v>
      </c>
      <c r="D4210">
        <v>0</v>
      </c>
      <c r="E4210">
        <v>0</v>
      </c>
      <c r="F4210">
        <v>4000</v>
      </c>
      <c r="G4210">
        <v>1750</v>
      </c>
      <c r="H4210">
        <v>0</v>
      </c>
      <c r="J4210" t="str">
        <f>VLOOKUP(Table3[[#This Row],[Faction ID]],Table4[],2)</f>
        <v>Southron Nomads</v>
      </c>
    </row>
    <row r="4211" spans="1:10" x14ac:dyDescent="0.25">
      <c r="A4211">
        <v>109</v>
      </c>
      <c r="B4211" t="s">
        <v>36</v>
      </c>
      <c r="C4211">
        <v>0</v>
      </c>
      <c r="D4211">
        <v>0</v>
      </c>
      <c r="E4211">
        <v>0</v>
      </c>
      <c r="F4211">
        <v>4000</v>
      </c>
      <c r="G4211">
        <v>1750</v>
      </c>
      <c r="H4211">
        <v>0</v>
      </c>
      <c r="J4211" t="str">
        <f>VLOOKUP(Table3[[#This Row],[Faction ID]],Table4[],2)</f>
        <v>_</v>
      </c>
    </row>
    <row r="4212" spans="1:10" x14ac:dyDescent="0.25">
      <c r="A4212">
        <v>109</v>
      </c>
      <c r="B4212" t="s">
        <v>37</v>
      </c>
      <c r="C4212">
        <v>0</v>
      </c>
      <c r="D4212">
        <v>0</v>
      </c>
      <c r="E4212">
        <v>0</v>
      </c>
      <c r="F4212">
        <v>4000</v>
      </c>
      <c r="G4212">
        <v>1750</v>
      </c>
      <c r="H4212">
        <v>0</v>
      </c>
      <c r="J4212" t="str">
        <f>VLOOKUP(Table3[[#This Row],[Faction ID]],Table4[],2)</f>
        <v>_</v>
      </c>
    </row>
    <row r="4213" spans="1:10" x14ac:dyDescent="0.25">
      <c r="A4213">
        <v>109</v>
      </c>
      <c r="B4213" t="s">
        <v>38</v>
      </c>
      <c r="C4213">
        <v>0</v>
      </c>
      <c r="D4213">
        <v>0</v>
      </c>
      <c r="E4213">
        <v>0</v>
      </c>
      <c r="F4213">
        <v>4000</v>
      </c>
      <c r="G4213">
        <v>1750</v>
      </c>
      <c r="H4213">
        <v>0</v>
      </c>
      <c r="J4213" t="str">
        <f>VLOOKUP(Table3[[#This Row],[Faction ID]],Table4[],2)</f>
        <v>_</v>
      </c>
    </row>
    <row r="4214" spans="1:10" x14ac:dyDescent="0.25">
      <c r="A4214">
        <v>109</v>
      </c>
      <c r="B4214" t="s">
        <v>39</v>
      </c>
      <c r="C4214">
        <v>0</v>
      </c>
      <c r="D4214">
        <v>0</v>
      </c>
      <c r="E4214">
        <v>0</v>
      </c>
      <c r="F4214">
        <v>4000</v>
      </c>
      <c r="G4214">
        <v>1750</v>
      </c>
      <c r="H4214">
        <v>0</v>
      </c>
      <c r="J4214" t="str">
        <f>VLOOKUP(Table3[[#This Row],[Faction ID]],Table4[],2)</f>
        <v>_</v>
      </c>
    </row>
    <row r="4215" spans="1:10" x14ac:dyDescent="0.25">
      <c r="A4215">
        <v>109</v>
      </c>
      <c r="B4215" t="s">
        <v>40</v>
      </c>
      <c r="C4215">
        <v>0</v>
      </c>
      <c r="D4215">
        <v>0</v>
      </c>
      <c r="E4215">
        <v>0</v>
      </c>
      <c r="F4215">
        <v>4000</v>
      </c>
      <c r="G4215">
        <v>1750</v>
      </c>
      <c r="H4215">
        <v>0</v>
      </c>
      <c r="J4215" t="str">
        <f>VLOOKUP(Table3[[#This Row],[Faction ID]],Table4[],2)</f>
        <v>_</v>
      </c>
    </row>
    <row r="4216" spans="1:10" x14ac:dyDescent="0.25">
      <c r="A4216">
        <v>109</v>
      </c>
      <c r="B4216" t="s">
        <v>41</v>
      </c>
      <c r="C4216">
        <v>0</v>
      </c>
      <c r="D4216">
        <v>0</v>
      </c>
      <c r="E4216">
        <v>0</v>
      </c>
      <c r="F4216">
        <v>4000</v>
      </c>
      <c r="G4216">
        <v>1750</v>
      </c>
      <c r="H4216">
        <v>0</v>
      </c>
      <c r="J4216" t="str">
        <f>VLOOKUP(Table3[[#This Row],[Faction ID]],Table4[],2)</f>
        <v>_</v>
      </c>
    </row>
    <row r="4217" spans="1:10" x14ac:dyDescent="0.25">
      <c r="A4217">
        <v>109</v>
      </c>
      <c r="B4217" t="s">
        <v>42</v>
      </c>
      <c r="C4217">
        <v>0</v>
      </c>
      <c r="D4217">
        <v>0</v>
      </c>
      <c r="E4217">
        <v>0</v>
      </c>
      <c r="F4217">
        <v>4000</v>
      </c>
      <c r="G4217">
        <v>1750</v>
      </c>
      <c r="H4217">
        <v>0</v>
      </c>
      <c r="J4217" t="str">
        <f>VLOOKUP(Table3[[#This Row],[Faction ID]],Table4[],2)</f>
        <v>_</v>
      </c>
    </row>
    <row r="4218" spans="1:10" x14ac:dyDescent="0.25">
      <c r="A4218">
        <v>109</v>
      </c>
      <c r="B4218" t="s">
        <v>43</v>
      </c>
      <c r="C4218">
        <v>0</v>
      </c>
      <c r="D4218">
        <v>0</v>
      </c>
      <c r="E4218">
        <v>0</v>
      </c>
      <c r="F4218">
        <v>4000</v>
      </c>
      <c r="G4218">
        <v>1750</v>
      </c>
      <c r="H4218">
        <v>0</v>
      </c>
      <c r="J4218" t="str">
        <f>VLOOKUP(Table3[[#This Row],[Faction ID]],Table4[],2)</f>
        <v>_</v>
      </c>
    </row>
    <row r="4219" spans="1:10" x14ac:dyDescent="0.25">
      <c r="A4219">
        <v>109</v>
      </c>
      <c r="B4219" t="s">
        <v>44</v>
      </c>
      <c r="C4219">
        <v>0</v>
      </c>
      <c r="D4219">
        <v>0</v>
      </c>
      <c r="E4219">
        <v>0</v>
      </c>
      <c r="F4219">
        <v>4000</v>
      </c>
      <c r="G4219">
        <v>1750</v>
      </c>
      <c r="H4219">
        <v>0</v>
      </c>
      <c r="J4219" t="str">
        <f>VLOOKUP(Table3[[#This Row],[Faction ID]],Table4[],2)</f>
        <v>_</v>
      </c>
    </row>
    <row r="4220" spans="1:10" x14ac:dyDescent="0.25">
      <c r="A4220">
        <v>110</v>
      </c>
      <c r="B4220" t="s">
        <v>9</v>
      </c>
      <c r="C4220">
        <v>580</v>
      </c>
      <c r="D4220">
        <v>30</v>
      </c>
      <c r="E4220">
        <v>400.1</v>
      </c>
      <c r="F4220">
        <v>1075</v>
      </c>
      <c r="G4220">
        <v>55318</v>
      </c>
      <c r="H4220">
        <v>3286</v>
      </c>
      <c r="J4220" t="str">
        <f>VLOOKUP(Table3[[#This Row],[Faction ID]],Table4[],2)</f>
        <v>Mordor</v>
      </c>
    </row>
    <row r="4221" spans="1:10" x14ac:dyDescent="0.25">
      <c r="A4221">
        <v>110</v>
      </c>
      <c r="B4221" t="s">
        <v>4</v>
      </c>
      <c r="C4221">
        <v>146</v>
      </c>
      <c r="D4221">
        <v>0</v>
      </c>
      <c r="E4221">
        <v>0</v>
      </c>
      <c r="F4221">
        <v>55420</v>
      </c>
      <c r="G4221">
        <v>2500</v>
      </c>
      <c r="H4221">
        <v>0</v>
      </c>
      <c r="J4221" t="str">
        <f>VLOOKUP(Table3[[#This Row],[Faction ID]],Table4[],2)</f>
        <v>Gondor</v>
      </c>
    </row>
    <row r="4222" spans="1:10" x14ac:dyDescent="0.25">
      <c r="A4222">
        <v>110</v>
      </c>
      <c r="B4222" t="s">
        <v>6</v>
      </c>
      <c r="C4222">
        <v>199</v>
      </c>
      <c r="D4222">
        <v>0</v>
      </c>
      <c r="E4222">
        <v>0</v>
      </c>
      <c r="F4222">
        <v>10343</v>
      </c>
      <c r="G4222">
        <v>2500</v>
      </c>
      <c r="H4222">
        <v>0</v>
      </c>
      <c r="J4222" t="str">
        <f>VLOOKUP(Table3[[#This Row],[Faction ID]],Table4[],2)</f>
        <v>Dale</v>
      </c>
    </row>
    <row r="4223" spans="1:10" x14ac:dyDescent="0.25">
      <c r="A4223">
        <v>110</v>
      </c>
      <c r="B4223" t="s">
        <v>21</v>
      </c>
      <c r="C4223">
        <v>200</v>
      </c>
      <c r="D4223">
        <v>0</v>
      </c>
      <c r="E4223">
        <v>0</v>
      </c>
      <c r="F4223">
        <v>10040</v>
      </c>
      <c r="G4223">
        <v>2500</v>
      </c>
      <c r="H4223">
        <v>0</v>
      </c>
      <c r="J4223" t="str">
        <f>VLOOKUP(Table3[[#This Row],[Faction ID]],Table4[],2)</f>
        <v>Erebor</v>
      </c>
    </row>
    <row r="4224" spans="1:10" x14ac:dyDescent="0.25">
      <c r="A4224">
        <v>110</v>
      </c>
      <c r="B4224" t="s">
        <v>5</v>
      </c>
      <c r="C4224">
        <v>157</v>
      </c>
      <c r="D4224">
        <v>0</v>
      </c>
      <c r="E4224">
        <v>0</v>
      </c>
      <c r="F4224">
        <v>6638</v>
      </c>
      <c r="G4224">
        <v>2500</v>
      </c>
      <c r="H4224">
        <v>0</v>
      </c>
      <c r="J4224" t="str">
        <f>VLOOKUP(Table3[[#This Row],[Faction ID]],Table4[],2)</f>
        <v>Rohan</v>
      </c>
    </row>
    <row r="4225" spans="1:10" x14ac:dyDescent="0.25">
      <c r="A4225">
        <v>110</v>
      </c>
      <c r="B4225" t="s">
        <v>12</v>
      </c>
      <c r="C4225">
        <v>454</v>
      </c>
      <c r="D4225">
        <v>21</v>
      </c>
      <c r="E4225">
        <v>358.1</v>
      </c>
      <c r="F4225">
        <v>124188</v>
      </c>
      <c r="G4225">
        <v>50695</v>
      </c>
      <c r="H4225">
        <v>3817</v>
      </c>
      <c r="J4225" t="str">
        <f>VLOOKUP(Table3[[#This Row],[Faction ID]],Table4[],2)</f>
        <v>Dol Guldur</v>
      </c>
    </row>
    <row r="4226" spans="1:10" x14ac:dyDescent="0.25">
      <c r="A4226">
        <v>110</v>
      </c>
      <c r="B4226" t="s">
        <v>10</v>
      </c>
      <c r="C4226">
        <v>58</v>
      </c>
      <c r="D4226">
        <v>0</v>
      </c>
      <c r="E4226">
        <v>0</v>
      </c>
      <c r="F4226">
        <v>4515</v>
      </c>
      <c r="G4226">
        <v>2500</v>
      </c>
      <c r="H4226">
        <v>0</v>
      </c>
      <c r="J4226" t="str">
        <f>VLOOKUP(Table3[[#This Row],[Faction ID]],Table4[],2)</f>
        <v>Anduin Vale</v>
      </c>
    </row>
    <row r="4227" spans="1:10" x14ac:dyDescent="0.25">
      <c r="A4227">
        <v>110</v>
      </c>
      <c r="B4227" t="s">
        <v>32</v>
      </c>
      <c r="C4227">
        <v>282</v>
      </c>
      <c r="D4227">
        <v>8</v>
      </c>
      <c r="E4227">
        <v>216</v>
      </c>
      <c r="F4227">
        <v>52600</v>
      </c>
      <c r="G4227">
        <v>31833</v>
      </c>
      <c r="H4227">
        <v>1755</v>
      </c>
      <c r="J4227" t="str">
        <f>VLOOKUP(Table3[[#This Row],[Faction ID]],Table4[],2)</f>
        <v>Isengard</v>
      </c>
    </row>
    <row r="4228" spans="1:10" x14ac:dyDescent="0.25">
      <c r="A4228">
        <v>110</v>
      </c>
      <c r="B4228" t="s">
        <v>22</v>
      </c>
      <c r="C4228">
        <v>30</v>
      </c>
      <c r="D4228">
        <v>0</v>
      </c>
      <c r="E4228">
        <v>0</v>
      </c>
      <c r="F4228">
        <v>8475</v>
      </c>
      <c r="G4228">
        <v>2500</v>
      </c>
      <c r="H4228">
        <v>0</v>
      </c>
      <c r="J4228" t="str">
        <f>VLOOKUP(Table3[[#This Row],[Faction ID]],Table4[],2)</f>
        <v>Woodland Realm</v>
      </c>
    </row>
    <row r="4229" spans="1:10" x14ac:dyDescent="0.25">
      <c r="A4229">
        <v>110</v>
      </c>
      <c r="B4229" t="s">
        <v>23</v>
      </c>
      <c r="C4229">
        <v>64</v>
      </c>
      <c r="D4229">
        <v>0</v>
      </c>
      <c r="E4229">
        <v>0</v>
      </c>
      <c r="F4229">
        <v>4721</v>
      </c>
      <c r="G4229">
        <v>2500</v>
      </c>
      <c r="H4229">
        <v>0</v>
      </c>
      <c r="J4229" t="str">
        <f>VLOOKUP(Table3[[#This Row],[Faction ID]],Table4[],2)</f>
        <v>Lothlorien</v>
      </c>
    </row>
    <row r="4230" spans="1:10" x14ac:dyDescent="0.25">
      <c r="A4230">
        <v>110</v>
      </c>
      <c r="B4230" t="s">
        <v>24</v>
      </c>
      <c r="C4230">
        <v>0</v>
      </c>
      <c r="D4230">
        <v>0</v>
      </c>
      <c r="E4230">
        <v>0</v>
      </c>
      <c r="F4230">
        <v>4919</v>
      </c>
      <c r="G4230">
        <v>1750</v>
      </c>
      <c r="H4230">
        <v>0</v>
      </c>
      <c r="J4230" t="str">
        <f>VLOOKUP(Table3[[#This Row],[Faction ID]],Table4[],2)</f>
        <v>Variags (Khand)</v>
      </c>
    </row>
    <row r="4231" spans="1:10" x14ac:dyDescent="0.25">
      <c r="A4231">
        <v>110</v>
      </c>
      <c r="B4231" t="s">
        <v>14</v>
      </c>
      <c r="C4231">
        <v>20</v>
      </c>
      <c r="D4231">
        <v>14</v>
      </c>
      <c r="E4231">
        <v>230.8</v>
      </c>
      <c r="F4231">
        <v>72470</v>
      </c>
      <c r="G4231">
        <v>47323</v>
      </c>
      <c r="H4231">
        <v>3888</v>
      </c>
      <c r="J4231" t="str">
        <f>VLOOKUP(Table3[[#This Row],[Faction ID]],Table4[],2)</f>
        <v>Corsairs of Umbar</v>
      </c>
    </row>
    <row r="4232" spans="1:10" x14ac:dyDescent="0.25">
      <c r="A4232">
        <v>110</v>
      </c>
      <c r="B4232" t="s">
        <v>25</v>
      </c>
      <c r="C4232">
        <v>0</v>
      </c>
      <c r="D4232">
        <v>0</v>
      </c>
      <c r="E4232">
        <v>0</v>
      </c>
      <c r="F4232">
        <v>9228</v>
      </c>
      <c r="G4232">
        <v>1750</v>
      </c>
      <c r="H4232">
        <v>0</v>
      </c>
      <c r="J4232" t="str">
        <f>VLOOKUP(Table3[[#This Row],[Faction ID]],Table4[],2)</f>
        <v>Mahud</v>
      </c>
    </row>
    <row r="4233" spans="1:10" x14ac:dyDescent="0.25">
      <c r="A4233">
        <v>110</v>
      </c>
      <c r="B4233" t="s">
        <v>11</v>
      </c>
      <c r="C4233">
        <v>229</v>
      </c>
      <c r="D4233">
        <v>14</v>
      </c>
      <c r="E4233">
        <v>256.89999999999998</v>
      </c>
      <c r="F4233">
        <v>38202</v>
      </c>
      <c r="G4233">
        <v>39731</v>
      </c>
      <c r="H4233">
        <v>2296</v>
      </c>
      <c r="J4233" t="str">
        <f>VLOOKUP(Table3[[#This Row],[Faction ID]],Table4[],2)</f>
        <v>Haradrim</v>
      </c>
    </row>
    <row r="4234" spans="1:10" x14ac:dyDescent="0.25">
      <c r="A4234">
        <v>110</v>
      </c>
      <c r="B4234" t="s">
        <v>15</v>
      </c>
      <c r="C4234">
        <v>284</v>
      </c>
      <c r="D4234">
        <v>12</v>
      </c>
      <c r="E4234">
        <v>258</v>
      </c>
      <c r="F4234">
        <v>169629</v>
      </c>
      <c r="G4234">
        <v>47299</v>
      </c>
      <c r="H4234">
        <v>2298</v>
      </c>
      <c r="J4234" t="str">
        <f>VLOOKUP(Table3[[#This Row],[Faction ID]],Table4[],2)</f>
        <v>Dunlendings</v>
      </c>
    </row>
    <row r="4235" spans="1:10" x14ac:dyDescent="0.25">
      <c r="A4235">
        <v>110</v>
      </c>
      <c r="B4235" t="s">
        <v>16</v>
      </c>
      <c r="C4235">
        <v>0</v>
      </c>
      <c r="D4235">
        <v>0</v>
      </c>
      <c r="E4235">
        <v>0</v>
      </c>
      <c r="F4235">
        <v>5352</v>
      </c>
      <c r="G4235">
        <v>1750</v>
      </c>
      <c r="H4235">
        <v>0</v>
      </c>
      <c r="J4235" t="str">
        <f>VLOOKUP(Table3[[#This Row],[Faction ID]],Table4[],2)</f>
        <v>Haerrim</v>
      </c>
    </row>
    <row r="4236" spans="1:10" x14ac:dyDescent="0.25">
      <c r="A4236">
        <v>110</v>
      </c>
      <c r="B4236" t="s">
        <v>13</v>
      </c>
      <c r="C4236">
        <v>576</v>
      </c>
      <c r="D4236">
        <v>23</v>
      </c>
      <c r="E4236">
        <v>444</v>
      </c>
      <c r="F4236">
        <v>167322</v>
      </c>
      <c r="G4236">
        <v>62777</v>
      </c>
      <c r="H4236">
        <v>6114</v>
      </c>
      <c r="J4236" t="str">
        <f>VLOOKUP(Table3[[#This Row],[Faction ID]],Table4[],2)</f>
        <v>Goblins</v>
      </c>
    </row>
    <row r="4237" spans="1:10" x14ac:dyDescent="0.25">
      <c r="A4237">
        <v>110</v>
      </c>
      <c r="B4237" t="s">
        <v>17</v>
      </c>
      <c r="C4237">
        <v>0</v>
      </c>
      <c r="D4237">
        <v>0</v>
      </c>
      <c r="E4237">
        <v>0</v>
      </c>
      <c r="F4237">
        <v>4872</v>
      </c>
      <c r="G4237">
        <v>1750</v>
      </c>
      <c r="H4237">
        <v>0</v>
      </c>
      <c r="J4237" t="str">
        <f>VLOOKUP(Table3[[#This Row],[Faction ID]],Table4[],2)</f>
        <v>Balchoth</v>
      </c>
    </row>
    <row r="4238" spans="1:10" x14ac:dyDescent="0.25">
      <c r="A4238">
        <v>110</v>
      </c>
      <c r="B4238" t="s">
        <v>18</v>
      </c>
      <c r="C4238">
        <v>524</v>
      </c>
      <c r="D4238">
        <v>25</v>
      </c>
      <c r="E4238">
        <v>380.9</v>
      </c>
      <c r="F4238">
        <v>72389</v>
      </c>
      <c r="G4238">
        <v>45246</v>
      </c>
      <c r="H4238">
        <v>2785</v>
      </c>
      <c r="J4238" t="str">
        <f>VLOOKUP(Table3[[#This Row],[Faction ID]],Table4[],2)</f>
        <v>Rhurim/Rhun</v>
      </c>
    </row>
    <row r="4239" spans="1:10" x14ac:dyDescent="0.25">
      <c r="A4239">
        <v>110</v>
      </c>
      <c r="B4239" t="s">
        <v>19</v>
      </c>
      <c r="C4239">
        <v>0</v>
      </c>
      <c r="D4239">
        <v>0</v>
      </c>
      <c r="E4239">
        <v>0</v>
      </c>
      <c r="F4239">
        <v>7360</v>
      </c>
      <c r="G4239">
        <v>1750</v>
      </c>
      <c r="H4239">
        <v>0</v>
      </c>
      <c r="J4239" t="str">
        <f>VLOOKUP(Table3[[#This Row],[Faction ID]],Table4[],2)</f>
        <v>Feredrim</v>
      </c>
    </row>
    <row r="4240" spans="1:10" x14ac:dyDescent="0.25">
      <c r="A4240">
        <v>110</v>
      </c>
      <c r="B4240" t="s">
        <v>26</v>
      </c>
      <c r="C4240">
        <v>0</v>
      </c>
      <c r="D4240">
        <v>0</v>
      </c>
      <c r="E4240">
        <v>0</v>
      </c>
      <c r="F4240">
        <v>6395</v>
      </c>
      <c r="G4240">
        <v>1750</v>
      </c>
      <c r="H4240">
        <v>0</v>
      </c>
      <c r="J4240" t="str">
        <f>VLOOKUP(Table3[[#This Row],[Faction ID]],Table4[],2)</f>
        <v>Rachrohir (Wainriders)</v>
      </c>
    </row>
    <row r="4241" spans="1:10" x14ac:dyDescent="0.25">
      <c r="A4241">
        <v>110</v>
      </c>
      <c r="B4241" t="s">
        <v>27</v>
      </c>
      <c r="C4241">
        <v>2</v>
      </c>
      <c r="D4241">
        <v>2</v>
      </c>
      <c r="E4241">
        <v>27.6</v>
      </c>
      <c r="F4241">
        <v>8800</v>
      </c>
      <c r="G4241">
        <v>6319</v>
      </c>
      <c r="H4241">
        <v>437</v>
      </c>
      <c r="J4241" t="str">
        <f>VLOOKUP(Table3[[#This Row],[Faction ID]],Table4[],2)</f>
        <v>Blacklock-Stonefoot League</v>
      </c>
    </row>
    <row r="4242" spans="1:10" x14ac:dyDescent="0.25">
      <c r="A4242">
        <v>110</v>
      </c>
      <c r="B4242" t="s">
        <v>28</v>
      </c>
      <c r="C4242">
        <v>5</v>
      </c>
      <c r="D4242">
        <v>2</v>
      </c>
      <c r="E4242">
        <v>35</v>
      </c>
      <c r="F4242">
        <v>1818</v>
      </c>
      <c r="G4242">
        <v>6648</v>
      </c>
      <c r="H4242">
        <v>0</v>
      </c>
      <c r="J4242" t="str">
        <f>VLOOKUP(Table3[[#This Row],[Faction ID]],Table4[],2)</f>
        <v>Ironfist-Stiffbeard Union</v>
      </c>
    </row>
    <row r="4243" spans="1:10" x14ac:dyDescent="0.25">
      <c r="A4243">
        <v>110</v>
      </c>
      <c r="B4243" t="s">
        <v>20</v>
      </c>
      <c r="C4243">
        <v>245</v>
      </c>
      <c r="D4243">
        <v>0</v>
      </c>
      <c r="E4243">
        <v>0</v>
      </c>
      <c r="F4243">
        <v>9750</v>
      </c>
      <c r="G4243">
        <v>2500</v>
      </c>
      <c r="H4243">
        <v>0</v>
      </c>
      <c r="J4243" t="str">
        <f>VLOOKUP(Table3[[#This Row],[Faction ID]],Table4[],2)</f>
        <v>Gundabad</v>
      </c>
    </row>
    <row r="4244" spans="1:10" x14ac:dyDescent="0.25">
      <c r="A4244">
        <v>110</v>
      </c>
      <c r="B4244" t="s">
        <v>34</v>
      </c>
      <c r="C4244">
        <v>0</v>
      </c>
      <c r="D4244">
        <v>0</v>
      </c>
      <c r="E4244">
        <v>3</v>
      </c>
      <c r="F4244">
        <v>126439</v>
      </c>
      <c r="G4244">
        <v>2354</v>
      </c>
      <c r="H4244">
        <v>0</v>
      </c>
      <c r="J4244" t="str">
        <f>VLOOKUP(Table3[[#This Row],[Faction ID]],Table4[],2)</f>
        <v>Scouts of Rohan</v>
      </c>
    </row>
    <row r="4245" spans="1:10" x14ac:dyDescent="0.25">
      <c r="A4245">
        <v>110</v>
      </c>
      <c r="B4245" t="s">
        <v>33</v>
      </c>
      <c r="C4245">
        <v>6</v>
      </c>
      <c r="D4245">
        <v>4</v>
      </c>
      <c r="E4245">
        <v>95</v>
      </c>
      <c r="F4245">
        <v>117968</v>
      </c>
      <c r="G4245">
        <v>20754</v>
      </c>
      <c r="H4245">
        <v>929</v>
      </c>
      <c r="J4245" t="str">
        <f>VLOOKUP(Table3[[#This Row],[Faction ID]],Table4[],2)</f>
        <v>Northern Enedwaith</v>
      </c>
    </row>
    <row r="4246" spans="1:10" x14ac:dyDescent="0.25">
      <c r="A4246">
        <v>110</v>
      </c>
      <c r="B4246" t="s">
        <v>29</v>
      </c>
      <c r="C4246">
        <v>0</v>
      </c>
      <c r="D4246">
        <v>0</v>
      </c>
      <c r="E4246">
        <v>0</v>
      </c>
      <c r="F4246">
        <v>54023</v>
      </c>
      <c r="G4246">
        <v>1750</v>
      </c>
      <c r="H4246">
        <v>0</v>
      </c>
      <c r="J4246" t="str">
        <f>VLOOKUP(Table3[[#This Row],[Faction ID]],Table4[],2)</f>
        <v>Southern Enedwaith</v>
      </c>
    </row>
    <row r="4247" spans="1:10" x14ac:dyDescent="0.25">
      <c r="A4247">
        <v>110</v>
      </c>
      <c r="B4247" t="s">
        <v>30</v>
      </c>
      <c r="C4247">
        <v>0</v>
      </c>
      <c r="D4247">
        <v>0</v>
      </c>
      <c r="E4247">
        <v>0</v>
      </c>
      <c r="F4247">
        <v>32146</v>
      </c>
      <c r="G4247">
        <v>1750</v>
      </c>
      <c r="H4247">
        <v>0</v>
      </c>
      <c r="J4247" t="str">
        <f>VLOOKUP(Table3[[#This Row],[Faction ID]],Table4[],2)</f>
        <v>Druedain</v>
      </c>
    </row>
    <row r="4248" spans="1:10" x14ac:dyDescent="0.25">
      <c r="A4248">
        <v>110</v>
      </c>
      <c r="B4248" t="s">
        <v>31</v>
      </c>
      <c r="C4248">
        <v>0</v>
      </c>
      <c r="D4248">
        <v>0</v>
      </c>
      <c r="E4248">
        <v>0</v>
      </c>
      <c r="F4248">
        <v>15146</v>
      </c>
      <c r="G4248">
        <v>1750</v>
      </c>
      <c r="H4248">
        <v>0</v>
      </c>
      <c r="J4248" t="str">
        <f>VLOOKUP(Table3[[#This Row],[Faction ID]],Table4[],2)</f>
        <v>Harondor</v>
      </c>
    </row>
    <row r="4249" spans="1:10" x14ac:dyDescent="0.25">
      <c r="A4249">
        <v>110</v>
      </c>
      <c r="B4249" t="s">
        <v>35</v>
      </c>
      <c r="C4249">
        <v>0</v>
      </c>
      <c r="D4249">
        <v>0</v>
      </c>
      <c r="E4249">
        <v>0</v>
      </c>
      <c r="F4249">
        <v>4000</v>
      </c>
      <c r="G4249">
        <v>1750</v>
      </c>
      <c r="H4249">
        <v>0</v>
      </c>
      <c r="J4249" t="str">
        <f>VLOOKUP(Table3[[#This Row],[Faction ID]],Table4[],2)</f>
        <v>Southron Nomads</v>
      </c>
    </row>
    <row r="4250" spans="1:10" x14ac:dyDescent="0.25">
      <c r="A4250">
        <v>110</v>
      </c>
      <c r="B4250" t="s">
        <v>36</v>
      </c>
      <c r="C4250">
        <v>0</v>
      </c>
      <c r="D4250">
        <v>0</v>
      </c>
      <c r="E4250">
        <v>0</v>
      </c>
      <c r="F4250">
        <v>4000</v>
      </c>
      <c r="G4250">
        <v>1750</v>
      </c>
      <c r="H4250">
        <v>0</v>
      </c>
      <c r="J4250" t="str">
        <f>VLOOKUP(Table3[[#This Row],[Faction ID]],Table4[],2)</f>
        <v>_</v>
      </c>
    </row>
    <row r="4251" spans="1:10" x14ac:dyDescent="0.25">
      <c r="A4251">
        <v>110</v>
      </c>
      <c r="B4251" t="s">
        <v>37</v>
      </c>
      <c r="C4251">
        <v>0</v>
      </c>
      <c r="D4251">
        <v>0</v>
      </c>
      <c r="E4251">
        <v>0</v>
      </c>
      <c r="F4251">
        <v>4000</v>
      </c>
      <c r="G4251">
        <v>1750</v>
      </c>
      <c r="H4251">
        <v>0</v>
      </c>
      <c r="J4251" t="str">
        <f>VLOOKUP(Table3[[#This Row],[Faction ID]],Table4[],2)</f>
        <v>_</v>
      </c>
    </row>
    <row r="4252" spans="1:10" x14ac:dyDescent="0.25">
      <c r="A4252">
        <v>110</v>
      </c>
      <c r="B4252" t="s">
        <v>38</v>
      </c>
      <c r="C4252">
        <v>0</v>
      </c>
      <c r="D4252">
        <v>0</v>
      </c>
      <c r="E4252">
        <v>0</v>
      </c>
      <c r="F4252">
        <v>4000</v>
      </c>
      <c r="G4252">
        <v>1750</v>
      </c>
      <c r="H4252">
        <v>0</v>
      </c>
      <c r="J4252" t="str">
        <f>VLOOKUP(Table3[[#This Row],[Faction ID]],Table4[],2)</f>
        <v>_</v>
      </c>
    </row>
    <row r="4253" spans="1:10" x14ac:dyDescent="0.25">
      <c r="A4253">
        <v>110</v>
      </c>
      <c r="B4253" t="s">
        <v>39</v>
      </c>
      <c r="C4253">
        <v>0</v>
      </c>
      <c r="D4253">
        <v>0</v>
      </c>
      <c r="E4253">
        <v>0</v>
      </c>
      <c r="F4253">
        <v>4000</v>
      </c>
      <c r="G4253">
        <v>1750</v>
      </c>
      <c r="H4253">
        <v>0</v>
      </c>
      <c r="J4253" t="str">
        <f>VLOOKUP(Table3[[#This Row],[Faction ID]],Table4[],2)</f>
        <v>_</v>
      </c>
    </row>
    <row r="4254" spans="1:10" x14ac:dyDescent="0.25">
      <c r="A4254">
        <v>110</v>
      </c>
      <c r="B4254" t="s">
        <v>40</v>
      </c>
      <c r="C4254">
        <v>0</v>
      </c>
      <c r="D4254">
        <v>0</v>
      </c>
      <c r="E4254">
        <v>0</v>
      </c>
      <c r="F4254">
        <v>4000</v>
      </c>
      <c r="G4254">
        <v>1750</v>
      </c>
      <c r="H4254">
        <v>0</v>
      </c>
      <c r="J4254" t="str">
        <f>VLOOKUP(Table3[[#This Row],[Faction ID]],Table4[],2)</f>
        <v>_</v>
      </c>
    </row>
    <row r="4255" spans="1:10" x14ac:dyDescent="0.25">
      <c r="A4255">
        <v>110</v>
      </c>
      <c r="B4255" t="s">
        <v>41</v>
      </c>
      <c r="C4255">
        <v>0</v>
      </c>
      <c r="D4255">
        <v>0</v>
      </c>
      <c r="E4255">
        <v>0</v>
      </c>
      <c r="F4255">
        <v>4000</v>
      </c>
      <c r="G4255">
        <v>1750</v>
      </c>
      <c r="H4255">
        <v>0</v>
      </c>
      <c r="J4255" t="str">
        <f>VLOOKUP(Table3[[#This Row],[Faction ID]],Table4[],2)</f>
        <v>_</v>
      </c>
    </row>
    <row r="4256" spans="1:10" x14ac:dyDescent="0.25">
      <c r="A4256">
        <v>110</v>
      </c>
      <c r="B4256" t="s">
        <v>42</v>
      </c>
      <c r="C4256">
        <v>0</v>
      </c>
      <c r="D4256">
        <v>0</v>
      </c>
      <c r="E4256">
        <v>0</v>
      </c>
      <c r="F4256">
        <v>4000</v>
      </c>
      <c r="G4256">
        <v>1750</v>
      </c>
      <c r="H4256">
        <v>0</v>
      </c>
      <c r="J4256" t="str">
        <f>VLOOKUP(Table3[[#This Row],[Faction ID]],Table4[],2)</f>
        <v>_</v>
      </c>
    </row>
    <row r="4257" spans="1:10" x14ac:dyDescent="0.25">
      <c r="A4257">
        <v>110</v>
      </c>
      <c r="B4257" t="s">
        <v>43</v>
      </c>
      <c r="C4257">
        <v>0</v>
      </c>
      <c r="D4257">
        <v>0</v>
      </c>
      <c r="E4257">
        <v>0</v>
      </c>
      <c r="F4257">
        <v>4000</v>
      </c>
      <c r="G4257">
        <v>1750</v>
      </c>
      <c r="H4257">
        <v>0</v>
      </c>
      <c r="J4257" t="str">
        <f>VLOOKUP(Table3[[#This Row],[Faction ID]],Table4[],2)</f>
        <v>_</v>
      </c>
    </row>
    <row r="4258" spans="1:10" x14ac:dyDescent="0.25">
      <c r="A4258">
        <v>110</v>
      </c>
      <c r="B4258" t="s">
        <v>44</v>
      </c>
      <c r="C4258">
        <v>0</v>
      </c>
      <c r="D4258">
        <v>0</v>
      </c>
      <c r="E4258">
        <v>0</v>
      </c>
      <c r="F4258">
        <v>4000</v>
      </c>
      <c r="G4258">
        <v>1750</v>
      </c>
      <c r="H4258">
        <v>0</v>
      </c>
      <c r="J4258" t="str">
        <f>VLOOKUP(Table3[[#This Row],[Faction ID]],Table4[],2)</f>
        <v>_</v>
      </c>
    </row>
    <row r="4259" spans="1:10" x14ac:dyDescent="0.25">
      <c r="A4259">
        <v>111</v>
      </c>
      <c r="B4259" t="s">
        <v>9</v>
      </c>
      <c r="C4259">
        <v>580</v>
      </c>
      <c r="D4259">
        <v>30</v>
      </c>
      <c r="E4259">
        <v>400.1</v>
      </c>
      <c r="F4259">
        <v>8240</v>
      </c>
      <c r="G4259">
        <v>55611</v>
      </c>
      <c r="H4259">
        <v>3293</v>
      </c>
      <c r="J4259" t="str">
        <f>VLOOKUP(Table3[[#This Row],[Faction ID]],Table4[],2)</f>
        <v>Mordor</v>
      </c>
    </row>
    <row r="4260" spans="1:10" x14ac:dyDescent="0.25">
      <c r="A4260">
        <v>111</v>
      </c>
      <c r="B4260" t="s">
        <v>4</v>
      </c>
      <c r="C4260">
        <v>146</v>
      </c>
      <c r="D4260">
        <v>0</v>
      </c>
      <c r="E4260">
        <v>0</v>
      </c>
      <c r="F4260">
        <v>55420</v>
      </c>
      <c r="G4260">
        <v>2500</v>
      </c>
      <c r="H4260">
        <v>0</v>
      </c>
      <c r="J4260" t="str">
        <f>VLOOKUP(Table3[[#This Row],[Faction ID]],Table4[],2)</f>
        <v>Gondor</v>
      </c>
    </row>
    <row r="4261" spans="1:10" x14ac:dyDescent="0.25">
      <c r="A4261">
        <v>111</v>
      </c>
      <c r="B4261" t="s">
        <v>6</v>
      </c>
      <c r="C4261">
        <v>199</v>
      </c>
      <c r="D4261">
        <v>0</v>
      </c>
      <c r="E4261">
        <v>0</v>
      </c>
      <c r="F4261">
        <v>10343</v>
      </c>
      <c r="G4261">
        <v>2500</v>
      </c>
      <c r="H4261">
        <v>0</v>
      </c>
      <c r="J4261" t="str">
        <f>VLOOKUP(Table3[[#This Row],[Faction ID]],Table4[],2)</f>
        <v>Dale</v>
      </c>
    </row>
    <row r="4262" spans="1:10" x14ac:dyDescent="0.25">
      <c r="A4262">
        <v>111</v>
      </c>
      <c r="B4262" t="s">
        <v>21</v>
      </c>
      <c r="C4262">
        <v>200</v>
      </c>
      <c r="D4262">
        <v>0</v>
      </c>
      <c r="E4262">
        <v>0</v>
      </c>
      <c r="F4262">
        <v>10040</v>
      </c>
      <c r="G4262">
        <v>2500</v>
      </c>
      <c r="H4262">
        <v>0</v>
      </c>
      <c r="J4262" t="str">
        <f>VLOOKUP(Table3[[#This Row],[Faction ID]],Table4[],2)</f>
        <v>Erebor</v>
      </c>
    </row>
    <row r="4263" spans="1:10" x14ac:dyDescent="0.25">
      <c r="A4263">
        <v>111</v>
      </c>
      <c r="B4263" t="s">
        <v>5</v>
      </c>
      <c r="C4263">
        <v>157</v>
      </c>
      <c r="D4263">
        <v>0</v>
      </c>
      <c r="E4263">
        <v>0</v>
      </c>
      <c r="F4263">
        <v>6638</v>
      </c>
      <c r="G4263">
        <v>2500</v>
      </c>
      <c r="H4263">
        <v>0</v>
      </c>
      <c r="J4263" t="str">
        <f>VLOOKUP(Table3[[#This Row],[Faction ID]],Table4[],2)</f>
        <v>Rohan</v>
      </c>
    </row>
    <row r="4264" spans="1:10" x14ac:dyDescent="0.25">
      <c r="A4264">
        <v>111</v>
      </c>
      <c r="B4264" t="s">
        <v>12</v>
      </c>
      <c r="C4264">
        <v>454</v>
      </c>
      <c r="D4264">
        <v>21</v>
      </c>
      <c r="E4264">
        <v>367.1</v>
      </c>
      <c r="F4264">
        <v>138033</v>
      </c>
      <c r="G4264">
        <v>52394</v>
      </c>
      <c r="H4264">
        <v>3821</v>
      </c>
      <c r="J4264" t="str">
        <f>VLOOKUP(Table3[[#This Row],[Faction ID]],Table4[],2)</f>
        <v>Dol Guldur</v>
      </c>
    </row>
    <row r="4265" spans="1:10" x14ac:dyDescent="0.25">
      <c r="A4265">
        <v>111</v>
      </c>
      <c r="B4265" t="s">
        <v>10</v>
      </c>
      <c r="C4265">
        <v>58</v>
      </c>
      <c r="D4265">
        <v>0</v>
      </c>
      <c r="E4265">
        <v>0</v>
      </c>
      <c r="F4265">
        <v>4515</v>
      </c>
      <c r="G4265">
        <v>2500</v>
      </c>
      <c r="H4265">
        <v>0</v>
      </c>
      <c r="J4265" t="str">
        <f>VLOOKUP(Table3[[#This Row],[Faction ID]],Table4[],2)</f>
        <v>Anduin Vale</v>
      </c>
    </row>
    <row r="4266" spans="1:10" x14ac:dyDescent="0.25">
      <c r="A4266">
        <v>111</v>
      </c>
      <c r="B4266" t="s">
        <v>32</v>
      </c>
      <c r="C4266">
        <v>282</v>
      </c>
      <c r="D4266">
        <v>8</v>
      </c>
      <c r="E4266">
        <v>199.3</v>
      </c>
      <c r="F4266">
        <v>57422</v>
      </c>
      <c r="G4266">
        <v>31586</v>
      </c>
      <c r="H4266">
        <v>1758</v>
      </c>
      <c r="J4266" t="str">
        <f>VLOOKUP(Table3[[#This Row],[Faction ID]],Table4[],2)</f>
        <v>Isengard</v>
      </c>
    </row>
    <row r="4267" spans="1:10" x14ac:dyDescent="0.25">
      <c r="A4267">
        <v>111</v>
      </c>
      <c r="B4267" t="s">
        <v>22</v>
      </c>
      <c r="C4267">
        <v>30</v>
      </c>
      <c r="D4267">
        <v>0</v>
      </c>
      <c r="E4267">
        <v>0</v>
      </c>
      <c r="F4267">
        <v>8475</v>
      </c>
      <c r="G4267">
        <v>2500</v>
      </c>
      <c r="H4267">
        <v>0</v>
      </c>
      <c r="J4267" t="str">
        <f>VLOOKUP(Table3[[#This Row],[Faction ID]],Table4[],2)</f>
        <v>Woodland Realm</v>
      </c>
    </row>
    <row r="4268" spans="1:10" x14ac:dyDescent="0.25">
      <c r="A4268">
        <v>111</v>
      </c>
      <c r="B4268" t="s">
        <v>23</v>
      </c>
      <c r="C4268">
        <v>64</v>
      </c>
      <c r="D4268">
        <v>0</v>
      </c>
      <c r="E4268">
        <v>0</v>
      </c>
      <c r="F4268">
        <v>4721</v>
      </c>
      <c r="G4268">
        <v>2500</v>
      </c>
      <c r="H4268">
        <v>0</v>
      </c>
      <c r="J4268" t="str">
        <f>VLOOKUP(Table3[[#This Row],[Faction ID]],Table4[],2)</f>
        <v>Lothlorien</v>
      </c>
    </row>
    <row r="4269" spans="1:10" x14ac:dyDescent="0.25">
      <c r="A4269">
        <v>111</v>
      </c>
      <c r="B4269" t="s">
        <v>24</v>
      </c>
      <c r="C4269">
        <v>0</v>
      </c>
      <c r="D4269">
        <v>0</v>
      </c>
      <c r="E4269">
        <v>0</v>
      </c>
      <c r="F4269">
        <v>4919</v>
      </c>
      <c r="G4269">
        <v>1750</v>
      </c>
      <c r="H4269">
        <v>0</v>
      </c>
      <c r="J4269" t="str">
        <f>VLOOKUP(Table3[[#This Row],[Faction ID]],Table4[],2)</f>
        <v>Variags (Khand)</v>
      </c>
    </row>
    <row r="4270" spans="1:10" x14ac:dyDescent="0.25">
      <c r="A4270">
        <v>111</v>
      </c>
      <c r="B4270" t="s">
        <v>14</v>
      </c>
      <c r="C4270">
        <v>20</v>
      </c>
      <c r="D4270">
        <v>14</v>
      </c>
      <c r="E4270">
        <v>243.8</v>
      </c>
      <c r="F4270">
        <v>61021</v>
      </c>
      <c r="G4270">
        <v>49417</v>
      </c>
      <c r="H4270">
        <v>3901</v>
      </c>
      <c r="J4270" t="str">
        <f>VLOOKUP(Table3[[#This Row],[Faction ID]],Table4[],2)</f>
        <v>Corsairs of Umbar</v>
      </c>
    </row>
    <row r="4271" spans="1:10" x14ac:dyDescent="0.25">
      <c r="A4271">
        <v>111</v>
      </c>
      <c r="B4271" t="s">
        <v>25</v>
      </c>
      <c r="C4271">
        <v>0</v>
      </c>
      <c r="D4271">
        <v>0</v>
      </c>
      <c r="E4271">
        <v>0</v>
      </c>
      <c r="F4271">
        <v>9228</v>
      </c>
      <c r="G4271">
        <v>1750</v>
      </c>
      <c r="H4271">
        <v>0</v>
      </c>
      <c r="J4271" t="str">
        <f>VLOOKUP(Table3[[#This Row],[Faction ID]],Table4[],2)</f>
        <v>Mahud</v>
      </c>
    </row>
    <row r="4272" spans="1:10" x14ac:dyDescent="0.25">
      <c r="A4272">
        <v>111</v>
      </c>
      <c r="B4272" t="s">
        <v>11</v>
      </c>
      <c r="C4272">
        <v>234</v>
      </c>
      <c r="D4272">
        <v>15</v>
      </c>
      <c r="E4272">
        <v>272.3</v>
      </c>
      <c r="F4272">
        <v>40643</v>
      </c>
      <c r="G4272">
        <v>40918</v>
      </c>
      <c r="H4272">
        <v>2311</v>
      </c>
      <c r="J4272" t="str">
        <f>VLOOKUP(Table3[[#This Row],[Faction ID]],Table4[],2)</f>
        <v>Haradrim</v>
      </c>
    </row>
    <row r="4273" spans="1:10" x14ac:dyDescent="0.25">
      <c r="A4273">
        <v>111</v>
      </c>
      <c r="B4273" t="s">
        <v>15</v>
      </c>
      <c r="C4273">
        <v>284</v>
      </c>
      <c r="D4273">
        <v>12</v>
      </c>
      <c r="E4273">
        <v>258</v>
      </c>
      <c r="F4273">
        <v>167733</v>
      </c>
      <c r="G4273">
        <v>48243</v>
      </c>
      <c r="H4273">
        <v>2388</v>
      </c>
      <c r="J4273" t="str">
        <f>VLOOKUP(Table3[[#This Row],[Faction ID]],Table4[],2)</f>
        <v>Dunlendings</v>
      </c>
    </row>
    <row r="4274" spans="1:10" x14ac:dyDescent="0.25">
      <c r="A4274">
        <v>111</v>
      </c>
      <c r="B4274" t="s">
        <v>16</v>
      </c>
      <c r="C4274">
        <v>0</v>
      </c>
      <c r="D4274">
        <v>0</v>
      </c>
      <c r="E4274">
        <v>0</v>
      </c>
      <c r="F4274">
        <v>5352</v>
      </c>
      <c r="G4274">
        <v>1750</v>
      </c>
      <c r="H4274">
        <v>0</v>
      </c>
      <c r="J4274" t="str">
        <f>VLOOKUP(Table3[[#This Row],[Faction ID]],Table4[],2)</f>
        <v>Haerrim</v>
      </c>
    </row>
    <row r="4275" spans="1:10" x14ac:dyDescent="0.25">
      <c r="A4275">
        <v>111</v>
      </c>
      <c r="B4275" t="s">
        <v>13</v>
      </c>
      <c r="C4275">
        <v>576</v>
      </c>
      <c r="D4275">
        <v>23</v>
      </c>
      <c r="E4275">
        <v>473.79999999999899</v>
      </c>
      <c r="F4275">
        <v>175413</v>
      </c>
      <c r="G4275">
        <v>65886</v>
      </c>
      <c r="H4275">
        <v>6118</v>
      </c>
      <c r="J4275" t="str">
        <f>VLOOKUP(Table3[[#This Row],[Faction ID]],Table4[],2)</f>
        <v>Goblins</v>
      </c>
    </row>
    <row r="4276" spans="1:10" x14ac:dyDescent="0.25">
      <c r="A4276">
        <v>111</v>
      </c>
      <c r="B4276" t="s">
        <v>17</v>
      </c>
      <c r="C4276">
        <v>0</v>
      </c>
      <c r="D4276">
        <v>0</v>
      </c>
      <c r="E4276">
        <v>0</v>
      </c>
      <c r="F4276">
        <v>4872</v>
      </c>
      <c r="G4276">
        <v>1750</v>
      </c>
      <c r="H4276">
        <v>0</v>
      </c>
      <c r="J4276" t="str">
        <f>VLOOKUP(Table3[[#This Row],[Faction ID]],Table4[],2)</f>
        <v>Balchoth</v>
      </c>
    </row>
    <row r="4277" spans="1:10" x14ac:dyDescent="0.25">
      <c r="A4277">
        <v>111</v>
      </c>
      <c r="B4277" t="s">
        <v>18</v>
      </c>
      <c r="C4277">
        <v>531</v>
      </c>
      <c r="D4277">
        <v>24</v>
      </c>
      <c r="E4277">
        <v>377.3</v>
      </c>
      <c r="F4277">
        <v>66790</v>
      </c>
      <c r="G4277">
        <v>44589</v>
      </c>
      <c r="H4277">
        <v>2797</v>
      </c>
      <c r="J4277" t="str">
        <f>VLOOKUP(Table3[[#This Row],[Faction ID]],Table4[],2)</f>
        <v>Rhurim/Rhun</v>
      </c>
    </row>
    <row r="4278" spans="1:10" x14ac:dyDescent="0.25">
      <c r="A4278">
        <v>111</v>
      </c>
      <c r="B4278" t="s">
        <v>19</v>
      </c>
      <c r="C4278">
        <v>0</v>
      </c>
      <c r="D4278">
        <v>0</v>
      </c>
      <c r="E4278">
        <v>0</v>
      </c>
      <c r="F4278">
        <v>7360</v>
      </c>
      <c r="G4278">
        <v>1750</v>
      </c>
      <c r="H4278">
        <v>0</v>
      </c>
      <c r="J4278" t="str">
        <f>VLOOKUP(Table3[[#This Row],[Faction ID]],Table4[],2)</f>
        <v>Feredrim</v>
      </c>
    </row>
    <row r="4279" spans="1:10" x14ac:dyDescent="0.25">
      <c r="A4279">
        <v>111</v>
      </c>
      <c r="B4279" t="s">
        <v>26</v>
      </c>
      <c r="C4279">
        <v>0</v>
      </c>
      <c r="D4279">
        <v>0</v>
      </c>
      <c r="E4279">
        <v>0</v>
      </c>
      <c r="F4279">
        <v>6395</v>
      </c>
      <c r="G4279">
        <v>1750</v>
      </c>
      <c r="H4279">
        <v>0</v>
      </c>
      <c r="J4279" t="str">
        <f>VLOOKUP(Table3[[#This Row],[Faction ID]],Table4[],2)</f>
        <v>Rachrohir (Wainriders)</v>
      </c>
    </row>
    <row r="4280" spans="1:10" x14ac:dyDescent="0.25">
      <c r="A4280">
        <v>111</v>
      </c>
      <c r="B4280" t="s">
        <v>27</v>
      </c>
      <c r="C4280">
        <v>2</v>
      </c>
      <c r="D4280">
        <v>2</v>
      </c>
      <c r="E4280">
        <v>29.7</v>
      </c>
      <c r="F4280">
        <v>6393</v>
      </c>
      <c r="G4280">
        <v>6635</v>
      </c>
      <c r="H4280">
        <v>442</v>
      </c>
      <c r="J4280" t="str">
        <f>VLOOKUP(Table3[[#This Row],[Faction ID]],Table4[],2)</f>
        <v>Blacklock-Stonefoot League</v>
      </c>
    </row>
    <row r="4281" spans="1:10" x14ac:dyDescent="0.25">
      <c r="A4281">
        <v>111</v>
      </c>
      <c r="B4281" t="s">
        <v>28</v>
      </c>
      <c r="C4281">
        <v>5</v>
      </c>
      <c r="D4281">
        <v>2</v>
      </c>
      <c r="E4281">
        <v>32</v>
      </c>
      <c r="F4281">
        <v>577</v>
      </c>
      <c r="G4281">
        <v>6216</v>
      </c>
      <c r="H4281">
        <v>0</v>
      </c>
      <c r="J4281" t="str">
        <f>VLOOKUP(Table3[[#This Row],[Faction ID]],Table4[],2)</f>
        <v>Ironfist-Stiffbeard Union</v>
      </c>
    </row>
    <row r="4282" spans="1:10" x14ac:dyDescent="0.25">
      <c r="A4282">
        <v>111</v>
      </c>
      <c r="B4282" t="s">
        <v>20</v>
      </c>
      <c r="C4282">
        <v>245</v>
      </c>
      <c r="D4282">
        <v>0</v>
      </c>
      <c r="E4282">
        <v>0</v>
      </c>
      <c r="F4282">
        <v>9750</v>
      </c>
      <c r="G4282">
        <v>2500</v>
      </c>
      <c r="H4282">
        <v>0</v>
      </c>
      <c r="J4282" t="str">
        <f>VLOOKUP(Table3[[#This Row],[Faction ID]],Table4[],2)</f>
        <v>Gundabad</v>
      </c>
    </row>
    <row r="4283" spans="1:10" x14ac:dyDescent="0.25">
      <c r="A4283">
        <v>111</v>
      </c>
      <c r="B4283" t="s">
        <v>34</v>
      </c>
      <c r="C4283">
        <v>0</v>
      </c>
      <c r="D4283">
        <v>0</v>
      </c>
      <c r="E4283">
        <v>3</v>
      </c>
      <c r="F4283">
        <v>127585</v>
      </c>
      <c r="G4283">
        <v>2354</v>
      </c>
      <c r="H4283">
        <v>0</v>
      </c>
      <c r="J4283" t="str">
        <f>VLOOKUP(Table3[[#This Row],[Faction ID]],Table4[],2)</f>
        <v>Scouts of Rohan</v>
      </c>
    </row>
    <row r="4284" spans="1:10" x14ac:dyDescent="0.25">
      <c r="A4284">
        <v>111</v>
      </c>
      <c r="B4284" t="s">
        <v>33</v>
      </c>
      <c r="C4284">
        <v>6</v>
      </c>
      <c r="D4284">
        <v>4</v>
      </c>
      <c r="E4284">
        <v>95</v>
      </c>
      <c r="F4284">
        <v>121239</v>
      </c>
      <c r="G4284">
        <v>21782</v>
      </c>
      <c r="H4284">
        <v>1098</v>
      </c>
      <c r="J4284" t="str">
        <f>VLOOKUP(Table3[[#This Row],[Faction ID]],Table4[],2)</f>
        <v>Northern Enedwaith</v>
      </c>
    </row>
    <row r="4285" spans="1:10" x14ac:dyDescent="0.25">
      <c r="A4285">
        <v>111</v>
      </c>
      <c r="B4285" t="s">
        <v>29</v>
      </c>
      <c r="C4285">
        <v>0</v>
      </c>
      <c r="D4285">
        <v>0</v>
      </c>
      <c r="E4285">
        <v>0</v>
      </c>
      <c r="F4285">
        <v>54023</v>
      </c>
      <c r="G4285">
        <v>1750</v>
      </c>
      <c r="H4285">
        <v>0</v>
      </c>
      <c r="J4285" t="str">
        <f>VLOOKUP(Table3[[#This Row],[Faction ID]],Table4[],2)</f>
        <v>Southern Enedwaith</v>
      </c>
    </row>
    <row r="4286" spans="1:10" x14ac:dyDescent="0.25">
      <c r="A4286">
        <v>111</v>
      </c>
      <c r="B4286" t="s">
        <v>30</v>
      </c>
      <c r="C4286">
        <v>0</v>
      </c>
      <c r="D4286">
        <v>0</v>
      </c>
      <c r="E4286">
        <v>0</v>
      </c>
      <c r="F4286">
        <v>32146</v>
      </c>
      <c r="G4286">
        <v>1750</v>
      </c>
      <c r="H4286">
        <v>0</v>
      </c>
      <c r="J4286" t="str">
        <f>VLOOKUP(Table3[[#This Row],[Faction ID]],Table4[],2)</f>
        <v>Druedain</v>
      </c>
    </row>
    <row r="4287" spans="1:10" x14ac:dyDescent="0.25">
      <c r="A4287">
        <v>111</v>
      </c>
      <c r="B4287" t="s">
        <v>31</v>
      </c>
      <c r="C4287">
        <v>0</v>
      </c>
      <c r="D4287">
        <v>0</v>
      </c>
      <c r="E4287">
        <v>0</v>
      </c>
      <c r="F4287">
        <v>15146</v>
      </c>
      <c r="G4287">
        <v>1750</v>
      </c>
      <c r="H4287">
        <v>0</v>
      </c>
      <c r="J4287" t="str">
        <f>VLOOKUP(Table3[[#This Row],[Faction ID]],Table4[],2)</f>
        <v>Harondor</v>
      </c>
    </row>
    <row r="4288" spans="1:10" x14ac:dyDescent="0.25">
      <c r="A4288">
        <v>111</v>
      </c>
      <c r="B4288" t="s">
        <v>35</v>
      </c>
      <c r="C4288">
        <v>0</v>
      </c>
      <c r="D4288">
        <v>0</v>
      </c>
      <c r="E4288">
        <v>0</v>
      </c>
      <c r="F4288">
        <v>4000</v>
      </c>
      <c r="G4288">
        <v>1750</v>
      </c>
      <c r="H4288">
        <v>0</v>
      </c>
      <c r="J4288" t="str">
        <f>VLOOKUP(Table3[[#This Row],[Faction ID]],Table4[],2)</f>
        <v>Southron Nomads</v>
      </c>
    </row>
    <row r="4289" spans="1:10" x14ac:dyDescent="0.25">
      <c r="A4289">
        <v>111</v>
      </c>
      <c r="B4289" t="s">
        <v>36</v>
      </c>
      <c r="C4289">
        <v>0</v>
      </c>
      <c r="D4289">
        <v>0</v>
      </c>
      <c r="E4289">
        <v>0</v>
      </c>
      <c r="F4289">
        <v>4000</v>
      </c>
      <c r="G4289">
        <v>1750</v>
      </c>
      <c r="H4289">
        <v>0</v>
      </c>
      <c r="J4289" t="str">
        <f>VLOOKUP(Table3[[#This Row],[Faction ID]],Table4[],2)</f>
        <v>_</v>
      </c>
    </row>
    <row r="4290" spans="1:10" x14ac:dyDescent="0.25">
      <c r="A4290">
        <v>111</v>
      </c>
      <c r="B4290" t="s">
        <v>37</v>
      </c>
      <c r="C4290">
        <v>0</v>
      </c>
      <c r="D4290">
        <v>0</v>
      </c>
      <c r="E4290">
        <v>0</v>
      </c>
      <c r="F4290">
        <v>4000</v>
      </c>
      <c r="G4290">
        <v>1750</v>
      </c>
      <c r="H4290">
        <v>0</v>
      </c>
      <c r="J4290" t="str">
        <f>VLOOKUP(Table3[[#This Row],[Faction ID]],Table4[],2)</f>
        <v>_</v>
      </c>
    </row>
    <row r="4291" spans="1:10" x14ac:dyDescent="0.25">
      <c r="A4291">
        <v>111</v>
      </c>
      <c r="B4291" t="s">
        <v>38</v>
      </c>
      <c r="C4291">
        <v>0</v>
      </c>
      <c r="D4291">
        <v>0</v>
      </c>
      <c r="E4291">
        <v>0</v>
      </c>
      <c r="F4291">
        <v>4000</v>
      </c>
      <c r="G4291">
        <v>1750</v>
      </c>
      <c r="H4291">
        <v>0</v>
      </c>
      <c r="J4291" t="str">
        <f>VLOOKUP(Table3[[#This Row],[Faction ID]],Table4[],2)</f>
        <v>_</v>
      </c>
    </row>
    <row r="4292" spans="1:10" x14ac:dyDescent="0.25">
      <c r="A4292">
        <v>111</v>
      </c>
      <c r="B4292" t="s">
        <v>39</v>
      </c>
      <c r="C4292">
        <v>0</v>
      </c>
      <c r="D4292">
        <v>0</v>
      </c>
      <c r="E4292">
        <v>0</v>
      </c>
      <c r="F4292">
        <v>4000</v>
      </c>
      <c r="G4292">
        <v>1750</v>
      </c>
      <c r="H4292">
        <v>0</v>
      </c>
      <c r="J4292" t="str">
        <f>VLOOKUP(Table3[[#This Row],[Faction ID]],Table4[],2)</f>
        <v>_</v>
      </c>
    </row>
    <row r="4293" spans="1:10" x14ac:dyDescent="0.25">
      <c r="A4293">
        <v>111</v>
      </c>
      <c r="B4293" t="s">
        <v>40</v>
      </c>
      <c r="C4293">
        <v>0</v>
      </c>
      <c r="D4293">
        <v>0</v>
      </c>
      <c r="E4293">
        <v>0</v>
      </c>
      <c r="F4293">
        <v>4000</v>
      </c>
      <c r="G4293">
        <v>1750</v>
      </c>
      <c r="H4293">
        <v>0</v>
      </c>
      <c r="J4293" t="str">
        <f>VLOOKUP(Table3[[#This Row],[Faction ID]],Table4[],2)</f>
        <v>_</v>
      </c>
    </row>
    <row r="4294" spans="1:10" x14ac:dyDescent="0.25">
      <c r="A4294">
        <v>111</v>
      </c>
      <c r="B4294" t="s">
        <v>41</v>
      </c>
      <c r="C4294">
        <v>0</v>
      </c>
      <c r="D4294">
        <v>0</v>
      </c>
      <c r="E4294">
        <v>0</v>
      </c>
      <c r="F4294">
        <v>4000</v>
      </c>
      <c r="G4294">
        <v>1750</v>
      </c>
      <c r="H4294">
        <v>0</v>
      </c>
      <c r="J4294" t="str">
        <f>VLOOKUP(Table3[[#This Row],[Faction ID]],Table4[],2)</f>
        <v>_</v>
      </c>
    </row>
    <row r="4295" spans="1:10" x14ac:dyDescent="0.25">
      <c r="A4295">
        <v>111</v>
      </c>
      <c r="B4295" t="s">
        <v>42</v>
      </c>
      <c r="C4295">
        <v>0</v>
      </c>
      <c r="D4295">
        <v>0</v>
      </c>
      <c r="E4295">
        <v>0</v>
      </c>
      <c r="F4295">
        <v>4000</v>
      </c>
      <c r="G4295">
        <v>1750</v>
      </c>
      <c r="H4295">
        <v>0</v>
      </c>
      <c r="J4295" t="str">
        <f>VLOOKUP(Table3[[#This Row],[Faction ID]],Table4[],2)</f>
        <v>_</v>
      </c>
    </row>
    <row r="4296" spans="1:10" x14ac:dyDescent="0.25">
      <c r="A4296">
        <v>111</v>
      </c>
      <c r="B4296" t="s">
        <v>43</v>
      </c>
      <c r="C4296">
        <v>0</v>
      </c>
      <c r="D4296">
        <v>0</v>
      </c>
      <c r="E4296">
        <v>0</v>
      </c>
      <c r="F4296">
        <v>4000</v>
      </c>
      <c r="G4296">
        <v>1750</v>
      </c>
      <c r="H4296">
        <v>0</v>
      </c>
      <c r="J4296" t="str">
        <f>VLOOKUP(Table3[[#This Row],[Faction ID]],Table4[],2)</f>
        <v>_</v>
      </c>
    </row>
    <row r="4297" spans="1:10" x14ac:dyDescent="0.25">
      <c r="A4297">
        <v>111</v>
      </c>
      <c r="B4297" t="s">
        <v>44</v>
      </c>
      <c r="C4297">
        <v>0</v>
      </c>
      <c r="D4297">
        <v>0</v>
      </c>
      <c r="E4297">
        <v>0</v>
      </c>
      <c r="F4297">
        <v>4000</v>
      </c>
      <c r="G4297">
        <v>1750</v>
      </c>
      <c r="H4297">
        <v>0</v>
      </c>
      <c r="J4297" t="str">
        <f>VLOOKUP(Table3[[#This Row],[Faction ID]],Table4[],2)</f>
        <v>_</v>
      </c>
    </row>
    <row r="4298" spans="1:10" x14ac:dyDescent="0.25">
      <c r="A4298">
        <v>112</v>
      </c>
      <c r="B4298" t="s">
        <v>9</v>
      </c>
      <c r="C4298">
        <v>581</v>
      </c>
      <c r="D4298">
        <v>31</v>
      </c>
      <c r="E4298">
        <v>390.4</v>
      </c>
      <c r="F4298">
        <v>8873</v>
      </c>
      <c r="G4298">
        <v>55637</v>
      </c>
      <c r="H4298">
        <v>3216</v>
      </c>
      <c r="J4298" t="str">
        <f>VLOOKUP(Table3[[#This Row],[Faction ID]],Table4[],2)</f>
        <v>Mordor</v>
      </c>
    </row>
    <row r="4299" spans="1:10" x14ac:dyDescent="0.25">
      <c r="A4299">
        <v>112</v>
      </c>
      <c r="B4299" t="s">
        <v>4</v>
      </c>
      <c r="C4299">
        <v>146</v>
      </c>
      <c r="D4299">
        <v>0</v>
      </c>
      <c r="E4299">
        <v>0</v>
      </c>
      <c r="F4299">
        <v>55420</v>
      </c>
      <c r="G4299">
        <v>2500</v>
      </c>
      <c r="H4299">
        <v>0</v>
      </c>
      <c r="J4299" t="str">
        <f>VLOOKUP(Table3[[#This Row],[Faction ID]],Table4[],2)</f>
        <v>Gondor</v>
      </c>
    </row>
    <row r="4300" spans="1:10" x14ac:dyDescent="0.25">
      <c r="A4300">
        <v>112</v>
      </c>
      <c r="B4300" t="s">
        <v>6</v>
      </c>
      <c r="C4300">
        <v>199</v>
      </c>
      <c r="D4300">
        <v>0</v>
      </c>
      <c r="E4300">
        <v>0</v>
      </c>
      <c r="F4300">
        <v>10343</v>
      </c>
      <c r="G4300">
        <v>2500</v>
      </c>
      <c r="H4300">
        <v>0</v>
      </c>
      <c r="J4300" t="str">
        <f>VLOOKUP(Table3[[#This Row],[Faction ID]],Table4[],2)</f>
        <v>Dale</v>
      </c>
    </row>
    <row r="4301" spans="1:10" x14ac:dyDescent="0.25">
      <c r="A4301">
        <v>112</v>
      </c>
      <c r="B4301" t="s">
        <v>21</v>
      </c>
      <c r="C4301">
        <v>200</v>
      </c>
      <c r="D4301">
        <v>0</v>
      </c>
      <c r="E4301">
        <v>0</v>
      </c>
      <c r="F4301">
        <v>10040</v>
      </c>
      <c r="G4301">
        <v>2500</v>
      </c>
      <c r="H4301">
        <v>0</v>
      </c>
      <c r="J4301" t="str">
        <f>VLOOKUP(Table3[[#This Row],[Faction ID]],Table4[],2)</f>
        <v>Erebor</v>
      </c>
    </row>
    <row r="4302" spans="1:10" x14ac:dyDescent="0.25">
      <c r="A4302">
        <v>112</v>
      </c>
      <c r="B4302" t="s">
        <v>5</v>
      </c>
      <c r="C4302">
        <v>157</v>
      </c>
      <c r="D4302">
        <v>0</v>
      </c>
      <c r="E4302">
        <v>0</v>
      </c>
      <c r="F4302">
        <v>6638</v>
      </c>
      <c r="G4302">
        <v>2500</v>
      </c>
      <c r="H4302">
        <v>0</v>
      </c>
      <c r="J4302" t="str">
        <f>VLOOKUP(Table3[[#This Row],[Faction ID]],Table4[],2)</f>
        <v>Rohan</v>
      </c>
    </row>
    <row r="4303" spans="1:10" x14ac:dyDescent="0.25">
      <c r="A4303">
        <v>112</v>
      </c>
      <c r="B4303" t="s">
        <v>12</v>
      </c>
      <c r="C4303">
        <v>459</v>
      </c>
      <c r="D4303">
        <v>21</v>
      </c>
      <c r="E4303">
        <v>367.1</v>
      </c>
      <c r="F4303">
        <v>142402</v>
      </c>
      <c r="G4303">
        <v>51185</v>
      </c>
      <c r="H4303">
        <v>3831</v>
      </c>
      <c r="J4303" t="str">
        <f>VLOOKUP(Table3[[#This Row],[Faction ID]],Table4[],2)</f>
        <v>Dol Guldur</v>
      </c>
    </row>
    <row r="4304" spans="1:10" x14ac:dyDescent="0.25">
      <c r="A4304">
        <v>112</v>
      </c>
      <c r="B4304" t="s">
        <v>10</v>
      </c>
      <c r="C4304">
        <v>58</v>
      </c>
      <c r="D4304">
        <v>0</v>
      </c>
      <c r="E4304">
        <v>0</v>
      </c>
      <c r="F4304">
        <v>4515</v>
      </c>
      <c r="G4304">
        <v>2500</v>
      </c>
      <c r="H4304">
        <v>0</v>
      </c>
      <c r="J4304" t="str">
        <f>VLOOKUP(Table3[[#This Row],[Faction ID]],Table4[],2)</f>
        <v>Anduin Vale</v>
      </c>
    </row>
    <row r="4305" spans="1:10" x14ac:dyDescent="0.25">
      <c r="A4305">
        <v>112</v>
      </c>
      <c r="B4305" t="s">
        <v>32</v>
      </c>
      <c r="C4305">
        <v>282</v>
      </c>
      <c r="D4305">
        <v>8</v>
      </c>
      <c r="E4305">
        <v>194.5</v>
      </c>
      <c r="F4305">
        <v>70121</v>
      </c>
      <c r="G4305">
        <v>30341</v>
      </c>
      <c r="H4305">
        <v>1757</v>
      </c>
      <c r="J4305" t="str">
        <f>VLOOKUP(Table3[[#This Row],[Faction ID]],Table4[],2)</f>
        <v>Isengard</v>
      </c>
    </row>
    <row r="4306" spans="1:10" x14ac:dyDescent="0.25">
      <c r="A4306">
        <v>112</v>
      </c>
      <c r="B4306" t="s">
        <v>22</v>
      </c>
      <c r="C4306">
        <v>30</v>
      </c>
      <c r="D4306">
        <v>0</v>
      </c>
      <c r="E4306">
        <v>0</v>
      </c>
      <c r="F4306">
        <v>8475</v>
      </c>
      <c r="G4306">
        <v>2500</v>
      </c>
      <c r="H4306">
        <v>0</v>
      </c>
      <c r="J4306" t="str">
        <f>VLOOKUP(Table3[[#This Row],[Faction ID]],Table4[],2)</f>
        <v>Woodland Realm</v>
      </c>
    </row>
    <row r="4307" spans="1:10" x14ac:dyDescent="0.25">
      <c r="A4307">
        <v>112</v>
      </c>
      <c r="B4307" t="s">
        <v>23</v>
      </c>
      <c r="C4307">
        <v>64</v>
      </c>
      <c r="D4307">
        <v>0</v>
      </c>
      <c r="E4307">
        <v>0</v>
      </c>
      <c r="F4307">
        <v>4721</v>
      </c>
      <c r="G4307">
        <v>2500</v>
      </c>
      <c r="H4307">
        <v>0</v>
      </c>
      <c r="J4307" t="str">
        <f>VLOOKUP(Table3[[#This Row],[Faction ID]],Table4[],2)</f>
        <v>Lothlorien</v>
      </c>
    </row>
    <row r="4308" spans="1:10" x14ac:dyDescent="0.25">
      <c r="A4308">
        <v>112</v>
      </c>
      <c r="B4308" t="s">
        <v>24</v>
      </c>
      <c r="C4308">
        <v>0</v>
      </c>
      <c r="D4308">
        <v>0</v>
      </c>
      <c r="E4308">
        <v>0</v>
      </c>
      <c r="F4308">
        <v>4919</v>
      </c>
      <c r="G4308">
        <v>1750</v>
      </c>
      <c r="H4308">
        <v>0</v>
      </c>
      <c r="J4308" t="str">
        <f>VLOOKUP(Table3[[#This Row],[Faction ID]],Table4[],2)</f>
        <v>Variags (Khand)</v>
      </c>
    </row>
    <row r="4309" spans="1:10" x14ac:dyDescent="0.25">
      <c r="A4309">
        <v>112</v>
      </c>
      <c r="B4309" t="s">
        <v>14</v>
      </c>
      <c r="C4309">
        <v>19</v>
      </c>
      <c r="D4309">
        <v>13</v>
      </c>
      <c r="E4309">
        <v>241.8</v>
      </c>
      <c r="F4309">
        <v>54072</v>
      </c>
      <c r="G4309">
        <v>51518</v>
      </c>
      <c r="H4309">
        <v>3911</v>
      </c>
      <c r="J4309" t="str">
        <f>VLOOKUP(Table3[[#This Row],[Faction ID]],Table4[],2)</f>
        <v>Corsairs of Umbar</v>
      </c>
    </row>
    <row r="4310" spans="1:10" x14ac:dyDescent="0.25">
      <c r="A4310">
        <v>112</v>
      </c>
      <c r="B4310" t="s">
        <v>25</v>
      </c>
      <c r="C4310">
        <v>0</v>
      </c>
      <c r="D4310">
        <v>0</v>
      </c>
      <c r="E4310">
        <v>0</v>
      </c>
      <c r="F4310">
        <v>9228</v>
      </c>
      <c r="G4310">
        <v>1750</v>
      </c>
      <c r="H4310">
        <v>0</v>
      </c>
      <c r="J4310" t="str">
        <f>VLOOKUP(Table3[[#This Row],[Faction ID]],Table4[],2)</f>
        <v>Mahud</v>
      </c>
    </row>
    <row r="4311" spans="1:10" x14ac:dyDescent="0.25">
      <c r="A4311">
        <v>112</v>
      </c>
      <c r="B4311" t="s">
        <v>11</v>
      </c>
      <c r="C4311">
        <v>250</v>
      </c>
      <c r="D4311">
        <v>15</v>
      </c>
      <c r="E4311">
        <v>274.3</v>
      </c>
      <c r="F4311">
        <v>45361</v>
      </c>
      <c r="G4311">
        <v>41526</v>
      </c>
      <c r="H4311">
        <v>2321</v>
      </c>
      <c r="J4311" t="str">
        <f>VLOOKUP(Table3[[#This Row],[Faction ID]],Table4[],2)</f>
        <v>Haradrim</v>
      </c>
    </row>
    <row r="4312" spans="1:10" x14ac:dyDescent="0.25">
      <c r="A4312">
        <v>112</v>
      </c>
      <c r="B4312" t="s">
        <v>15</v>
      </c>
      <c r="C4312">
        <v>284</v>
      </c>
      <c r="D4312">
        <v>12</v>
      </c>
      <c r="E4312">
        <v>253</v>
      </c>
      <c r="F4312">
        <v>159817</v>
      </c>
      <c r="G4312">
        <v>46229</v>
      </c>
      <c r="H4312">
        <v>2408</v>
      </c>
      <c r="J4312" t="str">
        <f>VLOOKUP(Table3[[#This Row],[Faction ID]],Table4[],2)</f>
        <v>Dunlendings</v>
      </c>
    </row>
    <row r="4313" spans="1:10" x14ac:dyDescent="0.25">
      <c r="A4313">
        <v>112</v>
      </c>
      <c r="B4313" t="s">
        <v>16</v>
      </c>
      <c r="C4313">
        <v>0</v>
      </c>
      <c r="D4313">
        <v>0</v>
      </c>
      <c r="E4313">
        <v>0</v>
      </c>
      <c r="F4313">
        <v>5352</v>
      </c>
      <c r="G4313">
        <v>1750</v>
      </c>
      <c r="H4313">
        <v>0</v>
      </c>
      <c r="J4313" t="str">
        <f>VLOOKUP(Table3[[#This Row],[Faction ID]],Table4[],2)</f>
        <v>Haerrim</v>
      </c>
    </row>
    <row r="4314" spans="1:10" x14ac:dyDescent="0.25">
      <c r="A4314">
        <v>112</v>
      </c>
      <c r="B4314" t="s">
        <v>13</v>
      </c>
      <c r="C4314">
        <v>581</v>
      </c>
      <c r="D4314">
        <v>23</v>
      </c>
      <c r="E4314">
        <v>503.1</v>
      </c>
      <c r="F4314">
        <v>185282</v>
      </c>
      <c r="G4314">
        <v>70116</v>
      </c>
      <c r="H4314">
        <v>6119</v>
      </c>
      <c r="J4314" t="str">
        <f>VLOOKUP(Table3[[#This Row],[Faction ID]],Table4[],2)</f>
        <v>Goblins</v>
      </c>
    </row>
    <row r="4315" spans="1:10" x14ac:dyDescent="0.25">
      <c r="A4315">
        <v>112</v>
      </c>
      <c r="B4315" t="s">
        <v>17</v>
      </c>
      <c r="C4315">
        <v>0</v>
      </c>
      <c r="D4315">
        <v>0</v>
      </c>
      <c r="E4315">
        <v>0</v>
      </c>
      <c r="F4315">
        <v>4872</v>
      </c>
      <c r="G4315">
        <v>1750</v>
      </c>
      <c r="H4315">
        <v>0</v>
      </c>
      <c r="J4315" t="str">
        <f>VLOOKUP(Table3[[#This Row],[Faction ID]],Table4[],2)</f>
        <v>Balchoth</v>
      </c>
    </row>
    <row r="4316" spans="1:10" x14ac:dyDescent="0.25">
      <c r="A4316">
        <v>112</v>
      </c>
      <c r="B4316" t="s">
        <v>18</v>
      </c>
      <c r="C4316">
        <v>531</v>
      </c>
      <c r="D4316">
        <v>24</v>
      </c>
      <c r="E4316">
        <v>377.3</v>
      </c>
      <c r="F4316">
        <v>65451</v>
      </c>
      <c r="G4316">
        <v>44476</v>
      </c>
      <c r="H4316">
        <v>3009</v>
      </c>
      <c r="J4316" t="str">
        <f>VLOOKUP(Table3[[#This Row],[Faction ID]],Table4[],2)</f>
        <v>Rhurim/Rhun</v>
      </c>
    </row>
    <row r="4317" spans="1:10" x14ac:dyDescent="0.25">
      <c r="A4317">
        <v>112</v>
      </c>
      <c r="B4317" t="s">
        <v>19</v>
      </c>
      <c r="C4317">
        <v>0</v>
      </c>
      <c r="D4317">
        <v>0</v>
      </c>
      <c r="E4317">
        <v>0</v>
      </c>
      <c r="F4317">
        <v>7360</v>
      </c>
      <c r="G4317">
        <v>1750</v>
      </c>
      <c r="H4317">
        <v>0</v>
      </c>
      <c r="J4317" t="str">
        <f>VLOOKUP(Table3[[#This Row],[Faction ID]],Table4[],2)</f>
        <v>Feredrim</v>
      </c>
    </row>
    <row r="4318" spans="1:10" x14ac:dyDescent="0.25">
      <c r="A4318">
        <v>112</v>
      </c>
      <c r="B4318" t="s">
        <v>26</v>
      </c>
      <c r="C4318">
        <v>0</v>
      </c>
      <c r="D4318">
        <v>0</v>
      </c>
      <c r="E4318">
        <v>0</v>
      </c>
      <c r="F4318">
        <v>6395</v>
      </c>
      <c r="G4318">
        <v>1750</v>
      </c>
      <c r="H4318">
        <v>0</v>
      </c>
      <c r="J4318" t="str">
        <f>VLOOKUP(Table3[[#This Row],[Faction ID]],Table4[],2)</f>
        <v>Rachrohir (Wainriders)</v>
      </c>
    </row>
    <row r="4319" spans="1:10" x14ac:dyDescent="0.25">
      <c r="A4319">
        <v>112</v>
      </c>
      <c r="B4319" t="s">
        <v>27</v>
      </c>
      <c r="C4319">
        <v>2</v>
      </c>
      <c r="D4319">
        <v>2</v>
      </c>
      <c r="E4319">
        <v>33</v>
      </c>
      <c r="F4319">
        <v>6130</v>
      </c>
      <c r="G4319">
        <v>7090</v>
      </c>
      <c r="H4319">
        <v>444</v>
      </c>
      <c r="J4319" t="str">
        <f>VLOOKUP(Table3[[#This Row],[Faction ID]],Table4[],2)</f>
        <v>Blacklock-Stonefoot League</v>
      </c>
    </row>
    <row r="4320" spans="1:10" x14ac:dyDescent="0.25">
      <c r="A4320">
        <v>112</v>
      </c>
      <c r="B4320" t="s">
        <v>28</v>
      </c>
      <c r="C4320">
        <v>5</v>
      </c>
      <c r="D4320">
        <v>2</v>
      </c>
      <c r="E4320">
        <v>29</v>
      </c>
      <c r="F4320">
        <v>785</v>
      </c>
      <c r="G4320">
        <v>5746</v>
      </c>
      <c r="H4320">
        <v>0</v>
      </c>
      <c r="J4320" t="str">
        <f>VLOOKUP(Table3[[#This Row],[Faction ID]],Table4[],2)</f>
        <v>Ironfist-Stiffbeard Union</v>
      </c>
    </row>
    <row r="4321" spans="1:10" x14ac:dyDescent="0.25">
      <c r="A4321">
        <v>112</v>
      </c>
      <c r="B4321" t="s">
        <v>20</v>
      </c>
      <c r="C4321">
        <v>245</v>
      </c>
      <c r="D4321">
        <v>0</v>
      </c>
      <c r="E4321">
        <v>0</v>
      </c>
      <c r="F4321">
        <v>9750</v>
      </c>
      <c r="G4321">
        <v>2500</v>
      </c>
      <c r="H4321">
        <v>0</v>
      </c>
      <c r="J4321" t="str">
        <f>VLOOKUP(Table3[[#This Row],[Faction ID]],Table4[],2)</f>
        <v>Gundabad</v>
      </c>
    </row>
    <row r="4322" spans="1:10" x14ac:dyDescent="0.25">
      <c r="A4322">
        <v>112</v>
      </c>
      <c r="B4322" t="s">
        <v>34</v>
      </c>
      <c r="C4322">
        <v>0</v>
      </c>
      <c r="D4322">
        <v>0</v>
      </c>
      <c r="E4322">
        <v>3</v>
      </c>
      <c r="F4322">
        <v>128731</v>
      </c>
      <c r="G4322">
        <v>2354</v>
      </c>
      <c r="H4322">
        <v>0</v>
      </c>
      <c r="J4322" t="str">
        <f>VLOOKUP(Table3[[#This Row],[Faction ID]],Table4[],2)</f>
        <v>Scouts of Rohan</v>
      </c>
    </row>
    <row r="4323" spans="1:10" x14ac:dyDescent="0.25">
      <c r="A4323">
        <v>112</v>
      </c>
      <c r="B4323" t="s">
        <v>33</v>
      </c>
      <c r="C4323">
        <v>6</v>
      </c>
      <c r="D4323">
        <v>4</v>
      </c>
      <c r="E4323">
        <v>95</v>
      </c>
      <c r="F4323">
        <v>125553</v>
      </c>
      <c r="G4323">
        <v>22065</v>
      </c>
      <c r="H4323">
        <v>1106</v>
      </c>
      <c r="J4323" t="str">
        <f>VLOOKUP(Table3[[#This Row],[Faction ID]],Table4[],2)</f>
        <v>Northern Enedwaith</v>
      </c>
    </row>
    <row r="4324" spans="1:10" x14ac:dyDescent="0.25">
      <c r="A4324">
        <v>112</v>
      </c>
      <c r="B4324" t="s">
        <v>29</v>
      </c>
      <c r="C4324">
        <v>0</v>
      </c>
      <c r="D4324">
        <v>0</v>
      </c>
      <c r="E4324">
        <v>0</v>
      </c>
      <c r="F4324">
        <v>54023</v>
      </c>
      <c r="G4324">
        <v>1750</v>
      </c>
      <c r="H4324">
        <v>0</v>
      </c>
      <c r="J4324" t="str">
        <f>VLOOKUP(Table3[[#This Row],[Faction ID]],Table4[],2)</f>
        <v>Southern Enedwaith</v>
      </c>
    </row>
    <row r="4325" spans="1:10" x14ac:dyDescent="0.25">
      <c r="A4325">
        <v>112</v>
      </c>
      <c r="B4325" t="s">
        <v>30</v>
      </c>
      <c r="C4325">
        <v>0</v>
      </c>
      <c r="D4325">
        <v>0</v>
      </c>
      <c r="E4325">
        <v>0</v>
      </c>
      <c r="F4325">
        <v>32146</v>
      </c>
      <c r="G4325">
        <v>1750</v>
      </c>
      <c r="H4325">
        <v>0</v>
      </c>
      <c r="J4325" t="str">
        <f>VLOOKUP(Table3[[#This Row],[Faction ID]],Table4[],2)</f>
        <v>Druedain</v>
      </c>
    </row>
    <row r="4326" spans="1:10" x14ac:dyDescent="0.25">
      <c r="A4326">
        <v>112</v>
      </c>
      <c r="B4326" t="s">
        <v>31</v>
      </c>
      <c r="C4326">
        <v>0</v>
      </c>
      <c r="D4326">
        <v>0</v>
      </c>
      <c r="E4326">
        <v>0</v>
      </c>
      <c r="F4326">
        <v>15146</v>
      </c>
      <c r="G4326">
        <v>1750</v>
      </c>
      <c r="H4326">
        <v>0</v>
      </c>
      <c r="J4326" t="str">
        <f>VLOOKUP(Table3[[#This Row],[Faction ID]],Table4[],2)</f>
        <v>Harondor</v>
      </c>
    </row>
    <row r="4327" spans="1:10" x14ac:dyDescent="0.25">
      <c r="A4327">
        <v>112</v>
      </c>
      <c r="B4327" t="s">
        <v>35</v>
      </c>
      <c r="C4327">
        <v>0</v>
      </c>
      <c r="D4327">
        <v>0</v>
      </c>
      <c r="E4327">
        <v>0</v>
      </c>
      <c r="F4327">
        <v>4000</v>
      </c>
      <c r="G4327">
        <v>1750</v>
      </c>
      <c r="H4327">
        <v>0</v>
      </c>
      <c r="J4327" t="str">
        <f>VLOOKUP(Table3[[#This Row],[Faction ID]],Table4[],2)</f>
        <v>Southron Nomads</v>
      </c>
    </row>
    <row r="4328" spans="1:10" x14ac:dyDescent="0.25">
      <c r="A4328">
        <v>112</v>
      </c>
      <c r="B4328" t="s">
        <v>36</v>
      </c>
      <c r="C4328">
        <v>0</v>
      </c>
      <c r="D4328">
        <v>0</v>
      </c>
      <c r="E4328">
        <v>0</v>
      </c>
      <c r="F4328">
        <v>4000</v>
      </c>
      <c r="G4328">
        <v>1750</v>
      </c>
      <c r="H4328">
        <v>0</v>
      </c>
      <c r="J4328" t="str">
        <f>VLOOKUP(Table3[[#This Row],[Faction ID]],Table4[],2)</f>
        <v>_</v>
      </c>
    </row>
    <row r="4329" spans="1:10" x14ac:dyDescent="0.25">
      <c r="A4329">
        <v>112</v>
      </c>
      <c r="B4329" t="s">
        <v>37</v>
      </c>
      <c r="C4329">
        <v>0</v>
      </c>
      <c r="D4329">
        <v>0</v>
      </c>
      <c r="E4329">
        <v>0</v>
      </c>
      <c r="F4329">
        <v>4000</v>
      </c>
      <c r="G4329">
        <v>1750</v>
      </c>
      <c r="H4329">
        <v>0</v>
      </c>
      <c r="J4329" t="str">
        <f>VLOOKUP(Table3[[#This Row],[Faction ID]],Table4[],2)</f>
        <v>_</v>
      </c>
    </row>
    <row r="4330" spans="1:10" x14ac:dyDescent="0.25">
      <c r="A4330">
        <v>112</v>
      </c>
      <c r="B4330" t="s">
        <v>38</v>
      </c>
      <c r="C4330">
        <v>0</v>
      </c>
      <c r="D4330">
        <v>0</v>
      </c>
      <c r="E4330">
        <v>0</v>
      </c>
      <c r="F4330">
        <v>4000</v>
      </c>
      <c r="G4330">
        <v>1750</v>
      </c>
      <c r="H4330">
        <v>0</v>
      </c>
      <c r="J4330" t="str">
        <f>VLOOKUP(Table3[[#This Row],[Faction ID]],Table4[],2)</f>
        <v>_</v>
      </c>
    </row>
    <row r="4331" spans="1:10" x14ac:dyDescent="0.25">
      <c r="A4331">
        <v>112</v>
      </c>
      <c r="B4331" t="s">
        <v>39</v>
      </c>
      <c r="C4331">
        <v>0</v>
      </c>
      <c r="D4331">
        <v>0</v>
      </c>
      <c r="E4331">
        <v>0</v>
      </c>
      <c r="F4331">
        <v>4000</v>
      </c>
      <c r="G4331">
        <v>1750</v>
      </c>
      <c r="H4331">
        <v>0</v>
      </c>
      <c r="J4331" t="str">
        <f>VLOOKUP(Table3[[#This Row],[Faction ID]],Table4[],2)</f>
        <v>_</v>
      </c>
    </row>
    <row r="4332" spans="1:10" x14ac:dyDescent="0.25">
      <c r="A4332">
        <v>112</v>
      </c>
      <c r="B4332" t="s">
        <v>40</v>
      </c>
      <c r="C4332">
        <v>0</v>
      </c>
      <c r="D4332">
        <v>0</v>
      </c>
      <c r="E4332">
        <v>0</v>
      </c>
      <c r="F4332">
        <v>4000</v>
      </c>
      <c r="G4332">
        <v>1750</v>
      </c>
      <c r="H4332">
        <v>0</v>
      </c>
      <c r="J4332" t="str">
        <f>VLOOKUP(Table3[[#This Row],[Faction ID]],Table4[],2)</f>
        <v>_</v>
      </c>
    </row>
    <row r="4333" spans="1:10" x14ac:dyDescent="0.25">
      <c r="A4333">
        <v>112</v>
      </c>
      <c r="B4333" t="s">
        <v>41</v>
      </c>
      <c r="C4333">
        <v>0</v>
      </c>
      <c r="D4333">
        <v>0</v>
      </c>
      <c r="E4333">
        <v>0</v>
      </c>
      <c r="F4333">
        <v>4000</v>
      </c>
      <c r="G4333">
        <v>1750</v>
      </c>
      <c r="H4333">
        <v>0</v>
      </c>
      <c r="J4333" t="str">
        <f>VLOOKUP(Table3[[#This Row],[Faction ID]],Table4[],2)</f>
        <v>_</v>
      </c>
    </row>
    <row r="4334" spans="1:10" x14ac:dyDescent="0.25">
      <c r="A4334">
        <v>112</v>
      </c>
      <c r="B4334" t="s">
        <v>42</v>
      </c>
      <c r="C4334">
        <v>0</v>
      </c>
      <c r="D4334">
        <v>0</v>
      </c>
      <c r="E4334">
        <v>0</v>
      </c>
      <c r="F4334">
        <v>4000</v>
      </c>
      <c r="G4334">
        <v>1750</v>
      </c>
      <c r="H4334">
        <v>0</v>
      </c>
      <c r="J4334" t="str">
        <f>VLOOKUP(Table3[[#This Row],[Faction ID]],Table4[],2)</f>
        <v>_</v>
      </c>
    </row>
    <row r="4335" spans="1:10" x14ac:dyDescent="0.25">
      <c r="A4335">
        <v>112</v>
      </c>
      <c r="B4335" t="s">
        <v>43</v>
      </c>
      <c r="C4335">
        <v>0</v>
      </c>
      <c r="D4335">
        <v>0</v>
      </c>
      <c r="E4335">
        <v>0</v>
      </c>
      <c r="F4335">
        <v>4000</v>
      </c>
      <c r="G4335">
        <v>1750</v>
      </c>
      <c r="H4335">
        <v>0</v>
      </c>
      <c r="J4335" t="str">
        <f>VLOOKUP(Table3[[#This Row],[Faction ID]],Table4[],2)</f>
        <v>_</v>
      </c>
    </row>
    <row r="4336" spans="1:10" x14ac:dyDescent="0.25">
      <c r="A4336">
        <v>112</v>
      </c>
      <c r="B4336" t="s">
        <v>44</v>
      </c>
      <c r="C4336">
        <v>0</v>
      </c>
      <c r="D4336">
        <v>0</v>
      </c>
      <c r="E4336">
        <v>0</v>
      </c>
      <c r="F4336">
        <v>4000</v>
      </c>
      <c r="G4336">
        <v>1750</v>
      </c>
      <c r="H4336">
        <v>0</v>
      </c>
      <c r="J4336" t="str">
        <f>VLOOKUP(Table3[[#This Row],[Faction ID]],Table4[],2)</f>
        <v>_</v>
      </c>
    </row>
    <row r="4337" spans="1:10" x14ac:dyDescent="0.25">
      <c r="A4337">
        <v>113</v>
      </c>
      <c r="B4337" t="s">
        <v>9</v>
      </c>
      <c r="C4337">
        <v>581</v>
      </c>
      <c r="D4337">
        <v>31</v>
      </c>
      <c r="E4337">
        <v>401.4</v>
      </c>
      <c r="F4337">
        <v>9947</v>
      </c>
      <c r="G4337">
        <v>57365</v>
      </c>
      <c r="H4337">
        <v>3328</v>
      </c>
      <c r="J4337" t="str">
        <f>VLOOKUP(Table3[[#This Row],[Faction ID]],Table4[],2)</f>
        <v>Mordor</v>
      </c>
    </row>
    <row r="4338" spans="1:10" x14ac:dyDescent="0.25">
      <c r="A4338">
        <v>113</v>
      </c>
      <c r="B4338" t="s">
        <v>4</v>
      </c>
      <c r="C4338">
        <v>146</v>
      </c>
      <c r="D4338">
        <v>0</v>
      </c>
      <c r="E4338">
        <v>0</v>
      </c>
      <c r="F4338">
        <v>55420</v>
      </c>
      <c r="G4338">
        <v>2500</v>
      </c>
      <c r="H4338">
        <v>0</v>
      </c>
      <c r="J4338" t="str">
        <f>VLOOKUP(Table3[[#This Row],[Faction ID]],Table4[],2)</f>
        <v>Gondor</v>
      </c>
    </row>
    <row r="4339" spans="1:10" x14ac:dyDescent="0.25">
      <c r="A4339">
        <v>113</v>
      </c>
      <c r="B4339" t="s">
        <v>6</v>
      </c>
      <c r="C4339">
        <v>199</v>
      </c>
      <c r="D4339">
        <v>0</v>
      </c>
      <c r="E4339">
        <v>0</v>
      </c>
      <c r="F4339">
        <v>10343</v>
      </c>
      <c r="G4339">
        <v>2500</v>
      </c>
      <c r="H4339">
        <v>0</v>
      </c>
      <c r="J4339" t="str">
        <f>VLOOKUP(Table3[[#This Row],[Faction ID]],Table4[],2)</f>
        <v>Dale</v>
      </c>
    </row>
    <row r="4340" spans="1:10" x14ac:dyDescent="0.25">
      <c r="A4340">
        <v>113</v>
      </c>
      <c r="B4340" t="s">
        <v>21</v>
      </c>
      <c r="C4340">
        <v>200</v>
      </c>
      <c r="D4340">
        <v>0</v>
      </c>
      <c r="E4340">
        <v>0</v>
      </c>
      <c r="F4340">
        <v>10040</v>
      </c>
      <c r="G4340">
        <v>2500</v>
      </c>
      <c r="H4340">
        <v>0</v>
      </c>
      <c r="J4340" t="str">
        <f>VLOOKUP(Table3[[#This Row],[Faction ID]],Table4[],2)</f>
        <v>Erebor</v>
      </c>
    </row>
    <row r="4341" spans="1:10" x14ac:dyDescent="0.25">
      <c r="A4341">
        <v>113</v>
      </c>
      <c r="B4341" t="s">
        <v>5</v>
      </c>
      <c r="C4341">
        <v>157</v>
      </c>
      <c r="D4341">
        <v>0</v>
      </c>
      <c r="E4341">
        <v>0</v>
      </c>
      <c r="F4341">
        <v>6638</v>
      </c>
      <c r="G4341">
        <v>2500</v>
      </c>
      <c r="H4341">
        <v>0</v>
      </c>
      <c r="J4341" t="str">
        <f>VLOOKUP(Table3[[#This Row],[Faction ID]],Table4[],2)</f>
        <v>Rohan</v>
      </c>
    </row>
    <row r="4342" spans="1:10" x14ac:dyDescent="0.25">
      <c r="A4342">
        <v>113</v>
      </c>
      <c r="B4342" t="s">
        <v>12</v>
      </c>
      <c r="C4342">
        <v>464</v>
      </c>
      <c r="D4342">
        <v>21</v>
      </c>
      <c r="E4342">
        <v>367.1</v>
      </c>
      <c r="F4342">
        <v>155794</v>
      </c>
      <c r="G4342">
        <v>52882</v>
      </c>
      <c r="H4342">
        <v>3840</v>
      </c>
      <c r="J4342" t="str">
        <f>VLOOKUP(Table3[[#This Row],[Faction ID]],Table4[],2)</f>
        <v>Dol Guldur</v>
      </c>
    </row>
    <row r="4343" spans="1:10" x14ac:dyDescent="0.25">
      <c r="A4343">
        <v>113</v>
      </c>
      <c r="B4343" t="s">
        <v>10</v>
      </c>
      <c r="C4343">
        <v>58</v>
      </c>
      <c r="D4343">
        <v>0</v>
      </c>
      <c r="E4343">
        <v>0</v>
      </c>
      <c r="F4343">
        <v>4515</v>
      </c>
      <c r="G4343">
        <v>2500</v>
      </c>
      <c r="H4343">
        <v>0</v>
      </c>
      <c r="J4343" t="str">
        <f>VLOOKUP(Table3[[#This Row],[Faction ID]],Table4[],2)</f>
        <v>Anduin Vale</v>
      </c>
    </row>
    <row r="4344" spans="1:10" x14ac:dyDescent="0.25">
      <c r="A4344">
        <v>113</v>
      </c>
      <c r="B4344" t="s">
        <v>32</v>
      </c>
      <c r="C4344">
        <v>287</v>
      </c>
      <c r="D4344">
        <v>8</v>
      </c>
      <c r="E4344">
        <v>168.89999999999901</v>
      </c>
      <c r="F4344">
        <v>47268</v>
      </c>
      <c r="G4344">
        <v>28384</v>
      </c>
      <c r="H4344">
        <v>1752</v>
      </c>
      <c r="J4344" t="str">
        <f>VLOOKUP(Table3[[#This Row],[Faction ID]],Table4[],2)</f>
        <v>Isengard</v>
      </c>
    </row>
    <row r="4345" spans="1:10" x14ac:dyDescent="0.25">
      <c r="A4345">
        <v>113</v>
      </c>
      <c r="B4345" t="s">
        <v>22</v>
      </c>
      <c r="C4345">
        <v>30</v>
      </c>
      <c r="D4345">
        <v>0</v>
      </c>
      <c r="E4345">
        <v>0</v>
      </c>
      <c r="F4345">
        <v>8475</v>
      </c>
      <c r="G4345">
        <v>2500</v>
      </c>
      <c r="H4345">
        <v>0</v>
      </c>
      <c r="J4345" t="str">
        <f>VLOOKUP(Table3[[#This Row],[Faction ID]],Table4[],2)</f>
        <v>Woodland Realm</v>
      </c>
    </row>
    <row r="4346" spans="1:10" x14ac:dyDescent="0.25">
      <c r="A4346">
        <v>113</v>
      </c>
      <c r="B4346" t="s">
        <v>23</v>
      </c>
      <c r="C4346">
        <v>64</v>
      </c>
      <c r="D4346">
        <v>0</v>
      </c>
      <c r="E4346">
        <v>0</v>
      </c>
      <c r="F4346">
        <v>4721</v>
      </c>
      <c r="G4346">
        <v>2500</v>
      </c>
      <c r="H4346">
        <v>0</v>
      </c>
      <c r="J4346" t="str">
        <f>VLOOKUP(Table3[[#This Row],[Faction ID]],Table4[],2)</f>
        <v>Lothlorien</v>
      </c>
    </row>
    <row r="4347" spans="1:10" x14ac:dyDescent="0.25">
      <c r="A4347">
        <v>113</v>
      </c>
      <c r="B4347" t="s">
        <v>24</v>
      </c>
      <c r="C4347">
        <v>0</v>
      </c>
      <c r="D4347">
        <v>0</v>
      </c>
      <c r="E4347">
        <v>0</v>
      </c>
      <c r="F4347">
        <v>4919</v>
      </c>
      <c r="G4347">
        <v>1750</v>
      </c>
      <c r="H4347">
        <v>0</v>
      </c>
      <c r="J4347" t="str">
        <f>VLOOKUP(Table3[[#This Row],[Faction ID]],Table4[],2)</f>
        <v>Variags (Khand)</v>
      </c>
    </row>
    <row r="4348" spans="1:10" x14ac:dyDescent="0.25">
      <c r="A4348">
        <v>113</v>
      </c>
      <c r="B4348" t="s">
        <v>14</v>
      </c>
      <c r="C4348">
        <v>19</v>
      </c>
      <c r="D4348">
        <v>13</v>
      </c>
      <c r="E4348">
        <v>244.8</v>
      </c>
      <c r="F4348">
        <v>62069</v>
      </c>
      <c r="G4348">
        <v>49771</v>
      </c>
      <c r="H4348">
        <v>3981</v>
      </c>
      <c r="J4348" t="str">
        <f>VLOOKUP(Table3[[#This Row],[Faction ID]],Table4[],2)</f>
        <v>Corsairs of Umbar</v>
      </c>
    </row>
    <row r="4349" spans="1:10" x14ac:dyDescent="0.25">
      <c r="A4349">
        <v>113</v>
      </c>
      <c r="B4349" t="s">
        <v>25</v>
      </c>
      <c r="C4349">
        <v>0</v>
      </c>
      <c r="D4349">
        <v>0</v>
      </c>
      <c r="E4349">
        <v>0</v>
      </c>
      <c r="F4349">
        <v>9228</v>
      </c>
      <c r="G4349">
        <v>1750</v>
      </c>
      <c r="H4349">
        <v>0</v>
      </c>
      <c r="J4349" t="str">
        <f>VLOOKUP(Table3[[#This Row],[Faction ID]],Table4[],2)</f>
        <v>Mahud</v>
      </c>
    </row>
    <row r="4350" spans="1:10" x14ac:dyDescent="0.25">
      <c r="A4350">
        <v>113</v>
      </c>
      <c r="B4350" t="s">
        <v>11</v>
      </c>
      <c r="C4350">
        <v>250</v>
      </c>
      <c r="D4350">
        <v>15</v>
      </c>
      <c r="E4350">
        <v>235.3</v>
      </c>
      <c r="F4350">
        <v>39139</v>
      </c>
      <c r="G4350">
        <v>36242</v>
      </c>
      <c r="H4350">
        <v>2490</v>
      </c>
      <c r="J4350" t="str">
        <f>VLOOKUP(Table3[[#This Row],[Faction ID]],Table4[],2)</f>
        <v>Haradrim</v>
      </c>
    </row>
    <row r="4351" spans="1:10" x14ac:dyDescent="0.25">
      <c r="A4351">
        <v>113</v>
      </c>
      <c r="B4351" t="s">
        <v>15</v>
      </c>
      <c r="C4351">
        <v>284</v>
      </c>
      <c r="D4351">
        <v>12</v>
      </c>
      <c r="E4351">
        <v>253</v>
      </c>
      <c r="F4351">
        <v>159204</v>
      </c>
      <c r="G4351">
        <v>47182</v>
      </c>
      <c r="H4351">
        <v>2565</v>
      </c>
      <c r="J4351" t="str">
        <f>VLOOKUP(Table3[[#This Row],[Faction ID]],Table4[],2)</f>
        <v>Dunlendings</v>
      </c>
    </row>
    <row r="4352" spans="1:10" x14ac:dyDescent="0.25">
      <c r="A4352">
        <v>113</v>
      </c>
      <c r="B4352" t="s">
        <v>16</v>
      </c>
      <c r="C4352">
        <v>0</v>
      </c>
      <c r="D4352">
        <v>0</v>
      </c>
      <c r="E4352">
        <v>0</v>
      </c>
      <c r="F4352">
        <v>5352</v>
      </c>
      <c r="G4352">
        <v>1750</v>
      </c>
      <c r="H4352">
        <v>0</v>
      </c>
      <c r="J4352" t="str">
        <f>VLOOKUP(Table3[[#This Row],[Faction ID]],Table4[],2)</f>
        <v>Haerrim</v>
      </c>
    </row>
    <row r="4353" spans="1:10" x14ac:dyDescent="0.25">
      <c r="A4353">
        <v>113</v>
      </c>
      <c r="B4353" t="s">
        <v>13</v>
      </c>
      <c r="C4353">
        <v>581</v>
      </c>
      <c r="D4353">
        <v>23</v>
      </c>
      <c r="E4353">
        <v>515.5</v>
      </c>
      <c r="F4353">
        <v>196194</v>
      </c>
      <c r="G4353">
        <v>71086</v>
      </c>
      <c r="H4353">
        <v>6117</v>
      </c>
      <c r="J4353" t="str">
        <f>VLOOKUP(Table3[[#This Row],[Faction ID]],Table4[],2)</f>
        <v>Goblins</v>
      </c>
    </row>
    <row r="4354" spans="1:10" x14ac:dyDescent="0.25">
      <c r="A4354">
        <v>113</v>
      </c>
      <c r="B4354" t="s">
        <v>17</v>
      </c>
      <c r="C4354">
        <v>0</v>
      </c>
      <c r="D4354">
        <v>0</v>
      </c>
      <c r="E4354">
        <v>0</v>
      </c>
      <c r="F4354">
        <v>4872</v>
      </c>
      <c r="G4354">
        <v>1750</v>
      </c>
      <c r="H4354">
        <v>0</v>
      </c>
      <c r="J4354" t="str">
        <f>VLOOKUP(Table3[[#This Row],[Faction ID]],Table4[],2)</f>
        <v>Balchoth</v>
      </c>
    </row>
    <row r="4355" spans="1:10" x14ac:dyDescent="0.25">
      <c r="A4355">
        <v>113</v>
      </c>
      <c r="B4355" t="s">
        <v>18</v>
      </c>
      <c r="C4355">
        <v>539</v>
      </c>
      <c r="D4355">
        <v>24</v>
      </c>
      <c r="E4355">
        <v>368.9</v>
      </c>
      <c r="F4355">
        <v>72020</v>
      </c>
      <c r="G4355">
        <v>45493</v>
      </c>
      <c r="H4355">
        <v>3025</v>
      </c>
      <c r="J4355" t="str">
        <f>VLOOKUP(Table3[[#This Row],[Faction ID]],Table4[],2)</f>
        <v>Rhurim/Rhun</v>
      </c>
    </row>
    <row r="4356" spans="1:10" x14ac:dyDescent="0.25">
      <c r="A4356">
        <v>113</v>
      </c>
      <c r="B4356" t="s">
        <v>19</v>
      </c>
      <c r="C4356">
        <v>0</v>
      </c>
      <c r="D4356">
        <v>0</v>
      </c>
      <c r="E4356">
        <v>0</v>
      </c>
      <c r="F4356">
        <v>7360</v>
      </c>
      <c r="G4356">
        <v>1750</v>
      </c>
      <c r="H4356">
        <v>0</v>
      </c>
      <c r="J4356" t="str">
        <f>VLOOKUP(Table3[[#This Row],[Faction ID]],Table4[],2)</f>
        <v>Feredrim</v>
      </c>
    </row>
    <row r="4357" spans="1:10" x14ac:dyDescent="0.25">
      <c r="A4357">
        <v>113</v>
      </c>
      <c r="B4357" t="s">
        <v>26</v>
      </c>
      <c r="C4357">
        <v>0</v>
      </c>
      <c r="D4357">
        <v>0</v>
      </c>
      <c r="E4357">
        <v>0</v>
      </c>
      <c r="F4357">
        <v>6395</v>
      </c>
      <c r="G4357">
        <v>1750</v>
      </c>
      <c r="H4357">
        <v>0</v>
      </c>
      <c r="J4357" t="str">
        <f>VLOOKUP(Table3[[#This Row],[Faction ID]],Table4[],2)</f>
        <v>Rachrohir (Wainriders)</v>
      </c>
    </row>
    <row r="4358" spans="1:10" x14ac:dyDescent="0.25">
      <c r="A4358">
        <v>113</v>
      </c>
      <c r="B4358" t="s">
        <v>27</v>
      </c>
      <c r="C4358">
        <v>2</v>
      </c>
      <c r="D4358">
        <v>2</v>
      </c>
      <c r="E4358">
        <v>35.200000000000003</v>
      </c>
      <c r="F4358">
        <v>8234</v>
      </c>
      <c r="G4358">
        <v>7109</v>
      </c>
      <c r="H4358">
        <v>443</v>
      </c>
      <c r="J4358" t="str">
        <f>VLOOKUP(Table3[[#This Row],[Faction ID]],Table4[],2)</f>
        <v>Blacklock-Stonefoot League</v>
      </c>
    </row>
    <row r="4359" spans="1:10" x14ac:dyDescent="0.25">
      <c r="A4359">
        <v>113</v>
      </c>
      <c r="B4359" t="s">
        <v>28</v>
      </c>
      <c r="C4359">
        <v>5</v>
      </c>
      <c r="D4359">
        <v>2</v>
      </c>
      <c r="E4359">
        <v>17</v>
      </c>
      <c r="F4359">
        <v>3259</v>
      </c>
      <c r="G4359">
        <v>3444</v>
      </c>
      <c r="H4359">
        <v>0</v>
      </c>
      <c r="J4359" t="str">
        <f>VLOOKUP(Table3[[#This Row],[Faction ID]],Table4[],2)</f>
        <v>Ironfist-Stiffbeard Union</v>
      </c>
    </row>
    <row r="4360" spans="1:10" x14ac:dyDescent="0.25">
      <c r="A4360">
        <v>113</v>
      </c>
      <c r="B4360" t="s">
        <v>20</v>
      </c>
      <c r="C4360">
        <v>245</v>
      </c>
      <c r="D4360">
        <v>0</v>
      </c>
      <c r="E4360">
        <v>0</v>
      </c>
      <c r="F4360">
        <v>9750</v>
      </c>
      <c r="G4360">
        <v>2500</v>
      </c>
      <c r="H4360">
        <v>0</v>
      </c>
      <c r="J4360" t="str">
        <f>VLOOKUP(Table3[[#This Row],[Faction ID]],Table4[],2)</f>
        <v>Gundabad</v>
      </c>
    </row>
    <row r="4361" spans="1:10" x14ac:dyDescent="0.25">
      <c r="A4361">
        <v>113</v>
      </c>
      <c r="B4361" t="s">
        <v>34</v>
      </c>
      <c r="C4361">
        <v>0</v>
      </c>
      <c r="D4361">
        <v>0</v>
      </c>
      <c r="E4361">
        <v>3</v>
      </c>
      <c r="F4361">
        <v>129877</v>
      </c>
      <c r="G4361">
        <v>2354</v>
      </c>
      <c r="H4361">
        <v>0</v>
      </c>
      <c r="J4361" t="str">
        <f>VLOOKUP(Table3[[#This Row],[Faction ID]],Table4[],2)</f>
        <v>Scouts of Rohan</v>
      </c>
    </row>
    <row r="4362" spans="1:10" x14ac:dyDescent="0.25">
      <c r="A4362">
        <v>113</v>
      </c>
      <c r="B4362" t="s">
        <v>33</v>
      </c>
      <c r="C4362">
        <v>6</v>
      </c>
      <c r="D4362">
        <v>4</v>
      </c>
      <c r="E4362">
        <v>95</v>
      </c>
      <c r="F4362">
        <v>125177</v>
      </c>
      <c r="G4362">
        <v>22066</v>
      </c>
      <c r="H4362">
        <v>1107</v>
      </c>
      <c r="J4362" t="str">
        <f>VLOOKUP(Table3[[#This Row],[Faction ID]],Table4[],2)</f>
        <v>Northern Enedwaith</v>
      </c>
    </row>
    <row r="4363" spans="1:10" x14ac:dyDescent="0.25">
      <c r="A4363">
        <v>113</v>
      </c>
      <c r="B4363" t="s">
        <v>29</v>
      </c>
      <c r="C4363">
        <v>0</v>
      </c>
      <c r="D4363">
        <v>0</v>
      </c>
      <c r="E4363">
        <v>0</v>
      </c>
      <c r="F4363">
        <v>54023</v>
      </c>
      <c r="G4363">
        <v>1750</v>
      </c>
      <c r="H4363">
        <v>0</v>
      </c>
      <c r="J4363" t="str">
        <f>VLOOKUP(Table3[[#This Row],[Faction ID]],Table4[],2)</f>
        <v>Southern Enedwaith</v>
      </c>
    </row>
    <row r="4364" spans="1:10" x14ac:dyDescent="0.25">
      <c r="A4364">
        <v>113</v>
      </c>
      <c r="B4364" t="s">
        <v>30</v>
      </c>
      <c r="C4364">
        <v>0</v>
      </c>
      <c r="D4364">
        <v>0</v>
      </c>
      <c r="E4364">
        <v>0</v>
      </c>
      <c r="F4364">
        <v>32146</v>
      </c>
      <c r="G4364">
        <v>1750</v>
      </c>
      <c r="H4364">
        <v>0</v>
      </c>
      <c r="J4364" t="str">
        <f>VLOOKUP(Table3[[#This Row],[Faction ID]],Table4[],2)</f>
        <v>Druedain</v>
      </c>
    </row>
    <row r="4365" spans="1:10" x14ac:dyDescent="0.25">
      <c r="A4365">
        <v>113</v>
      </c>
      <c r="B4365" t="s">
        <v>31</v>
      </c>
      <c r="C4365">
        <v>0</v>
      </c>
      <c r="D4365">
        <v>0</v>
      </c>
      <c r="E4365">
        <v>0</v>
      </c>
      <c r="F4365">
        <v>15146</v>
      </c>
      <c r="G4365">
        <v>1750</v>
      </c>
      <c r="H4365">
        <v>0</v>
      </c>
      <c r="J4365" t="str">
        <f>VLOOKUP(Table3[[#This Row],[Faction ID]],Table4[],2)</f>
        <v>Harondor</v>
      </c>
    </row>
    <row r="4366" spans="1:10" x14ac:dyDescent="0.25">
      <c r="A4366">
        <v>113</v>
      </c>
      <c r="B4366" t="s">
        <v>35</v>
      </c>
      <c r="C4366">
        <v>0</v>
      </c>
      <c r="D4366">
        <v>0</v>
      </c>
      <c r="E4366">
        <v>0</v>
      </c>
      <c r="F4366">
        <v>4000</v>
      </c>
      <c r="G4366">
        <v>1750</v>
      </c>
      <c r="H4366">
        <v>0</v>
      </c>
      <c r="J4366" t="str">
        <f>VLOOKUP(Table3[[#This Row],[Faction ID]],Table4[],2)</f>
        <v>Southron Nomads</v>
      </c>
    </row>
    <row r="4367" spans="1:10" x14ac:dyDescent="0.25">
      <c r="A4367">
        <v>113</v>
      </c>
      <c r="B4367" t="s">
        <v>36</v>
      </c>
      <c r="C4367">
        <v>0</v>
      </c>
      <c r="D4367">
        <v>0</v>
      </c>
      <c r="E4367">
        <v>0</v>
      </c>
      <c r="F4367">
        <v>4000</v>
      </c>
      <c r="G4367">
        <v>1750</v>
      </c>
      <c r="H4367">
        <v>0</v>
      </c>
      <c r="J4367" t="str">
        <f>VLOOKUP(Table3[[#This Row],[Faction ID]],Table4[],2)</f>
        <v>_</v>
      </c>
    </row>
    <row r="4368" spans="1:10" x14ac:dyDescent="0.25">
      <c r="A4368">
        <v>113</v>
      </c>
      <c r="B4368" t="s">
        <v>37</v>
      </c>
      <c r="C4368">
        <v>0</v>
      </c>
      <c r="D4368">
        <v>0</v>
      </c>
      <c r="E4368">
        <v>0</v>
      </c>
      <c r="F4368">
        <v>4000</v>
      </c>
      <c r="G4368">
        <v>1750</v>
      </c>
      <c r="H4368">
        <v>0</v>
      </c>
      <c r="J4368" t="str">
        <f>VLOOKUP(Table3[[#This Row],[Faction ID]],Table4[],2)</f>
        <v>_</v>
      </c>
    </row>
    <row r="4369" spans="1:10" x14ac:dyDescent="0.25">
      <c r="A4369">
        <v>113</v>
      </c>
      <c r="B4369" t="s">
        <v>38</v>
      </c>
      <c r="C4369">
        <v>0</v>
      </c>
      <c r="D4369">
        <v>0</v>
      </c>
      <c r="E4369">
        <v>0</v>
      </c>
      <c r="F4369">
        <v>4000</v>
      </c>
      <c r="G4369">
        <v>1750</v>
      </c>
      <c r="H4369">
        <v>0</v>
      </c>
      <c r="J4369" t="str">
        <f>VLOOKUP(Table3[[#This Row],[Faction ID]],Table4[],2)</f>
        <v>_</v>
      </c>
    </row>
    <row r="4370" spans="1:10" x14ac:dyDescent="0.25">
      <c r="A4370">
        <v>113</v>
      </c>
      <c r="B4370" t="s">
        <v>39</v>
      </c>
      <c r="C4370">
        <v>0</v>
      </c>
      <c r="D4370">
        <v>0</v>
      </c>
      <c r="E4370">
        <v>0</v>
      </c>
      <c r="F4370">
        <v>4000</v>
      </c>
      <c r="G4370">
        <v>1750</v>
      </c>
      <c r="H4370">
        <v>0</v>
      </c>
      <c r="J4370" t="str">
        <f>VLOOKUP(Table3[[#This Row],[Faction ID]],Table4[],2)</f>
        <v>_</v>
      </c>
    </row>
    <row r="4371" spans="1:10" x14ac:dyDescent="0.25">
      <c r="A4371">
        <v>113</v>
      </c>
      <c r="B4371" t="s">
        <v>40</v>
      </c>
      <c r="C4371">
        <v>0</v>
      </c>
      <c r="D4371">
        <v>0</v>
      </c>
      <c r="E4371">
        <v>0</v>
      </c>
      <c r="F4371">
        <v>4000</v>
      </c>
      <c r="G4371">
        <v>1750</v>
      </c>
      <c r="H4371">
        <v>0</v>
      </c>
      <c r="J4371" t="str">
        <f>VLOOKUP(Table3[[#This Row],[Faction ID]],Table4[],2)</f>
        <v>_</v>
      </c>
    </row>
    <row r="4372" spans="1:10" x14ac:dyDescent="0.25">
      <c r="A4372">
        <v>113</v>
      </c>
      <c r="B4372" t="s">
        <v>41</v>
      </c>
      <c r="C4372">
        <v>0</v>
      </c>
      <c r="D4372">
        <v>0</v>
      </c>
      <c r="E4372">
        <v>0</v>
      </c>
      <c r="F4372">
        <v>4000</v>
      </c>
      <c r="G4372">
        <v>1750</v>
      </c>
      <c r="H4372">
        <v>0</v>
      </c>
      <c r="J4372" t="str">
        <f>VLOOKUP(Table3[[#This Row],[Faction ID]],Table4[],2)</f>
        <v>_</v>
      </c>
    </row>
    <row r="4373" spans="1:10" x14ac:dyDescent="0.25">
      <c r="A4373">
        <v>113</v>
      </c>
      <c r="B4373" t="s">
        <v>42</v>
      </c>
      <c r="C4373">
        <v>0</v>
      </c>
      <c r="D4373">
        <v>0</v>
      </c>
      <c r="E4373">
        <v>0</v>
      </c>
      <c r="F4373">
        <v>4000</v>
      </c>
      <c r="G4373">
        <v>1750</v>
      </c>
      <c r="H4373">
        <v>0</v>
      </c>
      <c r="J4373" t="str">
        <f>VLOOKUP(Table3[[#This Row],[Faction ID]],Table4[],2)</f>
        <v>_</v>
      </c>
    </row>
    <row r="4374" spans="1:10" x14ac:dyDescent="0.25">
      <c r="A4374">
        <v>113</v>
      </c>
      <c r="B4374" t="s">
        <v>43</v>
      </c>
      <c r="C4374">
        <v>0</v>
      </c>
      <c r="D4374">
        <v>0</v>
      </c>
      <c r="E4374">
        <v>0</v>
      </c>
      <c r="F4374">
        <v>4000</v>
      </c>
      <c r="G4374">
        <v>1750</v>
      </c>
      <c r="H4374">
        <v>0</v>
      </c>
      <c r="J4374" t="str">
        <f>VLOOKUP(Table3[[#This Row],[Faction ID]],Table4[],2)</f>
        <v>_</v>
      </c>
    </row>
    <row r="4375" spans="1:10" x14ac:dyDescent="0.25">
      <c r="A4375">
        <v>113</v>
      </c>
      <c r="B4375" t="s">
        <v>44</v>
      </c>
      <c r="C4375">
        <v>0</v>
      </c>
      <c r="D4375">
        <v>0</v>
      </c>
      <c r="E4375">
        <v>0</v>
      </c>
      <c r="F4375">
        <v>4000</v>
      </c>
      <c r="G4375">
        <v>1750</v>
      </c>
      <c r="H4375">
        <v>0</v>
      </c>
      <c r="J4375" t="str">
        <f>VLOOKUP(Table3[[#This Row],[Faction ID]],Table4[],2)</f>
        <v>_</v>
      </c>
    </row>
    <row r="4376" spans="1:10" x14ac:dyDescent="0.25">
      <c r="A4376">
        <v>114</v>
      </c>
      <c r="B4376" t="s">
        <v>9</v>
      </c>
      <c r="C4376">
        <v>582</v>
      </c>
      <c r="D4376">
        <v>32</v>
      </c>
      <c r="E4376">
        <v>416.4</v>
      </c>
      <c r="F4376">
        <v>3033</v>
      </c>
      <c r="G4376">
        <v>60855</v>
      </c>
      <c r="H4376">
        <v>3558</v>
      </c>
      <c r="J4376" t="str">
        <f>VLOOKUP(Table3[[#This Row],[Faction ID]],Table4[],2)</f>
        <v>Mordor</v>
      </c>
    </row>
    <row r="4377" spans="1:10" x14ac:dyDescent="0.25">
      <c r="A4377">
        <v>114</v>
      </c>
      <c r="B4377" t="s">
        <v>4</v>
      </c>
      <c r="C4377">
        <v>146</v>
      </c>
      <c r="D4377">
        <v>0</v>
      </c>
      <c r="E4377">
        <v>0</v>
      </c>
      <c r="F4377">
        <v>55420</v>
      </c>
      <c r="G4377">
        <v>2500</v>
      </c>
      <c r="H4377">
        <v>0</v>
      </c>
      <c r="J4377" t="str">
        <f>VLOOKUP(Table3[[#This Row],[Faction ID]],Table4[],2)</f>
        <v>Gondor</v>
      </c>
    </row>
    <row r="4378" spans="1:10" x14ac:dyDescent="0.25">
      <c r="A4378">
        <v>114</v>
      </c>
      <c r="B4378" t="s">
        <v>6</v>
      </c>
      <c r="C4378">
        <v>199</v>
      </c>
      <c r="D4378">
        <v>0</v>
      </c>
      <c r="E4378">
        <v>0</v>
      </c>
      <c r="F4378">
        <v>10343</v>
      </c>
      <c r="G4378">
        <v>2500</v>
      </c>
      <c r="H4378">
        <v>0</v>
      </c>
      <c r="J4378" t="str">
        <f>VLOOKUP(Table3[[#This Row],[Faction ID]],Table4[],2)</f>
        <v>Dale</v>
      </c>
    </row>
    <row r="4379" spans="1:10" x14ac:dyDescent="0.25">
      <c r="A4379">
        <v>114</v>
      </c>
      <c r="B4379" t="s">
        <v>21</v>
      </c>
      <c r="C4379">
        <v>200</v>
      </c>
      <c r="D4379">
        <v>0</v>
      </c>
      <c r="E4379">
        <v>0</v>
      </c>
      <c r="F4379">
        <v>10040</v>
      </c>
      <c r="G4379">
        <v>2500</v>
      </c>
      <c r="H4379">
        <v>0</v>
      </c>
      <c r="J4379" t="str">
        <f>VLOOKUP(Table3[[#This Row],[Faction ID]],Table4[],2)</f>
        <v>Erebor</v>
      </c>
    </row>
    <row r="4380" spans="1:10" x14ac:dyDescent="0.25">
      <c r="A4380">
        <v>114</v>
      </c>
      <c r="B4380" t="s">
        <v>5</v>
      </c>
      <c r="C4380">
        <v>157</v>
      </c>
      <c r="D4380">
        <v>0</v>
      </c>
      <c r="E4380">
        <v>0</v>
      </c>
      <c r="F4380">
        <v>6638</v>
      </c>
      <c r="G4380">
        <v>2500</v>
      </c>
      <c r="H4380">
        <v>0</v>
      </c>
      <c r="J4380" t="str">
        <f>VLOOKUP(Table3[[#This Row],[Faction ID]],Table4[],2)</f>
        <v>Rohan</v>
      </c>
    </row>
    <row r="4381" spans="1:10" x14ac:dyDescent="0.25">
      <c r="A4381">
        <v>114</v>
      </c>
      <c r="B4381" t="s">
        <v>12</v>
      </c>
      <c r="C4381">
        <v>464</v>
      </c>
      <c r="D4381">
        <v>21</v>
      </c>
      <c r="E4381">
        <v>323.10000000000002</v>
      </c>
      <c r="F4381">
        <v>183448</v>
      </c>
      <c r="G4381">
        <v>44921</v>
      </c>
      <c r="H4381">
        <v>3533</v>
      </c>
      <c r="J4381" t="str">
        <f>VLOOKUP(Table3[[#This Row],[Faction ID]],Table4[],2)</f>
        <v>Dol Guldur</v>
      </c>
    </row>
    <row r="4382" spans="1:10" x14ac:dyDescent="0.25">
      <c r="A4382">
        <v>114</v>
      </c>
      <c r="B4382" t="s">
        <v>10</v>
      </c>
      <c r="C4382">
        <v>58</v>
      </c>
      <c r="D4382">
        <v>0</v>
      </c>
      <c r="E4382">
        <v>0</v>
      </c>
      <c r="F4382">
        <v>4515</v>
      </c>
      <c r="G4382">
        <v>2500</v>
      </c>
      <c r="H4382">
        <v>0</v>
      </c>
      <c r="J4382" t="str">
        <f>VLOOKUP(Table3[[#This Row],[Faction ID]],Table4[],2)</f>
        <v>Anduin Vale</v>
      </c>
    </row>
    <row r="4383" spans="1:10" x14ac:dyDescent="0.25">
      <c r="A4383">
        <v>114</v>
      </c>
      <c r="B4383" t="s">
        <v>32</v>
      </c>
      <c r="C4383">
        <v>286</v>
      </c>
      <c r="D4383">
        <v>7</v>
      </c>
      <c r="E4383">
        <v>173.8</v>
      </c>
      <c r="F4383">
        <v>33340</v>
      </c>
      <c r="G4383">
        <v>28092</v>
      </c>
      <c r="H4383">
        <v>1548</v>
      </c>
      <c r="J4383" t="str">
        <f>VLOOKUP(Table3[[#This Row],[Faction ID]],Table4[],2)</f>
        <v>Isengard</v>
      </c>
    </row>
    <row r="4384" spans="1:10" x14ac:dyDescent="0.25">
      <c r="A4384">
        <v>114</v>
      </c>
      <c r="B4384" t="s">
        <v>22</v>
      </c>
      <c r="C4384">
        <v>30</v>
      </c>
      <c r="D4384">
        <v>0</v>
      </c>
      <c r="E4384">
        <v>0</v>
      </c>
      <c r="F4384">
        <v>8475</v>
      </c>
      <c r="G4384">
        <v>2500</v>
      </c>
      <c r="H4384">
        <v>0</v>
      </c>
      <c r="J4384" t="str">
        <f>VLOOKUP(Table3[[#This Row],[Faction ID]],Table4[],2)</f>
        <v>Woodland Realm</v>
      </c>
    </row>
    <row r="4385" spans="1:10" x14ac:dyDescent="0.25">
      <c r="A4385">
        <v>114</v>
      </c>
      <c r="B4385" t="s">
        <v>23</v>
      </c>
      <c r="C4385">
        <v>64</v>
      </c>
      <c r="D4385">
        <v>0</v>
      </c>
      <c r="E4385">
        <v>0</v>
      </c>
      <c r="F4385">
        <v>4721</v>
      </c>
      <c r="G4385">
        <v>2500</v>
      </c>
      <c r="H4385">
        <v>0</v>
      </c>
      <c r="J4385" t="str">
        <f>VLOOKUP(Table3[[#This Row],[Faction ID]],Table4[],2)</f>
        <v>Lothlorien</v>
      </c>
    </row>
    <row r="4386" spans="1:10" x14ac:dyDescent="0.25">
      <c r="A4386">
        <v>114</v>
      </c>
      <c r="B4386" t="s">
        <v>24</v>
      </c>
      <c r="C4386">
        <v>0</v>
      </c>
      <c r="D4386">
        <v>0</v>
      </c>
      <c r="E4386">
        <v>0</v>
      </c>
      <c r="F4386">
        <v>4919</v>
      </c>
      <c r="G4386">
        <v>1750</v>
      </c>
      <c r="H4386">
        <v>0</v>
      </c>
      <c r="J4386" t="str">
        <f>VLOOKUP(Table3[[#This Row],[Faction ID]],Table4[],2)</f>
        <v>Variags (Khand)</v>
      </c>
    </row>
    <row r="4387" spans="1:10" x14ac:dyDescent="0.25">
      <c r="A4387">
        <v>114</v>
      </c>
      <c r="B4387" t="s">
        <v>14</v>
      </c>
      <c r="C4387">
        <v>19</v>
      </c>
      <c r="D4387">
        <v>13</v>
      </c>
      <c r="E4387">
        <v>247.8</v>
      </c>
      <c r="F4387">
        <v>74807</v>
      </c>
      <c r="G4387">
        <v>50284</v>
      </c>
      <c r="H4387">
        <v>3992</v>
      </c>
      <c r="J4387" t="str">
        <f>VLOOKUP(Table3[[#This Row],[Faction ID]],Table4[],2)</f>
        <v>Corsairs of Umbar</v>
      </c>
    </row>
    <row r="4388" spans="1:10" x14ac:dyDescent="0.25">
      <c r="A4388">
        <v>114</v>
      </c>
      <c r="B4388" t="s">
        <v>25</v>
      </c>
      <c r="C4388">
        <v>0</v>
      </c>
      <c r="D4388">
        <v>0</v>
      </c>
      <c r="E4388">
        <v>0</v>
      </c>
      <c r="F4388">
        <v>9228</v>
      </c>
      <c r="G4388">
        <v>1750</v>
      </c>
      <c r="H4388">
        <v>0</v>
      </c>
      <c r="J4388" t="str">
        <f>VLOOKUP(Table3[[#This Row],[Faction ID]],Table4[],2)</f>
        <v>Mahud</v>
      </c>
    </row>
    <row r="4389" spans="1:10" x14ac:dyDescent="0.25">
      <c r="A4389">
        <v>114</v>
      </c>
      <c r="B4389" t="s">
        <v>11</v>
      </c>
      <c r="C4389">
        <v>255</v>
      </c>
      <c r="D4389">
        <v>15</v>
      </c>
      <c r="E4389">
        <v>244.6</v>
      </c>
      <c r="F4389">
        <v>46441</v>
      </c>
      <c r="G4389">
        <v>37100</v>
      </c>
      <c r="H4389">
        <v>2500</v>
      </c>
      <c r="J4389" t="str">
        <f>VLOOKUP(Table3[[#This Row],[Faction ID]],Table4[],2)</f>
        <v>Haradrim</v>
      </c>
    </row>
    <row r="4390" spans="1:10" x14ac:dyDescent="0.25">
      <c r="A4390">
        <v>114</v>
      </c>
      <c r="B4390" t="s">
        <v>15</v>
      </c>
      <c r="C4390">
        <v>289</v>
      </c>
      <c r="D4390">
        <v>12</v>
      </c>
      <c r="E4390">
        <v>253</v>
      </c>
      <c r="F4390">
        <v>137058</v>
      </c>
      <c r="G4390">
        <v>49175</v>
      </c>
      <c r="H4390">
        <v>2727</v>
      </c>
      <c r="J4390" t="str">
        <f>VLOOKUP(Table3[[#This Row],[Faction ID]],Table4[],2)</f>
        <v>Dunlendings</v>
      </c>
    </row>
    <row r="4391" spans="1:10" x14ac:dyDescent="0.25">
      <c r="A4391">
        <v>114</v>
      </c>
      <c r="B4391" t="s">
        <v>16</v>
      </c>
      <c r="C4391">
        <v>0</v>
      </c>
      <c r="D4391">
        <v>0</v>
      </c>
      <c r="E4391">
        <v>0</v>
      </c>
      <c r="F4391">
        <v>5352</v>
      </c>
      <c r="G4391">
        <v>1750</v>
      </c>
      <c r="H4391">
        <v>0</v>
      </c>
      <c r="J4391" t="str">
        <f>VLOOKUP(Table3[[#This Row],[Faction ID]],Table4[],2)</f>
        <v>Haerrim</v>
      </c>
    </row>
    <row r="4392" spans="1:10" x14ac:dyDescent="0.25">
      <c r="A4392">
        <v>114</v>
      </c>
      <c r="B4392" t="s">
        <v>13</v>
      </c>
      <c r="C4392">
        <v>581</v>
      </c>
      <c r="D4392">
        <v>23</v>
      </c>
      <c r="E4392">
        <v>522.5</v>
      </c>
      <c r="F4392">
        <v>185501</v>
      </c>
      <c r="G4392">
        <v>71150</v>
      </c>
      <c r="H4392">
        <v>5332</v>
      </c>
      <c r="J4392" t="str">
        <f>VLOOKUP(Table3[[#This Row],[Faction ID]],Table4[],2)</f>
        <v>Goblins</v>
      </c>
    </row>
    <row r="4393" spans="1:10" x14ac:dyDescent="0.25">
      <c r="A4393">
        <v>114</v>
      </c>
      <c r="B4393" t="s">
        <v>17</v>
      </c>
      <c r="C4393">
        <v>0</v>
      </c>
      <c r="D4393">
        <v>0</v>
      </c>
      <c r="E4393">
        <v>0</v>
      </c>
      <c r="F4393">
        <v>4872</v>
      </c>
      <c r="G4393">
        <v>1750</v>
      </c>
      <c r="H4393">
        <v>0</v>
      </c>
      <c r="J4393" t="str">
        <f>VLOOKUP(Table3[[#This Row],[Faction ID]],Table4[],2)</f>
        <v>Balchoth</v>
      </c>
    </row>
    <row r="4394" spans="1:10" x14ac:dyDescent="0.25">
      <c r="A4394">
        <v>114</v>
      </c>
      <c r="B4394" t="s">
        <v>18</v>
      </c>
      <c r="C4394">
        <v>547</v>
      </c>
      <c r="D4394">
        <v>24</v>
      </c>
      <c r="E4394">
        <v>368.6</v>
      </c>
      <c r="F4394">
        <v>62177</v>
      </c>
      <c r="G4394">
        <v>44561</v>
      </c>
      <c r="H4394">
        <v>3034</v>
      </c>
      <c r="J4394" t="str">
        <f>VLOOKUP(Table3[[#This Row],[Faction ID]],Table4[],2)</f>
        <v>Rhurim/Rhun</v>
      </c>
    </row>
    <row r="4395" spans="1:10" x14ac:dyDescent="0.25">
      <c r="A4395">
        <v>114</v>
      </c>
      <c r="B4395" t="s">
        <v>19</v>
      </c>
      <c r="C4395">
        <v>0</v>
      </c>
      <c r="D4395">
        <v>0</v>
      </c>
      <c r="E4395">
        <v>0</v>
      </c>
      <c r="F4395">
        <v>7360</v>
      </c>
      <c r="G4395">
        <v>1750</v>
      </c>
      <c r="H4395">
        <v>0</v>
      </c>
      <c r="J4395" t="str">
        <f>VLOOKUP(Table3[[#This Row],[Faction ID]],Table4[],2)</f>
        <v>Feredrim</v>
      </c>
    </row>
    <row r="4396" spans="1:10" x14ac:dyDescent="0.25">
      <c r="A4396">
        <v>114</v>
      </c>
      <c r="B4396" t="s">
        <v>26</v>
      </c>
      <c r="C4396">
        <v>0</v>
      </c>
      <c r="D4396">
        <v>0</v>
      </c>
      <c r="E4396">
        <v>0</v>
      </c>
      <c r="F4396">
        <v>6395</v>
      </c>
      <c r="G4396">
        <v>1750</v>
      </c>
      <c r="H4396">
        <v>0</v>
      </c>
      <c r="J4396" t="str">
        <f>VLOOKUP(Table3[[#This Row],[Faction ID]],Table4[],2)</f>
        <v>Rachrohir (Wainriders)</v>
      </c>
    </row>
    <row r="4397" spans="1:10" x14ac:dyDescent="0.25">
      <c r="A4397">
        <v>114</v>
      </c>
      <c r="B4397" t="s">
        <v>27</v>
      </c>
      <c r="C4397">
        <v>2</v>
      </c>
      <c r="D4397">
        <v>2</v>
      </c>
      <c r="E4397">
        <v>41.2</v>
      </c>
      <c r="F4397">
        <v>5984</v>
      </c>
      <c r="G4397">
        <v>7110</v>
      </c>
      <c r="H4397">
        <v>443</v>
      </c>
      <c r="J4397" t="str">
        <f>VLOOKUP(Table3[[#This Row],[Faction ID]],Table4[],2)</f>
        <v>Blacklock-Stonefoot League</v>
      </c>
    </row>
    <row r="4398" spans="1:10" x14ac:dyDescent="0.25">
      <c r="A4398">
        <v>114</v>
      </c>
      <c r="B4398" t="s">
        <v>28</v>
      </c>
      <c r="C4398">
        <v>5</v>
      </c>
      <c r="D4398">
        <v>2</v>
      </c>
      <c r="E4398">
        <v>17</v>
      </c>
      <c r="F4398">
        <v>6022</v>
      </c>
      <c r="G4398">
        <v>3847</v>
      </c>
      <c r="H4398">
        <v>0</v>
      </c>
      <c r="J4398" t="str">
        <f>VLOOKUP(Table3[[#This Row],[Faction ID]],Table4[],2)</f>
        <v>Ironfist-Stiffbeard Union</v>
      </c>
    </row>
    <row r="4399" spans="1:10" x14ac:dyDescent="0.25">
      <c r="A4399">
        <v>114</v>
      </c>
      <c r="B4399" t="s">
        <v>20</v>
      </c>
      <c r="C4399">
        <v>245</v>
      </c>
      <c r="D4399">
        <v>0</v>
      </c>
      <c r="E4399">
        <v>0</v>
      </c>
      <c r="F4399">
        <v>9750</v>
      </c>
      <c r="G4399">
        <v>2500</v>
      </c>
      <c r="H4399">
        <v>0</v>
      </c>
      <c r="J4399" t="str">
        <f>VLOOKUP(Table3[[#This Row],[Faction ID]],Table4[],2)</f>
        <v>Gundabad</v>
      </c>
    </row>
    <row r="4400" spans="1:10" x14ac:dyDescent="0.25">
      <c r="A4400">
        <v>114</v>
      </c>
      <c r="B4400" t="s">
        <v>34</v>
      </c>
      <c r="C4400">
        <v>0</v>
      </c>
      <c r="D4400">
        <v>0</v>
      </c>
      <c r="E4400">
        <v>3</v>
      </c>
      <c r="F4400">
        <v>131023</v>
      </c>
      <c r="G4400">
        <v>2354</v>
      </c>
      <c r="H4400">
        <v>0</v>
      </c>
      <c r="J4400" t="str">
        <f>VLOOKUP(Table3[[#This Row],[Faction ID]],Table4[],2)</f>
        <v>Scouts of Rohan</v>
      </c>
    </row>
    <row r="4401" spans="1:10" x14ac:dyDescent="0.25">
      <c r="A4401">
        <v>114</v>
      </c>
      <c r="B4401" t="s">
        <v>33</v>
      </c>
      <c r="C4401">
        <v>6</v>
      </c>
      <c r="D4401">
        <v>4</v>
      </c>
      <c r="E4401">
        <v>95</v>
      </c>
      <c r="F4401">
        <v>129635</v>
      </c>
      <c r="G4401">
        <v>21946</v>
      </c>
      <c r="H4401">
        <v>1119</v>
      </c>
      <c r="J4401" t="str">
        <f>VLOOKUP(Table3[[#This Row],[Faction ID]],Table4[],2)</f>
        <v>Northern Enedwaith</v>
      </c>
    </row>
    <row r="4402" spans="1:10" x14ac:dyDescent="0.25">
      <c r="A4402">
        <v>114</v>
      </c>
      <c r="B4402" t="s">
        <v>29</v>
      </c>
      <c r="C4402">
        <v>0</v>
      </c>
      <c r="D4402">
        <v>0</v>
      </c>
      <c r="E4402">
        <v>0</v>
      </c>
      <c r="F4402">
        <v>54023</v>
      </c>
      <c r="G4402">
        <v>1750</v>
      </c>
      <c r="H4402">
        <v>0</v>
      </c>
      <c r="J4402" t="str">
        <f>VLOOKUP(Table3[[#This Row],[Faction ID]],Table4[],2)</f>
        <v>Southern Enedwaith</v>
      </c>
    </row>
    <row r="4403" spans="1:10" x14ac:dyDescent="0.25">
      <c r="A4403">
        <v>114</v>
      </c>
      <c r="B4403" t="s">
        <v>30</v>
      </c>
      <c r="C4403">
        <v>0</v>
      </c>
      <c r="D4403">
        <v>0</v>
      </c>
      <c r="E4403">
        <v>0</v>
      </c>
      <c r="F4403">
        <v>32146</v>
      </c>
      <c r="G4403">
        <v>1750</v>
      </c>
      <c r="H4403">
        <v>0</v>
      </c>
      <c r="J4403" t="str">
        <f>VLOOKUP(Table3[[#This Row],[Faction ID]],Table4[],2)</f>
        <v>Druedain</v>
      </c>
    </row>
    <row r="4404" spans="1:10" x14ac:dyDescent="0.25">
      <c r="A4404">
        <v>114</v>
      </c>
      <c r="B4404" t="s">
        <v>31</v>
      </c>
      <c r="C4404">
        <v>0</v>
      </c>
      <c r="D4404">
        <v>0</v>
      </c>
      <c r="E4404">
        <v>0</v>
      </c>
      <c r="F4404">
        <v>15146</v>
      </c>
      <c r="G4404">
        <v>1750</v>
      </c>
      <c r="H4404">
        <v>0</v>
      </c>
      <c r="J4404" t="str">
        <f>VLOOKUP(Table3[[#This Row],[Faction ID]],Table4[],2)</f>
        <v>Harondor</v>
      </c>
    </row>
    <row r="4405" spans="1:10" x14ac:dyDescent="0.25">
      <c r="A4405">
        <v>114</v>
      </c>
      <c r="B4405" t="s">
        <v>35</v>
      </c>
      <c r="C4405">
        <v>0</v>
      </c>
      <c r="D4405">
        <v>0</v>
      </c>
      <c r="E4405">
        <v>0</v>
      </c>
      <c r="F4405">
        <v>4000</v>
      </c>
      <c r="G4405">
        <v>1750</v>
      </c>
      <c r="H4405">
        <v>0</v>
      </c>
      <c r="J4405" t="str">
        <f>VLOOKUP(Table3[[#This Row],[Faction ID]],Table4[],2)</f>
        <v>Southron Nomads</v>
      </c>
    </row>
    <row r="4406" spans="1:10" x14ac:dyDescent="0.25">
      <c r="A4406">
        <v>114</v>
      </c>
      <c r="B4406" t="s">
        <v>36</v>
      </c>
      <c r="C4406">
        <v>0</v>
      </c>
      <c r="D4406">
        <v>0</v>
      </c>
      <c r="E4406">
        <v>0</v>
      </c>
      <c r="F4406">
        <v>4000</v>
      </c>
      <c r="G4406">
        <v>1750</v>
      </c>
      <c r="H4406">
        <v>0</v>
      </c>
      <c r="J4406" t="str">
        <f>VLOOKUP(Table3[[#This Row],[Faction ID]],Table4[],2)</f>
        <v>_</v>
      </c>
    </row>
    <row r="4407" spans="1:10" x14ac:dyDescent="0.25">
      <c r="A4407">
        <v>114</v>
      </c>
      <c r="B4407" t="s">
        <v>37</v>
      </c>
      <c r="C4407">
        <v>0</v>
      </c>
      <c r="D4407">
        <v>0</v>
      </c>
      <c r="E4407">
        <v>0</v>
      </c>
      <c r="F4407">
        <v>4000</v>
      </c>
      <c r="G4407">
        <v>1750</v>
      </c>
      <c r="H4407">
        <v>0</v>
      </c>
      <c r="J4407" t="str">
        <f>VLOOKUP(Table3[[#This Row],[Faction ID]],Table4[],2)</f>
        <v>_</v>
      </c>
    </row>
    <row r="4408" spans="1:10" x14ac:dyDescent="0.25">
      <c r="A4408">
        <v>114</v>
      </c>
      <c r="B4408" t="s">
        <v>38</v>
      </c>
      <c r="C4408">
        <v>0</v>
      </c>
      <c r="D4408">
        <v>0</v>
      </c>
      <c r="E4408">
        <v>0</v>
      </c>
      <c r="F4408">
        <v>4000</v>
      </c>
      <c r="G4408">
        <v>1750</v>
      </c>
      <c r="H4408">
        <v>0</v>
      </c>
      <c r="J4408" t="str">
        <f>VLOOKUP(Table3[[#This Row],[Faction ID]],Table4[],2)</f>
        <v>_</v>
      </c>
    </row>
    <row r="4409" spans="1:10" x14ac:dyDescent="0.25">
      <c r="A4409">
        <v>114</v>
      </c>
      <c r="B4409" t="s">
        <v>39</v>
      </c>
      <c r="C4409">
        <v>0</v>
      </c>
      <c r="D4409">
        <v>0</v>
      </c>
      <c r="E4409">
        <v>0</v>
      </c>
      <c r="F4409">
        <v>4000</v>
      </c>
      <c r="G4409">
        <v>1750</v>
      </c>
      <c r="H4409">
        <v>0</v>
      </c>
      <c r="J4409" t="str">
        <f>VLOOKUP(Table3[[#This Row],[Faction ID]],Table4[],2)</f>
        <v>_</v>
      </c>
    </row>
    <row r="4410" spans="1:10" x14ac:dyDescent="0.25">
      <c r="A4410">
        <v>114</v>
      </c>
      <c r="B4410" t="s">
        <v>40</v>
      </c>
      <c r="C4410">
        <v>0</v>
      </c>
      <c r="D4410">
        <v>0</v>
      </c>
      <c r="E4410">
        <v>0</v>
      </c>
      <c r="F4410">
        <v>4000</v>
      </c>
      <c r="G4410">
        <v>1750</v>
      </c>
      <c r="H4410">
        <v>0</v>
      </c>
      <c r="J4410" t="str">
        <f>VLOOKUP(Table3[[#This Row],[Faction ID]],Table4[],2)</f>
        <v>_</v>
      </c>
    </row>
    <row r="4411" spans="1:10" x14ac:dyDescent="0.25">
      <c r="A4411">
        <v>114</v>
      </c>
      <c r="B4411" t="s">
        <v>41</v>
      </c>
      <c r="C4411">
        <v>0</v>
      </c>
      <c r="D4411">
        <v>0</v>
      </c>
      <c r="E4411">
        <v>0</v>
      </c>
      <c r="F4411">
        <v>4000</v>
      </c>
      <c r="G4411">
        <v>1750</v>
      </c>
      <c r="H4411">
        <v>0</v>
      </c>
      <c r="J4411" t="str">
        <f>VLOOKUP(Table3[[#This Row],[Faction ID]],Table4[],2)</f>
        <v>_</v>
      </c>
    </row>
    <row r="4412" spans="1:10" x14ac:dyDescent="0.25">
      <c r="A4412">
        <v>114</v>
      </c>
      <c r="B4412" t="s">
        <v>42</v>
      </c>
      <c r="C4412">
        <v>0</v>
      </c>
      <c r="D4412">
        <v>0</v>
      </c>
      <c r="E4412">
        <v>0</v>
      </c>
      <c r="F4412">
        <v>4000</v>
      </c>
      <c r="G4412">
        <v>1750</v>
      </c>
      <c r="H4412">
        <v>0</v>
      </c>
      <c r="J4412" t="str">
        <f>VLOOKUP(Table3[[#This Row],[Faction ID]],Table4[],2)</f>
        <v>_</v>
      </c>
    </row>
    <row r="4413" spans="1:10" x14ac:dyDescent="0.25">
      <c r="A4413">
        <v>114</v>
      </c>
      <c r="B4413" t="s">
        <v>43</v>
      </c>
      <c r="C4413">
        <v>0</v>
      </c>
      <c r="D4413">
        <v>0</v>
      </c>
      <c r="E4413">
        <v>0</v>
      </c>
      <c r="F4413">
        <v>4000</v>
      </c>
      <c r="G4413">
        <v>1750</v>
      </c>
      <c r="H4413">
        <v>0</v>
      </c>
      <c r="J4413" t="str">
        <f>VLOOKUP(Table3[[#This Row],[Faction ID]],Table4[],2)</f>
        <v>_</v>
      </c>
    </row>
    <row r="4414" spans="1:10" x14ac:dyDescent="0.25">
      <c r="A4414">
        <v>114</v>
      </c>
      <c r="B4414" t="s">
        <v>44</v>
      </c>
      <c r="C4414">
        <v>0</v>
      </c>
      <c r="D4414">
        <v>0</v>
      </c>
      <c r="E4414">
        <v>0</v>
      </c>
      <c r="F4414">
        <v>4000</v>
      </c>
      <c r="G4414">
        <v>1750</v>
      </c>
      <c r="H4414">
        <v>0</v>
      </c>
      <c r="J4414" t="str">
        <f>VLOOKUP(Table3[[#This Row],[Faction ID]],Table4[],2)</f>
        <v>_</v>
      </c>
    </row>
    <row r="4415" spans="1:10" x14ac:dyDescent="0.25">
      <c r="A4415">
        <v>115</v>
      </c>
      <c r="B4415" t="s">
        <v>9</v>
      </c>
      <c r="C4415">
        <v>592</v>
      </c>
      <c r="D4415">
        <v>33</v>
      </c>
      <c r="E4415">
        <v>438.4</v>
      </c>
      <c r="F4415">
        <v>5012</v>
      </c>
      <c r="G4415">
        <v>62049</v>
      </c>
      <c r="H4415">
        <v>3572</v>
      </c>
      <c r="J4415" t="str">
        <f>VLOOKUP(Table3[[#This Row],[Faction ID]],Table4[],2)</f>
        <v>Mordor</v>
      </c>
    </row>
    <row r="4416" spans="1:10" x14ac:dyDescent="0.25">
      <c r="A4416">
        <v>115</v>
      </c>
      <c r="B4416" t="s">
        <v>4</v>
      </c>
      <c r="C4416">
        <v>146</v>
      </c>
      <c r="D4416">
        <v>0</v>
      </c>
      <c r="E4416">
        <v>0</v>
      </c>
      <c r="F4416">
        <v>55420</v>
      </c>
      <c r="G4416">
        <v>2500</v>
      </c>
      <c r="H4416">
        <v>0</v>
      </c>
      <c r="J4416" t="str">
        <f>VLOOKUP(Table3[[#This Row],[Faction ID]],Table4[],2)</f>
        <v>Gondor</v>
      </c>
    </row>
    <row r="4417" spans="1:10" x14ac:dyDescent="0.25">
      <c r="A4417">
        <v>115</v>
      </c>
      <c r="B4417" t="s">
        <v>6</v>
      </c>
      <c r="C4417">
        <v>199</v>
      </c>
      <c r="D4417">
        <v>0</v>
      </c>
      <c r="E4417">
        <v>0</v>
      </c>
      <c r="F4417">
        <v>10343</v>
      </c>
      <c r="G4417">
        <v>2500</v>
      </c>
      <c r="H4417">
        <v>0</v>
      </c>
      <c r="J4417" t="str">
        <f>VLOOKUP(Table3[[#This Row],[Faction ID]],Table4[],2)</f>
        <v>Dale</v>
      </c>
    </row>
    <row r="4418" spans="1:10" x14ac:dyDescent="0.25">
      <c r="A4418">
        <v>115</v>
      </c>
      <c r="B4418" t="s">
        <v>21</v>
      </c>
      <c r="C4418">
        <v>200</v>
      </c>
      <c r="D4418">
        <v>0</v>
      </c>
      <c r="E4418">
        <v>0</v>
      </c>
      <c r="F4418">
        <v>10040</v>
      </c>
      <c r="G4418">
        <v>2500</v>
      </c>
      <c r="H4418">
        <v>0</v>
      </c>
      <c r="J4418" t="str">
        <f>VLOOKUP(Table3[[#This Row],[Faction ID]],Table4[],2)</f>
        <v>Erebor</v>
      </c>
    </row>
    <row r="4419" spans="1:10" x14ac:dyDescent="0.25">
      <c r="A4419">
        <v>115</v>
      </c>
      <c r="B4419" t="s">
        <v>5</v>
      </c>
      <c r="C4419">
        <v>157</v>
      </c>
      <c r="D4419">
        <v>0</v>
      </c>
      <c r="E4419">
        <v>0</v>
      </c>
      <c r="F4419">
        <v>6638</v>
      </c>
      <c r="G4419">
        <v>2500</v>
      </c>
      <c r="H4419">
        <v>0</v>
      </c>
      <c r="J4419" t="str">
        <f>VLOOKUP(Table3[[#This Row],[Faction ID]],Table4[],2)</f>
        <v>Rohan</v>
      </c>
    </row>
    <row r="4420" spans="1:10" x14ac:dyDescent="0.25">
      <c r="A4420">
        <v>115</v>
      </c>
      <c r="B4420" t="s">
        <v>12</v>
      </c>
      <c r="C4420">
        <v>464</v>
      </c>
      <c r="D4420">
        <v>21</v>
      </c>
      <c r="E4420">
        <v>323.10000000000002</v>
      </c>
      <c r="F4420">
        <v>200205</v>
      </c>
      <c r="G4420">
        <v>46798</v>
      </c>
      <c r="H4420">
        <v>3540</v>
      </c>
      <c r="J4420" t="str">
        <f>VLOOKUP(Table3[[#This Row],[Faction ID]],Table4[],2)</f>
        <v>Dol Guldur</v>
      </c>
    </row>
    <row r="4421" spans="1:10" x14ac:dyDescent="0.25">
      <c r="A4421">
        <v>115</v>
      </c>
      <c r="B4421" t="s">
        <v>10</v>
      </c>
      <c r="C4421">
        <v>58</v>
      </c>
      <c r="D4421">
        <v>0</v>
      </c>
      <c r="E4421">
        <v>0</v>
      </c>
      <c r="F4421">
        <v>4515</v>
      </c>
      <c r="G4421">
        <v>2500</v>
      </c>
      <c r="H4421">
        <v>0</v>
      </c>
      <c r="J4421" t="str">
        <f>VLOOKUP(Table3[[#This Row],[Faction ID]],Table4[],2)</f>
        <v>Anduin Vale</v>
      </c>
    </row>
    <row r="4422" spans="1:10" x14ac:dyDescent="0.25">
      <c r="A4422">
        <v>115</v>
      </c>
      <c r="B4422" t="s">
        <v>32</v>
      </c>
      <c r="C4422">
        <v>286</v>
      </c>
      <c r="D4422">
        <v>7</v>
      </c>
      <c r="E4422">
        <v>186</v>
      </c>
      <c r="F4422">
        <v>26165</v>
      </c>
      <c r="G4422">
        <v>28650</v>
      </c>
      <c r="H4422">
        <v>1547</v>
      </c>
      <c r="J4422" t="str">
        <f>VLOOKUP(Table3[[#This Row],[Faction ID]],Table4[],2)</f>
        <v>Isengard</v>
      </c>
    </row>
    <row r="4423" spans="1:10" x14ac:dyDescent="0.25">
      <c r="A4423">
        <v>115</v>
      </c>
      <c r="B4423" t="s">
        <v>22</v>
      </c>
      <c r="C4423">
        <v>30</v>
      </c>
      <c r="D4423">
        <v>0</v>
      </c>
      <c r="E4423">
        <v>0</v>
      </c>
      <c r="F4423">
        <v>8475</v>
      </c>
      <c r="G4423">
        <v>2500</v>
      </c>
      <c r="H4423">
        <v>0</v>
      </c>
      <c r="J4423" t="str">
        <f>VLOOKUP(Table3[[#This Row],[Faction ID]],Table4[],2)</f>
        <v>Woodland Realm</v>
      </c>
    </row>
    <row r="4424" spans="1:10" x14ac:dyDescent="0.25">
      <c r="A4424">
        <v>115</v>
      </c>
      <c r="B4424" t="s">
        <v>23</v>
      </c>
      <c r="C4424">
        <v>64</v>
      </c>
      <c r="D4424">
        <v>0</v>
      </c>
      <c r="E4424">
        <v>0</v>
      </c>
      <c r="F4424">
        <v>4721</v>
      </c>
      <c r="G4424">
        <v>2500</v>
      </c>
      <c r="H4424">
        <v>0</v>
      </c>
      <c r="J4424" t="str">
        <f>VLOOKUP(Table3[[#This Row],[Faction ID]],Table4[],2)</f>
        <v>Lothlorien</v>
      </c>
    </row>
    <row r="4425" spans="1:10" x14ac:dyDescent="0.25">
      <c r="A4425">
        <v>115</v>
      </c>
      <c r="B4425" t="s">
        <v>24</v>
      </c>
      <c r="C4425">
        <v>0</v>
      </c>
      <c r="D4425">
        <v>0</v>
      </c>
      <c r="E4425">
        <v>0</v>
      </c>
      <c r="F4425">
        <v>4919</v>
      </c>
      <c r="G4425">
        <v>1750</v>
      </c>
      <c r="H4425">
        <v>0</v>
      </c>
      <c r="J4425" t="str">
        <f>VLOOKUP(Table3[[#This Row],[Faction ID]],Table4[],2)</f>
        <v>Variags (Khand)</v>
      </c>
    </row>
    <row r="4426" spans="1:10" x14ac:dyDescent="0.25">
      <c r="A4426">
        <v>115</v>
      </c>
      <c r="B4426" t="s">
        <v>14</v>
      </c>
      <c r="C4426">
        <v>19</v>
      </c>
      <c r="D4426">
        <v>13</v>
      </c>
      <c r="E4426">
        <v>247.8</v>
      </c>
      <c r="F4426">
        <v>86815</v>
      </c>
      <c r="G4426">
        <v>50794</v>
      </c>
      <c r="H4426">
        <v>4002</v>
      </c>
      <c r="J4426" t="str">
        <f>VLOOKUP(Table3[[#This Row],[Faction ID]],Table4[],2)</f>
        <v>Corsairs of Umbar</v>
      </c>
    </row>
    <row r="4427" spans="1:10" x14ac:dyDescent="0.25">
      <c r="A4427">
        <v>115</v>
      </c>
      <c r="B4427" t="s">
        <v>25</v>
      </c>
      <c r="C4427">
        <v>0</v>
      </c>
      <c r="D4427">
        <v>0</v>
      </c>
      <c r="E4427">
        <v>0</v>
      </c>
      <c r="F4427">
        <v>9228</v>
      </c>
      <c r="G4427">
        <v>1750</v>
      </c>
      <c r="H4427">
        <v>0</v>
      </c>
      <c r="J4427" t="str">
        <f>VLOOKUP(Table3[[#This Row],[Faction ID]],Table4[],2)</f>
        <v>Mahud</v>
      </c>
    </row>
    <row r="4428" spans="1:10" x14ac:dyDescent="0.25">
      <c r="A4428">
        <v>115</v>
      </c>
      <c r="B4428" t="s">
        <v>11</v>
      </c>
      <c r="C4428">
        <v>255</v>
      </c>
      <c r="D4428">
        <v>15</v>
      </c>
      <c r="E4428">
        <v>227.5</v>
      </c>
      <c r="F4428">
        <v>41985</v>
      </c>
      <c r="G4428">
        <v>36327</v>
      </c>
      <c r="H4428">
        <v>2591</v>
      </c>
      <c r="J4428" t="str">
        <f>VLOOKUP(Table3[[#This Row],[Faction ID]],Table4[],2)</f>
        <v>Haradrim</v>
      </c>
    </row>
    <row r="4429" spans="1:10" x14ac:dyDescent="0.25">
      <c r="A4429">
        <v>115</v>
      </c>
      <c r="B4429" t="s">
        <v>15</v>
      </c>
      <c r="C4429">
        <v>289</v>
      </c>
      <c r="D4429">
        <v>12</v>
      </c>
      <c r="E4429">
        <v>247</v>
      </c>
      <c r="F4429">
        <v>140063</v>
      </c>
      <c r="G4429">
        <v>48687</v>
      </c>
      <c r="H4429">
        <v>2726</v>
      </c>
      <c r="J4429" t="str">
        <f>VLOOKUP(Table3[[#This Row],[Faction ID]],Table4[],2)</f>
        <v>Dunlendings</v>
      </c>
    </row>
    <row r="4430" spans="1:10" x14ac:dyDescent="0.25">
      <c r="A4430">
        <v>115</v>
      </c>
      <c r="B4430" t="s">
        <v>16</v>
      </c>
      <c r="C4430">
        <v>0</v>
      </c>
      <c r="D4430">
        <v>0</v>
      </c>
      <c r="E4430">
        <v>0</v>
      </c>
      <c r="F4430">
        <v>5352</v>
      </c>
      <c r="G4430">
        <v>1750</v>
      </c>
      <c r="H4430">
        <v>0</v>
      </c>
      <c r="J4430" t="str">
        <f>VLOOKUP(Table3[[#This Row],[Faction ID]],Table4[],2)</f>
        <v>Haerrim</v>
      </c>
    </row>
    <row r="4431" spans="1:10" x14ac:dyDescent="0.25">
      <c r="A4431">
        <v>115</v>
      </c>
      <c r="B4431" t="s">
        <v>13</v>
      </c>
      <c r="C4431">
        <v>579</v>
      </c>
      <c r="D4431">
        <v>22</v>
      </c>
      <c r="E4431">
        <v>518.5</v>
      </c>
      <c r="F4431">
        <v>189122</v>
      </c>
      <c r="G4431">
        <v>72188</v>
      </c>
      <c r="H4431">
        <v>5329</v>
      </c>
      <c r="J4431" t="str">
        <f>VLOOKUP(Table3[[#This Row],[Faction ID]],Table4[],2)</f>
        <v>Goblins</v>
      </c>
    </row>
    <row r="4432" spans="1:10" x14ac:dyDescent="0.25">
      <c r="A4432">
        <v>115</v>
      </c>
      <c r="B4432" t="s">
        <v>17</v>
      </c>
      <c r="C4432">
        <v>0</v>
      </c>
      <c r="D4432">
        <v>0</v>
      </c>
      <c r="E4432">
        <v>0</v>
      </c>
      <c r="F4432">
        <v>4872</v>
      </c>
      <c r="G4432">
        <v>1750</v>
      </c>
      <c r="H4432">
        <v>0</v>
      </c>
      <c r="J4432" t="str">
        <f>VLOOKUP(Table3[[#This Row],[Faction ID]],Table4[],2)</f>
        <v>Balchoth</v>
      </c>
    </row>
    <row r="4433" spans="1:10" x14ac:dyDescent="0.25">
      <c r="A4433">
        <v>115</v>
      </c>
      <c r="B4433" t="s">
        <v>18</v>
      </c>
      <c r="C4433">
        <v>555</v>
      </c>
      <c r="D4433">
        <v>24</v>
      </c>
      <c r="E4433">
        <v>391</v>
      </c>
      <c r="F4433">
        <v>74400</v>
      </c>
      <c r="G4433">
        <v>44156</v>
      </c>
      <c r="H4433">
        <v>2943</v>
      </c>
      <c r="J4433" t="str">
        <f>VLOOKUP(Table3[[#This Row],[Faction ID]],Table4[],2)</f>
        <v>Rhurim/Rhun</v>
      </c>
    </row>
    <row r="4434" spans="1:10" x14ac:dyDescent="0.25">
      <c r="A4434">
        <v>115</v>
      </c>
      <c r="B4434" t="s">
        <v>19</v>
      </c>
      <c r="C4434">
        <v>0</v>
      </c>
      <c r="D4434">
        <v>0</v>
      </c>
      <c r="E4434">
        <v>0</v>
      </c>
      <c r="F4434">
        <v>7360</v>
      </c>
      <c r="G4434">
        <v>1750</v>
      </c>
      <c r="H4434">
        <v>0</v>
      </c>
      <c r="J4434" t="str">
        <f>VLOOKUP(Table3[[#This Row],[Faction ID]],Table4[],2)</f>
        <v>Feredrim</v>
      </c>
    </row>
    <row r="4435" spans="1:10" x14ac:dyDescent="0.25">
      <c r="A4435">
        <v>115</v>
      </c>
      <c r="B4435" t="s">
        <v>26</v>
      </c>
      <c r="C4435">
        <v>0</v>
      </c>
      <c r="D4435">
        <v>0</v>
      </c>
      <c r="E4435">
        <v>0</v>
      </c>
      <c r="F4435">
        <v>6395</v>
      </c>
      <c r="G4435">
        <v>1750</v>
      </c>
      <c r="H4435">
        <v>0</v>
      </c>
      <c r="J4435" t="str">
        <f>VLOOKUP(Table3[[#This Row],[Faction ID]],Table4[],2)</f>
        <v>Rachrohir (Wainriders)</v>
      </c>
    </row>
    <row r="4436" spans="1:10" x14ac:dyDescent="0.25">
      <c r="A4436">
        <v>115</v>
      </c>
      <c r="B4436" t="s">
        <v>27</v>
      </c>
      <c r="C4436">
        <v>2</v>
      </c>
      <c r="D4436">
        <v>2</v>
      </c>
      <c r="E4436">
        <v>43.4</v>
      </c>
      <c r="F4436">
        <v>7251</v>
      </c>
      <c r="G4436">
        <v>7326</v>
      </c>
      <c r="H4436">
        <v>446</v>
      </c>
      <c r="J4436" t="str">
        <f>VLOOKUP(Table3[[#This Row],[Faction ID]],Table4[],2)</f>
        <v>Blacklock-Stonefoot League</v>
      </c>
    </row>
    <row r="4437" spans="1:10" x14ac:dyDescent="0.25">
      <c r="A4437">
        <v>115</v>
      </c>
      <c r="B4437" t="s">
        <v>28</v>
      </c>
      <c r="C4437">
        <v>5</v>
      </c>
      <c r="D4437">
        <v>2</v>
      </c>
      <c r="E4437">
        <v>17</v>
      </c>
      <c r="F4437">
        <v>6064</v>
      </c>
      <c r="G4437">
        <v>3915</v>
      </c>
      <c r="H4437">
        <v>0</v>
      </c>
      <c r="J4437" t="str">
        <f>VLOOKUP(Table3[[#This Row],[Faction ID]],Table4[],2)</f>
        <v>Ironfist-Stiffbeard Union</v>
      </c>
    </row>
    <row r="4438" spans="1:10" x14ac:dyDescent="0.25">
      <c r="A4438">
        <v>115</v>
      </c>
      <c r="B4438" t="s">
        <v>20</v>
      </c>
      <c r="C4438">
        <v>245</v>
      </c>
      <c r="D4438">
        <v>0</v>
      </c>
      <c r="E4438">
        <v>0</v>
      </c>
      <c r="F4438">
        <v>9750</v>
      </c>
      <c r="G4438">
        <v>2500</v>
      </c>
      <c r="H4438">
        <v>0</v>
      </c>
      <c r="J4438" t="str">
        <f>VLOOKUP(Table3[[#This Row],[Faction ID]],Table4[],2)</f>
        <v>Gundabad</v>
      </c>
    </row>
    <row r="4439" spans="1:10" x14ac:dyDescent="0.25">
      <c r="A4439">
        <v>115</v>
      </c>
      <c r="B4439" t="s">
        <v>34</v>
      </c>
      <c r="C4439">
        <v>0</v>
      </c>
      <c r="D4439">
        <v>0</v>
      </c>
      <c r="E4439">
        <v>3</v>
      </c>
      <c r="F4439">
        <v>132169</v>
      </c>
      <c r="G4439">
        <v>2354</v>
      </c>
      <c r="H4439">
        <v>0</v>
      </c>
      <c r="J4439" t="str">
        <f>VLOOKUP(Table3[[#This Row],[Faction ID]],Table4[],2)</f>
        <v>Scouts of Rohan</v>
      </c>
    </row>
    <row r="4440" spans="1:10" x14ac:dyDescent="0.25">
      <c r="A4440">
        <v>115</v>
      </c>
      <c r="B4440" t="s">
        <v>33</v>
      </c>
      <c r="C4440">
        <v>6</v>
      </c>
      <c r="D4440">
        <v>4</v>
      </c>
      <c r="E4440">
        <v>95</v>
      </c>
      <c r="F4440">
        <v>134097</v>
      </c>
      <c r="G4440">
        <v>21950</v>
      </c>
      <c r="H4440">
        <v>1123</v>
      </c>
      <c r="J4440" t="str">
        <f>VLOOKUP(Table3[[#This Row],[Faction ID]],Table4[],2)</f>
        <v>Northern Enedwaith</v>
      </c>
    </row>
    <row r="4441" spans="1:10" x14ac:dyDescent="0.25">
      <c r="A4441">
        <v>115</v>
      </c>
      <c r="B4441" t="s">
        <v>29</v>
      </c>
      <c r="C4441">
        <v>0</v>
      </c>
      <c r="D4441">
        <v>0</v>
      </c>
      <c r="E4441">
        <v>0</v>
      </c>
      <c r="F4441">
        <v>54023</v>
      </c>
      <c r="G4441">
        <v>1750</v>
      </c>
      <c r="H4441">
        <v>0</v>
      </c>
      <c r="J4441" t="str">
        <f>VLOOKUP(Table3[[#This Row],[Faction ID]],Table4[],2)</f>
        <v>Southern Enedwaith</v>
      </c>
    </row>
    <row r="4442" spans="1:10" x14ac:dyDescent="0.25">
      <c r="A4442">
        <v>115</v>
      </c>
      <c r="B4442" t="s">
        <v>30</v>
      </c>
      <c r="C4442">
        <v>0</v>
      </c>
      <c r="D4442">
        <v>0</v>
      </c>
      <c r="E4442">
        <v>0</v>
      </c>
      <c r="F4442">
        <v>32146</v>
      </c>
      <c r="G4442">
        <v>1750</v>
      </c>
      <c r="H4442">
        <v>0</v>
      </c>
      <c r="J4442" t="str">
        <f>VLOOKUP(Table3[[#This Row],[Faction ID]],Table4[],2)</f>
        <v>Druedain</v>
      </c>
    </row>
    <row r="4443" spans="1:10" x14ac:dyDescent="0.25">
      <c r="A4443">
        <v>115</v>
      </c>
      <c r="B4443" t="s">
        <v>31</v>
      </c>
      <c r="C4443">
        <v>0</v>
      </c>
      <c r="D4443">
        <v>0</v>
      </c>
      <c r="E4443">
        <v>0</v>
      </c>
      <c r="F4443">
        <v>15146</v>
      </c>
      <c r="G4443">
        <v>1750</v>
      </c>
      <c r="H4443">
        <v>0</v>
      </c>
      <c r="J4443" t="str">
        <f>VLOOKUP(Table3[[#This Row],[Faction ID]],Table4[],2)</f>
        <v>Harondor</v>
      </c>
    </row>
    <row r="4444" spans="1:10" x14ac:dyDescent="0.25">
      <c r="A4444">
        <v>115</v>
      </c>
      <c r="B4444" t="s">
        <v>35</v>
      </c>
      <c r="C4444">
        <v>0</v>
      </c>
      <c r="D4444">
        <v>0</v>
      </c>
      <c r="E4444">
        <v>0</v>
      </c>
      <c r="F4444">
        <v>4000</v>
      </c>
      <c r="G4444">
        <v>1750</v>
      </c>
      <c r="H4444">
        <v>0</v>
      </c>
      <c r="J4444" t="str">
        <f>VLOOKUP(Table3[[#This Row],[Faction ID]],Table4[],2)</f>
        <v>Southron Nomads</v>
      </c>
    </row>
    <row r="4445" spans="1:10" x14ac:dyDescent="0.25">
      <c r="A4445">
        <v>115</v>
      </c>
      <c r="B4445" t="s">
        <v>36</v>
      </c>
      <c r="C4445">
        <v>0</v>
      </c>
      <c r="D4445">
        <v>0</v>
      </c>
      <c r="E4445">
        <v>0</v>
      </c>
      <c r="F4445">
        <v>4000</v>
      </c>
      <c r="G4445">
        <v>1750</v>
      </c>
      <c r="H4445">
        <v>0</v>
      </c>
      <c r="J4445" t="str">
        <f>VLOOKUP(Table3[[#This Row],[Faction ID]],Table4[],2)</f>
        <v>_</v>
      </c>
    </row>
    <row r="4446" spans="1:10" x14ac:dyDescent="0.25">
      <c r="A4446">
        <v>115</v>
      </c>
      <c r="B4446" t="s">
        <v>37</v>
      </c>
      <c r="C4446">
        <v>0</v>
      </c>
      <c r="D4446">
        <v>0</v>
      </c>
      <c r="E4446">
        <v>0</v>
      </c>
      <c r="F4446">
        <v>4000</v>
      </c>
      <c r="G4446">
        <v>1750</v>
      </c>
      <c r="H4446">
        <v>0</v>
      </c>
      <c r="J4446" t="str">
        <f>VLOOKUP(Table3[[#This Row],[Faction ID]],Table4[],2)</f>
        <v>_</v>
      </c>
    </row>
    <row r="4447" spans="1:10" x14ac:dyDescent="0.25">
      <c r="A4447">
        <v>115</v>
      </c>
      <c r="B4447" t="s">
        <v>38</v>
      </c>
      <c r="C4447">
        <v>0</v>
      </c>
      <c r="D4447">
        <v>0</v>
      </c>
      <c r="E4447">
        <v>0</v>
      </c>
      <c r="F4447">
        <v>4000</v>
      </c>
      <c r="G4447">
        <v>1750</v>
      </c>
      <c r="H4447">
        <v>0</v>
      </c>
      <c r="J4447" t="str">
        <f>VLOOKUP(Table3[[#This Row],[Faction ID]],Table4[],2)</f>
        <v>_</v>
      </c>
    </row>
    <row r="4448" spans="1:10" x14ac:dyDescent="0.25">
      <c r="A4448">
        <v>115</v>
      </c>
      <c r="B4448" t="s">
        <v>39</v>
      </c>
      <c r="C4448">
        <v>0</v>
      </c>
      <c r="D4448">
        <v>0</v>
      </c>
      <c r="E4448">
        <v>0</v>
      </c>
      <c r="F4448">
        <v>4000</v>
      </c>
      <c r="G4448">
        <v>1750</v>
      </c>
      <c r="H4448">
        <v>0</v>
      </c>
      <c r="J4448" t="str">
        <f>VLOOKUP(Table3[[#This Row],[Faction ID]],Table4[],2)</f>
        <v>_</v>
      </c>
    </row>
    <row r="4449" spans="1:10" x14ac:dyDescent="0.25">
      <c r="A4449">
        <v>115</v>
      </c>
      <c r="B4449" t="s">
        <v>40</v>
      </c>
      <c r="C4449">
        <v>0</v>
      </c>
      <c r="D4449">
        <v>0</v>
      </c>
      <c r="E4449">
        <v>0</v>
      </c>
      <c r="F4449">
        <v>4000</v>
      </c>
      <c r="G4449">
        <v>1750</v>
      </c>
      <c r="H4449">
        <v>0</v>
      </c>
      <c r="J4449" t="str">
        <f>VLOOKUP(Table3[[#This Row],[Faction ID]],Table4[],2)</f>
        <v>_</v>
      </c>
    </row>
    <row r="4450" spans="1:10" x14ac:dyDescent="0.25">
      <c r="A4450">
        <v>115</v>
      </c>
      <c r="B4450" t="s">
        <v>41</v>
      </c>
      <c r="C4450">
        <v>0</v>
      </c>
      <c r="D4450">
        <v>0</v>
      </c>
      <c r="E4450">
        <v>0</v>
      </c>
      <c r="F4450">
        <v>4000</v>
      </c>
      <c r="G4450">
        <v>1750</v>
      </c>
      <c r="H4450">
        <v>0</v>
      </c>
      <c r="J4450" t="str">
        <f>VLOOKUP(Table3[[#This Row],[Faction ID]],Table4[],2)</f>
        <v>_</v>
      </c>
    </row>
    <row r="4451" spans="1:10" x14ac:dyDescent="0.25">
      <c r="A4451">
        <v>115</v>
      </c>
      <c r="B4451" t="s">
        <v>42</v>
      </c>
      <c r="C4451">
        <v>0</v>
      </c>
      <c r="D4451">
        <v>0</v>
      </c>
      <c r="E4451">
        <v>0</v>
      </c>
      <c r="F4451">
        <v>4000</v>
      </c>
      <c r="G4451">
        <v>1750</v>
      </c>
      <c r="H4451">
        <v>0</v>
      </c>
      <c r="J4451" t="str">
        <f>VLOOKUP(Table3[[#This Row],[Faction ID]],Table4[],2)</f>
        <v>_</v>
      </c>
    </row>
    <row r="4452" spans="1:10" x14ac:dyDescent="0.25">
      <c r="A4452">
        <v>115</v>
      </c>
      <c r="B4452" t="s">
        <v>43</v>
      </c>
      <c r="C4452">
        <v>0</v>
      </c>
      <c r="D4452">
        <v>0</v>
      </c>
      <c r="E4452">
        <v>0</v>
      </c>
      <c r="F4452">
        <v>4000</v>
      </c>
      <c r="G4452">
        <v>1750</v>
      </c>
      <c r="H4452">
        <v>0</v>
      </c>
      <c r="J4452" t="str">
        <f>VLOOKUP(Table3[[#This Row],[Faction ID]],Table4[],2)</f>
        <v>_</v>
      </c>
    </row>
    <row r="4453" spans="1:10" x14ac:dyDescent="0.25">
      <c r="A4453">
        <v>115</v>
      </c>
      <c r="B4453" t="s">
        <v>44</v>
      </c>
      <c r="C4453">
        <v>0</v>
      </c>
      <c r="D4453">
        <v>0</v>
      </c>
      <c r="E4453">
        <v>0</v>
      </c>
      <c r="F4453">
        <v>4000</v>
      </c>
      <c r="G4453">
        <v>1750</v>
      </c>
      <c r="H4453">
        <v>0</v>
      </c>
      <c r="J4453" t="str">
        <f>VLOOKUP(Table3[[#This Row],[Faction ID]],Table4[],2)</f>
        <v>_</v>
      </c>
    </row>
    <row r="4454" spans="1:10" x14ac:dyDescent="0.25">
      <c r="A4454">
        <v>116</v>
      </c>
      <c r="B4454" t="s">
        <v>9</v>
      </c>
      <c r="C4454">
        <v>597</v>
      </c>
      <c r="D4454">
        <v>33</v>
      </c>
      <c r="E4454">
        <v>446.4</v>
      </c>
      <c r="F4454">
        <v>8216</v>
      </c>
      <c r="G4454">
        <v>62490</v>
      </c>
      <c r="H4454">
        <v>3801</v>
      </c>
      <c r="J4454" t="str">
        <f>VLOOKUP(Table3[[#This Row],[Faction ID]],Table4[],2)</f>
        <v>Mordor</v>
      </c>
    </row>
    <row r="4455" spans="1:10" x14ac:dyDescent="0.25">
      <c r="A4455">
        <v>116</v>
      </c>
      <c r="B4455" t="s">
        <v>4</v>
      </c>
      <c r="C4455">
        <v>146</v>
      </c>
      <c r="D4455">
        <v>0</v>
      </c>
      <c r="E4455">
        <v>0</v>
      </c>
      <c r="F4455">
        <v>55420</v>
      </c>
      <c r="G4455">
        <v>2500</v>
      </c>
      <c r="H4455">
        <v>0</v>
      </c>
      <c r="J4455" t="str">
        <f>VLOOKUP(Table3[[#This Row],[Faction ID]],Table4[],2)</f>
        <v>Gondor</v>
      </c>
    </row>
    <row r="4456" spans="1:10" x14ac:dyDescent="0.25">
      <c r="A4456">
        <v>116</v>
      </c>
      <c r="B4456" t="s">
        <v>6</v>
      </c>
      <c r="C4456">
        <v>199</v>
      </c>
      <c r="D4456">
        <v>0</v>
      </c>
      <c r="E4456">
        <v>0</v>
      </c>
      <c r="F4456">
        <v>10343</v>
      </c>
      <c r="G4456">
        <v>2500</v>
      </c>
      <c r="H4456">
        <v>0</v>
      </c>
      <c r="J4456" t="str">
        <f>VLOOKUP(Table3[[#This Row],[Faction ID]],Table4[],2)</f>
        <v>Dale</v>
      </c>
    </row>
    <row r="4457" spans="1:10" x14ac:dyDescent="0.25">
      <c r="A4457">
        <v>116</v>
      </c>
      <c r="B4457" t="s">
        <v>21</v>
      </c>
      <c r="C4457">
        <v>200</v>
      </c>
      <c r="D4457">
        <v>0</v>
      </c>
      <c r="E4457">
        <v>0</v>
      </c>
      <c r="F4457">
        <v>10040</v>
      </c>
      <c r="G4457">
        <v>2500</v>
      </c>
      <c r="H4457">
        <v>0</v>
      </c>
      <c r="J4457" t="str">
        <f>VLOOKUP(Table3[[#This Row],[Faction ID]],Table4[],2)</f>
        <v>Erebor</v>
      </c>
    </row>
    <row r="4458" spans="1:10" x14ac:dyDescent="0.25">
      <c r="A4458">
        <v>116</v>
      </c>
      <c r="B4458" t="s">
        <v>5</v>
      </c>
      <c r="C4458">
        <v>157</v>
      </c>
      <c r="D4458">
        <v>0</v>
      </c>
      <c r="E4458">
        <v>0</v>
      </c>
      <c r="F4458">
        <v>6638</v>
      </c>
      <c r="G4458">
        <v>2500</v>
      </c>
      <c r="H4458">
        <v>0</v>
      </c>
      <c r="J4458" t="str">
        <f>VLOOKUP(Table3[[#This Row],[Faction ID]],Table4[],2)</f>
        <v>Rohan</v>
      </c>
    </row>
    <row r="4459" spans="1:10" x14ac:dyDescent="0.25">
      <c r="A4459">
        <v>116</v>
      </c>
      <c r="B4459" t="s">
        <v>12</v>
      </c>
      <c r="C4459">
        <v>466</v>
      </c>
      <c r="D4459">
        <v>22</v>
      </c>
      <c r="E4459">
        <v>325.10000000000002</v>
      </c>
      <c r="F4459">
        <v>210684</v>
      </c>
      <c r="G4459">
        <v>45901</v>
      </c>
      <c r="H4459">
        <v>1755</v>
      </c>
      <c r="J4459" t="str">
        <f>VLOOKUP(Table3[[#This Row],[Faction ID]],Table4[],2)</f>
        <v>Dol Guldur</v>
      </c>
    </row>
    <row r="4460" spans="1:10" x14ac:dyDescent="0.25">
      <c r="A4460">
        <v>116</v>
      </c>
      <c r="B4460" t="s">
        <v>10</v>
      </c>
      <c r="C4460">
        <v>58</v>
      </c>
      <c r="D4460">
        <v>0</v>
      </c>
      <c r="E4460">
        <v>0</v>
      </c>
      <c r="F4460">
        <v>4515</v>
      </c>
      <c r="G4460">
        <v>2500</v>
      </c>
      <c r="H4460">
        <v>0</v>
      </c>
      <c r="J4460" t="str">
        <f>VLOOKUP(Table3[[#This Row],[Faction ID]],Table4[],2)</f>
        <v>Anduin Vale</v>
      </c>
    </row>
    <row r="4461" spans="1:10" x14ac:dyDescent="0.25">
      <c r="A4461">
        <v>116</v>
      </c>
      <c r="B4461" t="s">
        <v>32</v>
      </c>
      <c r="C4461">
        <v>284</v>
      </c>
      <c r="D4461">
        <v>6</v>
      </c>
      <c r="E4461">
        <v>179.2</v>
      </c>
      <c r="F4461">
        <v>23562</v>
      </c>
      <c r="G4461">
        <v>27584</v>
      </c>
      <c r="H4461">
        <v>1526</v>
      </c>
      <c r="J4461" t="str">
        <f>VLOOKUP(Table3[[#This Row],[Faction ID]],Table4[],2)</f>
        <v>Isengard</v>
      </c>
    </row>
    <row r="4462" spans="1:10" x14ac:dyDescent="0.25">
      <c r="A4462">
        <v>116</v>
      </c>
      <c r="B4462" t="s">
        <v>22</v>
      </c>
      <c r="C4462">
        <v>30</v>
      </c>
      <c r="D4462">
        <v>0</v>
      </c>
      <c r="E4462">
        <v>0</v>
      </c>
      <c r="F4462">
        <v>8475</v>
      </c>
      <c r="G4462">
        <v>2500</v>
      </c>
      <c r="H4462">
        <v>0</v>
      </c>
      <c r="J4462" t="str">
        <f>VLOOKUP(Table3[[#This Row],[Faction ID]],Table4[],2)</f>
        <v>Woodland Realm</v>
      </c>
    </row>
    <row r="4463" spans="1:10" x14ac:dyDescent="0.25">
      <c r="A4463">
        <v>116</v>
      </c>
      <c r="B4463" t="s">
        <v>23</v>
      </c>
      <c r="C4463">
        <v>64</v>
      </c>
      <c r="D4463">
        <v>0</v>
      </c>
      <c r="E4463">
        <v>0</v>
      </c>
      <c r="F4463">
        <v>4721</v>
      </c>
      <c r="G4463">
        <v>2500</v>
      </c>
      <c r="H4463">
        <v>0</v>
      </c>
      <c r="J4463" t="str">
        <f>VLOOKUP(Table3[[#This Row],[Faction ID]],Table4[],2)</f>
        <v>Lothlorien</v>
      </c>
    </row>
    <row r="4464" spans="1:10" x14ac:dyDescent="0.25">
      <c r="A4464">
        <v>116</v>
      </c>
      <c r="B4464" t="s">
        <v>24</v>
      </c>
      <c r="C4464">
        <v>0</v>
      </c>
      <c r="D4464">
        <v>0</v>
      </c>
      <c r="E4464">
        <v>0</v>
      </c>
      <c r="F4464">
        <v>4919</v>
      </c>
      <c r="G4464">
        <v>1750</v>
      </c>
      <c r="H4464">
        <v>0</v>
      </c>
      <c r="J4464" t="str">
        <f>VLOOKUP(Table3[[#This Row],[Faction ID]],Table4[],2)</f>
        <v>Variags (Khand)</v>
      </c>
    </row>
    <row r="4465" spans="1:10" x14ac:dyDescent="0.25">
      <c r="A4465">
        <v>116</v>
      </c>
      <c r="B4465" t="s">
        <v>14</v>
      </c>
      <c r="C4465">
        <v>19</v>
      </c>
      <c r="D4465">
        <v>13</v>
      </c>
      <c r="E4465">
        <v>244.8</v>
      </c>
      <c r="F4465">
        <v>149792</v>
      </c>
      <c r="G4465">
        <v>47038</v>
      </c>
      <c r="H4465">
        <v>3983</v>
      </c>
      <c r="J4465" t="str">
        <f>VLOOKUP(Table3[[#This Row],[Faction ID]],Table4[],2)</f>
        <v>Corsairs of Umbar</v>
      </c>
    </row>
    <row r="4466" spans="1:10" x14ac:dyDescent="0.25">
      <c r="A4466">
        <v>116</v>
      </c>
      <c r="B4466" t="s">
        <v>25</v>
      </c>
      <c r="C4466">
        <v>0</v>
      </c>
      <c r="D4466">
        <v>0</v>
      </c>
      <c r="E4466">
        <v>0</v>
      </c>
      <c r="F4466">
        <v>9228</v>
      </c>
      <c r="G4466">
        <v>1750</v>
      </c>
      <c r="H4466">
        <v>0</v>
      </c>
      <c r="J4466" t="str">
        <f>VLOOKUP(Table3[[#This Row],[Faction ID]],Table4[],2)</f>
        <v>Mahud</v>
      </c>
    </row>
    <row r="4467" spans="1:10" x14ac:dyDescent="0.25">
      <c r="A4467">
        <v>116</v>
      </c>
      <c r="B4467" t="s">
        <v>11</v>
      </c>
      <c r="C4467">
        <v>262</v>
      </c>
      <c r="D4467">
        <v>14</v>
      </c>
      <c r="E4467">
        <v>239</v>
      </c>
      <c r="F4467">
        <v>41549</v>
      </c>
      <c r="G4467">
        <v>34099</v>
      </c>
      <c r="H4467">
        <v>2550</v>
      </c>
      <c r="J4467" t="str">
        <f>VLOOKUP(Table3[[#This Row],[Faction ID]],Table4[],2)</f>
        <v>Haradrim</v>
      </c>
    </row>
    <row r="4468" spans="1:10" x14ac:dyDescent="0.25">
      <c r="A4468">
        <v>116</v>
      </c>
      <c r="B4468" t="s">
        <v>15</v>
      </c>
      <c r="C4468">
        <v>297</v>
      </c>
      <c r="D4468">
        <v>12</v>
      </c>
      <c r="E4468">
        <v>244.6</v>
      </c>
      <c r="F4468">
        <v>141671</v>
      </c>
      <c r="G4468">
        <v>46926</v>
      </c>
      <c r="H4468">
        <v>2809</v>
      </c>
      <c r="J4468" t="str">
        <f>VLOOKUP(Table3[[#This Row],[Faction ID]],Table4[],2)</f>
        <v>Dunlendings</v>
      </c>
    </row>
    <row r="4469" spans="1:10" x14ac:dyDescent="0.25">
      <c r="A4469">
        <v>116</v>
      </c>
      <c r="B4469" t="s">
        <v>16</v>
      </c>
      <c r="C4469">
        <v>0</v>
      </c>
      <c r="D4469">
        <v>0</v>
      </c>
      <c r="E4469">
        <v>0</v>
      </c>
      <c r="F4469">
        <v>5352</v>
      </c>
      <c r="G4469">
        <v>1750</v>
      </c>
      <c r="H4469">
        <v>0</v>
      </c>
      <c r="J4469" t="str">
        <f>VLOOKUP(Table3[[#This Row],[Faction ID]],Table4[],2)</f>
        <v>Haerrim</v>
      </c>
    </row>
    <row r="4470" spans="1:10" x14ac:dyDescent="0.25">
      <c r="A4470">
        <v>116</v>
      </c>
      <c r="B4470" t="s">
        <v>13</v>
      </c>
      <c r="C4470">
        <v>579</v>
      </c>
      <c r="D4470">
        <v>22</v>
      </c>
      <c r="E4470">
        <v>530.5</v>
      </c>
      <c r="F4470">
        <v>187277</v>
      </c>
      <c r="G4470">
        <v>67990</v>
      </c>
      <c r="H4470">
        <v>5295</v>
      </c>
      <c r="J4470" t="str">
        <f>VLOOKUP(Table3[[#This Row],[Faction ID]],Table4[],2)</f>
        <v>Goblins</v>
      </c>
    </row>
    <row r="4471" spans="1:10" x14ac:dyDescent="0.25">
      <c r="A4471">
        <v>116</v>
      </c>
      <c r="B4471" t="s">
        <v>17</v>
      </c>
      <c r="C4471">
        <v>0</v>
      </c>
      <c r="D4471">
        <v>0</v>
      </c>
      <c r="E4471">
        <v>0</v>
      </c>
      <c r="F4471">
        <v>4872</v>
      </c>
      <c r="G4471">
        <v>1750</v>
      </c>
      <c r="H4471">
        <v>0</v>
      </c>
      <c r="J4471" t="str">
        <f>VLOOKUP(Table3[[#This Row],[Faction ID]],Table4[],2)</f>
        <v>Balchoth</v>
      </c>
    </row>
    <row r="4472" spans="1:10" x14ac:dyDescent="0.25">
      <c r="A4472">
        <v>116</v>
      </c>
      <c r="B4472" t="s">
        <v>18</v>
      </c>
      <c r="C4472">
        <v>562</v>
      </c>
      <c r="D4472">
        <v>26</v>
      </c>
      <c r="E4472">
        <v>416.7</v>
      </c>
      <c r="F4472">
        <v>64232</v>
      </c>
      <c r="G4472">
        <v>39983</v>
      </c>
      <c r="H4472">
        <v>0</v>
      </c>
      <c r="J4472" t="str">
        <f>VLOOKUP(Table3[[#This Row],[Faction ID]],Table4[],2)</f>
        <v>Rhurim/Rhun</v>
      </c>
    </row>
    <row r="4473" spans="1:10" x14ac:dyDescent="0.25">
      <c r="A4473">
        <v>116</v>
      </c>
      <c r="B4473" t="s">
        <v>19</v>
      </c>
      <c r="C4473">
        <v>0</v>
      </c>
      <c r="D4473">
        <v>0</v>
      </c>
      <c r="E4473">
        <v>0</v>
      </c>
      <c r="F4473">
        <v>7360</v>
      </c>
      <c r="G4473">
        <v>1750</v>
      </c>
      <c r="H4473">
        <v>0</v>
      </c>
      <c r="J4473" t="str">
        <f>VLOOKUP(Table3[[#This Row],[Faction ID]],Table4[],2)</f>
        <v>Feredrim</v>
      </c>
    </row>
    <row r="4474" spans="1:10" x14ac:dyDescent="0.25">
      <c r="A4474">
        <v>116</v>
      </c>
      <c r="B4474" t="s">
        <v>26</v>
      </c>
      <c r="C4474">
        <v>0</v>
      </c>
      <c r="D4474">
        <v>0</v>
      </c>
      <c r="E4474">
        <v>0</v>
      </c>
      <c r="F4474">
        <v>6395</v>
      </c>
      <c r="G4474">
        <v>1750</v>
      </c>
      <c r="H4474">
        <v>0</v>
      </c>
      <c r="J4474" t="str">
        <f>VLOOKUP(Table3[[#This Row],[Faction ID]],Table4[],2)</f>
        <v>Rachrohir (Wainriders)</v>
      </c>
    </row>
    <row r="4475" spans="1:10" x14ac:dyDescent="0.25">
      <c r="A4475">
        <v>116</v>
      </c>
      <c r="B4475" t="s">
        <v>27</v>
      </c>
      <c r="C4475">
        <v>2</v>
      </c>
      <c r="D4475">
        <v>2</v>
      </c>
      <c r="E4475">
        <v>45.6</v>
      </c>
      <c r="F4475">
        <v>7854</v>
      </c>
      <c r="G4475">
        <v>7537</v>
      </c>
      <c r="H4475">
        <v>433</v>
      </c>
      <c r="J4475" t="str">
        <f>VLOOKUP(Table3[[#This Row],[Faction ID]],Table4[],2)</f>
        <v>Blacklock-Stonefoot League</v>
      </c>
    </row>
    <row r="4476" spans="1:10" x14ac:dyDescent="0.25">
      <c r="A4476">
        <v>116</v>
      </c>
      <c r="B4476" t="s">
        <v>28</v>
      </c>
      <c r="C4476">
        <v>5</v>
      </c>
      <c r="D4476">
        <v>2</v>
      </c>
      <c r="E4476">
        <v>17</v>
      </c>
      <c r="F4476">
        <v>7121</v>
      </c>
      <c r="G4476">
        <v>3693</v>
      </c>
      <c r="H4476">
        <v>0</v>
      </c>
      <c r="J4476" t="str">
        <f>VLOOKUP(Table3[[#This Row],[Faction ID]],Table4[],2)</f>
        <v>Ironfist-Stiffbeard Union</v>
      </c>
    </row>
    <row r="4477" spans="1:10" x14ac:dyDescent="0.25">
      <c r="A4477">
        <v>116</v>
      </c>
      <c r="B4477" t="s">
        <v>20</v>
      </c>
      <c r="C4477">
        <v>245</v>
      </c>
      <c r="D4477">
        <v>0</v>
      </c>
      <c r="E4477">
        <v>0</v>
      </c>
      <c r="F4477">
        <v>9750</v>
      </c>
      <c r="G4477">
        <v>2500</v>
      </c>
      <c r="H4477">
        <v>0</v>
      </c>
      <c r="J4477" t="str">
        <f>VLOOKUP(Table3[[#This Row],[Faction ID]],Table4[],2)</f>
        <v>Gundabad</v>
      </c>
    </row>
    <row r="4478" spans="1:10" x14ac:dyDescent="0.25">
      <c r="A4478">
        <v>116</v>
      </c>
      <c r="B4478" t="s">
        <v>34</v>
      </c>
      <c r="C4478">
        <v>0</v>
      </c>
      <c r="D4478">
        <v>0</v>
      </c>
      <c r="E4478">
        <v>3</v>
      </c>
      <c r="F4478">
        <v>133315</v>
      </c>
      <c r="G4478">
        <v>2354</v>
      </c>
      <c r="H4478">
        <v>0</v>
      </c>
      <c r="J4478" t="str">
        <f>VLOOKUP(Table3[[#This Row],[Faction ID]],Table4[],2)</f>
        <v>Scouts of Rohan</v>
      </c>
    </row>
    <row r="4479" spans="1:10" x14ac:dyDescent="0.25">
      <c r="A4479">
        <v>116</v>
      </c>
      <c r="B4479" t="s">
        <v>33</v>
      </c>
      <c r="C4479">
        <v>6</v>
      </c>
      <c r="D4479">
        <v>4</v>
      </c>
      <c r="E4479">
        <v>95</v>
      </c>
      <c r="F4479">
        <v>138429</v>
      </c>
      <c r="G4479">
        <v>22083</v>
      </c>
      <c r="H4479">
        <v>1124</v>
      </c>
      <c r="J4479" t="str">
        <f>VLOOKUP(Table3[[#This Row],[Faction ID]],Table4[],2)</f>
        <v>Northern Enedwaith</v>
      </c>
    </row>
    <row r="4480" spans="1:10" x14ac:dyDescent="0.25">
      <c r="A4480">
        <v>116</v>
      </c>
      <c r="B4480" t="s">
        <v>29</v>
      </c>
      <c r="C4480">
        <v>0</v>
      </c>
      <c r="D4480">
        <v>0</v>
      </c>
      <c r="E4480">
        <v>0</v>
      </c>
      <c r="F4480">
        <v>54023</v>
      </c>
      <c r="G4480">
        <v>1750</v>
      </c>
      <c r="H4480">
        <v>0</v>
      </c>
      <c r="J4480" t="str">
        <f>VLOOKUP(Table3[[#This Row],[Faction ID]],Table4[],2)</f>
        <v>Southern Enedwaith</v>
      </c>
    </row>
    <row r="4481" spans="1:10" x14ac:dyDescent="0.25">
      <c r="A4481">
        <v>116</v>
      </c>
      <c r="B4481" t="s">
        <v>30</v>
      </c>
      <c r="C4481">
        <v>0</v>
      </c>
      <c r="D4481">
        <v>0</v>
      </c>
      <c r="E4481">
        <v>0</v>
      </c>
      <c r="F4481">
        <v>32146</v>
      </c>
      <c r="G4481">
        <v>1750</v>
      </c>
      <c r="H4481">
        <v>0</v>
      </c>
      <c r="J4481" t="str">
        <f>VLOOKUP(Table3[[#This Row],[Faction ID]],Table4[],2)</f>
        <v>Druedain</v>
      </c>
    </row>
    <row r="4482" spans="1:10" x14ac:dyDescent="0.25">
      <c r="A4482">
        <v>116</v>
      </c>
      <c r="B4482" t="s">
        <v>31</v>
      </c>
      <c r="C4482">
        <v>0</v>
      </c>
      <c r="D4482">
        <v>0</v>
      </c>
      <c r="E4482">
        <v>0</v>
      </c>
      <c r="F4482">
        <v>15146</v>
      </c>
      <c r="G4482">
        <v>1750</v>
      </c>
      <c r="H4482">
        <v>0</v>
      </c>
      <c r="J4482" t="str">
        <f>VLOOKUP(Table3[[#This Row],[Faction ID]],Table4[],2)</f>
        <v>Harondor</v>
      </c>
    </row>
    <row r="4483" spans="1:10" x14ac:dyDescent="0.25">
      <c r="A4483">
        <v>116</v>
      </c>
      <c r="B4483" t="s">
        <v>35</v>
      </c>
      <c r="C4483">
        <v>0</v>
      </c>
      <c r="D4483">
        <v>0</v>
      </c>
      <c r="E4483">
        <v>0</v>
      </c>
      <c r="F4483">
        <v>4000</v>
      </c>
      <c r="G4483">
        <v>1750</v>
      </c>
      <c r="H4483">
        <v>0</v>
      </c>
      <c r="J4483" t="str">
        <f>VLOOKUP(Table3[[#This Row],[Faction ID]],Table4[],2)</f>
        <v>Southron Nomads</v>
      </c>
    </row>
    <row r="4484" spans="1:10" x14ac:dyDescent="0.25">
      <c r="A4484">
        <v>116</v>
      </c>
      <c r="B4484" t="s">
        <v>36</v>
      </c>
      <c r="C4484">
        <v>0</v>
      </c>
      <c r="D4484">
        <v>0</v>
      </c>
      <c r="E4484">
        <v>0</v>
      </c>
      <c r="F4484">
        <v>4000</v>
      </c>
      <c r="G4484">
        <v>1750</v>
      </c>
      <c r="H4484">
        <v>0</v>
      </c>
      <c r="J4484" t="str">
        <f>VLOOKUP(Table3[[#This Row],[Faction ID]],Table4[],2)</f>
        <v>_</v>
      </c>
    </row>
    <row r="4485" spans="1:10" x14ac:dyDescent="0.25">
      <c r="A4485">
        <v>116</v>
      </c>
      <c r="B4485" t="s">
        <v>37</v>
      </c>
      <c r="C4485">
        <v>0</v>
      </c>
      <c r="D4485">
        <v>0</v>
      </c>
      <c r="E4485">
        <v>0</v>
      </c>
      <c r="F4485">
        <v>4000</v>
      </c>
      <c r="G4485">
        <v>1750</v>
      </c>
      <c r="H4485">
        <v>0</v>
      </c>
      <c r="J4485" t="str">
        <f>VLOOKUP(Table3[[#This Row],[Faction ID]],Table4[],2)</f>
        <v>_</v>
      </c>
    </row>
    <row r="4486" spans="1:10" x14ac:dyDescent="0.25">
      <c r="A4486">
        <v>116</v>
      </c>
      <c r="B4486" t="s">
        <v>38</v>
      </c>
      <c r="C4486">
        <v>0</v>
      </c>
      <c r="D4486">
        <v>0</v>
      </c>
      <c r="E4486">
        <v>0</v>
      </c>
      <c r="F4486">
        <v>4000</v>
      </c>
      <c r="G4486">
        <v>1750</v>
      </c>
      <c r="H4486">
        <v>0</v>
      </c>
      <c r="J4486" t="str">
        <f>VLOOKUP(Table3[[#This Row],[Faction ID]],Table4[],2)</f>
        <v>_</v>
      </c>
    </row>
    <row r="4487" spans="1:10" x14ac:dyDescent="0.25">
      <c r="A4487">
        <v>116</v>
      </c>
      <c r="B4487" t="s">
        <v>39</v>
      </c>
      <c r="C4487">
        <v>0</v>
      </c>
      <c r="D4487">
        <v>0</v>
      </c>
      <c r="E4487">
        <v>0</v>
      </c>
      <c r="F4487">
        <v>4000</v>
      </c>
      <c r="G4487">
        <v>1750</v>
      </c>
      <c r="H4487">
        <v>0</v>
      </c>
      <c r="J4487" t="str">
        <f>VLOOKUP(Table3[[#This Row],[Faction ID]],Table4[],2)</f>
        <v>_</v>
      </c>
    </row>
    <row r="4488" spans="1:10" x14ac:dyDescent="0.25">
      <c r="A4488">
        <v>116</v>
      </c>
      <c r="B4488" t="s">
        <v>40</v>
      </c>
      <c r="C4488">
        <v>0</v>
      </c>
      <c r="D4488">
        <v>0</v>
      </c>
      <c r="E4488">
        <v>0</v>
      </c>
      <c r="F4488">
        <v>4000</v>
      </c>
      <c r="G4488">
        <v>1750</v>
      </c>
      <c r="H4488">
        <v>0</v>
      </c>
      <c r="J4488" t="str">
        <f>VLOOKUP(Table3[[#This Row],[Faction ID]],Table4[],2)</f>
        <v>_</v>
      </c>
    </row>
    <row r="4489" spans="1:10" x14ac:dyDescent="0.25">
      <c r="A4489">
        <v>116</v>
      </c>
      <c r="B4489" t="s">
        <v>41</v>
      </c>
      <c r="C4489">
        <v>0</v>
      </c>
      <c r="D4489">
        <v>0</v>
      </c>
      <c r="E4489">
        <v>0</v>
      </c>
      <c r="F4489">
        <v>4000</v>
      </c>
      <c r="G4489">
        <v>1750</v>
      </c>
      <c r="H4489">
        <v>0</v>
      </c>
      <c r="J4489" t="str">
        <f>VLOOKUP(Table3[[#This Row],[Faction ID]],Table4[],2)</f>
        <v>_</v>
      </c>
    </row>
    <row r="4490" spans="1:10" x14ac:dyDescent="0.25">
      <c r="A4490">
        <v>116</v>
      </c>
      <c r="B4490" t="s">
        <v>42</v>
      </c>
      <c r="C4490">
        <v>0</v>
      </c>
      <c r="D4490">
        <v>0</v>
      </c>
      <c r="E4490">
        <v>0</v>
      </c>
      <c r="F4490">
        <v>4000</v>
      </c>
      <c r="G4490">
        <v>1750</v>
      </c>
      <c r="H4490">
        <v>0</v>
      </c>
      <c r="J4490" t="str">
        <f>VLOOKUP(Table3[[#This Row],[Faction ID]],Table4[],2)</f>
        <v>_</v>
      </c>
    </row>
    <row r="4491" spans="1:10" x14ac:dyDescent="0.25">
      <c r="A4491">
        <v>116</v>
      </c>
      <c r="B4491" t="s">
        <v>43</v>
      </c>
      <c r="C4491">
        <v>0</v>
      </c>
      <c r="D4491">
        <v>0</v>
      </c>
      <c r="E4491">
        <v>0</v>
      </c>
      <c r="F4491">
        <v>4000</v>
      </c>
      <c r="G4491">
        <v>1750</v>
      </c>
      <c r="H4491">
        <v>0</v>
      </c>
      <c r="J4491" t="str">
        <f>VLOOKUP(Table3[[#This Row],[Faction ID]],Table4[],2)</f>
        <v>_</v>
      </c>
    </row>
    <row r="4492" spans="1:10" x14ac:dyDescent="0.25">
      <c r="A4492">
        <v>116</v>
      </c>
      <c r="B4492" t="s">
        <v>44</v>
      </c>
      <c r="C4492">
        <v>0</v>
      </c>
      <c r="D4492">
        <v>0</v>
      </c>
      <c r="E4492">
        <v>0</v>
      </c>
      <c r="F4492">
        <v>4000</v>
      </c>
      <c r="G4492">
        <v>1750</v>
      </c>
      <c r="H4492">
        <v>0</v>
      </c>
      <c r="J4492" t="str">
        <f>VLOOKUP(Table3[[#This Row],[Faction ID]],Table4[],2)</f>
        <v>_</v>
      </c>
    </row>
    <row r="4493" spans="1:10" x14ac:dyDescent="0.25">
      <c r="A4493">
        <v>117</v>
      </c>
      <c r="B4493" t="s">
        <v>9</v>
      </c>
      <c r="C4493">
        <v>600</v>
      </c>
      <c r="D4493">
        <v>36</v>
      </c>
      <c r="E4493">
        <v>467.2</v>
      </c>
      <c r="F4493">
        <v>8455</v>
      </c>
      <c r="G4493">
        <v>63653</v>
      </c>
      <c r="H4493">
        <v>4422</v>
      </c>
      <c r="J4493" t="str">
        <f>VLOOKUP(Table3[[#This Row],[Faction ID]],Table4[],2)</f>
        <v>Mordor</v>
      </c>
    </row>
    <row r="4494" spans="1:10" x14ac:dyDescent="0.25">
      <c r="A4494">
        <v>117</v>
      </c>
      <c r="B4494" t="s">
        <v>4</v>
      </c>
      <c r="C4494">
        <v>146</v>
      </c>
      <c r="D4494">
        <v>0</v>
      </c>
      <c r="E4494">
        <v>0</v>
      </c>
      <c r="F4494">
        <v>55420</v>
      </c>
      <c r="G4494">
        <v>2500</v>
      </c>
      <c r="H4494">
        <v>0</v>
      </c>
      <c r="J4494" t="str">
        <f>VLOOKUP(Table3[[#This Row],[Faction ID]],Table4[],2)</f>
        <v>Gondor</v>
      </c>
    </row>
    <row r="4495" spans="1:10" x14ac:dyDescent="0.25">
      <c r="A4495">
        <v>117</v>
      </c>
      <c r="B4495" t="s">
        <v>6</v>
      </c>
      <c r="C4495">
        <v>199</v>
      </c>
      <c r="D4495">
        <v>0</v>
      </c>
      <c r="E4495">
        <v>0</v>
      </c>
      <c r="F4495">
        <v>10343</v>
      </c>
      <c r="G4495">
        <v>2500</v>
      </c>
      <c r="H4495">
        <v>0</v>
      </c>
      <c r="J4495" t="str">
        <f>VLOOKUP(Table3[[#This Row],[Faction ID]],Table4[],2)</f>
        <v>Dale</v>
      </c>
    </row>
    <row r="4496" spans="1:10" x14ac:dyDescent="0.25">
      <c r="A4496">
        <v>117</v>
      </c>
      <c r="B4496" t="s">
        <v>21</v>
      </c>
      <c r="C4496">
        <v>200</v>
      </c>
      <c r="D4496">
        <v>0</v>
      </c>
      <c r="E4496">
        <v>0</v>
      </c>
      <c r="F4496">
        <v>10040</v>
      </c>
      <c r="G4496">
        <v>2500</v>
      </c>
      <c r="H4496">
        <v>0</v>
      </c>
      <c r="J4496" t="str">
        <f>VLOOKUP(Table3[[#This Row],[Faction ID]],Table4[],2)</f>
        <v>Erebor</v>
      </c>
    </row>
    <row r="4497" spans="1:10" x14ac:dyDescent="0.25">
      <c r="A4497">
        <v>117</v>
      </c>
      <c r="B4497" t="s">
        <v>5</v>
      </c>
      <c r="C4497">
        <v>157</v>
      </c>
      <c r="D4497">
        <v>0</v>
      </c>
      <c r="E4497">
        <v>0</v>
      </c>
      <c r="F4497">
        <v>6638</v>
      </c>
      <c r="G4497">
        <v>2500</v>
      </c>
      <c r="H4497">
        <v>0</v>
      </c>
      <c r="J4497" t="str">
        <f>VLOOKUP(Table3[[#This Row],[Faction ID]],Table4[],2)</f>
        <v>Rohan</v>
      </c>
    </row>
    <row r="4498" spans="1:10" x14ac:dyDescent="0.25">
      <c r="A4498">
        <v>117</v>
      </c>
      <c r="B4498" t="s">
        <v>12</v>
      </c>
      <c r="C4498">
        <v>471</v>
      </c>
      <c r="D4498">
        <v>22</v>
      </c>
      <c r="E4498">
        <v>325.10000000000002</v>
      </c>
      <c r="F4498">
        <v>206556</v>
      </c>
      <c r="G4498">
        <v>44003</v>
      </c>
      <c r="H4498">
        <v>1762</v>
      </c>
      <c r="J4498" t="str">
        <f>VLOOKUP(Table3[[#This Row],[Faction ID]],Table4[],2)</f>
        <v>Dol Guldur</v>
      </c>
    </row>
    <row r="4499" spans="1:10" x14ac:dyDescent="0.25">
      <c r="A4499">
        <v>117</v>
      </c>
      <c r="B4499" t="s">
        <v>10</v>
      </c>
      <c r="C4499">
        <v>58</v>
      </c>
      <c r="D4499">
        <v>0</v>
      </c>
      <c r="E4499">
        <v>0</v>
      </c>
      <c r="F4499">
        <v>4515</v>
      </c>
      <c r="G4499">
        <v>2500</v>
      </c>
      <c r="H4499">
        <v>0</v>
      </c>
      <c r="J4499" t="str">
        <f>VLOOKUP(Table3[[#This Row],[Faction ID]],Table4[],2)</f>
        <v>Anduin Vale</v>
      </c>
    </row>
    <row r="4500" spans="1:10" x14ac:dyDescent="0.25">
      <c r="A4500">
        <v>117</v>
      </c>
      <c r="B4500" t="s">
        <v>32</v>
      </c>
      <c r="C4500">
        <v>297</v>
      </c>
      <c r="D4500">
        <v>6</v>
      </c>
      <c r="E4500">
        <v>179</v>
      </c>
      <c r="F4500">
        <v>30326</v>
      </c>
      <c r="G4500">
        <v>28453</v>
      </c>
      <c r="H4500">
        <v>1515</v>
      </c>
      <c r="J4500" t="str">
        <f>VLOOKUP(Table3[[#This Row],[Faction ID]],Table4[],2)</f>
        <v>Isengard</v>
      </c>
    </row>
    <row r="4501" spans="1:10" x14ac:dyDescent="0.25">
      <c r="A4501">
        <v>117</v>
      </c>
      <c r="B4501" t="s">
        <v>22</v>
      </c>
      <c r="C4501">
        <v>30</v>
      </c>
      <c r="D4501">
        <v>0</v>
      </c>
      <c r="E4501">
        <v>0</v>
      </c>
      <c r="F4501">
        <v>8475</v>
      </c>
      <c r="G4501">
        <v>2500</v>
      </c>
      <c r="H4501">
        <v>0</v>
      </c>
      <c r="J4501" t="str">
        <f>VLOOKUP(Table3[[#This Row],[Faction ID]],Table4[],2)</f>
        <v>Woodland Realm</v>
      </c>
    </row>
    <row r="4502" spans="1:10" x14ac:dyDescent="0.25">
      <c r="A4502">
        <v>117</v>
      </c>
      <c r="B4502" t="s">
        <v>23</v>
      </c>
      <c r="C4502">
        <v>64</v>
      </c>
      <c r="D4502">
        <v>0</v>
      </c>
      <c r="E4502">
        <v>0</v>
      </c>
      <c r="F4502">
        <v>4721</v>
      </c>
      <c r="G4502">
        <v>2500</v>
      </c>
      <c r="H4502">
        <v>0</v>
      </c>
      <c r="J4502" t="str">
        <f>VLOOKUP(Table3[[#This Row],[Faction ID]],Table4[],2)</f>
        <v>Lothlorien</v>
      </c>
    </row>
    <row r="4503" spans="1:10" x14ac:dyDescent="0.25">
      <c r="A4503">
        <v>117</v>
      </c>
      <c r="B4503" t="s">
        <v>24</v>
      </c>
      <c r="C4503">
        <v>0</v>
      </c>
      <c r="D4503">
        <v>0</v>
      </c>
      <c r="E4503">
        <v>0</v>
      </c>
      <c r="F4503">
        <v>4919</v>
      </c>
      <c r="G4503">
        <v>1750</v>
      </c>
      <c r="H4503">
        <v>0</v>
      </c>
      <c r="J4503" t="str">
        <f>VLOOKUP(Table3[[#This Row],[Faction ID]],Table4[],2)</f>
        <v>Variags (Khand)</v>
      </c>
    </row>
    <row r="4504" spans="1:10" x14ac:dyDescent="0.25">
      <c r="A4504">
        <v>117</v>
      </c>
      <c r="B4504" t="s">
        <v>14</v>
      </c>
      <c r="C4504">
        <v>19</v>
      </c>
      <c r="D4504">
        <v>13</v>
      </c>
      <c r="E4504">
        <v>245.8</v>
      </c>
      <c r="F4504">
        <v>165854</v>
      </c>
      <c r="G4504">
        <v>49673</v>
      </c>
      <c r="H4504">
        <v>4021</v>
      </c>
      <c r="J4504" t="str">
        <f>VLOOKUP(Table3[[#This Row],[Faction ID]],Table4[],2)</f>
        <v>Corsairs of Umbar</v>
      </c>
    </row>
    <row r="4505" spans="1:10" x14ac:dyDescent="0.25">
      <c r="A4505">
        <v>117</v>
      </c>
      <c r="B4505" t="s">
        <v>25</v>
      </c>
      <c r="C4505">
        <v>0</v>
      </c>
      <c r="D4505">
        <v>0</v>
      </c>
      <c r="E4505">
        <v>0</v>
      </c>
      <c r="F4505">
        <v>9228</v>
      </c>
      <c r="G4505">
        <v>1750</v>
      </c>
      <c r="H4505">
        <v>0</v>
      </c>
      <c r="J4505" t="str">
        <f>VLOOKUP(Table3[[#This Row],[Faction ID]],Table4[],2)</f>
        <v>Mahud</v>
      </c>
    </row>
    <row r="4506" spans="1:10" x14ac:dyDescent="0.25">
      <c r="A4506">
        <v>117</v>
      </c>
      <c r="B4506" t="s">
        <v>11</v>
      </c>
      <c r="C4506">
        <v>270</v>
      </c>
      <c r="D4506">
        <v>14</v>
      </c>
      <c r="E4506">
        <v>208.1</v>
      </c>
      <c r="F4506">
        <v>62903</v>
      </c>
      <c r="G4506">
        <v>30553</v>
      </c>
      <c r="H4506">
        <v>2576</v>
      </c>
      <c r="J4506" t="str">
        <f>VLOOKUP(Table3[[#This Row],[Faction ID]],Table4[],2)</f>
        <v>Haradrim</v>
      </c>
    </row>
    <row r="4507" spans="1:10" x14ac:dyDescent="0.25">
      <c r="A4507">
        <v>117</v>
      </c>
      <c r="B4507" t="s">
        <v>15</v>
      </c>
      <c r="C4507">
        <v>296</v>
      </c>
      <c r="D4507">
        <v>11</v>
      </c>
      <c r="E4507">
        <v>227.39999999999901</v>
      </c>
      <c r="F4507">
        <v>146840</v>
      </c>
      <c r="G4507">
        <v>44336</v>
      </c>
      <c r="H4507">
        <v>2269</v>
      </c>
      <c r="J4507" t="str">
        <f>VLOOKUP(Table3[[#This Row],[Faction ID]],Table4[],2)</f>
        <v>Dunlendings</v>
      </c>
    </row>
    <row r="4508" spans="1:10" x14ac:dyDescent="0.25">
      <c r="A4508">
        <v>117</v>
      </c>
      <c r="B4508" t="s">
        <v>16</v>
      </c>
      <c r="C4508">
        <v>0</v>
      </c>
      <c r="D4508">
        <v>0</v>
      </c>
      <c r="E4508">
        <v>0</v>
      </c>
      <c r="F4508">
        <v>5352</v>
      </c>
      <c r="G4508">
        <v>1750</v>
      </c>
      <c r="H4508">
        <v>0</v>
      </c>
      <c r="J4508" t="str">
        <f>VLOOKUP(Table3[[#This Row],[Faction ID]],Table4[],2)</f>
        <v>Haerrim</v>
      </c>
    </row>
    <row r="4509" spans="1:10" x14ac:dyDescent="0.25">
      <c r="A4509">
        <v>117</v>
      </c>
      <c r="B4509" t="s">
        <v>13</v>
      </c>
      <c r="C4509">
        <v>582</v>
      </c>
      <c r="D4509">
        <v>20</v>
      </c>
      <c r="E4509">
        <v>504.5</v>
      </c>
      <c r="F4509">
        <v>251519</v>
      </c>
      <c r="G4509">
        <v>64944</v>
      </c>
      <c r="H4509">
        <v>4951</v>
      </c>
      <c r="J4509" t="str">
        <f>VLOOKUP(Table3[[#This Row],[Faction ID]],Table4[],2)</f>
        <v>Goblins</v>
      </c>
    </row>
    <row r="4510" spans="1:10" x14ac:dyDescent="0.25">
      <c r="A4510">
        <v>117</v>
      </c>
      <c r="B4510" t="s">
        <v>17</v>
      </c>
      <c r="C4510">
        <v>0</v>
      </c>
      <c r="D4510">
        <v>0</v>
      </c>
      <c r="E4510">
        <v>0</v>
      </c>
      <c r="F4510">
        <v>4872</v>
      </c>
      <c r="G4510">
        <v>1750</v>
      </c>
      <c r="H4510">
        <v>0</v>
      </c>
      <c r="J4510" t="str">
        <f>VLOOKUP(Table3[[#This Row],[Faction ID]],Table4[],2)</f>
        <v>Balchoth</v>
      </c>
    </row>
    <row r="4511" spans="1:10" x14ac:dyDescent="0.25">
      <c r="A4511">
        <v>117</v>
      </c>
      <c r="B4511" t="s">
        <v>18</v>
      </c>
      <c r="C4511">
        <v>562</v>
      </c>
      <c r="D4511">
        <v>26</v>
      </c>
      <c r="E4511">
        <v>407.5</v>
      </c>
      <c r="F4511">
        <v>88296</v>
      </c>
      <c r="G4511">
        <v>41216</v>
      </c>
      <c r="H4511">
        <v>0</v>
      </c>
      <c r="J4511" t="str">
        <f>VLOOKUP(Table3[[#This Row],[Faction ID]],Table4[],2)</f>
        <v>Rhurim/Rhun</v>
      </c>
    </row>
    <row r="4512" spans="1:10" x14ac:dyDescent="0.25">
      <c r="A4512">
        <v>117</v>
      </c>
      <c r="B4512" t="s">
        <v>19</v>
      </c>
      <c r="C4512">
        <v>0</v>
      </c>
      <c r="D4512">
        <v>0</v>
      </c>
      <c r="E4512">
        <v>0</v>
      </c>
      <c r="F4512">
        <v>7360</v>
      </c>
      <c r="G4512">
        <v>1750</v>
      </c>
      <c r="H4512">
        <v>0</v>
      </c>
      <c r="J4512" t="str">
        <f>VLOOKUP(Table3[[#This Row],[Faction ID]],Table4[],2)</f>
        <v>Feredrim</v>
      </c>
    </row>
    <row r="4513" spans="1:10" x14ac:dyDescent="0.25">
      <c r="A4513">
        <v>117</v>
      </c>
      <c r="B4513" t="s">
        <v>26</v>
      </c>
      <c r="C4513">
        <v>0</v>
      </c>
      <c r="D4513">
        <v>0</v>
      </c>
      <c r="E4513">
        <v>0</v>
      </c>
      <c r="F4513">
        <v>6395</v>
      </c>
      <c r="G4513">
        <v>1750</v>
      </c>
      <c r="H4513">
        <v>0</v>
      </c>
      <c r="J4513" t="str">
        <f>VLOOKUP(Table3[[#This Row],[Faction ID]],Table4[],2)</f>
        <v>Rachrohir (Wainriders)</v>
      </c>
    </row>
    <row r="4514" spans="1:10" x14ac:dyDescent="0.25">
      <c r="A4514">
        <v>117</v>
      </c>
      <c r="B4514" t="s">
        <v>27</v>
      </c>
      <c r="C4514">
        <v>2</v>
      </c>
      <c r="D4514">
        <v>2</v>
      </c>
      <c r="E4514">
        <v>47.8</v>
      </c>
      <c r="F4514">
        <v>9153</v>
      </c>
      <c r="G4514">
        <v>7573</v>
      </c>
      <c r="H4514">
        <v>436</v>
      </c>
      <c r="J4514" t="str">
        <f>VLOOKUP(Table3[[#This Row],[Faction ID]],Table4[],2)</f>
        <v>Blacklock-Stonefoot League</v>
      </c>
    </row>
    <row r="4515" spans="1:10" x14ac:dyDescent="0.25">
      <c r="A4515">
        <v>117</v>
      </c>
      <c r="B4515" t="s">
        <v>28</v>
      </c>
      <c r="C4515">
        <v>5</v>
      </c>
      <c r="D4515">
        <v>2</v>
      </c>
      <c r="E4515">
        <v>17</v>
      </c>
      <c r="F4515">
        <v>6994</v>
      </c>
      <c r="G4515">
        <v>4259</v>
      </c>
      <c r="H4515">
        <v>0</v>
      </c>
      <c r="J4515" t="str">
        <f>VLOOKUP(Table3[[#This Row],[Faction ID]],Table4[],2)</f>
        <v>Ironfist-Stiffbeard Union</v>
      </c>
    </row>
    <row r="4516" spans="1:10" x14ac:dyDescent="0.25">
      <c r="A4516">
        <v>117</v>
      </c>
      <c r="B4516" t="s">
        <v>20</v>
      </c>
      <c r="C4516">
        <v>245</v>
      </c>
      <c r="D4516">
        <v>0</v>
      </c>
      <c r="E4516">
        <v>0</v>
      </c>
      <c r="F4516">
        <v>9750</v>
      </c>
      <c r="G4516">
        <v>2500</v>
      </c>
      <c r="H4516">
        <v>0</v>
      </c>
      <c r="J4516" t="str">
        <f>VLOOKUP(Table3[[#This Row],[Faction ID]],Table4[],2)</f>
        <v>Gundabad</v>
      </c>
    </row>
    <row r="4517" spans="1:10" x14ac:dyDescent="0.25">
      <c r="A4517">
        <v>117</v>
      </c>
      <c r="B4517" t="s">
        <v>34</v>
      </c>
      <c r="C4517">
        <v>0</v>
      </c>
      <c r="D4517">
        <v>0</v>
      </c>
      <c r="E4517">
        <v>3</v>
      </c>
      <c r="F4517">
        <v>134461</v>
      </c>
      <c r="G4517">
        <v>2354</v>
      </c>
      <c r="H4517">
        <v>0</v>
      </c>
      <c r="J4517" t="str">
        <f>VLOOKUP(Table3[[#This Row],[Faction ID]],Table4[],2)</f>
        <v>Scouts of Rohan</v>
      </c>
    </row>
    <row r="4518" spans="1:10" x14ac:dyDescent="0.25">
      <c r="A4518">
        <v>117</v>
      </c>
      <c r="B4518" t="s">
        <v>33</v>
      </c>
      <c r="C4518">
        <v>6</v>
      </c>
      <c r="D4518">
        <v>4</v>
      </c>
      <c r="E4518">
        <v>95</v>
      </c>
      <c r="F4518">
        <v>139405</v>
      </c>
      <c r="G4518">
        <v>21851</v>
      </c>
      <c r="H4518">
        <v>1132</v>
      </c>
      <c r="J4518" t="str">
        <f>VLOOKUP(Table3[[#This Row],[Faction ID]],Table4[],2)</f>
        <v>Northern Enedwaith</v>
      </c>
    </row>
    <row r="4519" spans="1:10" x14ac:dyDescent="0.25">
      <c r="A4519">
        <v>117</v>
      </c>
      <c r="B4519" t="s">
        <v>29</v>
      </c>
      <c r="C4519">
        <v>0</v>
      </c>
      <c r="D4519">
        <v>0</v>
      </c>
      <c r="E4519">
        <v>0</v>
      </c>
      <c r="F4519">
        <v>54023</v>
      </c>
      <c r="G4519">
        <v>1750</v>
      </c>
      <c r="H4519">
        <v>0</v>
      </c>
      <c r="J4519" t="str">
        <f>VLOOKUP(Table3[[#This Row],[Faction ID]],Table4[],2)</f>
        <v>Southern Enedwaith</v>
      </c>
    </row>
    <row r="4520" spans="1:10" x14ac:dyDescent="0.25">
      <c r="A4520">
        <v>117</v>
      </c>
      <c r="B4520" t="s">
        <v>30</v>
      </c>
      <c r="C4520">
        <v>0</v>
      </c>
      <c r="D4520">
        <v>0</v>
      </c>
      <c r="E4520">
        <v>0</v>
      </c>
      <c r="F4520">
        <v>32146</v>
      </c>
      <c r="G4520">
        <v>1750</v>
      </c>
      <c r="H4520">
        <v>0</v>
      </c>
      <c r="J4520" t="str">
        <f>VLOOKUP(Table3[[#This Row],[Faction ID]],Table4[],2)</f>
        <v>Druedain</v>
      </c>
    </row>
    <row r="4521" spans="1:10" x14ac:dyDescent="0.25">
      <c r="A4521">
        <v>117</v>
      </c>
      <c r="B4521" t="s">
        <v>31</v>
      </c>
      <c r="C4521">
        <v>0</v>
      </c>
      <c r="D4521">
        <v>0</v>
      </c>
      <c r="E4521">
        <v>0</v>
      </c>
      <c r="F4521">
        <v>15146</v>
      </c>
      <c r="G4521">
        <v>1750</v>
      </c>
      <c r="H4521">
        <v>0</v>
      </c>
      <c r="J4521" t="str">
        <f>VLOOKUP(Table3[[#This Row],[Faction ID]],Table4[],2)</f>
        <v>Harondor</v>
      </c>
    </row>
    <row r="4522" spans="1:10" x14ac:dyDescent="0.25">
      <c r="A4522">
        <v>117</v>
      </c>
      <c r="B4522" t="s">
        <v>35</v>
      </c>
      <c r="C4522">
        <v>0</v>
      </c>
      <c r="D4522">
        <v>0</v>
      </c>
      <c r="E4522">
        <v>0</v>
      </c>
      <c r="F4522">
        <v>4000</v>
      </c>
      <c r="G4522">
        <v>1750</v>
      </c>
      <c r="H4522">
        <v>0</v>
      </c>
      <c r="J4522" t="str">
        <f>VLOOKUP(Table3[[#This Row],[Faction ID]],Table4[],2)</f>
        <v>Southron Nomads</v>
      </c>
    </row>
    <row r="4523" spans="1:10" x14ac:dyDescent="0.25">
      <c r="A4523">
        <v>117</v>
      </c>
      <c r="B4523" t="s">
        <v>36</v>
      </c>
      <c r="C4523">
        <v>0</v>
      </c>
      <c r="D4523">
        <v>0</v>
      </c>
      <c r="E4523">
        <v>0</v>
      </c>
      <c r="F4523">
        <v>4000</v>
      </c>
      <c r="G4523">
        <v>1750</v>
      </c>
      <c r="H4523">
        <v>0</v>
      </c>
      <c r="J4523" t="str">
        <f>VLOOKUP(Table3[[#This Row],[Faction ID]],Table4[],2)</f>
        <v>_</v>
      </c>
    </row>
    <row r="4524" spans="1:10" x14ac:dyDescent="0.25">
      <c r="A4524">
        <v>117</v>
      </c>
      <c r="B4524" t="s">
        <v>37</v>
      </c>
      <c r="C4524">
        <v>0</v>
      </c>
      <c r="D4524">
        <v>0</v>
      </c>
      <c r="E4524">
        <v>0</v>
      </c>
      <c r="F4524">
        <v>4000</v>
      </c>
      <c r="G4524">
        <v>1750</v>
      </c>
      <c r="H4524">
        <v>0</v>
      </c>
      <c r="J4524" t="str">
        <f>VLOOKUP(Table3[[#This Row],[Faction ID]],Table4[],2)</f>
        <v>_</v>
      </c>
    </row>
    <row r="4525" spans="1:10" x14ac:dyDescent="0.25">
      <c r="A4525">
        <v>117</v>
      </c>
      <c r="B4525" t="s">
        <v>38</v>
      </c>
      <c r="C4525">
        <v>0</v>
      </c>
      <c r="D4525">
        <v>0</v>
      </c>
      <c r="E4525">
        <v>0</v>
      </c>
      <c r="F4525">
        <v>4000</v>
      </c>
      <c r="G4525">
        <v>1750</v>
      </c>
      <c r="H4525">
        <v>0</v>
      </c>
      <c r="J4525" t="str">
        <f>VLOOKUP(Table3[[#This Row],[Faction ID]],Table4[],2)</f>
        <v>_</v>
      </c>
    </row>
    <row r="4526" spans="1:10" x14ac:dyDescent="0.25">
      <c r="A4526">
        <v>117</v>
      </c>
      <c r="B4526" t="s">
        <v>39</v>
      </c>
      <c r="C4526">
        <v>0</v>
      </c>
      <c r="D4526">
        <v>0</v>
      </c>
      <c r="E4526">
        <v>0</v>
      </c>
      <c r="F4526">
        <v>4000</v>
      </c>
      <c r="G4526">
        <v>1750</v>
      </c>
      <c r="H4526">
        <v>0</v>
      </c>
      <c r="J4526" t="str">
        <f>VLOOKUP(Table3[[#This Row],[Faction ID]],Table4[],2)</f>
        <v>_</v>
      </c>
    </row>
    <row r="4527" spans="1:10" x14ac:dyDescent="0.25">
      <c r="A4527">
        <v>117</v>
      </c>
      <c r="B4527" t="s">
        <v>40</v>
      </c>
      <c r="C4527">
        <v>0</v>
      </c>
      <c r="D4527">
        <v>0</v>
      </c>
      <c r="E4527">
        <v>0</v>
      </c>
      <c r="F4527">
        <v>4000</v>
      </c>
      <c r="G4527">
        <v>1750</v>
      </c>
      <c r="H4527">
        <v>0</v>
      </c>
      <c r="J4527" t="str">
        <f>VLOOKUP(Table3[[#This Row],[Faction ID]],Table4[],2)</f>
        <v>_</v>
      </c>
    </row>
    <row r="4528" spans="1:10" x14ac:dyDescent="0.25">
      <c r="A4528">
        <v>117</v>
      </c>
      <c r="B4528" t="s">
        <v>41</v>
      </c>
      <c r="C4528">
        <v>0</v>
      </c>
      <c r="D4528">
        <v>0</v>
      </c>
      <c r="E4528">
        <v>0</v>
      </c>
      <c r="F4528">
        <v>4000</v>
      </c>
      <c r="G4528">
        <v>1750</v>
      </c>
      <c r="H4528">
        <v>0</v>
      </c>
      <c r="J4528" t="str">
        <f>VLOOKUP(Table3[[#This Row],[Faction ID]],Table4[],2)</f>
        <v>_</v>
      </c>
    </row>
    <row r="4529" spans="1:10" x14ac:dyDescent="0.25">
      <c r="A4529">
        <v>117</v>
      </c>
      <c r="B4529" t="s">
        <v>42</v>
      </c>
      <c r="C4529">
        <v>0</v>
      </c>
      <c r="D4529">
        <v>0</v>
      </c>
      <c r="E4529">
        <v>0</v>
      </c>
      <c r="F4529">
        <v>4000</v>
      </c>
      <c r="G4529">
        <v>1750</v>
      </c>
      <c r="H4529">
        <v>0</v>
      </c>
      <c r="J4529" t="str">
        <f>VLOOKUP(Table3[[#This Row],[Faction ID]],Table4[],2)</f>
        <v>_</v>
      </c>
    </row>
    <row r="4530" spans="1:10" x14ac:dyDescent="0.25">
      <c r="A4530">
        <v>117</v>
      </c>
      <c r="B4530" t="s">
        <v>43</v>
      </c>
      <c r="C4530">
        <v>0</v>
      </c>
      <c r="D4530">
        <v>0</v>
      </c>
      <c r="E4530">
        <v>0</v>
      </c>
      <c r="F4530">
        <v>4000</v>
      </c>
      <c r="G4530">
        <v>1750</v>
      </c>
      <c r="H4530">
        <v>0</v>
      </c>
      <c r="J4530" t="str">
        <f>VLOOKUP(Table3[[#This Row],[Faction ID]],Table4[],2)</f>
        <v>_</v>
      </c>
    </row>
    <row r="4531" spans="1:10" x14ac:dyDescent="0.25">
      <c r="A4531">
        <v>117</v>
      </c>
      <c r="B4531" t="s">
        <v>44</v>
      </c>
      <c r="C4531">
        <v>0</v>
      </c>
      <c r="D4531">
        <v>0</v>
      </c>
      <c r="E4531">
        <v>0</v>
      </c>
      <c r="F4531">
        <v>4000</v>
      </c>
      <c r="G4531">
        <v>1750</v>
      </c>
      <c r="H4531">
        <v>0</v>
      </c>
      <c r="J4531" t="str">
        <f>VLOOKUP(Table3[[#This Row],[Faction ID]],Table4[],2)</f>
        <v>_</v>
      </c>
    </row>
    <row r="4532" spans="1:10" x14ac:dyDescent="0.25">
      <c r="A4532">
        <v>118</v>
      </c>
      <c r="B4532" t="s">
        <v>9</v>
      </c>
      <c r="C4532">
        <v>600</v>
      </c>
      <c r="D4532">
        <v>35</v>
      </c>
      <c r="E4532">
        <v>464.3</v>
      </c>
      <c r="F4532">
        <v>1484</v>
      </c>
      <c r="G4532">
        <v>65930</v>
      </c>
      <c r="H4532">
        <v>4369</v>
      </c>
      <c r="J4532" t="str">
        <f>VLOOKUP(Table3[[#This Row],[Faction ID]],Table4[],2)</f>
        <v>Mordor</v>
      </c>
    </row>
    <row r="4533" spans="1:10" x14ac:dyDescent="0.25">
      <c r="A4533">
        <v>118</v>
      </c>
      <c r="B4533" t="s">
        <v>4</v>
      </c>
      <c r="C4533">
        <v>146</v>
      </c>
      <c r="D4533">
        <v>0</v>
      </c>
      <c r="E4533">
        <v>0</v>
      </c>
      <c r="F4533">
        <v>55420</v>
      </c>
      <c r="G4533">
        <v>2500</v>
      </c>
      <c r="H4533">
        <v>0</v>
      </c>
      <c r="J4533" t="str">
        <f>VLOOKUP(Table3[[#This Row],[Faction ID]],Table4[],2)</f>
        <v>Gondor</v>
      </c>
    </row>
    <row r="4534" spans="1:10" x14ac:dyDescent="0.25">
      <c r="A4534">
        <v>118</v>
      </c>
      <c r="B4534" t="s">
        <v>6</v>
      </c>
      <c r="C4534">
        <v>199</v>
      </c>
      <c r="D4534">
        <v>0</v>
      </c>
      <c r="E4534">
        <v>0</v>
      </c>
      <c r="F4534">
        <v>10343</v>
      </c>
      <c r="G4534">
        <v>2500</v>
      </c>
      <c r="H4534">
        <v>0</v>
      </c>
      <c r="J4534" t="str">
        <f>VLOOKUP(Table3[[#This Row],[Faction ID]],Table4[],2)</f>
        <v>Dale</v>
      </c>
    </row>
    <row r="4535" spans="1:10" x14ac:dyDescent="0.25">
      <c r="A4535">
        <v>118</v>
      </c>
      <c r="B4535" t="s">
        <v>21</v>
      </c>
      <c r="C4535">
        <v>200</v>
      </c>
      <c r="D4535">
        <v>0</v>
      </c>
      <c r="E4535">
        <v>0</v>
      </c>
      <c r="F4535">
        <v>10040</v>
      </c>
      <c r="G4535">
        <v>2500</v>
      </c>
      <c r="H4535">
        <v>0</v>
      </c>
      <c r="J4535" t="str">
        <f>VLOOKUP(Table3[[#This Row],[Faction ID]],Table4[],2)</f>
        <v>Erebor</v>
      </c>
    </row>
    <row r="4536" spans="1:10" x14ac:dyDescent="0.25">
      <c r="A4536">
        <v>118</v>
      </c>
      <c r="B4536" t="s">
        <v>5</v>
      </c>
      <c r="C4536">
        <v>157</v>
      </c>
      <c r="D4536">
        <v>0</v>
      </c>
      <c r="E4536">
        <v>0</v>
      </c>
      <c r="F4536">
        <v>6638</v>
      </c>
      <c r="G4536">
        <v>2500</v>
      </c>
      <c r="H4536">
        <v>0</v>
      </c>
      <c r="J4536" t="str">
        <f>VLOOKUP(Table3[[#This Row],[Faction ID]],Table4[],2)</f>
        <v>Rohan</v>
      </c>
    </row>
    <row r="4537" spans="1:10" x14ac:dyDescent="0.25">
      <c r="A4537">
        <v>118</v>
      </c>
      <c r="B4537" t="s">
        <v>12</v>
      </c>
      <c r="C4537">
        <v>472</v>
      </c>
      <c r="D4537">
        <v>23</v>
      </c>
      <c r="E4537">
        <v>331.7</v>
      </c>
      <c r="F4537">
        <v>211836</v>
      </c>
      <c r="G4537">
        <v>46952</v>
      </c>
      <c r="H4537">
        <v>1890</v>
      </c>
      <c r="J4537" t="str">
        <f>VLOOKUP(Table3[[#This Row],[Faction ID]],Table4[],2)</f>
        <v>Dol Guldur</v>
      </c>
    </row>
    <row r="4538" spans="1:10" x14ac:dyDescent="0.25">
      <c r="A4538">
        <v>118</v>
      </c>
      <c r="B4538" t="s">
        <v>10</v>
      </c>
      <c r="C4538">
        <v>58</v>
      </c>
      <c r="D4538">
        <v>0</v>
      </c>
      <c r="E4538">
        <v>0</v>
      </c>
      <c r="F4538">
        <v>4515</v>
      </c>
      <c r="G4538">
        <v>2500</v>
      </c>
      <c r="H4538">
        <v>0</v>
      </c>
      <c r="J4538" t="str">
        <f>VLOOKUP(Table3[[#This Row],[Faction ID]],Table4[],2)</f>
        <v>Anduin Vale</v>
      </c>
    </row>
    <row r="4539" spans="1:10" x14ac:dyDescent="0.25">
      <c r="A4539">
        <v>118</v>
      </c>
      <c r="B4539" t="s">
        <v>32</v>
      </c>
      <c r="C4539">
        <v>305</v>
      </c>
      <c r="D4539">
        <v>6</v>
      </c>
      <c r="E4539">
        <v>167.6</v>
      </c>
      <c r="F4539">
        <v>31270</v>
      </c>
      <c r="G4539">
        <v>27058</v>
      </c>
      <c r="H4539">
        <v>1528</v>
      </c>
      <c r="J4539" t="str">
        <f>VLOOKUP(Table3[[#This Row],[Faction ID]],Table4[],2)</f>
        <v>Isengard</v>
      </c>
    </row>
    <row r="4540" spans="1:10" x14ac:dyDescent="0.25">
      <c r="A4540">
        <v>118</v>
      </c>
      <c r="B4540" t="s">
        <v>22</v>
      </c>
      <c r="C4540">
        <v>30</v>
      </c>
      <c r="D4540">
        <v>0</v>
      </c>
      <c r="E4540">
        <v>0</v>
      </c>
      <c r="F4540">
        <v>8475</v>
      </c>
      <c r="G4540">
        <v>2500</v>
      </c>
      <c r="H4540">
        <v>0</v>
      </c>
      <c r="J4540" t="str">
        <f>VLOOKUP(Table3[[#This Row],[Faction ID]],Table4[],2)</f>
        <v>Woodland Realm</v>
      </c>
    </row>
    <row r="4541" spans="1:10" x14ac:dyDescent="0.25">
      <c r="A4541">
        <v>118</v>
      </c>
      <c r="B4541" t="s">
        <v>23</v>
      </c>
      <c r="C4541">
        <v>64</v>
      </c>
      <c r="D4541">
        <v>0</v>
      </c>
      <c r="E4541">
        <v>0</v>
      </c>
      <c r="F4541">
        <v>4721</v>
      </c>
      <c r="G4541">
        <v>2500</v>
      </c>
      <c r="H4541">
        <v>0</v>
      </c>
      <c r="J4541" t="str">
        <f>VLOOKUP(Table3[[#This Row],[Faction ID]],Table4[],2)</f>
        <v>Lothlorien</v>
      </c>
    </row>
    <row r="4542" spans="1:10" x14ac:dyDescent="0.25">
      <c r="A4542">
        <v>118</v>
      </c>
      <c r="B4542" t="s">
        <v>24</v>
      </c>
      <c r="C4542">
        <v>0</v>
      </c>
      <c r="D4542">
        <v>0</v>
      </c>
      <c r="E4542">
        <v>0</v>
      </c>
      <c r="F4542">
        <v>4919</v>
      </c>
      <c r="G4542">
        <v>1750</v>
      </c>
      <c r="H4542">
        <v>0</v>
      </c>
      <c r="J4542" t="str">
        <f>VLOOKUP(Table3[[#This Row],[Faction ID]],Table4[],2)</f>
        <v>Variags (Khand)</v>
      </c>
    </row>
    <row r="4543" spans="1:10" x14ac:dyDescent="0.25">
      <c r="A4543">
        <v>118</v>
      </c>
      <c r="B4543" t="s">
        <v>14</v>
      </c>
      <c r="C4543">
        <v>19</v>
      </c>
      <c r="D4543">
        <v>13</v>
      </c>
      <c r="E4543">
        <v>246.8</v>
      </c>
      <c r="F4543">
        <v>178006</v>
      </c>
      <c r="G4543">
        <v>54527</v>
      </c>
      <c r="H4543">
        <v>4452</v>
      </c>
      <c r="J4543" t="str">
        <f>VLOOKUP(Table3[[#This Row],[Faction ID]],Table4[],2)</f>
        <v>Corsairs of Umbar</v>
      </c>
    </row>
    <row r="4544" spans="1:10" x14ac:dyDescent="0.25">
      <c r="A4544">
        <v>118</v>
      </c>
      <c r="B4544" t="s">
        <v>25</v>
      </c>
      <c r="C4544">
        <v>0</v>
      </c>
      <c r="D4544">
        <v>0</v>
      </c>
      <c r="E4544">
        <v>0</v>
      </c>
      <c r="F4544">
        <v>9228</v>
      </c>
      <c r="G4544">
        <v>1750</v>
      </c>
      <c r="H4544">
        <v>0</v>
      </c>
      <c r="J4544" t="str">
        <f>VLOOKUP(Table3[[#This Row],[Faction ID]],Table4[],2)</f>
        <v>Mahud</v>
      </c>
    </row>
    <row r="4545" spans="1:10" x14ac:dyDescent="0.25">
      <c r="A4545">
        <v>118</v>
      </c>
      <c r="B4545" t="s">
        <v>11</v>
      </c>
      <c r="C4545">
        <v>278</v>
      </c>
      <c r="D4545">
        <v>14</v>
      </c>
      <c r="E4545">
        <v>209.1</v>
      </c>
      <c r="F4545">
        <v>103319</v>
      </c>
      <c r="G4545">
        <v>29394</v>
      </c>
      <c r="H4545">
        <v>2371</v>
      </c>
      <c r="J4545" t="str">
        <f>VLOOKUP(Table3[[#This Row],[Faction ID]],Table4[],2)</f>
        <v>Haradrim</v>
      </c>
    </row>
    <row r="4546" spans="1:10" x14ac:dyDescent="0.25">
      <c r="A4546">
        <v>118</v>
      </c>
      <c r="B4546" t="s">
        <v>15</v>
      </c>
      <c r="C4546">
        <v>296</v>
      </c>
      <c r="D4546">
        <v>11</v>
      </c>
      <c r="E4546">
        <v>214.6</v>
      </c>
      <c r="F4546">
        <v>150318</v>
      </c>
      <c r="G4546">
        <v>42181</v>
      </c>
      <c r="H4546">
        <v>2287</v>
      </c>
      <c r="J4546" t="str">
        <f>VLOOKUP(Table3[[#This Row],[Faction ID]],Table4[],2)</f>
        <v>Dunlendings</v>
      </c>
    </row>
    <row r="4547" spans="1:10" x14ac:dyDescent="0.25">
      <c r="A4547">
        <v>118</v>
      </c>
      <c r="B4547" t="s">
        <v>16</v>
      </c>
      <c r="C4547">
        <v>0</v>
      </c>
      <c r="D4547">
        <v>0</v>
      </c>
      <c r="E4547">
        <v>0</v>
      </c>
      <c r="F4547">
        <v>5352</v>
      </c>
      <c r="G4547">
        <v>1750</v>
      </c>
      <c r="H4547">
        <v>0</v>
      </c>
      <c r="J4547" t="str">
        <f>VLOOKUP(Table3[[#This Row],[Faction ID]],Table4[],2)</f>
        <v>Haerrim</v>
      </c>
    </row>
    <row r="4548" spans="1:10" x14ac:dyDescent="0.25">
      <c r="A4548">
        <v>118</v>
      </c>
      <c r="B4548" t="s">
        <v>13</v>
      </c>
      <c r="C4548">
        <v>587</v>
      </c>
      <c r="D4548">
        <v>20</v>
      </c>
      <c r="E4548">
        <v>504.5</v>
      </c>
      <c r="F4548">
        <v>244805</v>
      </c>
      <c r="G4548">
        <v>68430</v>
      </c>
      <c r="H4548">
        <v>4975</v>
      </c>
      <c r="J4548" t="str">
        <f>VLOOKUP(Table3[[#This Row],[Faction ID]],Table4[],2)</f>
        <v>Goblins</v>
      </c>
    </row>
    <row r="4549" spans="1:10" x14ac:dyDescent="0.25">
      <c r="A4549">
        <v>118</v>
      </c>
      <c r="B4549" t="s">
        <v>17</v>
      </c>
      <c r="C4549">
        <v>0</v>
      </c>
      <c r="D4549">
        <v>0</v>
      </c>
      <c r="E4549">
        <v>0</v>
      </c>
      <c r="F4549">
        <v>4872</v>
      </c>
      <c r="G4549">
        <v>1750</v>
      </c>
      <c r="H4549">
        <v>0</v>
      </c>
      <c r="J4549" t="str">
        <f>VLOOKUP(Table3[[#This Row],[Faction ID]],Table4[],2)</f>
        <v>Balchoth</v>
      </c>
    </row>
    <row r="4550" spans="1:10" x14ac:dyDescent="0.25">
      <c r="A4550">
        <v>118</v>
      </c>
      <c r="B4550" t="s">
        <v>18</v>
      </c>
      <c r="C4550">
        <v>578</v>
      </c>
      <c r="D4550">
        <v>26</v>
      </c>
      <c r="E4550">
        <v>414.9</v>
      </c>
      <c r="F4550">
        <v>76815</v>
      </c>
      <c r="G4550">
        <v>46216</v>
      </c>
      <c r="H4550">
        <v>0</v>
      </c>
      <c r="J4550" t="str">
        <f>VLOOKUP(Table3[[#This Row],[Faction ID]],Table4[],2)</f>
        <v>Rhurim/Rhun</v>
      </c>
    </row>
    <row r="4551" spans="1:10" x14ac:dyDescent="0.25">
      <c r="A4551">
        <v>118</v>
      </c>
      <c r="B4551" t="s">
        <v>19</v>
      </c>
      <c r="C4551">
        <v>0</v>
      </c>
      <c r="D4551">
        <v>0</v>
      </c>
      <c r="E4551">
        <v>0</v>
      </c>
      <c r="F4551">
        <v>7360</v>
      </c>
      <c r="G4551">
        <v>1750</v>
      </c>
      <c r="H4551">
        <v>0</v>
      </c>
      <c r="J4551" t="str">
        <f>VLOOKUP(Table3[[#This Row],[Faction ID]],Table4[],2)</f>
        <v>Feredrim</v>
      </c>
    </row>
    <row r="4552" spans="1:10" x14ac:dyDescent="0.25">
      <c r="A4552">
        <v>118</v>
      </c>
      <c r="B4552" t="s">
        <v>26</v>
      </c>
      <c r="C4552">
        <v>0</v>
      </c>
      <c r="D4552">
        <v>0</v>
      </c>
      <c r="E4552">
        <v>0</v>
      </c>
      <c r="F4552">
        <v>6395</v>
      </c>
      <c r="G4552">
        <v>1750</v>
      </c>
      <c r="H4552">
        <v>0</v>
      </c>
      <c r="J4552" t="str">
        <f>VLOOKUP(Table3[[#This Row],[Faction ID]],Table4[],2)</f>
        <v>Rachrohir (Wainriders)</v>
      </c>
    </row>
    <row r="4553" spans="1:10" x14ac:dyDescent="0.25">
      <c r="A4553">
        <v>118</v>
      </c>
      <c r="B4553" t="s">
        <v>27</v>
      </c>
      <c r="C4553">
        <v>2</v>
      </c>
      <c r="D4553">
        <v>2</v>
      </c>
      <c r="E4553">
        <v>47.8</v>
      </c>
      <c r="F4553">
        <v>9902</v>
      </c>
      <c r="G4553">
        <v>7642</v>
      </c>
      <c r="H4553">
        <v>428</v>
      </c>
      <c r="J4553" t="str">
        <f>VLOOKUP(Table3[[#This Row],[Faction ID]],Table4[],2)</f>
        <v>Blacklock-Stonefoot League</v>
      </c>
    </row>
    <row r="4554" spans="1:10" x14ac:dyDescent="0.25">
      <c r="A4554">
        <v>118</v>
      </c>
      <c r="B4554" t="s">
        <v>28</v>
      </c>
      <c r="C4554">
        <v>5</v>
      </c>
      <c r="D4554">
        <v>2</v>
      </c>
      <c r="E4554">
        <v>19</v>
      </c>
      <c r="F4554">
        <v>6120</v>
      </c>
      <c r="G4554">
        <v>3855</v>
      </c>
      <c r="H4554">
        <v>0</v>
      </c>
      <c r="J4554" t="str">
        <f>VLOOKUP(Table3[[#This Row],[Faction ID]],Table4[],2)</f>
        <v>Ironfist-Stiffbeard Union</v>
      </c>
    </row>
    <row r="4555" spans="1:10" x14ac:dyDescent="0.25">
      <c r="A4555">
        <v>118</v>
      </c>
      <c r="B4555" t="s">
        <v>20</v>
      </c>
      <c r="C4555">
        <v>245</v>
      </c>
      <c r="D4555">
        <v>0</v>
      </c>
      <c r="E4555">
        <v>0</v>
      </c>
      <c r="F4555">
        <v>9750</v>
      </c>
      <c r="G4555">
        <v>2500</v>
      </c>
      <c r="H4555">
        <v>0</v>
      </c>
      <c r="J4555" t="str">
        <f>VLOOKUP(Table3[[#This Row],[Faction ID]],Table4[],2)</f>
        <v>Gundabad</v>
      </c>
    </row>
    <row r="4556" spans="1:10" x14ac:dyDescent="0.25">
      <c r="A4556">
        <v>118</v>
      </c>
      <c r="B4556" t="s">
        <v>34</v>
      </c>
      <c r="C4556">
        <v>0</v>
      </c>
      <c r="D4556">
        <v>0</v>
      </c>
      <c r="E4556">
        <v>3</v>
      </c>
      <c r="F4556">
        <v>135607</v>
      </c>
      <c r="G4556">
        <v>2354</v>
      </c>
      <c r="H4556">
        <v>0</v>
      </c>
      <c r="J4556" t="str">
        <f>VLOOKUP(Table3[[#This Row],[Faction ID]],Table4[],2)</f>
        <v>Scouts of Rohan</v>
      </c>
    </row>
    <row r="4557" spans="1:10" x14ac:dyDescent="0.25">
      <c r="A4557">
        <v>118</v>
      </c>
      <c r="B4557" t="s">
        <v>33</v>
      </c>
      <c r="C4557">
        <v>6</v>
      </c>
      <c r="D4557">
        <v>4</v>
      </c>
      <c r="E4557">
        <v>96</v>
      </c>
      <c r="F4557">
        <v>139510</v>
      </c>
      <c r="G4557">
        <v>22226</v>
      </c>
      <c r="H4557">
        <v>1139</v>
      </c>
      <c r="J4557" t="str">
        <f>VLOOKUP(Table3[[#This Row],[Faction ID]],Table4[],2)</f>
        <v>Northern Enedwaith</v>
      </c>
    </row>
    <row r="4558" spans="1:10" x14ac:dyDescent="0.25">
      <c r="A4558">
        <v>118</v>
      </c>
      <c r="B4558" t="s">
        <v>29</v>
      </c>
      <c r="C4558">
        <v>0</v>
      </c>
      <c r="D4558">
        <v>0</v>
      </c>
      <c r="E4558">
        <v>0</v>
      </c>
      <c r="F4558">
        <v>54023</v>
      </c>
      <c r="G4558">
        <v>1750</v>
      </c>
      <c r="H4558">
        <v>0</v>
      </c>
      <c r="J4558" t="str">
        <f>VLOOKUP(Table3[[#This Row],[Faction ID]],Table4[],2)</f>
        <v>Southern Enedwaith</v>
      </c>
    </row>
    <row r="4559" spans="1:10" x14ac:dyDescent="0.25">
      <c r="A4559">
        <v>118</v>
      </c>
      <c r="B4559" t="s">
        <v>30</v>
      </c>
      <c r="C4559">
        <v>0</v>
      </c>
      <c r="D4559">
        <v>0</v>
      </c>
      <c r="E4559">
        <v>0</v>
      </c>
      <c r="F4559">
        <v>32146</v>
      </c>
      <c r="G4559">
        <v>1750</v>
      </c>
      <c r="H4559">
        <v>0</v>
      </c>
      <c r="J4559" t="str">
        <f>VLOOKUP(Table3[[#This Row],[Faction ID]],Table4[],2)</f>
        <v>Druedain</v>
      </c>
    </row>
    <row r="4560" spans="1:10" x14ac:dyDescent="0.25">
      <c r="A4560">
        <v>118</v>
      </c>
      <c r="B4560" t="s">
        <v>31</v>
      </c>
      <c r="C4560">
        <v>0</v>
      </c>
      <c r="D4560">
        <v>0</v>
      </c>
      <c r="E4560">
        <v>0</v>
      </c>
      <c r="F4560">
        <v>15146</v>
      </c>
      <c r="G4560">
        <v>1750</v>
      </c>
      <c r="H4560">
        <v>0</v>
      </c>
      <c r="J4560" t="str">
        <f>VLOOKUP(Table3[[#This Row],[Faction ID]],Table4[],2)</f>
        <v>Harondor</v>
      </c>
    </row>
    <row r="4561" spans="1:10" x14ac:dyDescent="0.25">
      <c r="A4561">
        <v>118</v>
      </c>
      <c r="B4561" t="s">
        <v>35</v>
      </c>
      <c r="C4561">
        <v>0</v>
      </c>
      <c r="D4561">
        <v>0</v>
      </c>
      <c r="E4561">
        <v>0</v>
      </c>
      <c r="F4561">
        <v>4000</v>
      </c>
      <c r="G4561">
        <v>1750</v>
      </c>
      <c r="H4561">
        <v>0</v>
      </c>
      <c r="J4561" t="str">
        <f>VLOOKUP(Table3[[#This Row],[Faction ID]],Table4[],2)</f>
        <v>Southron Nomads</v>
      </c>
    </row>
    <row r="4562" spans="1:10" x14ac:dyDescent="0.25">
      <c r="A4562">
        <v>118</v>
      </c>
      <c r="B4562" t="s">
        <v>36</v>
      </c>
      <c r="C4562">
        <v>0</v>
      </c>
      <c r="D4562">
        <v>0</v>
      </c>
      <c r="E4562">
        <v>0</v>
      </c>
      <c r="F4562">
        <v>4000</v>
      </c>
      <c r="G4562">
        <v>1750</v>
      </c>
      <c r="H4562">
        <v>0</v>
      </c>
      <c r="J4562" t="str">
        <f>VLOOKUP(Table3[[#This Row],[Faction ID]],Table4[],2)</f>
        <v>_</v>
      </c>
    </row>
    <row r="4563" spans="1:10" x14ac:dyDescent="0.25">
      <c r="A4563">
        <v>118</v>
      </c>
      <c r="B4563" t="s">
        <v>37</v>
      </c>
      <c r="C4563">
        <v>0</v>
      </c>
      <c r="D4563">
        <v>0</v>
      </c>
      <c r="E4563">
        <v>0</v>
      </c>
      <c r="F4563">
        <v>4000</v>
      </c>
      <c r="G4563">
        <v>1750</v>
      </c>
      <c r="H4563">
        <v>0</v>
      </c>
      <c r="J4563" t="str">
        <f>VLOOKUP(Table3[[#This Row],[Faction ID]],Table4[],2)</f>
        <v>_</v>
      </c>
    </row>
    <row r="4564" spans="1:10" x14ac:dyDescent="0.25">
      <c r="A4564">
        <v>118</v>
      </c>
      <c r="B4564" t="s">
        <v>38</v>
      </c>
      <c r="C4564">
        <v>0</v>
      </c>
      <c r="D4564">
        <v>0</v>
      </c>
      <c r="E4564">
        <v>0</v>
      </c>
      <c r="F4564">
        <v>4000</v>
      </c>
      <c r="G4564">
        <v>1750</v>
      </c>
      <c r="H4564">
        <v>0</v>
      </c>
      <c r="J4564" t="str">
        <f>VLOOKUP(Table3[[#This Row],[Faction ID]],Table4[],2)</f>
        <v>_</v>
      </c>
    </row>
    <row r="4565" spans="1:10" x14ac:dyDescent="0.25">
      <c r="A4565">
        <v>118</v>
      </c>
      <c r="B4565" t="s">
        <v>39</v>
      </c>
      <c r="C4565">
        <v>0</v>
      </c>
      <c r="D4565">
        <v>0</v>
      </c>
      <c r="E4565">
        <v>0</v>
      </c>
      <c r="F4565">
        <v>4000</v>
      </c>
      <c r="G4565">
        <v>1750</v>
      </c>
      <c r="H4565">
        <v>0</v>
      </c>
      <c r="J4565" t="str">
        <f>VLOOKUP(Table3[[#This Row],[Faction ID]],Table4[],2)</f>
        <v>_</v>
      </c>
    </row>
    <row r="4566" spans="1:10" x14ac:dyDescent="0.25">
      <c r="A4566">
        <v>118</v>
      </c>
      <c r="B4566" t="s">
        <v>40</v>
      </c>
      <c r="C4566">
        <v>0</v>
      </c>
      <c r="D4566">
        <v>0</v>
      </c>
      <c r="E4566">
        <v>0</v>
      </c>
      <c r="F4566">
        <v>4000</v>
      </c>
      <c r="G4566">
        <v>1750</v>
      </c>
      <c r="H4566">
        <v>0</v>
      </c>
      <c r="J4566" t="str">
        <f>VLOOKUP(Table3[[#This Row],[Faction ID]],Table4[],2)</f>
        <v>_</v>
      </c>
    </row>
    <row r="4567" spans="1:10" x14ac:dyDescent="0.25">
      <c r="A4567">
        <v>118</v>
      </c>
      <c r="B4567" t="s">
        <v>41</v>
      </c>
      <c r="C4567">
        <v>0</v>
      </c>
      <c r="D4567">
        <v>0</v>
      </c>
      <c r="E4567">
        <v>0</v>
      </c>
      <c r="F4567">
        <v>4000</v>
      </c>
      <c r="G4567">
        <v>1750</v>
      </c>
      <c r="H4567">
        <v>0</v>
      </c>
      <c r="J4567" t="str">
        <f>VLOOKUP(Table3[[#This Row],[Faction ID]],Table4[],2)</f>
        <v>_</v>
      </c>
    </row>
    <row r="4568" spans="1:10" x14ac:dyDescent="0.25">
      <c r="A4568">
        <v>118</v>
      </c>
      <c r="B4568" t="s">
        <v>42</v>
      </c>
      <c r="C4568">
        <v>0</v>
      </c>
      <c r="D4568">
        <v>0</v>
      </c>
      <c r="E4568">
        <v>0</v>
      </c>
      <c r="F4568">
        <v>4000</v>
      </c>
      <c r="G4568">
        <v>1750</v>
      </c>
      <c r="H4568">
        <v>0</v>
      </c>
      <c r="J4568" t="str">
        <f>VLOOKUP(Table3[[#This Row],[Faction ID]],Table4[],2)</f>
        <v>_</v>
      </c>
    </row>
    <row r="4569" spans="1:10" x14ac:dyDescent="0.25">
      <c r="A4569">
        <v>118</v>
      </c>
      <c r="B4569" t="s">
        <v>43</v>
      </c>
      <c r="C4569">
        <v>0</v>
      </c>
      <c r="D4569">
        <v>0</v>
      </c>
      <c r="E4569">
        <v>0</v>
      </c>
      <c r="F4569">
        <v>4000</v>
      </c>
      <c r="G4569">
        <v>1750</v>
      </c>
      <c r="H4569">
        <v>0</v>
      </c>
      <c r="J4569" t="str">
        <f>VLOOKUP(Table3[[#This Row],[Faction ID]],Table4[],2)</f>
        <v>_</v>
      </c>
    </row>
    <row r="4570" spans="1:10" x14ac:dyDescent="0.25">
      <c r="A4570">
        <v>118</v>
      </c>
      <c r="B4570" t="s">
        <v>44</v>
      </c>
      <c r="C4570">
        <v>0</v>
      </c>
      <c r="D4570">
        <v>0</v>
      </c>
      <c r="E4570">
        <v>0</v>
      </c>
      <c r="F4570">
        <v>4000</v>
      </c>
      <c r="G4570">
        <v>1750</v>
      </c>
      <c r="H4570">
        <v>0</v>
      </c>
      <c r="J4570" t="str">
        <f>VLOOKUP(Table3[[#This Row],[Faction ID]],Table4[],2)</f>
        <v>_</v>
      </c>
    </row>
    <row r="4571" spans="1:10" x14ac:dyDescent="0.25">
      <c r="A4571">
        <v>119</v>
      </c>
      <c r="B4571" t="s">
        <v>9</v>
      </c>
      <c r="C4571">
        <v>609</v>
      </c>
      <c r="D4571">
        <v>36</v>
      </c>
      <c r="E4571">
        <v>484.3</v>
      </c>
      <c r="F4571">
        <v>457</v>
      </c>
      <c r="G4571">
        <v>66993</v>
      </c>
      <c r="H4571">
        <v>4597</v>
      </c>
      <c r="J4571" t="str">
        <f>VLOOKUP(Table3[[#This Row],[Faction ID]],Table4[],2)</f>
        <v>Mordor</v>
      </c>
    </row>
    <row r="4572" spans="1:10" x14ac:dyDescent="0.25">
      <c r="A4572">
        <v>119</v>
      </c>
      <c r="B4572" t="s">
        <v>4</v>
      </c>
      <c r="C4572">
        <v>146</v>
      </c>
      <c r="D4572">
        <v>0</v>
      </c>
      <c r="E4572">
        <v>0</v>
      </c>
      <c r="F4572">
        <v>55420</v>
      </c>
      <c r="G4572">
        <v>2500</v>
      </c>
      <c r="H4572">
        <v>0</v>
      </c>
      <c r="J4572" t="str">
        <f>VLOOKUP(Table3[[#This Row],[Faction ID]],Table4[],2)</f>
        <v>Gondor</v>
      </c>
    </row>
    <row r="4573" spans="1:10" x14ac:dyDescent="0.25">
      <c r="A4573">
        <v>119</v>
      </c>
      <c r="B4573" t="s">
        <v>6</v>
      </c>
      <c r="C4573">
        <v>199</v>
      </c>
      <c r="D4573">
        <v>0</v>
      </c>
      <c r="E4573">
        <v>0</v>
      </c>
      <c r="F4573">
        <v>10343</v>
      </c>
      <c r="G4573">
        <v>2500</v>
      </c>
      <c r="H4573">
        <v>0</v>
      </c>
      <c r="J4573" t="str">
        <f>VLOOKUP(Table3[[#This Row],[Faction ID]],Table4[],2)</f>
        <v>Dale</v>
      </c>
    </row>
    <row r="4574" spans="1:10" x14ac:dyDescent="0.25">
      <c r="A4574">
        <v>119</v>
      </c>
      <c r="B4574" t="s">
        <v>21</v>
      </c>
      <c r="C4574">
        <v>200</v>
      </c>
      <c r="D4574">
        <v>0</v>
      </c>
      <c r="E4574">
        <v>0</v>
      </c>
      <c r="F4574">
        <v>10040</v>
      </c>
      <c r="G4574">
        <v>2500</v>
      </c>
      <c r="H4574">
        <v>0</v>
      </c>
      <c r="J4574" t="str">
        <f>VLOOKUP(Table3[[#This Row],[Faction ID]],Table4[],2)</f>
        <v>Erebor</v>
      </c>
    </row>
    <row r="4575" spans="1:10" x14ac:dyDescent="0.25">
      <c r="A4575">
        <v>119</v>
      </c>
      <c r="B4575" t="s">
        <v>5</v>
      </c>
      <c r="C4575">
        <v>157</v>
      </c>
      <c r="D4575">
        <v>0</v>
      </c>
      <c r="E4575">
        <v>0</v>
      </c>
      <c r="F4575">
        <v>6638</v>
      </c>
      <c r="G4575">
        <v>2500</v>
      </c>
      <c r="H4575">
        <v>0</v>
      </c>
      <c r="J4575" t="str">
        <f>VLOOKUP(Table3[[#This Row],[Faction ID]],Table4[],2)</f>
        <v>Rohan</v>
      </c>
    </row>
    <row r="4576" spans="1:10" x14ac:dyDescent="0.25">
      <c r="A4576">
        <v>119</v>
      </c>
      <c r="B4576" t="s">
        <v>12</v>
      </c>
      <c r="C4576">
        <v>470</v>
      </c>
      <c r="D4576">
        <v>22</v>
      </c>
      <c r="E4576">
        <v>330.6</v>
      </c>
      <c r="F4576">
        <v>219215</v>
      </c>
      <c r="G4576">
        <v>46648</v>
      </c>
      <c r="H4576">
        <v>1892</v>
      </c>
      <c r="J4576" t="str">
        <f>VLOOKUP(Table3[[#This Row],[Faction ID]],Table4[],2)</f>
        <v>Dol Guldur</v>
      </c>
    </row>
    <row r="4577" spans="1:10" x14ac:dyDescent="0.25">
      <c r="A4577">
        <v>119</v>
      </c>
      <c r="B4577" t="s">
        <v>10</v>
      </c>
      <c r="C4577">
        <v>58</v>
      </c>
      <c r="D4577">
        <v>0</v>
      </c>
      <c r="E4577">
        <v>0</v>
      </c>
      <c r="F4577">
        <v>4515</v>
      </c>
      <c r="G4577">
        <v>2500</v>
      </c>
      <c r="H4577">
        <v>0</v>
      </c>
      <c r="J4577" t="str">
        <f>VLOOKUP(Table3[[#This Row],[Faction ID]],Table4[],2)</f>
        <v>Anduin Vale</v>
      </c>
    </row>
    <row r="4578" spans="1:10" x14ac:dyDescent="0.25">
      <c r="A4578">
        <v>119</v>
      </c>
      <c r="B4578" t="s">
        <v>32</v>
      </c>
      <c r="C4578">
        <v>305</v>
      </c>
      <c r="D4578">
        <v>6</v>
      </c>
      <c r="E4578">
        <v>180.6</v>
      </c>
      <c r="F4578">
        <v>31874</v>
      </c>
      <c r="G4578">
        <v>26623</v>
      </c>
      <c r="H4578">
        <v>1523</v>
      </c>
      <c r="J4578" t="str">
        <f>VLOOKUP(Table3[[#This Row],[Faction ID]],Table4[],2)</f>
        <v>Isengard</v>
      </c>
    </row>
    <row r="4579" spans="1:10" x14ac:dyDescent="0.25">
      <c r="A4579">
        <v>119</v>
      </c>
      <c r="B4579" t="s">
        <v>22</v>
      </c>
      <c r="C4579">
        <v>30</v>
      </c>
      <c r="D4579">
        <v>0</v>
      </c>
      <c r="E4579">
        <v>0</v>
      </c>
      <c r="F4579">
        <v>8475</v>
      </c>
      <c r="G4579">
        <v>2500</v>
      </c>
      <c r="H4579">
        <v>0</v>
      </c>
      <c r="J4579" t="str">
        <f>VLOOKUP(Table3[[#This Row],[Faction ID]],Table4[],2)</f>
        <v>Woodland Realm</v>
      </c>
    </row>
    <row r="4580" spans="1:10" x14ac:dyDescent="0.25">
      <c r="A4580">
        <v>119</v>
      </c>
      <c r="B4580" t="s">
        <v>23</v>
      </c>
      <c r="C4580">
        <v>64</v>
      </c>
      <c r="D4580">
        <v>0</v>
      </c>
      <c r="E4580">
        <v>0</v>
      </c>
      <c r="F4580">
        <v>4721</v>
      </c>
      <c r="G4580">
        <v>2500</v>
      </c>
      <c r="H4580">
        <v>0</v>
      </c>
      <c r="J4580" t="str">
        <f>VLOOKUP(Table3[[#This Row],[Faction ID]],Table4[],2)</f>
        <v>Lothlorien</v>
      </c>
    </row>
    <row r="4581" spans="1:10" x14ac:dyDescent="0.25">
      <c r="A4581">
        <v>119</v>
      </c>
      <c r="B4581" t="s">
        <v>24</v>
      </c>
      <c r="C4581">
        <v>0</v>
      </c>
      <c r="D4581">
        <v>0</v>
      </c>
      <c r="E4581">
        <v>0</v>
      </c>
      <c r="F4581">
        <v>4919</v>
      </c>
      <c r="G4581">
        <v>1750</v>
      </c>
      <c r="H4581">
        <v>0</v>
      </c>
      <c r="J4581" t="str">
        <f>VLOOKUP(Table3[[#This Row],[Faction ID]],Table4[],2)</f>
        <v>Variags (Khand)</v>
      </c>
    </row>
    <row r="4582" spans="1:10" x14ac:dyDescent="0.25">
      <c r="A4582">
        <v>119</v>
      </c>
      <c r="B4582" t="s">
        <v>14</v>
      </c>
      <c r="C4582">
        <v>19</v>
      </c>
      <c r="D4582">
        <v>13</v>
      </c>
      <c r="E4582">
        <v>245.8</v>
      </c>
      <c r="F4582">
        <v>197743</v>
      </c>
      <c r="G4582">
        <v>52510</v>
      </c>
      <c r="H4582">
        <v>4468</v>
      </c>
      <c r="J4582" t="str">
        <f>VLOOKUP(Table3[[#This Row],[Faction ID]],Table4[],2)</f>
        <v>Corsairs of Umbar</v>
      </c>
    </row>
    <row r="4583" spans="1:10" x14ac:dyDescent="0.25">
      <c r="A4583">
        <v>119</v>
      </c>
      <c r="B4583" t="s">
        <v>25</v>
      </c>
      <c r="C4583">
        <v>0</v>
      </c>
      <c r="D4583">
        <v>0</v>
      </c>
      <c r="E4583">
        <v>0</v>
      </c>
      <c r="F4583">
        <v>9228</v>
      </c>
      <c r="G4583">
        <v>1750</v>
      </c>
      <c r="H4583">
        <v>0</v>
      </c>
      <c r="J4583" t="str">
        <f>VLOOKUP(Table3[[#This Row],[Faction ID]],Table4[],2)</f>
        <v>Mahud</v>
      </c>
    </row>
    <row r="4584" spans="1:10" x14ac:dyDescent="0.25">
      <c r="A4584">
        <v>119</v>
      </c>
      <c r="B4584" t="s">
        <v>11</v>
      </c>
      <c r="C4584">
        <v>278</v>
      </c>
      <c r="D4584">
        <v>14</v>
      </c>
      <c r="E4584">
        <v>212.7</v>
      </c>
      <c r="F4584">
        <v>85595</v>
      </c>
      <c r="G4584">
        <v>33471</v>
      </c>
      <c r="H4584">
        <v>2403</v>
      </c>
      <c r="J4584" t="str">
        <f>VLOOKUP(Table3[[#This Row],[Faction ID]],Table4[],2)</f>
        <v>Haradrim</v>
      </c>
    </row>
    <row r="4585" spans="1:10" x14ac:dyDescent="0.25">
      <c r="A4585">
        <v>119</v>
      </c>
      <c r="B4585" t="s">
        <v>15</v>
      </c>
      <c r="C4585">
        <v>301</v>
      </c>
      <c r="D4585">
        <v>11</v>
      </c>
      <c r="E4585">
        <v>217.6</v>
      </c>
      <c r="F4585">
        <v>162371</v>
      </c>
      <c r="G4585">
        <v>42784</v>
      </c>
      <c r="H4585">
        <v>2287</v>
      </c>
      <c r="J4585" t="str">
        <f>VLOOKUP(Table3[[#This Row],[Faction ID]],Table4[],2)</f>
        <v>Dunlendings</v>
      </c>
    </row>
    <row r="4586" spans="1:10" x14ac:dyDescent="0.25">
      <c r="A4586">
        <v>119</v>
      </c>
      <c r="B4586" t="s">
        <v>16</v>
      </c>
      <c r="C4586">
        <v>0</v>
      </c>
      <c r="D4586">
        <v>0</v>
      </c>
      <c r="E4586">
        <v>0</v>
      </c>
      <c r="F4586">
        <v>5352</v>
      </c>
      <c r="G4586">
        <v>1750</v>
      </c>
      <c r="H4586">
        <v>0</v>
      </c>
      <c r="J4586" t="str">
        <f>VLOOKUP(Table3[[#This Row],[Faction ID]],Table4[],2)</f>
        <v>Haerrim</v>
      </c>
    </row>
    <row r="4587" spans="1:10" x14ac:dyDescent="0.25">
      <c r="A4587">
        <v>119</v>
      </c>
      <c r="B4587" t="s">
        <v>13</v>
      </c>
      <c r="C4587">
        <v>587</v>
      </c>
      <c r="D4587">
        <v>20</v>
      </c>
      <c r="E4587">
        <v>496.5</v>
      </c>
      <c r="F4587">
        <v>246361</v>
      </c>
      <c r="G4587">
        <v>70148</v>
      </c>
      <c r="H4587">
        <v>4777</v>
      </c>
      <c r="J4587" t="str">
        <f>VLOOKUP(Table3[[#This Row],[Faction ID]],Table4[],2)</f>
        <v>Goblins</v>
      </c>
    </row>
    <row r="4588" spans="1:10" x14ac:dyDescent="0.25">
      <c r="A4588">
        <v>119</v>
      </c>
      <c r="B4588" t="s">
        <v>17</v>
      </c>
      <c r="C4588">
        <v>0</v>
      </c>
      <c r="D4588">
        <v>0</v>
      </c>
      <c r="E4588">
        <v>0</v>
      </c>
      <c r="F4588">
        <v>4872</v>
      </c>
      <c r="G4588">
        <v>1750</v>
      </c>
      <c r="H4588">
        <v>0</v>
      </c>
      <c r="J4588" t="str">
        <f>VLOOKUP(Table3[[#This Row],[Faction ID]],Table4[],2)</f>
        <v>Balchoth</v>
      </c>
    </row>
    <row r="4589" spans="1:10" x14ac:dyDescent="0.25">
      <c r="A4589">
        <v>119</v>
      </c>
      <c r="B4589" t="s">
        <v>18</v>
      </c>
      <c r="C4589">
        <v>578</v>
      </c>
      <c r="D4589">
        <v>26</v>
      </c>
      <c r="E4589">
        <v>429.29999999999899</v>
      </c>
      <c r="F4589">
        <v>70237</v>
      </c>
      <c r="G4589">
        <v>48188</v>
      </c>
      <c r="H4589">
        <v>0</v>
      </c>
      <c r="J4589" t="str">
        <f>VLOOKUP(Table3[[#This Row],[Faction ID]],Table4[],2)</f>
        <v>Rhurim/Rhun</v>
      </c>
    </row>
    <row r="4590" spans="1:10" x14ac:dyDescent="0.25">
      <c r="A4590">
        <v>119</v>
      </c>
      <c r="B4590" t="s">
        <v>19</v>
      </c>
      <c r="C4590">
        <v>0</v>
      </c>
      <c r="D4590">
        <v>0</v>
      </c>
      <c r="E4590">
        <v>0</v>
      </c>
      <c r="F4590">
        <v>7360</v>
      </c>
      <c r="G4590">
        <v>1750</v>
      </c>
      <c r="H4590">
        <v>0</v>
      </c>
      <c r="J4590" t="str">
        <f>VLOOKUP(Table3[[#This Row],[Faction ID]],Table4[],2)</f>
        <v>Feredrim</v>
      </c>
    </row>
    <row r="4591" spans="1:10" x14ac:dyDescent="0.25">
      <c r="A4591">
        <v>119</v>
      </c>
      <c r="B4591" t="s">
        <v>26</v>
      </c>
      <c r="C4591">
        <v>0</v>
      </c>
      <c r="D4591">
        <v>0</v>
      </c>
      <c r="E4591">
        <v>0</v>
      </c>
      <c r="F4591">
        <v>6395</v>
      </c>
      <c r="G4591">
        <v>1750</v>
      </c>
      <c r="H4591">
        <v>0</v>
      </c>
      <c r="J4591" t="str">
        <f>VLOOKUP(Table3[[#This Row],[Faction ID]],Table4[],2)</f>
        <v>Rachrohir (Wainriders)</v>
      </c>
    </row>
    <row r="4592" spans="1:10" x14ac:dyDescent="0.25">
      <c r="A4592">
        <v>119</v>
      </c>
      <c r="B4592" t="s">
        <v>27</v>
      </c>
      <c r="C4592">
        <v>2</v>
      </c>
      <c r="D4592">
        <v>2</v>
      </c>
      <c r="E4592">
        <v>50</v>
      </c>
      <c r="F4592">
        <v>5144</v>
      </c>
      <c r="G4592">
        <v>8045</v>
      </c>
      <c r="H4592">
        <v>442</v>
      </c>
      <c r="J4592" t="str">
        <f>VLOOKUP(Table3[[#This Row],[Faction ID]],Table4[],2)</f>
        <v>Blacklock-Stonefoot League</v>
      </c>
    </row>
    <row r="4593" spans="1:10" x14ac:dyDescent="0.25">
      <c r="A4593">
        <v>119</v>
      </c>
      <c r="B4593" t="s">
        <v>28</v>
      </c>
      <c r="C4593">
        <v>5</v>
      </c>
      <c r="D4593">
        <v>2</v>
      </c>
      <c r="E4593">
        <v>19</v>
      </c>
      <c r="F4593">
        <v>6618</v>
      </c>
      <c r="G4593">
        <v>4282</v>
      </c>
      <c r="H4593">
        <v>0</v>
      </c>
      <c r="J4593" t="str">
        <f>VLOOKUP(Table3[[#This Row],[Faction ID]],Table4[],2)</f>
        <v>Ironfist-Stiffbeard Union</v>
      </c>
    </row>
    <row r="4594" spans="1:10" x14ac:dyDescent="0.25">
      <c r="A4594">
        <v>119</v>
      </c>
      <c r="B4594" t="s">
        <v>20</v>
      </c>
      <c r="C4594">
        <v>245</v>
      </c>
      <c r="D4594">
        <v>0</v>
      </c>
      <c r="E4594">
        <v>0</v>
      </c>
      <c r="F4594">
        <v>9750</v>
      </c>
      <c r="G4594">
        <v>2500</v>
      </c>
      <c r="H4594">
        <v>0</v>
      </c>
      <c r="J4594" t="str">
        <f>VLOOKUP(Table3[[#This Row],[Faction ID]],Table4[],2)</f>
        <v>Gundabad</v>
      </c>
    </row>
    <row r="4595" spans="1:10" x14ac:dyDescent="0.25">
      <c r="A4595">
        <v>119</v>
      </c>
      <c r="B4595" t="s">
        <v>34</v>
      </c>
      <c r="C4595">
        <v>0</v>
      </c>
      <c r="D4595">
        <v>0</v>
      </c>
      <c r="E4595">
        <v>3</v>
      </c>
      <c r="F4595">
        <v>136753</v>
      </c>
      <c r="G4595">
        <v>2354</v>
      </c>
      <c r="H4595">
        <v>0</v>
      </c>
      <c r="J4595" t="str">
        <f>VLOOKUP(Table3[[#This Row],[Faction ID]],Table4[],2)</f>
        <v>Scouts of Rohan</v>
      </c>
    </row>
    <row r="4596" spans="1:10" x14ac:dyDescent="0.25">
      <c r="A4596">
        <v>119</v>
      </c>
      <c r="B4596" t="s">
        <v>33</v>
      </c>
      <c r="C4596">
        <v>6</v>
      </c>
      <c r="D4596">
        <v>4</v>
      </c>
      <c r="E4596">
        <v>100</v>
      </c>
      <c r="F4596">
        <v>142756</v>
      </c>
      <c r="G4596">
        <v>23574</v>
      </c>
      <c r="H4596">
        <v>1146</v>
      </c>
      <c r="J4596" t="str">
        <f>VLOOKUP(Table3[[#This Row],[Faction ID]],Table4[],2)</f>
        <v>Northern Enedwaith</v>
      </c>
    </row>
    <row r="4597" spans="1:10" x14ac:dyDescent="0.25">
      <c r="A4597">
        <v>119</v>
      </c>
      <c r="B4597" t="s">
        <v>29</v>
      </c>
      <c r="C4597">
        <v>0</v>
      </c>
      <c r="D4597">
        <v>0</v>
      </c>
      <c r="E4597">
        <v>0</v>
      </c>
      <c r="F4597">
        <v>54023</v>
      </c>
      <c r="G4597">
        <v>1750</v>
      </c>
      <c r="H4597">
        <v>0</v>
      </c>
      <c r="J4597" t="str">
        <f>VLOOKUP(Table3[[#This Row],[Faction ID]],Table4[],2)</f>
        <v>Southern Enedwaith</v>
      </c>
    </row>
    <row r="4598" spans="1:10" x14ac:dyDescent="0.25">
      <c r="A4598">
        <v>119</v>
      </c>
      <c r="B4598" t="s">
        <v>30</v>
      </c>
      <c r="C4598">
        <v>0</v>
      </c>
      <c r="D4598">
        <v>0</v>
      </c>
      <c r="E4598">
        <v>0</v>
      </c>
      <c r="F4598">
        <v>32146</v>
      </c>
      <c r="G4598">
        <v>1750</v>
      </c>
      <c r="H4598">
        <v>0</v>
      </c>
      <c r="J4598" t="str">
        <f>VLOOKUP(Table3[[#This Row],[Faction ID]],Table4[],2)</f>
        <v>Druedain</v>
      </c>
    </row>
    <row r="4599" spans="1:10" x14ac:dyDescent="0.25">
      <c r="A4599">
        <v>119</v>
      </c>
      <c r="B4599" t="s">
        <v>31</v>
      </c>
      <c r="C4599">
        <v>0</v>
      </c>
      <c r="D4599">
        <v>0</v>
      </c>
      <c r="E4599">
        <v>0</v>
      </c>
      <c r="F4599">
        <v>15146</v>
      </c>
      <c r="G4599">
        <v>1750</v>
      </c>
      <c r="H4599">
        <v>0</v>
      </c>
      <c r="J4599" t="str">
        <f>VLOOKUP(Table3[[#This Row],[Faction ID]],Table4[],2)</f>
        <v>Harondor</v>
      </c>
    </row>
    <row r="4600" spans="1:10" x14ac:dyDescent="0.25">
      <c r="A4600">
        <v>119</v>
      </c>
      <c r="B4600" t="s">
        <v>35</v>
      </c>
      <c r="C4600">
        <v>0</v>
      </c>
      <c r="D4600">
        <v>0</v>
      </c>
      <c r="E4600">
        <v>0</v>
      </c>
      <c r="F4600">
        <v>4000</v>
      </c>
      <c r="G4600">
        <v>1750</v>
      </c>
      <c r="H4600">
        <v>0</v>
      </c>
      <c r="J4600" t="str">
        <f>VLOOKUP(Table3[[#This Row],[Faction ID]],Table4[],2)</f>
        <v>Southron Nomads</v>
      </c>
    </row>
    <row r="4601" spans="1:10" x14ac:dyDescent="0.25">
      <c r="A4601">
        <v>119</v>
      </c>
      <c r="B4601" t="s">
        <v>36</v>
      </c>
      <c r="C4601">
        <v>0</v>
      </c>
      <c r="D4601">
        <v>0</v>
      </c>
      <c r="E4601">
        <v>0</v>
      </c>
      <c r="F4601">
        <v>4000</v>
      </c>
      <c r="G4601">
        <v>1750</v>
      </c>
      <c r="H4601">
        <v>0</v>
      </c>
      <c r="J4601" t="str">
        <f>VLOOKUP(Table3[[#This Row],[Faction ID]],Table4[],2)</f>
        <v>_</v>
      </c>
    </row>
    <row r="4602" spans="1:10" x14ac:dyDescent="0.25">
      <c r="A4602">
        <v>119</v>
      </c>
      <c r="B4602" t="s">
        <v>37</v>
      </c>
      <c r="C4602">
        <v>0</v>
      </c>
      <c r="D4602">
        <v>0</v>
      </c>
      <c r="E4602">
        <v>0</v>
      </c>
      <c r="F4602">
        <v>4000</v>
      </c>
      <c r="G4602">
        <v>1750</v>
      </c>
      <c r="H4602">
        <v>0</v>
      </c>
      <c r="J4602" t="str">
        <f>VLOOKUP(Table3[[#This Row],[Faction ID]],Table4[],2)</f>
        <v>_</v>
      </c>
    </row>
    <row r="4603" spans="1:10" x14ac:dyDescent="0.25">
      <c r="A4603">
        <v>119</v>
      </c>
      <c r="B4603" t="s">
        <v>38</v>
      </c>
      <c r="C4603">
        <v>0</v>
      </c>
      <c r="D4603">
        <v>0</v>
      </c>
      <c r="E4603">
        <v>0</v>
      </c>
      <c r="F4603">
        <v>4000</v>
      </c>
      <c r="G4603">
        <v>1750</v>
      </c>
      <c r="H4603">
        <v>0</v>
      </c>
      <c r="J4603" t="str">
        <f>VLOOKUP(Table3[[#This Row],[Faction ID]],Table4[],2)</f>
        <v>_</v>
      </c>
    </row>
    <row r="4604" spans="1:10" x14ac:dyDescent="0.25">
      <c r="A4604">
        <v>119</v>
      </c>
      <c r="B4604" t="s">
        <v>39</v>
      </c>
      <c r="C4604">
        <v>0</v>
      </c>
      <c r="D4604">
        <v>0</v>
      </c>
      <c r="E4604">
        <v>0</v>
      </c>
      <c r="F4604">
        <v>4000</v>
      </c>
      <c r="G4604">
        <v>1750</v>
      </c>
      <c r="H4604">
        <v>0</v>
      </c>
      <c r="J4604" t="str">
        <f>VLOOKUP(Table3[[#This Row],[Faction ID]],Table4[],2)</f>
        <v>_</v>
      </c>
    </row>
    <row r="4605" spans="1:10" x14ac:dyDescent="0.25">
      <c r="A4605">
        <v>119</v>
      </c>
      <c r="B4605" t="s">
        <v>40</v>
      </c>
      <c r="C4605">
        <v>0</v>
      </c>
      <c r="D4605">
        <v>0</v>
      </c>
      <c r="E4605">
        <v>0</v>
      </c>
      <c r="F4605">
        <v>4000</v>
      </c>
      <c r="G4605">
        <v>1750</v>
      </c>
      <c r="H4605">
        <v>0</v>
      </c>
      <c r="J4605" t="str">
        <f>VLOOKUP(Table3[[#This Row],[Faction ID]],Table4[],2)</f>
        <v>_</v>
      </c>
    </row>
    <row r="4606" spans="1:10" x14ac:dyDescent="0.25">
      <c r="A4606">
        <v>119</v>
      </c>
      <c r="B4606" t="s">
        <v>41</v>
      </c>
      <c r="C4606">
        <v>0</v>
      </c>
      <c r="D4606">
        <v>0</v>
      </c>
      <c r="E4606">
        <v>0</v>
      </c>
      <c r="F4606">
        <v>4000</v>
      </c>
      <c r="G4606">
        <v>1750</v>
      </c>
      <c r="H4606">
        <v>0</v>
      </c>
      <c r="J4606" t="str">
        <f>VLOOKUP(Table3[[#This Row],[Faction ID]],Table4[],2)</f>
        <v>_</v>
      </c>
    </row>
    <row r="4607" spans="1:10" x14ac:dyDescent="0.25">
      <c r="A4607">
        <v>119</v>
      </c>
      <c r="B4607" t="s">
        <v>42</v>
      </c>
      <c r="C4607">
        <v>0</v>
      </c>
      <c r="D4607">
        <v>0</v>
      </c>
      <c r="E4607">
        <v>0</v>
      </c>
      <c r="F4607">
        <v>4000</v>
      </c>
      <c r="G4607">
        <v>1750</v>
      </c>
      <c r="H4607">
        <v>0</v>
      </c>
      <c r="J4607" t="str">
        <f>VLOOKUP(Table3[[#This Row],[Faction ID]],Table4[],2)</f>
        <v>_</v>
      </c>
    </row>
    <row r="4608" spans="1:10" x14ac:dyDescent="0.25">
      <c r="A4608">
        <v>119</v>
      </c>
      <c r="B4608" t="s">
        <v>43</v>
      </c>
      <c r="C4608">
        <v>0</v>
      </c>
      <c r="D4608">
        <v>0</v>
      </c>
      <c r="E4608">
        <v>0</v>
      </c>
      <c r="F4608">
        <v>4000</v>
      </c>
      <c r="G4608">
        <v>1750</v>
      </c>
      <c r="H4608">
        <v>0</v>
      </c>
      <c r="J4608" t="str">
        <f>VLOOKUP(Table3[[#This Row],[Faction ID]],Table4[],2)</f>
        <v>_</v>
      </c>
    </row>
    <row r="4609" spans="1:10" x14ac:dyDescent="0.25">
      <c r="A4609">
        <v>119</v>
      </c>
      <c r="B4609" t="s">
        <v>44</v>
      </c>
      <c r="C4609">
        <v>0</v>
      </c>
      <c r="D4609">
        <v>0</v>
      </c>
      <c r="E4609">
        <v>0</v>
      </c>
      <c r="F4609">
        <v>4000</v>
      </c>
      <c r="G4609">
        <v>1750</v>
      </c>
      <c r="H4609">
        <v>0</v>
      </c>
      <c r="J4609" t="str">
        <f>VLOOKUP(Table3[[#This Row],[Faction ID]],Table4[],2)</f>
        <v>_</v>
      </c>
    </row>
    <row r="4610" spans="1:10" x14ac:dyDescent="0.25">
      <c r="A4610">
        <v>120</v>
      </c>
      <c r="B4610" t="s">
        <v>9</v>
      </c>
      <c r="C4610">
        <v>609</v>
      </c>
      <c r="D4610">
        <v>36</v>
      </c>
      <c r="E4610">
        <v>484.3</v>
      </c>
      <c r="F4610">
        <v>8143</v>
      </c>
      <c r="G4610">
        <v>67637</v>
      </c>
      <c r="H4610">
        <v>4607</v>
      </c>
      <c r="J4610" t="str">
        <f>VLOOKUP(Table3[[#This Row],[Faction ID]],Table4[],2)</f>
        <v>Mordor</v>
      </c>
    </row>
    <row r="4611" spans="1:10" x14ac:dyDescent="0.25">
      <c r="A4611">
        <v>120</v>
      </c>
      <c r="B4611" t="s">
        <v>4</v>
      </c>
      <c r="C4611">
        <v>146</v>
      </c>
      <c r="D4611">
        <v>0</v>
      </c>
      <c r="E4611">
        <v>0</v>
      </c>
      <c r="F4611">
        <v>55420</v>
      </c>
      <c r="G4611">
        <v>2500</v>
      </c>
      <c r="H4611">
        <v>0</v>
      </c>
      <c r="J4611" t="str">
        <f>VLOOKUP(Table3[[#This Row],[Faction ID]],Table4[],2)</f>
        <v>Gondor</v>
      </c>
    </row>
    <row r="4612" spans="1:10" x14ac:dyDescent="0.25">
      <c r="A4612">
        <v>120</v>
      </c>
      <c r="B4612" t="s">
        <v>6</v>
      </c>
      <c r="C4612">
        <v>199</v>
      </c>
      <c r="D4612">
        <v>0</v>
      </c>
      <c r="E4612">
        <v>0</v>
      </c>
      <c r="F4612">
        <v>10343</v>
      </c>
      <c r="G4612">
        <v>2500</v>
      </c>
      <c r="H4612">
        <v>0</v>
      </c>
      <c r="J4612" t="str">
        <f>VLOOKUP(Table3[[#This Row],[Faction ID]],Table4[],2)</f>
        <v>Dale</v>
      </c>
    </row>
    <row r="4613" spans="1:10" x14ac:dyDescent="0.25">
      <c r="A4613">
        <v>120</v>
      </c>
      <c r="B4613" t="s">
        <v>21</v>
      </c>
      <c r="C4613">
        <v>200</v>
      </c>
      <c r="D4613">
        <v>0</v>
      </c>
      <c r="E4613">
        <v>0</v>
      </c>
      <c r="F4613">
        <v>10040</v>
      </c>
      <c r="G4613">
        <v>2500</v>
      </c>
      <c r="H4613">
        <v>0</v>
      </c>
      <c r="J4613" t="str">
        <f>VLOOKUP(Table3[[#This Row],[Faction ID]],Table4[],2)</f>
        <v>Erebor</v>
      </c>
    </row>
    <row r="4614" spans="1:10" x14ac:dyDescent="0.25">
      <c r="A4614">
        <v>120</v>
      </c>
      <c r="B4614" t="s">
        <v>5</v>
      </c>
      <c r="C4614">
        <v>157</v>
      </c>
      <c r="D4614">
        <v>0</v>
      </c>
      <c r="E4614">
        <v>0</v>
      </c>
      <c r="F4614">
        <v>6638</v>
      </c>
      <c r="G4614">
        <v>2500</v>
      </c>
      <c r="H4614">
        <v>0</v>
      </c>
      <c r="J4614" t="str">
        <f>VLOOKUP(Table3[[#This Row],[Faction ID]],Table4[],2)</f>
        <v>Rohan</v>
      </c>
    </row>
    <row r="4615" spans="1:10" x14ac:dyDescent="0.25">
      <c r="A4615">
        <v>120</v>
      </c>
      <c r="B4615" t="s">
        <v>12</v>
      </c>
      <c r="C4615">
        <v>470</v>
      </c>
      <c r="D4615">
        <v>22</v>
      </c>
      <c r="E4615">
        <v>330.6</v>
      </c>
      <c r="F4615">
        <v>237901</v>
      </c>
      <c r="G4615">
        <v>46491</v>
      </c>
      <c r="H4615">
        <v>1893</v>
      </c>
      <c r="J4615" t="str">
        <f>VLOOKUP(Table3[[#This Row],[Faction ID]],Table4[],2)</f>
        <v>Dol Guldur</v>
      </c>
    </row>
    <row r="4616" spans="1:10" x14ac:dyDescent="0.25">
      <c r="A4616">
        <v>120</v>
      </c>
      <c r="B4616" t="s">
        <v>10</v>
      </c>
      <c r="C4616">
        <v>58</v>
      </c>
      <c r="D4616">
        <v>0</v>
      </c>
      <c r="E4616">
        <v>0</v>
      </c>
      <c r="F4616">
        <v>4515</v>
      </c>
      <c r="G4616">
        <v>2500</v>
      </c>
      <c r="H4616">
        <v>0</v>
      </c>
      <c r="J4616" t="str">
        <f>VLOOKUP(Table3[[#This Row],[Faction ID]],Table4[],2)</f>
        <v>Anduin Vale</v>
      </c>
    </row>
    <row r="4617" spans="1:10" x14ac:dyDescent="0.25">
      <c r="A4617">
        <v>120</v>
      </c>
      <c r="B4617" t="s">
        <v>32</v>
      </c>
      <c r="C4617">
        <v>313</v>
      </c>
      <c r="D4617">
        <v>6</v>
      </c>
      <c r="E4617">
        <v>185.2</v>
      </c>
      <c r="F4617">
        <v>30392</v>
      </c>
      <c r="G4617">
        <v>29738</v>
      </c>
      <c r="H4617">
        <v>1534</v>
      </c>
      <c r="J4617" t="str">
        <f>VLOOKUP(Table3[[#This Row],[Faction ID]],Table4[],2)</f>
        <v>Isengard</v>
      </c>
    </row>
    <row r="4618" spans="1:10" x14ac:dyDescent="0.25">
      <c r="A4618">
        <v>120</v>
      </c>
      <c r="B4618" t="s">
        <v>22</v>
      </c>
      <c r="C4618">
        <v>30</v>
      </c>
      <c r="D4618">
        <v>0</v>
      </c>
      <c r="E4618">
        <v>0</v>
      </c>
      <c r="F4618">
        <v>8475</v>
      </c>
      <c r="G4618">
        <v>2500</v>
      </c>
      <c r="H4618">
        <v>0</v>
      </c>
      <c r="J4618" t="str">
        <f>VLOOKUP(Table3[[#This Row],[Faction ID]],Table4[],2)</f>
        <v>Woodland Realm</v>
      </c>
    </row>
    <row r="4619" spans="1:10" x14ac:dyDescent="0.25">
      <c r="A4619">
        <v>120</v>
      </c>
      <c r="B4619" t="s">
        <v>23</v>
      </c>
      <c r="C4619">
        <v>64</v>
      </c>
      <c r="D4619">
        <v>0</v>
      </c>
      <c r="E4619">
        <v>0</v>
      </c>
      <c r="F4619">
        <v>4721</v>
      </c>
      <c r="G4619">
        <v>2500</v>
      </c>
      <c r="H4619">
        <v>0</v>
      </c>
      <c r="J4619" t="str">
        <f>VLOOKUP(Table3[[#This Row],[Faction ID]],Table4[],2)</f>
        <v>Lothlorien</v>
      </c>
    </row>
    <row r="4620" spans="1:10" x14ac:dyDescent="0.25">
      <c r="A4620">
        <v>120</v>
      </c>
      <c r="B4620" t="s">
        <v>24</v>
      </c>
      <c r="C4620">
        <v>0</v>
      </c>
      <c r="D4620">
        <v>0</v>
      </c>
      <c r="E4620">
        <v>0</v>
      </c>
      <c r="F4620">
        <v>4919</v>
      </c>
      <c r="G4620">
        <v>1750</v>
      </c>
      <c r="H4620">
        <v>0</v>
      </c>
      <c r="J4620" t="str">
        <f>VLOOKUP(Table3[[#This Row],[Faction ID]],Table4[],2)</f>
        <v>Variags (Khand)</v>
      </c>
    </row>
    <row r="4621" spans="1:10" x14ac:dyDescent="0.25">
      <c r="A4621">
        <v>120</v>
      </c>
      <c r="B4621" t="s">
        <v>14</v>
      </c>
      <c r="C4621">
        <v>19</v>
      </c>
      <c r="D4621">
        <v>13</v>
      </c>
      <c r="E4621">
        <v>249.8</v>
      </c>
      <c r="F4621">
        <v>208482</v>
      </c>
      <c r="G4621">
        <v>55081</v>
      </c>
      <c r="H4621">
        <v>4491</v>
      </c>
      <c r="J4621" t="str">
        <f>VLOOKUP(Table3[[#This Row],[Faction ID]],Table4[],2)</f>
        <v>Corsairs of Umbar</v>
      </c>
    </row>
    <row r="4622" spans="1:10" x14ac:dyDescent="0.25">
      <c r="A4622">
        <v>120</v>
      </c>
      <c r="B4622" t="s">
        <v>25</v>
      </c>
      <c r="C4622">
        <v>0</v>
      </c>
      <c r="D4622">
        <v>0</v>
      </c>
      <c r="E4622">
        <v>0</v>
      </c>
      <c r="F4622">
        <v>9228</v>
      </c>
      <c r="G4622">
        <v>1750</v>
      </c>
      <c r="H4622">
        <v>0</v>
      </c>
      <c r="J4622" t="str">
        <f>VLOOKUP(Table3[[#This Row],[Faction ID]],Table4[],2)</f>
        <v>Mahud</v>
      </c>
    </row>
    <row r="4623" spans="1:10" x14ac:dyDescent="0.25">
      <c r="A4623">
        <v>120</v>
      </c>
      <c r="B4623" t="s">
        <v>11</v>
      </c>
      <c r="C4623">
        <v>291</v>
      </c>
      <c r="D4623">
        <v>14</v>
      </c>
      <c r="E4623">
        <v>221.89999999999901</v>
      </c>
      <c r="F4623">
        <v>71204</v>
      </c>
      <c r="G4623">
        <v>33972</v>
      </c>
      <c r="H4623">
        <v>2409</v>
      </c>
      <c r="J4623" t="str">
        <f>VLOOKUP(Table3[[#This Row],[Faction ID]],Table4[],2)</f>
        <v>Haradrim</v>
      </c>
    </row>
    <row r="4624" spans="1:10" x14ac:dyDescent="0.25">
      <c r="A4624">
        <v>120</v>
      </c>
      <c r="B4624" t="s">
        <v>15</v>
      </c>
      <c r="C4624">
        <v>301</v>
      </c>
      <c r="D4624">
        <v>11</v>
      </c>
      <c r="E4624">
        <v>226.6</v>
      </c>
      <c r="F4624">
        <v>169303</v>
      </c>
      <c r="G4624">
        <v>43521</v>
      </c>
      <c r="H4624">
        <v>2296</v>
      </c>
      <c r="J4624" t="str">
        <f>VLOOKUP(Table3[[#This Row],[Faction ID]],Table4[],2)</f>
        <v>Dunlendings</v>
      </c>
    </row>
    <row r="4625" spans="1:10" x14ac:dyDescent="0.25">
      <c r="A4625">
        <v>120</v>
      </c>
      <c r="B4625" t="s">
        <v>16</v>
      </c>
      <c r="C4625">
        <v>0</v>
      </c>
      <c r="D4625">
        <v>0</v>
      </c>
      <c r="E4625">
        <v>0</v>
      </c>
      <c r="F4625">
        <v>5352</v>
      </c>
      <c r="G4625">
        <v>1750</v>
      </c>
      <c r="H4625">
        <v>0</v>
      </c>
      <c r="J4625" t="str">
        <f>VLOOKUP(Table3[[#This Row],[Faction ID]],Table4[],2)</f>
        <v>Haerrim</v>
      </c>
    </row>
    <row r="4626" spans="1:10" x14ac:dyDescent="0.25">
      <c r="A4626">
        <v>120</v>
      </c>
      <c r="B4626" t="s">
        <v>13</v>
      </c>
      <c r="C4626">
        <v>587</v>
      </c>
      <c r="D4626">
        <v>20</v>
      </c>
      <c r="E4626">
        <v>496.5</v>
      </c>
      <c r="F4626">
        <v>243962</v>
      </c>
      <c r="G4626">
        <v>70234</v>
      </c>
      <c r="H4626">
        <v>4784</v>
      </c>
      <c r="J4626" t="str">
        <f>VLOOKUP(Table3[[#This Row],[Faction ID]],Table4[],2)</f>
        <v>Goblins</v>
      </c>
    </row>
    <row r="4627" spans="1:10" x14ac:dyDescent="0.25">
      <c r="A4627">
        <v>120</v>
      </c>
      <c r="B4627" t="s">
        <v>17</v>
      </c>
      <c r="C4627">
        <v>0</v>
      </c>
      <c r="D4627">
        <v>0</v>
      </c>
      <c r="E4627">
        <v>0</v>
      </c>
      <c r="F4627">
        <v>4872</v>
      </c>
      <c r="G4627">
        <v>1750</v>
      </c>
      <c r="H4627">
        <v>0</v>
      </c>
      <c r="J4627" t="str">
        <f>VLOOKUP(Table3[[#This Row],[Faction ID]],Table4[],2)</f>
        <v>Balchoth</v>
      </c>
    </row>
    <row r="4628" spans="1:10" x14ac:dyDescent="0.25">
      <c r="A4628">
        <v>120</v>
      </c>
      <c r="B4628" t="s">
        <v>18</v>
      </c>
      <c r="C4628">
        <v>583</v>
      </c>
      <c r="D4628">
        <v>26</v>
      </c>
      <c r="E4628">
        <v>430.9</v>
      </c>
      <c r="F4628">
        <v>75768</v>
      </c>
      <c r="G4628">
        <v>46440</v>
      </c>
      <c r="H4628">
        <v>0</v>
      </c>
      <c r="J4628" t="str">
        <f>VLOOKUP(Table3[[#This Row],[Faction ID]],Table4[],2)</f>
        <v>Rhurim/Rhun</v>
      </c>
    </row>
    <row r="4629" spans="1:10" x14ac:dyDescent="0.25">
      <c r="A4629">
        <v>120</v>
      </c>
      <c r="B4629" t="s">
        <v>19</v>
      </c>
      <c r="C4629">
        <v>0</v>
      </c>
      <c r="D4629">
        <v>0</v>
      </c>
      <c r="E4629">
        <v>0</v>
      </c>
      <c r="F4629">
        <v>7360</v>
      </c>
      <c r="G4629">
        <v>1750</v>
      </c>
      <c r="H4629">
        <v>0</v>
      </c>
      <c r="J4629" t="str">
        <f>VLOOKUP(Table3[[#This Row],[Faction ID]],Table4[],2)</f>
        <v>Feredrim</v>
      </c>
    </row>
    <row r="4630" spans="1:10" x14ac:dyDescent="0.25">
      <c r="A4630">
        <v>120</v>
      </c>
      <c r="B4630" t="s">
        <v>26</v>
      </c>
      <c r="C4630">
        <v>0</v>
      </c>
      <c r="D4630">
        <v>0</v>
      </c>
      <c r="E4630">
        <v>0</v>
      </c>
      <c r="F4630">
        <v>6395</v>
      </c>
      <c r="G4630">
        <v>1750</v>
      </c>
      <c r="H4630">
        <v>0</v>
      </c>
      <c r="J4630" t="str">
        <f>VLOOKUP(Table3[[#This Row],[Faction ID]],Table4[],2)</f>
        <v>Rachrohir (Wainriders)</v>
      </c>
    </row>
    <row r="4631" spans="1:10" x14ac:dyDescent="0.25">
      <c r="A4631">
        <v>120</v>
      </c>
      <c r="B4631" t="s">
        <v>27</v>
      </c>
      <c r="C4631">
        <v>2</v>
      </c>
      <c r="D4631">
        <v>2</v>
      </c>
      <c r="E4631">
        <v>51.1</v>
      </c>
      <c r="F4631">
        <v>6151</v>
      </c>
      <c r="G4631">
        <v>8291</v>
      </c>
      <c r="H4631">
        <v>442</v>
      </c>
      <c r="J4631" t="str">
        <f>VLOOKUP(Table3[[#This Row],[Faction ID]],Table4[],2)</f>
        <v>Blacklock-Stonefoot League</v>
      </c>
    </row>
    <row r="4632" spans="1:10" x14ac:dyDescent="0.25">
      <c r="A4632">
        <v>120</v>
      </c>
      <c r="B4632" t="s">
        <v>28</v>
      </c>
      <c r="C4632">
        <v>5</v>
      </c>
      <c r="D4632">
        <v>2</v>
      </c>
      <c r="E4632">
        <v>17</v>
      </c>
      <c r="F4632">
        <v>7851</v>
      </c>
      <c r="G4632">
        <v>3457</v>
      </c>
      <c r="H4632">
        <v>0</v>
      </c>
      <c r="J4632" t="str">
        <f>VLOOKUP(Table3[[#This Row],[Faction ID]],Table4[],2)</f>
        <v>Ironfist-Stiffbeard Union</v>
      </c>
    </row>
    <row r="4633" spans="1:10" x14ac:dyDescent="0.25">
      <c r="A4633">
        <v>120</v>
      </c>
      <c r="B4633" t="s">
        <v>20</v>
      </c>
      <c r="C4633">
        <v>245</v>
      </c>
      <c r="D4633">
        <v>0</v>
      </c>
      <c r="E4633">
        <v>0</v>
      </c>
      <c r="F4633">
        <v>9750</v>
      </c>
      <c r="G4633">
        <v>2500</v>
      </c>
      <c r="H4633">
        <v>0</v>
      </c>
      <c r="J4633" t="str">
        <f>VLOOKUP(Table3[[#This Row],[Faction ID]],Table4[],2)</f>
        <v>Gundabad</v>
      </c>
    </row>
    <row r="4634" spans="1:10" x14ac:dyDescent="0.25">
      <c r="A4634">
        <v>120</v>
      </c>
      <c r="B4634" t="s">
        <v>34</v>
      </c>
      <c r="C4634">
        <v>0</v>
      </c>
      <c r="D4634">
        <v>0</v>
      </c>
      <c r="E4634">
        <v>3</v>
      </c>
      <c r="F4634">
        <v>137899</v>
      </c>
      <c r="G4634">
        <v>2354</v>
      </c>
      <c r="H4634">
        <v>0</v>
      </c>
      <c r="J4634" t="str">
        <f>VLOOKUP(Table3[[#This Row],[Faction ID]],Table4[],2)</f>
        <v>Scouts of Rohan</v>
      </c>
    </row>
    <row r="4635" spans="1:10" x14ac:dyDescent="0.25">
      <c r="A4635">
        <v>120</v>
      </c>
      <c r="B4635" t="s">
        <v>33</v>
      </c>
      <c r="C4635">
        <v>6</v>
      </c>
      <c r="D4635">
        <v>4</v>
      </c>
      <c r="E4635">
        <v>101</v>
      </c>
      <c r="F4635">
        <v>146034</v>
      </c>
      <c r="G4635">
        <v>23725</v>
      </c>
      <c r="H4635">
        <v>1148</v>
      </c>
      <c r="J4635" t="str">
        <f>VLOOKUP(Table3[[#This Row],[Faction ID]],Table4[],2)</f>
        <v>Northern Enedwaith</v>
      </c>
    </row>
    <row r="4636" spans="1:10" x14ac:dyDescent="0.25">
      <c r="A4636">
        <v>120</v>
      </c>
      <c r="B4636" t="s">
        <v>29</v>
      </c>
      <c r="C4636">
        <v>0</v>
      </c>
      <c r="D4636">
        <v>0</v>
      </c>
      <c r="E4636">
        <v>0</v>
      </c>
      <c r="F4636">
        <v>54023</v>
      </c>
      <c r="G4636">
        <v>1750</v>
      </c>
      <c r="H4636">
        <v>0</v>
      </c>
      <c r="J4636" t="str">
        <f>VLOOKUP(Table3[[#This Row],[Faction ID]],Table4[],2)</f>
        <v>Southern Enedwaith</v>
      </c>
    </row>
    <row r="4637" spans="1:10" x14ac:dyDescent="0.25">
      <c r="A4637">
        <v>120</v>
      </c>
      <c r="B4637" t="s">
        <v>30</v>
      </c>
      <c r="C4637">
        <v>0</v>
      </c>
      <c r="D4637">
        <v>0</v>
      </c>
      <c r="E4637">
        <v>0</v>
      </c>
      <c r="F4637">
        <v>32146</v>
      </c>
      <c r="G4637">
        <v>1750</v>
      </c>
      <c r="H4637">
        <v>0</v>
      </c>
      <c r="J4637" t="str">
        <f>VLOOKUP(Table3[[#This Row],[Faction ID]],Table4[],2)</f>
        <v>Druedain</v>
      </c>
    </row>
    <row r="4638" spans="1:10" x14ac:dyDescent="0.25">
      <c r="A4638">
        <v>120</v>
      </c>
      <c r="B4638" t="s">
        <v>31</v>
      </c>
      <c r="C4638">
        <v>0</v>
      </c>
      <c r="D4638">
        <v>0</v>
      </c>
      <c r="E4638">
        <v>0</v>
      </c>
      <c r="F4638">
        <v>15146</v>
      </c>
      <c r="G4638">
        <v>1750</v>
      </c>
      <c r="H4638">
        <v>0</v>
      </c>
      <c r="J4638" t="str">
        <f>VLOOKUP(Table3[[#This Row],[Faction ID]],Table4[],2)</f>
        <v>Harondor</v>
      </c>
    </row>
    <row r="4639" spans="1:10" x14ac:dyDescent="0.25">
      <c r="A4639">
        <v>120</v>
      </c>
      <c r="B4639" t="s">
        <v>35</v>
      </c>
      <c r="C4639">
        <v>0</v>
      </c>
      <c r="D4639">
        <v>0</v>
      </c>
      <c r="E4639">
        <v>0</v>
      </c>
      <c r="F4639">
        <v>4000</v>
      </c>
      <c r="G4639">
        <v>1750</v>
      </c>
      <c r="H4639">
        <v>0</v>
      </c>
      <c r="J4639" t="str">
        <f>VLOOKUP(Table3[[#This Row],[Faction ID]],Table4[],2)</f>
        <v>Southron Nomads</v>
      </c>
    </row>
    <row r="4640" spans="1:10" x14ac:dyDescent="0.25">
      <c r="A4640">
        <v>120</v>
      </c>
      <c r="B4640" t="s">
        <v>36</v>
      </c>
      <c r="C4640">
        <v>0</v>
      </c>
      <c r="D4640">
        <v>0</v>
      </c>
      <c r="E4640">
        <v>0</v>
      </c>
      <c r="F4640">
        <v>4000</v>
      </c>
      <c r="G4640">
        <v>1750</v>
      </c>
      <c r="H4640">
        <v>0</v>
      </c>
      <c r="J4640" t="str">
        <f>VLOOKUP(Table3[[#This Row],[Faction ID]],Table4[],2)</f>
        <v>_</v>
      </c>
    </row>
    <row r="4641" spans="1:10" x14ac:dyDescent="0.25">
      <c r="A4641">
        <v>120</v>
      </c>
      <c r="B4641" t="s">
        <v>37</v>
      </c>
      <c r="C4641">
        <v>0</v>
      </c>
      <c r="D4641">
        <v>0</v>
      </c>
      <c r="E4641">
        <v>0</v>
      </c>
      <c r="F4641">
        <v>4000</v>
      </c>
      <c r="G4641">
        <v>1750</v>
      </c>
      <c r="H4641">
        <v>0</v>
      </c>
      <c r="J4641" t="str">
        <f>VLOOKUP(Table3[[#This Row],[Faction ID]],Table4[],2)</f>
        <v>_</v>
      </c>
    </row>
    <row r="4642" spans="1:10" x14ac:dyDescent="0.25">
      <c r="A4642">
        <v>120</v>
      </c>
      <c r="B4642" t="s">
        <v>38</v>
      </c>
      <c r="C4642">
        <v>0</v>
      </c>
      <c r="D4642">
        <v>0</v>
      </c>
      <c r="E4642">
        <v>0</v>
      </c>
      <c r="F4642">
        <v>4000</v>
      </c>
      <c r="G4642">
        <v>1750</v>
      </c>
      <c r="H4642">
        <v>0</v>
      </c>
      <c r="J4642" t="str">
        <f>VLOOKUP(Table3[[#This Row],[Faction ID]],Table4[],2)</f>
        <v>_</v>
      </c>
    </row>
    <row r="4643" spans="1:10" x14ac:dyDescent="0.25">
      <c r="A4643">
        <v>120</v>
      </c>
      <c r="B4643" t="s">
        <v>39</v>
      </c>
      <c r="C4643">
        <v>0</v>
      </c>
      <c r="D4643">
        <v>0</v>
      </c>
      <c r="E4643">
        <v>0</v>
      </c>
      <c r="F4643">
        <v>4000</v>
      </c>
      <c r="G4643">
        <v>1750</v>
      </c>
      <c r="H4643">
        <v>0</v>
      </c>
      <c r="J4643" t="str">
        <f>VLOOKUP(Table3[[#This Row],[Faction ID]],Table4[],2)</f>
        <v>_</v>
      </c>
    </row>
    <row r="4644" spans="1:10" x14ac:dyDescent="0.25">
      <c r="A4644">
        <v>120</v>
      </c>
      <c r="B4644" t="s">
        <v>40</v>
      </c>
      <c r="C4644">
        <v>0</v>
      </c>
      <c r="D4644">
        <v>0</v>
      </c>
      <c r="E4644">
        <v>0</v>
      </c>
      <c r="F4644">
        <v>4000</v>
      </c>
      <c r="G4644">
        <v>1750</v>
      </c>
      <c r="H4644">
        <v>0</v>
      </c>
      <c r="J4644" t="str">
        <f>VLOOKUP(Table3[[#This Row],[Faction ID]],Table4[],2)</f>
        <v>_</v>
      </c>
    </row>
    <row r="4645" spans="1:10" x14ac:dyDescent="0.25">
      <c r="A4645">
        <v>120</v>
      </c>
      <c r="B4645" t="s">
        <v>41</v>
      </c>
      <c r="C4645">
        <v>0</v>
      </c>
      <c r="D4645">
        <v>0</v>
      </c>
      <c r="E4645">
        <v>0</v>
      </c>
      <c r="F4645">
        <v>4000</v>
      </c>
      <c r="G4645">
        <v>1750</v>
      </c>
      <c r="H4645">
        <v>0</v>
      </c>
      <c r="J4645" t="str">
        <f>VLOOKUP(Table3[[#This Row],[Faction ID]],Table4[],2)</f>
        <v>_</v>
      </c>
    </row>
    <row r="4646" spans="1:10" x14ac:dyDescent="0.25">
      <c r="A4646">
        <v>120</v>
      </c>
      <c r="B4646" t="s">
        <v>42</v>
      </c>
      <c r="C4646">
        <v>0</v>
      </c>
      <c r="D4646">
        <v>0</v>
      </c>
      <c r="E4646">
        <v>0</v>
      </c>
      <c r="F4646">
        <v>4000</v>
      </c>
      <c r="G4646">
        <v>1750</v>
      </c>
      <c r="H4646">
        <v>0</v>
      </c>
      <c r="J4646" t="str">
        <f>VLOOKUP(Table3[[#This Row],[Faction ID]],Table4[],2)</f>
        <v>_</v>
      </c>
    </row>
    <row r="4647" spans="1:10" x14ac:dyDescent="0.25">
      <c r="A4647">
        <v>120</v>
      </c>
      <c r="B4647" t="s">
        <v>43</v>
      </c>
      <c r="C4647">
        <v>0</v>
      </c>
      <c r="D4647">
        <v>0</v>
      </c>
      <c r="E4647">
        <v>0</v>
      </c>
      <c r="F4647">
        <v>4000</v>
      </c>
      <c r="G4647">
        <v>1750</v>
      </c>
      <c r="H4647">
        <v>0</v>
      </c>
      <c r="J4647" t="str">
        <f>VLOOKUP(Table3[[#This Row],[Faction ID]],Table4[],2)</f>
        <v>_</v>
      </c>
    </row>
    <row r="4648" spans="1:10" x14ac:dyDescent="0.25">
      <c r="A4648">
        <v>120</v>
      </c>
      <c r="B4648" t="s">
        <v>44</v>
      </c>
      <c r="C4648">
        <v>0</v>
      </c>
      <c r="D4648">
        <v>0</v>
      </c>
      <c r="E4648">
        <v>0</v>
      </c>
      <c r="F4648">
        <v>4000</v>
      </c>
      <c r="G4648">
        <v>1750</v>
      </c>
      <c r="H4648">
        <v>0</v>
      </c>
      <c r="J4648" t="str">
        <f>VLOOKUP(Table3[[#This Row],[Faction ID]],Table4[],2)</f>
        <v>_</v>
      </c>
    </row>
    <row r="4649" spans="1:10" x14ac:dyDescent="0.25">
      <c r="A4649">
        <v>121</v>
      </c>
      <c r="B4649" t="s">
        <v>9</v>
      </c>
      <c r="C4649">
        <v>609</v>
      </c>
      <c r="D4649">
        <v>35</v>
      </c>
      <c r="E4649">
        <v>478.3</v>
      </c>
      <c r="F4649">
        <v>15407</v>
      </c>
      <c r="G4649">
        <v>66961</v>
      </c>
      <c r="H4649">
        <v>4213</v>
      </c>
      <c r="J4649" t="str">
        <f>VLOOKUP(Table3[[#This Row],[Faction ID]],Table4[],2)</f>
        <v>Mordor</v>
      </c>
    </row>
    <row r="4650" spans="1:10" x14ac:dyDescent="0.25">
      <c r="A4650">
        <v>121</v>
      </c>
      <c r="B4650" t="s">
        <v>4</v>
      </c>
      <c r="C4650">
        <v>146</v>
      </c>
      <c r="D4650">
        <v>0</v>
      </c>
      <c r="E4650">
        <v>0</v>
      </c>
      <c r="F4650">
        <v>55420</v>
      </c>
      <c r="G4650">
        <v>2500</v>
      </c>
      <c r="H4650">
        <v>0</v>
      </c>
      <c r="J4650" t="str">
        <f>VLOOKUP(Table3[[#This Row],[Faction ID]],Table4[],2)</f>
        <v>Gondor</v>
      </c>
    </row>
    <row r="4651" spans="1:10" x14ac:dyDescent="0.25">
      <c r="A4651">
        <v>121</v>
      </c>
      <c r="B4651" t="s">
        <v>6</v>
      </c>
      <c r="C4651">
        <v>199</v>
      </c>
      <c r="D4651">
        <v>0</v>
      </c>
      <c r="E4651">
        <v>0</v>
      </c>
      <c r="F4651">
        <v>10343</v>
      </c>
      <c r="G4651">
        <v>2500</v>
      </c>
      <c r="H4651">
        <v>0</v>
      </c>
      <c r="J4651" t="str">
        <f>VLOOKUP(Table3[[#This Row],[Faction ID]],Table4[],2)</f>
        <v>Dale</v>
      </c>
    </row>
    <row r="4652" spans="1:10" x14ac:dyDescent="0.25">
      <c r="A4652">
        <v>121</v>
      </c>
      <c r="B4652" t="s">
        <v>21</v>
      </c>
      <c r="C4652">
        <v>200</v>
      </c>
      <c r="D4652">
        <v>0</v>
      </c>
      <c r="E4652">
        <v>0</v>
      </c>
      <c r="F4652">
        <v>10040</v>
      </c>
      <c r="G4652">
        <v>2500</v>
      </c>
      <c r="H4652">
        <v>0</v>
      </c>
      <c r="J4652" t="str">
        <f>VLOOKUP(Table3[[#This Row],[Faction ID]],Table4[],2)</f>
        <v>Erebor</v>
      </c>
    </row>
    <row r="4653" spans="1:10" x14ac:dyDescent="0.25">
      <c r="A4653">
        <v>121</v>
      </c>
      <c r="B4653" t="s">
        <v>5</v>
      </c>
      <c r="C4653">
        <v>157</v>
      </c>
      <c r="D4653">
        <v>0</v>
      </c>
      <c r="E4653">
        <v>0</v>
      </c>
      <c r="F4653">
        <v>6638</v>
      </c>
      <c r="G4653">
        <v>2500</v>
      </c>
      <c r="H4653">
        <v>0</v>
      </c>
      <c r="J4653" t="str">
        <f>VLOOKUP(Table3[[#This Row],[Faction ID]],Table4[],2)</f>
        <v>Rohan</v>
      </c>
    </row>
    <row r="4654" spans="1:10" x14ac:dyDescent="0.25">
      <c r="A4654">
        <v>121</v>
      </c>
      <c r="B4654" t="s">
        <v>12</v>
      </c>
      <c r="C4654">
        <v>477</v>
      </c>
      <c r="D4654">
        <v>23</v>
      </c>
      <c r="E4654">
        <v>335.6</v>
      </c>
      <c r="F4654">
        <v>232120</v>
      </c>
      <c r="G4654">
        <v>47824</v>
      </c>
      <c r="H4654">
        <v>4026</v>
      </c>
      <c r="J4654" t="str">
        <f>VLOOKUP(Table3[[#This Row],[Faction ID]],Table4[],2)</f>
        <v>Dol Guldur</v>
      </c>
    </row>
    <row r="4655" spans="1:10" x14ac:dyDescent="0.25">
      <c r="A4655">
        <v>121</v>
      </c>
      <c r="B4655" t="s">
        <v>10</v>
      </c>
      <c r="C4655">
        <v>58</v>
      </c>
      <c r="D4655">
        <v>0</v>
      </c>
      <c r="E4655">
        <v>0</v>
      </c>
      <c r="F4655">
        <v>4515</v>
      </c>
      <c r="G4655">
        <v>2500</v>
      </c>
      <c r="H4655">
        <v>0</v>
      </c>
      <c r="J4655" t="str">
        <f>VLOOKUP(Table3[[#This Row],[Faction ID]],Table4[],2)</f>
        <v>Anduin Vale</v>
      </c>
    </row>
    <row r="4656" spans="1:10" x14ac:dyDescent="0.25">
      <c r="A4656">
        <v>121</v>
      </c>
      <c r="B4656" t="s">
        <v>32</v>
      </c>
      <c r="C4656">
        <v>318</v>
      </c>
      <c r="D4656">
        <v>6</v>
      </c>
      <c r="E4656">
        <v>194.2</v>
      </c>
      <c r="F4656">
        <v>29133</v>
      </c>
      <c r="G4656">
        <v>29063</v>
      </c>
      <c r="H4656">
        <v>1523</v>
      </c>
      <c r="J4656" t="str">
        <f>VLOOKUP(Table3[[#This Row],[Faction ID]],Table4[],2)</f>
        <v>Isengard</v>
      </c>
    </row>
    <row r="4657" spans="1:10" x14ac:dyDescent="0.25">
      <c r="A4657">
        <v>121</v>
      </c>
      <c r="B4657" t="s">
        <v>22</v>
      </c>
      <c r="C4657">
        <v>30</v>
      </c>
      <c r="D4657">
        <v>0</v>
      </c>
      <c r="E4657">
        <v>0</v>
      </c>
      <c r="F4657">
        <v>8475</v>
      </c>
      <c r="G4657">
        <v>2500</v>
      </c>
      <c r="H4657">
        <v>0</v>
      </c>
      <c r="J4657" t="str">
        <f>VLOOKUP(Table3[[#This Row],[Faction ID]],Table4[],2)</f>
        <v>Woodland Realm</v>
      </c>
    </row>
    <row r="4658" spans="1:10" x14ac:dyDescent="0.25">
      <c r="A4658">
        <v>121</v>
      </c>
      <c r="B4658" t="s">
        <v>23</v>
      </c>
      <c r="C4658">
        <v>64</v>
      </c>
      <c r="D4658">
        <v>0</v>
      </c>
      <c r="E4658">
        <v>0</v>
      </c>
      <c r="F4658">
        <v>4721</v>
      </c>
      <c r="G4658">
        <v>2500</v>
      </c>
      <c r="H4658">
        <v>0</v>
      </c>
      <c r="J4658" t="str">
        <f>VLOOKUP(Table3[[#This Row],[Faction ID]],Table4[],2)</f>
        <v>Lothlorien</v>
      </c>
    </row>
    <row r="4659" spans="1:10" x14ac:dyDescent="0.25">
      <c r="A4659">
        <v>121</v>
      </c>
      <c r="B4659" t="s">
        <v>24</v>
      </c>
      <c r="C4659">
        <v>0</v>
      </c>
      <c r="D4659">
        <v>0</v>
      </c>
      <c r="E4659">
        <v>0</v>
      </c>
      <c r="F4659">
        <v>4919</v>
      </c>
      <c r="G4659">
        <v>1750</v>
      </c>
      <c r="H4659">
        <v>0</v>
      </c>
      <c r="J4659" t="str">
        <f>VLOOKUP(Table3[[#This Row],[Faction ID]],Table4[],2)</f>
        <v>Variags (Khand)</v>
      </c>
    </row>
    <row r="4660" spans="1:10" x14ac:dyDescent="0.25">
      <c r="A4660">
        <v>121</v>
      </c>
      <c r="B4660" t="s">
        <v>14</v>
      </c>
      <c r="C4660">
        <v>20</v>
      </c>
      <c r="D4660">
        <v>14</v>
      </c>
      <c r="E4660">
        <v>253.8</v>
      </c>
      <c r="F4660">
        <v>219937</v>
      </c>
      <c r="G4660">
        <v>54575</v>
      </c>
      <c r="H4660">
        <v>4730</v>
      </c>
      <c r="J4660" t="str">
        <f>VLOOKUP(Table3[[#This Row],[Faction ID]],Table4[],2)</f>
        <v>Corsairs of Umbar</v>
      </c>
    </row>
    <row r="4661" spans="1:10" x14ac:dyDescent="0.25">
      <c r="A4661">
        <v>121</v>
      </c>
      <c r="B4661" t="s">
        <v>25</v>
      </c>
      <c r="C4661">
        <v>0</v>
      </c>
      <c r="D4661">
        <v>0</v>
      </c>
      <c r="E4661">
        <v>0</v>
      </c>
      <c r="F4661">
        <v>9228</v>
      </c>
      <c r="G4661">
        <v>1750</v>
      </c>
      <c r="H4661">
        <v>0</v>
      </c>
      <c r="J4661" t="str">
        <f>VLOOKUP(Table3[[#This Row],[Faction ID]],Table4[],2)</f>
        <v>Mahud</v>
      </c>
    </row>
    <row r="4662" spans="1:10" x14ac:dyDescent="0.25">
      <c r="A4662">
        <v>121</v>
      </c>
      <c r="B4662" t="s">
        <v>11</v>
      </c>
      <c r="C4662">
        <v>304</v>
      </c>
      <c r="D4662">
        <v>14</v>
      </c>
      <c r="E4662">
        <v>220.8</v>
      </c>
      <c r="F4662">
        <v>68960</v>
      </c>
      <c r="G4662">
        <v>32865</v>
      </c>
      <c r="H4662">
        <v>2341</v>
      </c>
      <c r="J4662" t="str">
        <f>VLOOKUP(Table3[[#This Row],[Faction ID]],Table4[],2)</f>
        <v>Haradrim</v>
      </c>
    </row>
    <row r="4663" spans="1:10" x14ac:dyDescent="0.25">
      <c r="A4663">
        <v>121</v>
      </c>
      <c r="B4663" t="s">
        <v>15</v>
      </c>
      <c r="C4663">
        <v>301</v>
      </c>
      <c r="D4663">
        <v>11</v>
      </c>
      <c r="E4663">
        <v>234</v>
      </c>
      <c r="F4663">
        <v>180185</v>
      </c>
      <c r="G4663">
        <v>44676</v>
      </c>
      <c r="H4663">
        <v>2290</v>
      </c>
      <c r="J4663" t="str">
        <f>VLOOKUP(Table3[[#This Row],[Faction ID]],Table4[],2)</f>
        <v>Dunlendings</v>
      </c>
    </row>
    <row r="4664" spans="1:10" x14ac:dyDescent="0.25">
      <c r="A4664">
        <v>121</v>
      </c>
      <c r="B4664" t="s">
        <v>16</v>
      </c>
      <c r="C4664">
        <v>0</v>
      </c>
      <c r="D4664">
        <v>0</v>
      </c>
      <c r="E4664">
        <v>0</v>
      </c>
      <c r="F4664">
        <v>5352</v>
      </c>
      <c r="G4664">
        <v>1750</v>
      </c>
      <c r="H4664">
        <v>0</v>
      </c>
      <c r="J4664" t="str">
        <f>VLOOKUP(Table3[[#This Row],[Faction ID]],Table4[],2)</f>
        <v>Haerrim</v>
      </c>
    </row>
    <row r="4665" spans="1:10" x14ac:dyDescent="0.25">
      <c r="A4665">
        <v>121</v>
      </c>
      <c r="B4665" t="s">
        <v>13</v>
      </c>
      <c r="C4665">
        <v>605</v>
      </c>
      <c r="D4665">
        <v>19</v>
      </c>
      <c r="E4665">
        <v>488.5</v>
      </c>
      <c r="F4665">
        <v>246629</v>
      </c>
      <c r="G4665">
        <v>68520</v>
      </c>
      <c r="H4665">
        <v>4774</v>
      </c>
      <c r="J4665" t="str">
        <f>VLOOKUP(Table3[[#This Row],[Faction ID]],Table4[],2)</f>
        <v>Goblins</v>
      </c>
    </row>
    <row r="4666" spans="1:10" x14ac:dyDescent="0.25">
      <c r="A4666">
        <v>121</v>
      </c>
      <c r="B4666" t="s">
        <v>17</v>
      </c>
      <c r="C4666">
        <v>0</v>
      </c>
      <c r="D4666">
        <v>0</v>
      </c>
      <c r="E4666">
        <v>0</v>
      </c>
      <c r="F4666">
        <v>4872</v>
      </c>
      <c r="G4666">
        <v>1750</v>
      </c>
      <c r="H4666">
        <v>0</v>
      </c>
      <c r="J4666" t="str">
        <f>VLOOKUP(Table3[[#This Row],[Faction ID]],Table4[],2)</f>
        <v>Balchoth</v>
      </c>
    </row>
    <row r="4667" spans="1:10" x14ac:dyDescent="0.25">
      <c r="A4667">
        <v>121</v>
      </c>
      <c r="B4667" t="s">
        <v>18</v>
      </c>
      <c r="C4667">
        <v>583</v>
      </c>
      <c r="D4667">
        <v>26</v>
      </c>
      <c r="E4667">
        <v>398.9</v>
      </c>
      <c r="F4667">
        <v>75538</v>
      </c>
      <c r="G4667">
        <v>49634</v>
      </c>
      <c r="H4667">
        <v>3380</v>
      </c>
      <c r="J4667" t="str">
        <f>VLOOKUP(Table3[[#This Row],[Faction ID]],Table4[],2)</f>
        <v>Rhurim/Rhun</v>
      </c>
    </row>
    <row r="4668" spans="1:10" x14ac:dyDescent="0.25">
      <c r="A4668">
        <v>121</v>
      </c>
      <c r="B4668" t="s">
        <v>19</v>
      </c>
      <c r="C4668">
        <v>0</v>
      </c>
      <c r="D4668">
        <v>0</v>
      </c>
      <c r="E4668">
        <v>0</v>
      </c>
      <c r="F4668">
        <v>7360</v>
      </c>
      <c r="G4668">
        <v>1750</v>
      </c>
      <c r="H4668">
        <v>0</v>
      </c>
      <c r="J4668" t="str">
        <f>VLOOKUP(Table3[[#This Row],[Faction ID]],Table4[],2)</f>
        <v>Feredrim</v>
      </c>
    </row>
    <row r="4669" spans="1:10" x14ac:dyDescent="0.25">
      <c r="A4669">
        <v>121</v>
      </c>
      <c r="B4669" t="s">
        <v>26</v>
      </c>
      <c r="C4669">
        <v>0</v>
      </c>
      <c r="D4669">
        <v>0</v>
      </c>
      <c r="E4669">
        <v>0</v>
      </c>
      <c r="F4669">
        <v>6395</v>
      </c>
      <c r="G4669">
        <v>1750</v>
      </c>
      <c r="H4669">
        <v>0</v>
      </c>
      <c r="J4669" t="str">
        <f>VLOOKUP(Table3[[#This Row],[Faction ID]],Table4[],2)</f>
        <v>Rachrohir (Wainriders)</v>
      </c>
    </row>
    <row r="4670" spans="1:10" x14ac:dyDescent="0.25">
      <c r="A4670">
        <v>121</v>
      </c>
      <c r="B4670" t="s">
        <v>27</v>
      </c>
      <c r="C4670">
        <v>2</v>
      </c>
      <c r="D4670">
        <v>2</v>
      </c>
      <c r="E4670">
        <v>52.2</v>
      </c>
      <c r="F4670">
        <v>7262</v>
      </c>
      <c r="G4670">
        <v>8611</v>
      </c>
      <c r="H4670">
        <v>436</v>
      </c>
      <c r="J4670" t="str">
        <f>VLOOKUP(Table3[[#This Row],[Faction ID]],Table4[],2)</f>
        <v>Blacklock-Stonefoot League</v>
      </c>
    </row>
    <row r="4671" spans="1:10" x14ac:dyDescent="0.25">
      <c r="A4671">
        <v>121</v>
      </c>
      <c r="B4671" t="s">
        <v>28</v>
      </c>
      <c r="C4671">
        <v>5</v>
      </c>
      <c r="D4671">
        <v>2</v>
      </c>
      <c r="E4671">
        <v>17</v>
      </c>
      <c r="F4671">
        <v>9054</v>
      </c>
      <c r="G4671">
        <v>4432</v>
      </c>
      <c r="H4671">
        <v>0</v>
      </c>
      <c r="J4671" t="str">
        <f>VLOOKUP(Table3[[#This Row],[Faction ID]],Table4[],2)</f>
        <v>Ironfist-Stiffbeard Union</v>
      </c>
    </row>
    <row r="4672" spans="1:10" x14ac:dyDescent="0.25">
      <c r="A4672">
        <v>121</v>
      </c>
      <c r="B4672" t="s">
        <v>20</v>
      </c>
      <c r="C4672">
        <v>245</v>
      </c>
      <c r="D4672">
        <v>0</v>
      </c>
      <c r="E4672">
        <v>0</v>
      </c>
      <c r="F4672">
        <v>9750</v>
      </c>
      <c r="G4672">
        <v>2500</v>
      </c>
      <c r="H4672">
        <v>0</v>
      </c>
      <c r="J4672" t="str">
        <f>VLOOKUP(Table3[[#This Row],[Faction ID]],Table4[],2)</f>
        <v>Gundabad</v>
      </c>
    </row>
    <row r="4673" spans="1:10" x14ac:dyDescent="0.25">
      <c r="A4673">
        <v>121</v>
      </c>
      <c r="B4673" t="s">
        <v>34</v>
      </c>
      <c r="C4673">
        <v>0</v>
      </c>
      <c r="D4673">
        <v>0</v>
      </c>
      <c r="E4673">
        <v>3</v>
      </c>
      <c r="F4673">
        <v>139045</v>
      </c>
      <c r="G4673">
        <v>2354</v>
      </c>
      <c r="H4673">
        <v>0</v>
      </c>
      <c r="J4673" t="str">
        <f>VLOOKUP(Table3[[#This Row],[Faction ID]],Table4[],2)</f>
        <v>Scouts of Rohan</v>
      </c>
    </row>
    <row r="4674" spans="1:10" x14ac:dyDescent="0.25">
      <c r="A4674">
        <v>121</v>
      </c>
      <c r="B4674" t="s">
        <v>33</v>
      </c>
      <c r="C4674">
        <v>6</v>
      </c>
      <c r="D4674">
        <v>4</v>
      </c>
      <c r="E4674">
        <v>101</v>
      </c>
      <c r="F4674">
        <v>149551</v>
      </c>
      <c r="G4674">
        <v>23483</v>
      </c>
      <c r="H4674">
        <v>1147</v>
      </c>
      <c r="J4674" t="str">
        <f>VLOOKUP(Table3[[#This Row],[Faction ID]],Table4[],2)</f>
        <v>Northern Enedwaith</v>
      </c>
    </row>
    <row r="4675" spans="1:10" x14ac:dyDescent="0.25">
      <c r="A4675">
        <v>121</v>
      </c>
      <c r="B4675" t="s">
        <v>29</v>
      </c>
      <c r="C4675">
        <v>0</v>
      </c>
      <c r="D4675">
        <v>0</v>
      </c>
      <c r="E4675">
        <v>0</v>
      </c>
      <c r="F4675">
        <v>54023</v>
      </c>
      <c r="G4675">
        <v>1750</v>
      </c>
      <c r="H4675">
        <v>0</v>
      </c>
      <c r="J4675" t="str">
        <f>VLOOKUP(Table3[[#This Row],[Faction ID]],Table4[],2)</f>
        <v>Southern Enedwaith</v>
      </c>
    </row>
    <row r="4676" spans="1:10" x14ac:dyDescent="0.25">
      <c r="A4676">
        <v>121</v>
      </c>
      <c r="B4676" t="s">
        <v>30</v>
      </c>
      <c r="C4676">
        <v>0</v>
      </c>
      <c r="D4676">
        <v>0</v>
      </c>
      <c r="E4676">
        <v>0</v>
      </c>
      <c r="F4676">
        <v>32146</v>
      </c>
      <c r="G4676">
        <v>1750</v>
      </c>
      <c r="H4676">
        <v>0</v>
      </c>
      <c r="J4676" t="str">
        <f>VLOOKUP(Table3[[#This Row],[Faction ID]],Table4[],2)</f>
        <v>Druedain</v>
      </c>
    </row>
    <row r="4677" spans="1:10" x14ac:dyDescent="0.25">
      <c r="A4677">
        <v>121</v>
      </c>
      <c r="B4677" t="s">
        <v>31</v>
      </c>
      <c r="C4677">
        <v>0</v>
      </c>
      <c r="D4677">
        <v>0</v>
      </c>
      <c r="E4677">
        <v>0</v>
      </c>
      <c r="F4677">
        <v>15146</v>
      </c>
      <c r="G4677">
        <v>1750</v>
      </c>
      <c r="H4677">
        <v>0</v>
      </c>
      <c r="J4677" t="str">
        <f>VLOOKUP(Table3[[#This Row],[Faction ID]],Table4[],2)</f>
        <v>Harondor</v>
      </c>
    </row>
    <row r="4678" spans="1:10" x14ac:dyDescent="0.25">
      <c r="A4678">
        <v>121</v>
      </c>
      <c r="B4678" t="s">
        <v>35</v>
      </c>
      <c r="C4678">
        <v>0</v>
      </c>
      <c r="D4678">
        <v>0</v>
      </c>
      <c r="E4678">
        <v>0</v>
      </c>
      <c r="F4678">
        <v>4000</v>
      </c>
      <c r="G4678">
        <v>1750</v>
      </c>
      <c r="H4678">
        <v>0</v>
      </c>
      <c r="J4678" t="str">
        <f>VLOOKUP(Table3[[#This Row],[Faction ID]],Table4[],2)</f>
        <v>Southron Nomads</v>
      </c>
    </row>
    <row r="4679" spans="1:10" x14ac:dyDescent="0.25">
      <c r="A4679">
        <v>121</v>
      </c>
      <c r="B4679" t="s">
        <v>36</v>
      </c>
      <c r="C4679">
        <v>0</v>
      </c>
      <c r="D4679">
        <v>0</v>
      </c>
      <c r="E4679">
        <v>0</v>
      </c>
      <c r="F4679">
        <v>4000</v>
      </c>
      <c r="G4679">
        <v>1750</v>
      </c>
      <c r="H4679">
        <v>0</v>
      </c>
      <c r="J4679" t="str">
        <f>VLOOKUP(Table3[[#This Row],[Faction ID]],Table4[],2)</f>
        <v>_</v>
      </c>
    </row>
    <row r="4680" spans="1:10" x14ac:dyDescent="0.25">
      <c r="A4680">
        <v>121</v>
      </c>
      <c r="B4680" t="s">
        <v>37</v>
      </c>
      <c r="C4680">
        <v>0</v>
      </c>
      <c r="D4680">
        <v>0</v>
      </c>
      <c r="E4680">
        <v>0</v>
      </c>
      <c r="F4680">
        <v>4000</v>
      </c>
      <c r="G4680">
        <v>1750</v>
      </c>
      <c r="H4680">
        <v>0</v>
      </c>
      <c r="J4680" t="str">
        <f>VLOOKUP(Table3[[#This Row],[Faction ID]],Table4[],2)</f>
        <v>_</v>
      </c>
    </row>
    <row r="4681" spans="1:10" x14ac:dyDescent="0.25">
      <c r="A4681">
        <v>121</v>
      </c>
      <c r="B4681" t="s">
        <v>38</v>
      </c>
      <c r="C4681">
        <v>0</v>
      </c>
      <c r="D4681">
        <v>0</v>
      </c>
      <c r="E4681">
        <v>0</v>
      </c>
      <c r="F4681">
        <v>4000</v>
      </c>
      <c r="G4681">
        <v>1750</v>
      </c>
      <c r="H4681">
        <v>0</v>
      </c>
      <c r="J4681" t="str">
        <f>VLOOKUP(Table3[[#This Row],[Faction ID]],Table4[],2)</f>
        <v>_</v>
      </c>
    </row>
    <row r="4682" spans="1:10" x14ac:dyDescent="0.25">
      <c r="A4682">
        <v>121</v>
      </c>
      <c r="B4682" t="s">
        <v>39</v>
      </c>
      <c r="C4682">
        <v>0</v>
      </c>
      <c r="D4682">
        <v>0</v>
      </c>
      <c r="E4682">
        <v>0</v>
      </c>
      <c r="F4682">
        <v>4000</v>
      </c>
      <c r="G4682">
        <v>1750</v>
      </c>
      <c r="H4682">
        <v>0</v>
      </c>
      <c r="J4682" t="str">
        <f>VLOOKUP(Table3[[#This Row],[Faction ID]],Table4[],2)</f>
        <v>_</v>
      </c>
    </row>
    <row r="4683" spans="1:10" x14ac:dyDescent="0.25">
      <c r="A4683">
        <v>121</v>
      </c>
      <c r="B4683" t="s">
        <v>40</v>
      </c>
      <c r="C4683">
        <v>0</v>
      </c>
      <c r="D4683">
        <v>0</v>
      </c>
      <c r="E4683">
        <v>0</v>
      </c>
      <c r="F4683">
        <v>4000</v>
      </c>
      <c r="G4683">
        <v>1750</v>
      </c>
      <c r="H4683">
        <v>0</v>
      </c>
      <c r="J4683" t="str">
        <f>VLOOKUP(Table3[[#This Row],[Faction ID]],Table4[],2)</f>
        <v>_</v>
      </c>
    </row>
    <row r="4684" spans="1:10" x14ac:dyDescent="0.25">
      <c r="A4684">
        <v>121</v>
      </c>
      <c r="B4684" t="s">
        <v>41</v>
      </c>
      <c r="C4684">
        <v>0</v>
      </c>
      <c r="D4684">
        <v>0</v>
      </c>
      <c r="E4684">
        <v>0</v>
      </c>
      <c r="F4684">
        <v>4000</v>
      </c>
      <c r="G4684">
        <v>1750</v>
      </c>
      <c r="H4684">
        <v>0</v>
      </c>
      <c r="J4684" t="str">
        <f>VLOOKUP(Table3[[#This Row],[Faction ID]],Table4[],2)</f>
        <v>_</v>
      </c>
    </row>
    <row r="4685" spans="1:10" x14ac:dyDescent="0.25">
      <c r="A4685">
        <v>121</v>
      </c>
      <c r="B4685" t="s">
        <v>42</v>
      </c>
      <c r="C4685">
        <v>0</v>
      </c>
      <c r="D4685">
        <v>0</v>
      </c>
      <c r="E4685">
        <v>0</v>
      </c>
      <c r="F4685">
        <v>4000</v>
      </c>
      <c r="G4685">
        <v>1750</v>
      </c>
      <c r="H4685">
        <v>0</v>
      </c>
      <c r="J4685" t="str">
        <f>VLOOKUP(Table3[[#This Row],[Faction ID]],Table4[],2)</f>
        <v>_</v>
      </c>
    </row>
    <row r="4686" spans="1:10" x14ac:dyDescent="0.25">
      <c r="A4686">
        <v>121</v>
      </c>
      <c r="B4686" t="s">
        <v>43</v>
      </c>
      <c r="C4686">
        <v>0</v>
      </c>
      <c r="D4686">
        <v>0</v>
      </c>
      <c r="E4686">
        <v>0</v>
      </c>
      <c r="F4686">
        <v>4000</v>
      </c>
      <c r="G4686">
        <v>1750</v>
      </c>
      <c r="H4686">
        <v>0</v>
      </c>
      <c r="J4686" t="str">
        <f>VLOOKUP(Table3[[#This Row],[Faction ID]],Table4[],2)</f>
        <v>_</v>
      </c>
    </row>
    <row r="4687" spans="1:10" x14ac:dyDescent="0.25">
      <c r="A4687">
        <v>121</v>
      </c>
      <c r="B4687" t="s">
        <v>44</v>
      </c>
      <c r="C4687">
        <v>0</v>
      </c>
      <c r="D4687">
        <v>0</v>
      </c>
      <c r="E4687">
        <v>0</v>
      </c>
      <c r="F4687">
        <v>4000</v>
      </c>
      <c r="G4687">
        <v>1750</v>
      </c>
      <c r="H4687">
        <v>0</v>
      </c>
      <c r="J4687" t="str">
        <f>VLOOKUP(Table3[[#This Row],[Faction ID]],Table4[],2)</f>
        <v>_</v>
      </c>
    </row>
    <row r="4688" spans="1:10" x14ac:dyDescent="0.25">
      <c r="A4688">
        <v>122</v>
      </c>
      <c r="B4688" t="s">
        <v>9</v>
      </c>
      <c r="C4688">
        <v>610</v>
      </c>
      <c r="D4688">
        <v>36</v>
      </c>
      <c r="E4688">
        <v>478.6</v>
      </c>
      <c r="F4688">
        <v>5970</v>
      </c>
      <c r="G4688">
        <v>68944</v>
      </c>
      <c r="H4688">
        <v>4369</v>
      </c>
      <c r="J4688" t="str">
        <f>VLOOKUP(Table3[[#This Row],[Faction ID]],Table4[],2)</f>
        <v>Mordor</v>
      </c>
    </row>
    <row r="4689" spans="1:10" x14ac:dyDescent="0.25">
      <c r="A4689">
        <v>122</v>
      </c>
      <c r="B4689" t="s">
        <v>4</v>
      </c>
      <c r="C4689">
        <v>146</v>
      </c>
      <c r="D4689">
        <v>0</v>
      </c>
      <c r="E4689">
        <v>0</v>
      </c>
      <c r="F4689">
        <v>55420</v>
      </c>
      <c r="G4689">
        <v>2500</v>
      </c>
      <c r="H4689">
        <v>0</v>
      </c>
      <c r="J4689" t="str">
        <f>VLOOKUP(Table3[[#This Row],[Faction ID]],Table4[],2)</f>
        <v>Gondor</v>
      </c>
    </row>
    <row r="4690" spans="1:10" x14ac:dyDescent="0.25">
      <c r="A4690">
        <v>122</v>
      </c>
      <c r="B4690" t="s">
        <v>6</v>
      </c>
      <c r="C4690">
        <v>199</v>
      </c>
      <c r="D4690">
        <v>0</v>
      </c>
      <c r="E4690">
        <v>0</v>
      </c>
      <c r="F4690">
        <v>10343</v>
      </c>
      <c r="G4690">
        <v>2500</v>
      </c>
      <c r="H4690">
        <v>0</v>
      </c>
      <c r="J4690" t="str">
        <f>VLOOKUP(Table3[[#This Row],[Faction ID]],Table4[],2)</f>
        <v>Dale</v>
      </c>
    </row>
    <row r="4691" spans="1:10" x14ac:dyDescent="0.25">
      <c r="A4691">
        <v>122</v>
      </c>
      <c r="B4691" t="s">
        <v>21</v>
      </c>
      <c r="C4691">
        <v>200</v>
      </c>
      <c r="D4691">
        <v>0</v>
      </c>
      <c r="E4691">
        <v>0</v>
      </c>
      <c r="F4691">
        <v>10040</v>
      </c>
      <c r="G4691">
        <v>2500</v>
      </c>
      <c r="H4691">
        <v>0</v>
      </c>
      <c r="J4691" t="str">
        <f>VLOOKUP(Table3[[#This Row],[Faction ID]],Table4[],2)</f>
        <v>Erebor</v>
      </c>
    </row>
    <row r="4692" spans="1:10" x14ac:dyDescent="0.25">
      <c r="A4692">
        <v>122</v>
      </c>
      <c r="B4692" t="s">
        <v>5</v>
      </c>
      <c r="C4692">
        <v>157</v>
      </c>
      <c r="D4692">
        <v>0</v>
      </c>
      <c r="E4692">
        <v>0</v>
      </c>
      <c r="F4692">
        <v>6638</v>
      </c>
      <c r="G4692">
        <v>2500</v>
      </c>
      <c r="H4692">
        <v>0</v>
      </c>
      <c r="J4692" t="str">
        <f>VLOOKUP(Table3[[#This Row],[Faction ID]],Table4[],2)</f>
        <v>Rohan</v>
      </c>
    </row>
    <row r="4693" spans="1:10" x14ac:dyDescent="0.25">
      <c r="A4693">
        <v>122</v>
      </c>
      <c r="B4693" t="s">
        <v>12</v>
      </c>
      <c r="C4693">
        <v>478</v>
      </c>
      <c r="D4693">
        <v>23</v>
      </c>
      <c r="E4693">
        <v>330.8</v>
      </c>
      <c r="F4693">
        <v>249693</v>
      </c>
      <c r="G4693">
        <v>44574</v>
      </c>
      <c r="H4693">
        <v>4007</v>
      </c>
      <c r="J4693" t="str">
        <f>VLOOKUP(Table3[[#This Row],[Faction ID]],Table4[],2)</f>
        <v>Dol Guldur</v>
      </c>
    </row>
    <row r="4694" spans="1:10" x14ac:dyDescent="0.25">
      <c r="A4694">
        <v>122</v>
      </c>
      <c r="B4694" t="s">
        <v>10</v>
      </c>
      <c r="C4694">
        <v>58</v>
      </c>
      <c r="D4694">
        <v>0</v>
      </c>
      <c r="E4694">
        <v>0</v>
      </c>
      <c r="F4694">
        <v>4515</v>
      </c>
      <c r="G4694">
        <v>2500</v>
      </c>
      <c r="H4694">
        <v>0</v>
      </c>
      <c r="J4694" t="str">
        <f>VLOOKUP(Table3[[#This Row],[Faction ID]],Table4[],2)</f>
        <v>Anduin Vale</v>
      </c>
    </row>
    <row r="4695" spans="1:10" x14ac:dyDescent="0.25">
      <c r="A4695">
        <v>122</v>
      </c>
      <c r="B4695" t="s">
        <v>32</v>
      </c>
      <c r="C4695">
        <v>318</v>
      </c>
      <c r="D4695">
        <v>6</v>
      </c>
      <c r="E4695">
        <v>177.6</v>
      </c>
      <c r="F4695">
        <v>31958</v>
      </c>
      <c r="G4695">
        <v>26801</v>
      </c>
      <c r="H4695">
        <v>1268</v>
      </c>
      <c r="J4695" t="str">
        <f>VLOOKUP(Table3[[#This Row],[Faction ID]],Table4[],2)</f>
        <v>Isengard</v>
      </c>
    </row>
    <row r="4696" spans="1:10" x14ac:dyDescent="0.25">
      <c r="A4696">
        <v>122</v>
      </c>
      <c r="B4696" t="s">
        <v>22</v>
      </c>
      <c r="C4696">
        <v>30</v>
      </c>
      <c r="D4696">
        <v>0</v>
      </c>
      <c r="E4696">
        <v>0</v>
      </c>
      <c r="F4696">
        <v>8475</v>
      </c>
      <c r="G4696">
        <v>2500</v>
      </c>
      <c r="H4696">
        <v>0</v>
      </c>
      <c r="J4696" t="str">
        <f>VLOOKUP(Table3[[#This Row],[Faction ID]],Table4[],2)</f>
        <v>Woodland Realm</v>
      </c>
    </row>
    <row r="4697" spans="1:10" x14ac:dyDescent="0.25">
      <c r="A4697">
        <v>122</v>
      </c>
      <c r="B4697" t="s">
        <v>23</v>
      </c>
      <c r="C4697">
        <v>64</v>
      </c>
      <c r="D4697">
        <v>0</v>
      </c>
      <c r="E4697">
        <v>0</v>
      </c>
      <c r="F4697">
        <v>4721</v>
      </c>
      <c r="G4697">
        <v>2500</v>
      </c>
      <c r="H4697">
        <v>0</v>
      </c>
      <c r="J4697" t="str">
        <f>VLOOKUP(Table3[[#This Row],[Faction ID]],Table4[],2)</f>
        <v>Lothlorien</v>
      </c>
    </row>
    <row r="4698" spans="1:10" x14ac:dyDescent="0.25">
      <c r="A4698">
        <v>122</v>
      </c>
      <c r="B4698" t="s">
        <v>24</v>
      </c>
      <c r="C4698">
        <v>0</v>
      </c>
      <c r="D4698">
        <v>0</v>
      </c>
      <c r="E4698">
        <v>0</v>
      </c>
      <c r="F4698">
        <v>4919</v>
      </c>
      <c r="G4698">
        <v>1750</v>
      </c>
      <c r="H4698">
        <v>0</v>
      </c>
      <c r="J4698" t="str">
        <f>VLOOKUP(Table3[[#This Row],[Faction ID]],Table4[],2)</f>
        <v>Variags (Khand)</v>
      </c>
    </row>
    <row r="4699" spans="1:10" x14ac:dyDescent="0.25">
      <c r="A4699">
        <v>122</v>
      </c>
      <c r="B4699" t="s">
        <v>14</v>
      </c>
      <c r="C4699">
        <v>20</v>
      </c>
      <c r="D4699">
        <v>14</v>
      </c>
      <c r="E4699">
        <v>254.8</v>
      </c>
      <c r="F4699">
        <v>235756</v>
      </c>
      <c r="G4699">
        <v>54862</v>
      </c>
      <c r="H4699">
        <v>4761</v>
      </c>
      <c r="J4699" t="str">
        <f>VLOOKUP(Table3[[#This Row],[Faction ID]],Table4[],2)</f>
        <v>Corsairs of Umbar</v>
      </c>
    </row>
    <row r="4700" spans="1:10" x14ac:dyDescent="0.25">
      <c r="A4700">
        <v>122</v>
      </c>
      <c r="B4700" t="s">
        <v>25</v>
      </c>
      <c r="C4700">
        <v>0</v>
      </c>
      <c r="D4700">
        <v>0</v>
      </c>
      <c r="E4700">
        <v>0</v>
      </c>
      <c r="F4700">
        <v>9228</v>
      </c>
      <c r="G4700">
        <v>1750</v>
      </c>
      <c r="H4700">
        <v>0</v>
      </c>
      <c r="J4700" t="str">
        <f>VLOOKUP(Table3[[#This Row],[Faction ID]],Table4[],2)</f>
        <v>Mahud</v>
      </c>
    </row>
    <row r="4701" spans="1:10" x14ac:dyDescent="0.25">
      <c r="A4701">
        <v>122</v>
      </c>
      <c r="B4701" t="s">
        <v>11</v>
      </c>
      <c r="C4701">
        <v>302</v>
      </c>
      <c r="D4701">
        <v>13</v>
      </c>
      <c r="E4701">
        <v>191.5</v>
      </c>
      <c r="F4701">
        <v>57191</v>
      </c>
      <c r="G4701">
        <v>33285</v>
      </c>
      <c r="H4701">
        <v>2426</v>
      </c>
      <c r="J4701" t="str">
        <f>VLOOKUP(Table3[[#This Row],[Faction ID]],Table4[],2)</f>
        <v>Haradrim</v>
      </c>
    </row>
    <row r="4702" spans="1:10" x14ac:dyDescent="0.25">
      <c r="A4702">
        <v>122</v>
      </c>
      <c r="B4702" t="s">
        <v>15</v>
      </c>
      <c r="C4702">
        <v>301</v>
      </c>
      <c r="D4702">
        <v>11</v>
      </c>
      <c r="E4702">
        <v>242</v>
      </c>
      <c r="F4702">
        <v>189495</v>
      </c>
      <c r="G4702">
        <v>44413</v>
      </c>
      <c r="H4702">
        <v>680</v>
      </c>
      <c r="J4702" t="str">
        <f>VLOOKUP(Table3[[#This Row],[Faction ID]],Table4[],2)</f>
        <v>Dunlendings</v>
      </c>
    </row>
    <row r="4703" spans="1:10" x14ac:dyDescent="0.25">
      <c r="A4703">
        <v>122</v>
      </c>
      <c r="B4703" t="s">
        <v>16</v>
      </c>
      <c r="C4703">
        <v>0</v>
      </c>
      <c r="D4703">
        <v>0</v>
      </c>
      <c r="E4703">
        <v>0</v>
      </c>
      <c r="F4703">
        <v>5352</v>
      </c>
      <c r="G4703">
        <v>1750</v>
      </c>
      <c r="H4703">
        <v>0</v>
      </c>
      <c r="J4703" t="str">
        <f>VLOOKUP(Table3[[#This Row],[Faction ID]],Table4[],2)</f>
        <v>Haerrim</v>
      </c>
    </row>
    <row r="4704" spans="1:10" x14ac:dyDescent="0.25">
      <c r="A4704">
        <v>122</v>
      </c>
      <c r="B4704" t="s">
        <v>13</v>
      </c>
      <c r="C4704">
        <v>607</v>
      </c>
      <c r="D4704">
        <v>18</v>
      </c>
      <c r="E4704">
        <v>449.5</v>
      </c>
      <c r="F4704">
        <v>220545</v>
      </c>
      <c r="G4704">
        <v>60473</v>
      </c>
      <c r="H4704">
        <v>1</v>
      </c>
      <c r="J4704" t="str">
        <f>VLOOKUP(Table3[[#This Row],[Faction ID]],Table4[],2)</f>
        <v>Goblins</v>
      </c>
    </row>
    <row r="4705" spans="1:10" x14ac:dyDescent="0.25">
      <c r="A4705">
        <v>122</v>
      </c>
      <c r="B4705" t="s">
        <v>17</v>
      </c>
      <c r="C4705">
        <v>0</v>
      </c>
      <c r="D4705">
        <v>0</v>
      </c>
      <c r="E4705">
        <v>0</v>
      </c>
      <c r="F4705">
        <v>4872</v>
      </c>
      <c r="G4705">
        <v>1750</v>
      </c>
      <c r="H4705">
        <v>0</v>
      </c>
      <c r="J4705" t="str">
        <f>VLOOKUP(Table3[[#This Row],[Faction ID]],Table4[],2)</f>
        <v>Balchoth</v>
      </c>
    </row>
    <row r="4706" spans="1:10" x14ac:dyDescent="0.25">
      <c r="A4706">
        <v>122</v>
      </c>
      <c r="B4706" t="s">
        <v>18</v>
      </c>
      <c r="C4706">
        <v>584</v>
      </c>
      <c r="D4706">
        <v>26</v>
      </c>
      <c r="E4706">
        <v>371.5</v>
      </c>
      <c r="F4706">
        <v>77217</v>
      </c>
      <c r="G4706">
        <v>46105</v>
      </c>
      <c r="H4706">
        <v>3368</v>
      </c>
      <c r="J4706" t="str">
        <f>VLOOKUP(Table3[[#This Row],[Faction ID]],Table4[],2)</f>
        <v>Rhurim/Rhun</v>
      </c>
    </row>
    <row r="4707" spans="1:10" x14ac:dyDescent="0.25">
      <c r="A4707">
        <v>122</v>
      </c>
      <c r="B4707" t="s">
        <v>19</v>
      </c>
      <c r="C4707">
        <v>0</v>
      </c>
      <c r="D4707">
        <v>0</v>
      </c>
      <c r="E4707">
        <v>0</v>
      </c>
      <c r="F4707">
        <v>7360</v>
      </c>
      <c r="G4707">
        <v>1750</v>
      </c>
      <c r="H4707">
        <v>0</v>
      </c>
      <c r="J4707" t="str">
        <f>VLOOKUP(Table3[[#This Row],[Faction ID]],Table4[],2)</f>
        <v>Feredrim</v>
      </c>
    </row>
    <row r="4708" spans="1:10" x14ac:dyDescent="0.25">
      <c r="A4708">
        <v>122</v>
      </c>
      <c r="B4708" t="s">
        <v>26</v>
      </c>
      <c r="C4708">
        <v>0</v>
      </c>
      <c r="D4708">
        <v>0</v>
      </c>
      <c r="E4708">
        <v>0</v>
      </c>
      <c r="F4708">
        <v>6395</v>
      </c>
      <c r="G4708">
        <v>1750</v>
      </c>
      <c r="H4708">
        <v>0</v>
      </c>
      <c r="J4708" t="str">
        <f>VLOOKUP(Table3[[#This Row],[Faction ID]],Table4[],2)</f>
        <v>Rachrohir (Wainriders)</v>
      </c>
    </row>
    <row r="4709" spans="1:10" x14ac:dyDescent="0.25">
      <c r="A4709">
        <v>122</v>
      </c>
      <c r="B4709" t="s">
        <v>27</v>
      </c>
      <c r="C4709">
        <v>5</v>
      </c>
      <c r="D4709">
        <v>3</v>
      </c>
      <c r="E4709">
        <v>53.2</v>
      </c>
      <c r="F4709">
        <v>6768</v>
      </c>
      <c r="G4709">
        <v>12146</v>
      </c>
      <c r="H4709">
        <v>552</v>
      </c>
      <c r="J4709" t="str">
        <f>VLOOKUP(Table3[[#This Row],[Faction ID]],Table4[],2)</f>
        <v>Blacklock-Stonefoot League</v>
      </c>
    </row>
    <row r="4710" spans="1:10" x14ac:dyDescent="0.25">
      <c r="A4710">
        <v>122</v>
      </c>
      <c r="B4710" t="s">
        <v>28</v>
      </c>
      <c r="C4710">
        <v>5</v>
      </c>
      <c r="D4710">
        <v>2</v>
      </c>
      <c r="E4710">
        <v>17</v>
      </c>
      <c r="F4710">
        <v>11733</v>
      </c>
      <c r="G4710">
        <v>4805</v>
      </c>
      <c r="H4710">
        <v>0</v>
      </c>
      <c r="J4710" t="str">
        <f>VLOOKUP(Table3[[#This Row],[Faction ID]],Table4[],2)</f>
        <v>Ironfist-Stiffbeard Union</v>
      </c>
    </row>
    <row r="4711" spans="1:10" x14ac:dyDescent="0.25">
      <c r="A4711">
        <v>122</v>
      </c>
      <c r="B4711" t="s">
        <v>20</v>
      </c>
      <c r="C4711">
        <v>245</v>
      </c>
      <c r="D4711">
        <v>0</v>
      </c>
      <c r="E4711">
        <v>0</v>
      </c>
      <c r="F4711">
        <v>9750</v>
      </c>
      <c r="G4711">
        <v>2500</v>
      </c>
      <c r="H4711">
        <v>0</v>
      </c>
      <c r="J4711" t="str">
        <f>VLOOKUP(Table3[[#This Row],[Faction ID]],Table4[],2)</f>
        <v>Gundabad</v>
      </c>
    </row>
    <row r="4712" spans="1:10" x14ac:dyDescent="0.25">
      <c r="A4712">
        <v>122</v>
      </c>
      <c r="B4712" t="s">
        <v>34</v>
      </c>
      <c r="C4712">
        <v>0</v>
      </c>
      <c r="D4712">
        <v>0</v>
      </c>
      <c r="E4712">
        <v>3</v>
      </c>
      <c r="F4712">
        <v>140191</v>
      </c>
      <c r="G4712">
        <v>2354</v>
      </c>
      <c r="H4712">
        <v>0</v>
      </c>
      <c r="J4712" t="str">
        <f>VLOOKUP(Table3[[#This Row],[Faction ID]],Table4[],2)</f>
        <v>Scouts of Rohan</v>
      </c>
    </row>
    <row r="4713" spans="1:10" x14ac:dyDescent="0.25">
      <c r="A4713">
        <v>122</v>
      </c>
      <c r="B4713" t="s">
        <v>33</v>
      </c>
      <c r="C4713">
        <v>6</v>
      </c>
      <c r="D4713">
        <v>4</v>
      </c>
      <c r="E4713">
        <v>103</v>
      </c>
      <c r="F4713">
        <v>144349</v>
      </c>
      <c r="G4713">
        <v>24027</v>
      </c>
      <c r="H4713">
        <v>1018</v>
      </c>
      <c r="J4713" t="str">
        <f>VLOOKUP(Table3[[#This Row],[Faction ID]],Table4[],2)</f>
        <v>Northern Enedwaith</v>
      </c>
    </row>
    <row r="4714" spans="1:10" x14ac:dyDescent="0.25">
      <c r="A4714">
        <v>122</v>
      </c>
      <c r="B4714" t="s">
        <v>29</v>
      </c>
      <c r="C4714">
        <v>0</v>
      </c>
      <c r="D4714">
        <v>0</v>
      </c>
      <c r="E4714">
        <v>0</v>
      </c>
      <c r="F4714">
        <v>54023</v>
      </c>
      <c r="G4714">
        <v>1750</v>
      </c>
      <c r="H4714">
        <v>0</v>
      </c>
      <c r="J4714" t="str">
        <f>VLOOKUP(Table3[[#This Row],[Faction ID]],Table4[],2)</f>
        <v>Southern Enedwaith</v>
      </c>
    </row>
    <row r="4715" spans="1:10" x14ac:dyDescent="0.25">
      <c r="A4715">
        <v>122</v>
      </c>
      <c r="B4715" t="s">
        <v>30</v>
      </c>
      <c r="C4715">
        <v>0</v>
      </c>
      <c r="D4715">
        <v>0</v>
      </c>
      <c r="E4715">
        <v>0</v>
      </c>
      <c r="F4715">
        <v>32146</v>
      </c>
      <c r="G4715">
        <v>1750</v>
      </c>
      <c r="H4715">
        <v>0</v>
      </c>
      <c r="J4715" t="str">
        <f>VLOOKUP(Table3[[#This Row],[Faction ID]],Table4[],2)</f>
        <v>Druedain</v>
      </c>
    </row>
    <row r="4716" spans="1:10" x14ac:dyDescent="0.25">
      <c r="A4716">
        <v>122</v>
      </c>
      <c r="B4716" t="s">
        <v>31</v>
      </c>
      <c r="C4716">
        <v>0</v>
      </c>
      <c r="D4716">
        <v>0</v>
      </c>
      <c r="E4716">
        <v>0</v>
      </c>
      <c r="F4716">
        <v>15146</v>
      </c>
      <c r="G4716">
        <v>1750</v>
      </c>
      <c r="H4716">
        <v>0</v>
      </c>
      <c r="J4716" t="str">
        <f>VLOOKUP(Table3[[#This Row],[Faction ID]],Table4[],2)</f>
        <v>Harondor</v>
      </c>
    </row>
    <row r="4717" spans="1:10" x14ac:dyDescent="0.25">
      <c r="A4717">
        <v>122</v>
      </c>
      <c r="B4717" t="s">
        <v>35</v>
      </c>
      <c r="C4717">
        <v>0</v>
      </c>
      <c r="D4717">
        <v>0</v>
      </c>
      <c r="E4717">
        <v>0</v>
      </c>
      <c r="F4717">
        <v>4000</v>
      </c>
      <c r="G4717">
        <v>1750</v>
      </c>
      <c r="H4717">
        <v>0</v>
      </c>
      <c r="J4717" t="str">
        <f>VLOOKUP(Table3[[#This Row],[Faction ID]],Table4[],2)</f>
        <v>Southron Nomads</v>
      </c>
    </row>
    <row r="4718" spans="1:10" x14ac:dyDescent="0.25">
      <c r="A4718">
        <v>122</v>
      </c>
      <c r="B4718" t="s">
        <v>36</v>
      </c>
      <c r="C4718">
        <v>0</v>
      </c>
      <c r="D4718">
        <v>0</v>
      </c>
      <c r="E4718">
        <v>0</v>
      </c>
      <c r="F4718">
        <v>4000</v>
      </c>
      <c r="G4718">
        <v>1750</v>
      </c>
      <c r="H4718">
        <v>0</v>
      </c>
      <c r="J4718" t="str">
        <f>VLOOKUP(Table3[[#This Row],[Faction ID]],Table4[],2)</f>
        <v>_</v>
      </c>
    </row>
    <row r="4719" spans="1:10" x14ac:dyDescent="0.25">
      <c r="A4719">
        <v>122</v>
      </c>
      <c r="B4719" t="s">
        <v>37</v>
      </c>
      <c r="C4719">
        <v>0</v>
      </c>
      <c r="D4719">
        <v>0</v>
      </c>
      <c r="E4719">
        <v>0</v>
      </c>
      <c r="F4719">
        <v>4000</v>
      </c>
      <c r="G4719">
        <v>1750</v>
      </c>
      <c r="H4719">
        <v>0</v>
      </c>
      <c r="J4719" t="str">
        <f>VLOOKUP(Table3[[#This Row],[Faction ID]],Table4[],2)</f>
        <v>_</v>
      </c>
    </row>
    <row r="4720" spans="1:10" x14ac:dyDescent="0.25">
      <c r="A4720">
        <v>122</v>
      </c>
      <c r="B4720" t="s">
        <v>38</v>
      </c>
      <c r="C4720">
        <v>0</v>
      </c>
      <c r="D4720">
        <v>0</v>
      </c>
      <c r="E4720">
        <v>0</v>
      </c>
      <c r="F4720">
        <v>4000</v>
      </c>
      <c r="G4720">
        <v>1750</v>
      </c>
      <c r="H4720">
        <v>0</v>
      </c>
      <c r="J4720" t="str">
        <f>VLOOKUP(Table3[[#This Row],[Faction ID]],Table4[],2)</f>
        <v>_</v>
      </c>
    </row>
    <row r="4721" spans="1:10" x14ac:dyDescent="0.25">
      <c r="A4721">
        <v>122</v>
      </c>
      <c r="B4721" t="s">
        <v>39</v>
      </c>
      <c r="C4721">
        <v>0</v>
      </c>
      <c r="D4721">
        <v>0</v>
      </c>
      <c r="E4721">
        <v>0</v>
      </c>
      <c r="F4721">
        <v>4000</v>
      </c>
      <c r="G4721">
        <v>1750</v>
      </c>
      <c r="H4721">
        <v>0</v>
      </c>
      <c r="J4721" t="str">
        <f>VLOOKUP(Table3[[#This Row],[Faction ID]],Table4[],2)</f>
        <v>_</v>
      </c>
    </row>
    <row r="4722" spans="1:10" x14ac:dyDescent="0.25">
      <c r="A4722">
        <v>122</v>
      </c>
      <c r="B4722" t="s">
        <v>40</v>
      </c>
      <c r="C4722">
        <v>0</v>
      </c>
      <c r="D4722">
        <v>0</v>
      </c>
      <c r="E4722">
        <v>0</v>
      </c>
      <c r="F4722">
        <v>4000</v>
      </c>
      <c r="G4722">
        <v>1750</v>
      </c>
      <c r="H4722">
        <v>0</v>
      </c>
      <c r="J4722" t="str">
        <f>VLOOKUP(Table3[[#This Row],[Faction ID]],Table4[],2)</f>
        <v>_</v>
      </c>
    </row>
    <row r="4723" spans="1:10" x14ac:dyDescent="0.25">
      <c r="A4723">
        <v>122</v>
      </c>
      <c r="B4723" t="s">
        <v>41</v>
      </c>
      <c r="C4723">
        <v>0</v>
      </c>
      <c r="D4723">
        <v>0</v>
      </c>
      <c r="E4723">
        <v>0</v>
      </c>
      <c r="F4723">
        <v>4000</v>
      </c>
      <c r="G4723">
        <v>1750</v>
      </c>
      <c r="H4723">
        <v>0</v>
      </c>
      <c r="J4723" t="str">
        <f>VLOOKUP(Table3[[#This Row],[Faction ID]],Table4[],2)</f>
        <v>_</v>
      </c>
    </row>
    <row r="4724" spans="1:10" x14ac:dyDescent="0.25">
      <c r="A4724">
        <v>122</v>
      </c>
      <c r="B4724" t="s">
        <v>42</v>
      </c>
      <c r="C4724">
        <v>0</v>
      </c>
      <c r="D4724">
        <v>0</v>
      </c>
      <c r="E4724">
        <v>0</v>
      </c>
      <c r="F4724">
        <v>4000</v>
      </c>
      <c r="G4724">
        <v>1750</v>
      </c>
      <c r="H4724">
        <v>0</v>
      </c>
      <c r="J4724" t="str">
        <f>VLOOKUP(Table3[[#This Row],[Faction ID]],Table4[],2)</f>
        <v>_</v>
      </c>
    </row>
    <row r="4725" spans="1:10" x14ac:dyDescent="0.25">
      <c r="A4725">
        <v>122</v>
      </c>
      <c r="B4725" t="s">
        <v>43</v>
      </c>
      <c r="C4725">
        <v>0</v>
      </c>
      <c r="D4725">
        <v>0</v>
      </c>
      <c r="E4725">
        <v>0</v>
      </c>
      <c r="F4725">
        <v>4000</v>
      </c>
      <c r="G4725">
        <v>1750</v>
      </c>
      <c r="H4725">
        <v>0</v>
      </c>
      <c r="J4725" t="str">
        <f>VLOOKUP(Table3[[#This Row],[Faction ID]],Table4[],2)</f>
        <v>_</v>
      </c>
    </row>
    <row r="4726" spans="1:10" x14ac:dyDescent="0.25">
      <c r="A4726">
        <v>122</v>
      </c>
      <c r="B4726" t="s">
        <v>44</v>
      </c>
      <c r="C4726">
        <v>0</v>
      </c>
      <c r="D4726">
        <v>0</v>
      </c>
      <c r="E4726">
        <v>0</v>
      </c>
      <c r="F4726">
        <v>4000</v>
      </c>
      <c r="G4726">
        <v>1750</v>
      </c>
      <c r="H4726">
        <v>0</v>
      </c>
      <c r="J4726" t="str">
        <f>VLOOKUP(Table3[[#This Row],[Faction ID]],Table4[],2)</f>
        <v>_</v>
      </c>
    </row>
    <row r="4727" spans="1:10" x14ac:dyDescent="0.25">
      <c r="A4727">
        <v>123</v>
      </c>
      <c r="B4727" t="s">
        <v>9</v>
      </c>
      <c r="C4727">
        <v>611</v>
      </c>
      <c r="D4727">
        <v>37</v>
      </c>
      <c r="E4727">
        <v>488.8</v>
      </c>
      <c r="F4727">
        <v>4583</v>
      </c>
      <c r="G4727">
        <v>69887</v>
      </c>
      <c r="H4727">
        <v>4441</v>
      </c>
      <c r="J4727" t="str">
        <f>VLOOKUP(Table3[[#This Row],[Faction ID]],Table4[],2)</f>
        <v>Mordor</v>
      </c>
    </row>
    <row r="4728" spans="1:10" x14ac:dyDescent="0.25">
      <c r="A4728">
        <v>123</v>
      </c>
      <c r="B4728" t="s">
        <v>4</v>
      </c>
      <c r="C4728">
        <v>146</v>
      </c>
      <c r="D4728">
        <v>0</v>
      </c>
      <c r="E4728">
        <v>0</v>
      </c>
      <c r="F4728">
        <v>55420</v>
      </c>
      <c r="G4728">
        <v>2500</v>
      </c>
      <c r="H4728">
        <v>0</v>
      </c>
      <c r="J4728" t="str">
        <f>VLOOKUP(Table3[[#This Row],[Faction ID]],Table4[],2)</f>
        <v>Gondor</v>
      </c>
    </row>
    <row r="4729" spans="1:10" x14ac:dyDescent="0.25">
      <c r="A4729">
        <v>123</v>
      </c>
      <c r="B4729" t="s">
        <v>6</v>
      </c>
      <c r="C4729">
        <v>199</v>
      </c>
      <c r="D4729">
        <v>0</v>
      </c>
      <c r="E4729">
        <v>0</v>
      </c>
      <c r="F4729">
        <v>10343</v>
      </c>
      <c r="G4729">
        <v>2500</v>
      </c>
      <c r="H4729">
        <v>0</v>
      </c>
      <c r="J4729" t="str">
        <f>VLOOKUP(Table3[[#This Row],[Faction ID]],Table4[],2)</f>
        <v>Dale</v>
      </c>
    </row>
    <row r="4730" spans="1:10" x14ac:dyDescent="0.25">
      <c r="A4730">
        <v>123</v>
      </c>
      <c r="B4730" t="s">
        <v>21</v>
      </c>
      <c r="C4730">
        <v>200</v>
      </c>
      <c r="D4730">
        <v>0</v>
      </c>
      <c r="E4730">
        <v>0</v>
      </c>
      <c r="F4730">
        <v>10040</v>
      </c>
      <c r="G4730">
        <v>2500</v>
      </c>
      <c r="H4730">
        <v>0</v>
      </c>
      <c r="J4730" t="str">
        <f>VLOOKUP(Table3[[#This Row],[Faction ID]],Table4[],2)</f>
        <v>Erebor</v>
      </c>
    </row>
    <row r="4731" spans="1:10" x14ac:dyDescent="0.25">
      <c r="A4731">
        <v>123</v>
      </c>
      <c r="B4731" t="s">
        <v>5</v>
      </c>
      <c r="C4731">
        <v>157</v>
      </c>
      <c r="D4731">
        <v>0</v>
      </c>
      <c r="E4731">
        <v>0</v>
      </c>
      <c r="F4731">
        <v>6638</v>
      </c>
      <c r="G4731">
        <v>2500</v>
      </c>
      <c r="H4731">
        <v>0</v>
      </c>
      <c r="J4731" t="str">
        <f>VLOOKUP(Table3[[#This Row],[Faction ID]],Table4[],2)</f>
        <v>Rohan</v>
      </c>
    </row>
    <row r="4732" spans="1:10" x14ac:dyDescent="0.25">
      <c r="A4732">
        <v>123</v>
      </c>
      <c r="B4732" t="s">
        <v>12</v>
      </c>
      <c r="C4732">
        <v>486</v>
      </c>
      <c r="D4732">
        <v>23</v>
      </c>
      <c r="E4732">
        <v>316.60000000000002</v>
      </c>
      <c r="F4732">
        <v>265029</v>
      </c>
      <c r="G4732">
        <v>42595</v>
      </c>
      <c r="H4732">
        <v>4016</v>
      </c>
      <c r="J4732" t="str">
        <f>VLOOKUP(Table3[[#This Row],[Faction ID]],Table4[],2)</f>
        <v>Dol Guldur</v>
      </c>
    </row>
    <row r="4733" spans="1:10" x14ac:dyDescent="0.25">
      <c r="A4733">
        <v>123</v>
      </c>
      <c r="B4733" t="s">
        <v>10</v>
      </c>
      <c r="C4733">
        <v>58</v>
      </c>
      <c r="D4733">
        <v>0</v>
      </c>
      <c r="E4733">
        <v>0</v>
      </c>
      <c r="F4733">
        <v>4515</v>
      </c>
      <c r="G4733">
        <v>2500</v>
      </c>
      <c r="H4733">
        <v>0</v>
      </c>
      <c r="J4733" t="str">
        <f>VLOOKUP(Table3[[#This Row],[Faction ID]],Table4[],2)</f>
        <v>Anduin Vale</v>
      </c>
    </row>
    <row r="4734" spans="1:10" x14ac:dyDescent="0.25">
      <c r="A4734">
        <v>123</v>
      </c>
      <c r="B4734" t="s">
        <v>32</v>
      </c>
      <c r="C4734">
        <v>318</v>
      </c>
      <c r="D4734">
        <v>6</v>
      </c>
      <c r="E4734">
        <v>181.5</v>
      </c>
      <c r="F4734">
        <v>33342</v>
      </c>
      <c r="G4734">
        <v>26431</v>
      </c>
      <c r="H4734">
        <v>1265</v>
      </c>
      <c r="J4734" t="str">
        <f>VLOOKUP(Table3[[#This Row],[Faction ID]],Table4[],2)</f>
        <v>Isengard</v>
      </c>
    </row>
    <row r="4735" spans="1:10" x14ac:dyDescent="0.25">
      <c r="A4735">
        <v>123</v>
      </c>
      <c r="B4735" t="s">
        <v>22</v>
      </c>
      <c r="C4735">
        <v>30</v>
      </c>
      <c r="D4735">
        <v>0</v>
      </c>
      <c r="E4735">
        <v>0</v>
      </c>
      <c r="F4735">
        <v>8475</v>
      </c>
      <c r="G4735">
        <v>2500</v>
      </c>
      <c r="H4735">
        <v>0</v>
      </c>
      <c r="J4735" t="str">
        <f>VLOOKUP(Table3[[#This Row],[Faction ID]],Table4[],2)</f>
        <v>Woodland Realm</v>
      </c>
    </row>
    <row r="4736" spans="1:10" x14ac:dyDescent="0.25">
      <c r="A4736">
        <v>123</v>
      </c>
      <c r="B4736" t="s">
        <v>23</v>
      </c>
      <c r="C4736">
        <v>64</v>
      </c>
      <c r="D4736">
        <v>0</v>
      </c>
      <c r="E4736">
        <v>0</v>
      </c>
      <c r="F4736">
        <v>4721</v>
      </c>
      <c r="G4736">
        <v>2500</v>
      </c>
      <c r="H4736">
        <v>0</v>
      </c>
      <c r="J4736" t="str">
        <f>VLOOKUP(Table3[[#This Row],[Faction ID]],Table4[],2)</f>
        <v>Lothlorien</v>
      </c>
    </row>
    <row r="4737" spans="1:10" x14ac:dyDescent="0.25">
      <c r="A4737">
        <v>123</v>
      </c>
      <c r="B4737" t="s">
        <v>24</v>
      </c>
      <c r="C4737">
        <v>0</v>
      </c>
      <c r="D4737">
        <v>0</v>
      </c>
      <c r="E4737">
        <v>0</v>
      </c>
      <c r="F4737">
        <v>4919</v>
      </c>
      <c r="G4737">
        <v>1750</v>
      </c>
      <c r="H4737">
        <v>0</v>
      </c>
      <c r="J4737" t="str">
        <f>VLOOKUP(Table3[[#This Row],[Faction ID]],Table4[],2)</f>
        <v>Variags (Khand)</v>
      </c>
    </row>
    <row r="4738" spans="1:10" x14ac:dyDescent="0.25">
      <c r="A4738">
        <v>123</v>
      </c>
      <c r="B4738" t="s">
        <v>14</v>
      </c>
      <c r="C4738">
        <v>20</v>
      </c>
      <c r="D4738">
        <v>14</v>
      </c>
      <c r="E4738">
        <v>260.8</v>
      </c>
      <c r="F4738">
        <v>247348</v>
      </c>
      <c r="G4738">
        <v>53777</v>
      </c>
      <c r="H4738">
        <v>4769</v>
      </c>
      <c r="J4738" t="str">
        <f>VLOOKUP(Table3[[#This Row],[Faction ID]],Table4[],2)</f>
        <v>Corsairs of Umbar</v>
      </c>
    </row>
    <row r="4739" spans="1:10" x14ac:dyDescent="0.25">
      <c r="A4739">
        <v>123</v>
      </c>
      <c r="B4739" t="s">
        <v>25</v>
      </c>
      <c r="C4739">
        <v>0</v>
      </c>
      <c r="D4739">
        <v>0</v>
      </c>
      <c r="E4739">
        <v>0</v>
      </c>
      <c r="F4739">
        <v>9228</v>
      </c>
      <c r="G4739">
        <v>1750</v>
      </c>
      <c r="H4739">
        <v>0</v>
      </c>
      <c r="J4739" t="str">
        <f>VLOOKUP(Table3[[#This Row],[Faction ID]],Table4[],2)</f>
        <v>Mahud</v>
      </c>
    </row>
    <row r="4740" spans="1:10" x14ac:dyDescent="0.25">
      <c r="A4740">
        <v>123</v>
      </c>
      <c r="B4740" t="s">
        <v>11</v>
      </c>
      <c r="C4740">
        <v>312</v>
      </c>
      <c r="D4740">
        <v>14</v>
      </c>
      <c r="E4740">
        <v>199.2</v>
      </c>
      <c r="F4740">
        <v>56900</v>
      </c>
      <c r="G4740">
        <v>33985</v>
      </c>
      <c r="H4740">
        <v>2555</v>
      </c>
      <c r="J4740" t="str">
        <f>VLOOKUP(Table3[[#This Row],[Faction ID]],Table4[],2)</f>
        <v>Haradrim</v>
      </c>
    </row>
    <row r="4741" spans="1:10" x14ac:dyDescent="0.25">
      <c r="A4741">
        <v>123</v>
      </c>
      <c r="B4741" t="s">
        <v>15</v>
      </c>
      <c r="C4741">
        <v>301</v>
      </c>
      <c r="D4741">
        <v>11</v>
      </c>
      <c r="E4741">
        <v>249</v>
      </c>
      <c r="F4741">
        <v>195104</v>
      </c>
      <c r="G4741">
        <v>45770</v>
      </c>
      <c r="H4741">
        <v>676</v>
      </c>
      <c r="J4741" t="str">
        <f>VLOOKUP(Table3[[#This Row],[Faction ID]],Table4[],2)</f>
        <v>Dunlendings</v>
      </c>
    </row>
    <row r="4742" spans="1:10" x14ac:dyDescent="0.25">
      <c r="A4742">
        <v>123</v>
      </c>
      <c r="B4742" t="s">
        <v>16</v>
      </c>
      <c r="C4742">
        <v>0</v>
      </c>
      <c r="D4742">
        <v>0</v>
      </c>
      <c r="E4742">
        <v>0</v>
      </c>
      <c r="F4742">
        <v>5352</v>
      </c>
      <c r="G4742">
        <v>1750</v>
      </c>
      <c r="H4742">
        <v>0</v>
      </c>
      <c r="J4742" t="str">
        <f>VLOOKUP(Table3[[#This Row],[Faction ID]],Table4[],2)</f>
        <v>Haerrim</v>
      </c>
    </row>
    <row r="4743" spans="1:10" x14ac:dyDescent="0.25">
      <c r="A4743">
        <v>123</v>
      </c>
      <c r="B4743" t="s">
        <v>13</v>
      </c>
      <c r="C4743">
        <v>610</v>
      </c>
      <c r="D4743">
        <v>17</v>
      </c>
      <c r="E4743">
        <v>430.5</v>
      </c>
      <c r="F4743">
        <v>217387</v>
      </c>
      <c r="G4743">
        <v>56966</v>
      </c>
      <c r="H4743">
        <v>1</v>
      </c>
      <c r="J4743" t="str">
        <f>VLOOKUP(Table3[[#This Row],[Faction ID]],Table4[],2)</f>
        <v>Goblins</v>
      </c>
    </row>
    <row r="4744" spans="1:10" x14ac:dyDescent="0.25">
      <c r="A4744">
        <v>123</v>
      </c>
      <c r="B4744" t="s">
        <v>17</v>
      </c>
      <c r="C4744">
        <v>0</v>
      </c>
      <c r="D4744">
        <v>0</v>
      </c>
      <c r="E4744">
        <v>0</v>
      </c>
      <c r="F4744">
        <v>4872</v>
      </c>
      <c r="G4744">
        <v>1750</v>
      </c>
      <c r="H4744">
        <v>0</v>
      </c>
      <c r="J4744" t="str">
        <f>VLOOKUP(Table3[[#This Row],[Faction ID]],Table4[],2)</f>
        <v>Balchoth</v>
      </c>
    </row>
    <row r="4745" spans="1:10" x14ac:dyDescent="0.25">
      <c r="A4745">
        <v>123</v>
      </c>
      <c r="B4745" t="s">
        <v>18</v>
      </c>
      <c r="C4745">
        <v>605</v>
      </c>
      <c r="D4745">
        <v>25</v>
      </c>
      <c r="E4745">
        <v>378</v>
      </c>
      <c r="F4745">
        <v>70557</v>
      </c>
      <c r="G4745">
        <v>46573</v>
      </c>
      <c r="H4745">
        <v>3425</v>
      </c>
      <c r="J4745" t="str">
        <f>VLOOKUP(Table3[[#This Row],[Faction ID]],Table4[],2)</f>
        <v>Rhurim/Rhun</v>
      </c>
    </row>
    <row r="4746" spans="1:10" x14ac:dyDescent="0.25">
      <c r="A4746">
        <v>123</v>
      </c>
      <c r="B4746" t="s">
        <v>19</v>
      </c>
      <c r="C4746">
        <v>0</v>
      </c>
      <c r="D4746">
        <v>0</v>
      </c>
      <c r="E4746">
        <v>0</v>
      </c>
      <c r="F4746">
        <v>7360</v>
      </c>
      <c r="G4746">
        <v>1750</v>
      </c>
      <c r="H4746">
        <v>0</v>
      </c>
      <c r="J4746" t="str">
        <f>VLOOKUP(Table3[[#This Row],[Faction ID]],Table4[],2)</f>
        <v>Feredrim</v>
      </c>
    </row>
    <row r="4747" spans="1:10" x14ac:dyDescent="0.25">
      <c r="A4747">
        <v>123</v>
      </c>
      <c r="B4747" t="s">
        <v>26</v>
      </c>
      <c r="C4747">
        <v>0</v>
      </c>
      <c r="D4747">
        <v>0</v>
      </c>
      <c r="E4747">
        <v>0</v>
      </c>
      <c r="F4747">
        <v>6395</v>
      </c>
      <c r="G4747">
        <v>1750</v>
      </c>
      <c r="H4747">
        <v>0</v>
      </c>
      <c r="J4747" t="str">
        <f>VLOOKUP(Table3[[#This Row],[Faction ID]],Table4[],2)</f>
        <v>Rachrohir (Wainriders)</v>
      </c>
    </row>
    <row r="4748" spans="1:10" x14ac:dyDescent="0.25">
      <c r="A4748">
        <v>123</v>
      </c>
      <c r="B4748" t="s">
        <v>27</v>
      </c>
      <c r="C4748">
        <v>5</v>
      </c>
      <c r="D4748">
        <v>3</v>
      </c>
      <c r="E4748">
        <v>52.2</v>
      </c>
      <c r="F4748">
        <v>9336</v>
      </c>
      <c r="G4748">
        <v>11612</v>
      </c>
      <c r="H4748">
        <v>551</v>
      </c>
      <c r="J4748" t="str">
        <f>VLOOKUP(Table3[[#This Row],[Faction ID]],Table4[],2)</f>
        <v>Blacklock-Stonefoot League</v>
      </c>
    </row>
    <row r="4749" spans="1:10" x14ac:dyDescent="0.25">
      <c r="A4749">
        <v>123</v>
      </c>
      <c r="B4749" t="s">
        <v>28</v>
      </c>
      <c r="C4749">
        <v>5</v>
      </c>
      <c r="D4749">
        <v>2</v>
      </c>
      <c r="E4749">
        <v>17</v>
      </c>
      <c r="F4749">
        <v>15147</v>
      </c>
      <c r="G4749">
        <v>5212</v>
      </c>
      <c r="H4749">
        <v>0</v>
      </c>
      <c r="J4749" t="str">
        <f>VLOOKUP(Table3[[#This Row],[Faction ID]],Table4[],2)</f>
        <v>Ironfist-Stiffbeard Union</v>
      </c>
    </row>
    <row r="4750" spans="1:10" x14ac:dyDescent="0.25">
      <c r="A4750">
        <v>123</v>
      </c>
      <c r="B4750" t="s">
        <v>20</v>
      </c>
      <c r="C4750">
        <v>245</v>
      </c>
      <c r="D4750">
        <v>0</v>
      </c>
      <c r="E4750">
        <v>0</v>
      </c>
      <c r="F4750">
        <v>9750</v>
      </c>
      <c r="G4750">
        <v>2500</v>
      </c>
      <c r="H4750">
        <v>0</v>
      </c>
      <c r="J4750" t="str">
        <f>VLOOKUP(Table3[[#This Row],[Faction ID]],Table4[],2)</f>
        <v>Gundabad</v>
      </c>
    </row>
    <row r="4751" spans="1:10" x14ac:dyDescent="0.25">
      <c r="A4751">
        <v>123</v>
      </c>
      <c r="B4751" t="s">
        <v>34</v>
      </c>
      <c r="C4751">
        <v>0</v>
      </c>
      <c r="D4751">
        <v>0</v>
      </c>
      <c r="E4751">
        <v>3</v>
      </c>
      <c r="F4751">
        <v>141337</v>
      </c>
      <c r="G4751">
        <v>2354</v>
      </c>
      <c r="H4751">
        <v>0</v>
      </c>
      <c r="J4751" t="str">
        <f>VLOOKUP(Table3[[#This Row],[Faction ID]],Table4[],2)</f>
        <v>Scouts of Rohan</v>
      </c>
    </row>
    <row r="4752" spans="1:10" x14ac:dyDescent="0.25">
      <c r="A4752">
        <v>123</v>
      </c>
      <c r="B4752" t="s">
        <v>33</v>
      </c>
      <c r="C4752">
        <v>6</v>
      </c>
      <c r="D4752">
        <v>4</v>
      </c>
      <c r="E4752">
        <v>108</v>
      </c>
      <c r="F4752">
        <v>146151</v>
      </c>
      <c r="G4752">
        <v>23773</v>
      </c>
      <c r="H4752">
        <v>1020</v>
      </c>
      <c r="J4752" t="str">
        <f>VLOOKUP(Table3[[#This Row],[Faction ID]],Table4[],2)</f>
        <v>Northern Enedwaith</v>
      </c>
    </row>
    <row r="4753" spans="1:10" x14ac:dyDescent="0.25">
      <c r="A4753">
        <v>123</v>
      </c>
      <c r="B4753" t="s">
        <v>29</v>
      </c>
      <c r="C4753">
        <v>0</v>
      </c>
      <c r="D4753">
        <v>0</v>
      </c>
      <c r="E4753">
        <v>0</v>
      </c>
      <c r="F4753">
        <v>54023</v>
      </c>
      <c r="G4753">
        <v>1750</v>
      </c>
      <c r="H4753">
        <v>0</v>
      </c>
      <c r="J4753" t="str">
        <f>VLOOKUP(Table3[[#This Row],[Faction ID]],Table4[],2)</f>
        <v>Southern Enedwaith</v>
      </c>
    </row>
    <row r="4754" spans="1:10" x14ac:dyDescent="0.25">
      <c r="A4754">
        <v>123</v>
      </c>
      <c r="B4754" t="s">
        <v>30</v>
      </c>
      <c r="C4754">
        <v>0</v>
      </c>
      <c r="D4754">
        <v>0</v>
      </c>
      <c r="E4754">
        <v>0</v>
      </c>
      <c r="F4754">
        <v>32146</v>
      </c>
      <c r="G4754">
        <v>1750</v>
      </c>
      <c r="H4754">
        <v>0</v>
      </c>
      <c r="J4754" t="str">
        <f>VLOOKUP(Table3[[#This Row],[Faction ID]],Table4[],2)</f>
        <v>Druedain</v>
      </c>
    </row>
    <row r="4755" spans="1:10" x14ac:dyDescent="0.25">
      <c r="A4755">
        <v>123</v>
      </c>
      <c r="B4755" t="s">
        <v>31</v>
      </c>
      <c r="C4755">
        <v>0</v>
      </c>
      <c r="D4755">
        <v>0</v>
      </c>
      <c r="E4755">
        <v>0</v>
      </c>
      <c r="F4755">
        <v>15146</v>
      </c>
      <c r="G4755">
        <v>1750</v>
      </c>
      <c r="H4755">
        <v>0</v>
      </c>
      <c r="J4755" t="str">
        <f>VLOOKUP(Table3[[#This Row],[Faction ID]],Table4[],2)</f>
        <v>Harondor</v>
      </c>
    </row>
    <row r="4756" spans="1:10" x14ac:dyDescent="0.25">
      <c r="A4756">
        <v>123</v>
      </c>
      <c r="B4756" t="s">
        <v>35</v>
      </c>
      <c r="C4756">
        <v>0</v>
      </c>
      <c r="D4756">
        <v>0</v>
      </c>
      <c r="E4756">
        <v>0</v>
      </c>
      <c r="F4756">
        <v>4000</v>
      </c>
      <c r="G4756">
        <v>1750</v>
      </c>
      <c r="H4756">
        <v>0</v>
      </c>
      <c r="J4756" t="str">
        <f>VLOOKUP(Table3[[#This Row],[Faction ID]],Table4[],2)</f>
        <v>Southron Nomads</v>
      </c>
    </row>
    <row r="4757" spans="1:10" x14ac:dyDescent="0.25">
      <c r="A4757">
        <v>123</v>
      </c>
      <c r="B4757" t="s">
        <v>36</v>
      </c>
      <c r="C4757">
        <v>0</v>
      </c>
      <c r="D4757">
        <v>0</v>
      </c>
      <c r="E4757">
        <v>0</v>
      </c>
      <c r="F4757">
        <v>4000</v>
      </c>
      <c r="G4757">
        <v>1750</v>
      </c>
      <c r="H4757">
        <v>0</v>
      </c>
      <c r="J4757" t="str">
        <f>VLOOKUP(Table3[[#This Row],[Faction ID]],Table4[],2)</f>
        <v>_</v>
      </c>
    </row>
    <row r="4758" spans="1:10" x14ac:dyDescent="0.25">
      <c r="A4758">
        <v>123</v>
      </c>
      <c r="B4758" t="s">
        <v>37</v>
      </c>
      <c r="C4758">
        <v>0</v>
      </c>
      <c r="D4758">
        <v>0</v>
      </c>
      <c r="E4758">
        <v>0</v>
      </c>
      <c r="F4758">
        <v>4000</v>
      </c>
      <c r="G4758">
        <v>1750</v>
      </c>
      <c r="H4758">
        <v>0</v>
      </c>
      <c r="J4758" t="str">
        <f>VLOOKUP(Table3[[#This Row],[Faction ID]],Table4[],2)</f>
        <v>_</v>
      </c>
    </row>
    <row r="4759" spans="1:10" x14ac:dyDescent="0.25">
      <c r="A4759">
        <v>123</v>
      </c>
      <c r="B4759" t="s">
        <v>38</v>
      </c>
      <c r="C4759">
        <v>0</v>
      </c>
      <c r="D4759">
        <v>0</v>
      </c>
      <c r="E4759">
        <v>0</v>
      </c>
      <c r="F4759">
        <v>4000</v>
      </c>
      <c r="G4759">
        <v>1750</v>
      </c>
      <c r="H4759">
        <v>0</v>
      </c>
      <c r="J4759" t="str">
        <f>VLOOKUP(Table3[[#This Row],[Faction ID]],Table4[],2)</f>
        <v>_</v>
      </c>
    </row>
    <row r="4760" spans="1:10" x14ac:dyDescent="0.25">
      <c r="A4760">
        <v>123</v>
      </c>
      <c r="B4760" t="s">
        <v>39</v>
      </c>
      <c r="C4760">
        <v>0</v>
      </c>
      <c r="D4760">
        <v>0</v>
      </c>
      <c r="E4760">
        <v>0</v>
      </c>
      <c r="F4760">
        <v>4000</v>
      </c>
      <c r="G4760">
        <v>1750</v>
      </c>
      <c r="H4760">
        <v>0</v>
      </c>
      <c r="J4760" t="str">
        <f>VLOOKUP(Table3[[#This Row],[Faction ID]],Table4[],2)</f>
        <v>_</v>
      </c>
    </row>
    <row r="4761" spans="1:10" x14ac:dyDescent="0.25">
      <c r="A4761">
        <v>123</v>
      </c>
      <c r="B4761" t="s">
        <v>40</v>
      </c>
      <c r="C4761">
        <v>0</v>
      </c>
      <c r="D4761">
        <v>0</v>
      </c>
      <c r="E4761">
        <v>0</v>
      </c>
      <c r="F4761">
        <v>4000</v>
      </c>
      <c r="G4761">
        <v>1750</v>
      </c>
      <c r="H4761">
        <v>0</v>
      </c>
      <c r="J4761" t="str">
        <f>VLOOKUP(Table3[[#This Row],[Faction ID]],Table4[],2)</f>
        <v>_</v>
      </c>
    </row>
    <row r="4762" spans="1:10" x14ac:dyDescent="0.25">
      <c r="A4762">
        <v>123</v>
      </c>
      <c r="B4762" t="s">
        <v>41</v>
      </c>
      <c r="C4762">
        <v>0</v>
      </c>
      <c r="D4762">
        <v>0</v>
      </c>
      <c r="E4762">
        <v>0</v>
      </c>
      <c r="F4762">
        <v>4000</v>
      </c>
      <c r="G4762">
        <v>1750</v>
      </c>
      <c r="H4762">
        <v>0</v>
      </c>
      <c r="J4762" t="str">
        <f>VLOOKUP(Table3[[#This Row],[Faction ID]],Table4[],2)</f>
        <v>_</v>
      </c>
    </row>
    <row r="4763" spans="1:10" x14ac:dyDescent="0.25">
      <c r="A4763">
        <v>123</v>
      </c>
      <c r="B4763" t="s">
        <v>42</v>
      </c>
      <c r="C4763">
        <v>0</v>
      </c>
      <c r="D4763">
        <v>0</v>
      </c>
      <c r="E4763">
        <v>0</v>
      </c>
      <c r="F4763">
        <v>4000</v>
      </c>
      <c r="G4763">
        <v>1750</v>
      </c>
      <c r="H4763">
        <v>0</v>
      </c>
      <c r="J4763" t="str">
        <f>VLOOKUP(Table3[[#This Row],[Faction ID]],Table4[],2)</f>
        <v>_</v>
      </c>
    </row>
    <row r="4764" spans="1:10" x14ac:dyDescent="0.25">
      <c r="A4764">
        <v>123</v>
      </c>
      <c r="B4764" t="s">
        <v>43</v>
      </c>
      <c r="C4764">
        <v>0</v>
      </c>
      <c r="D4764">
        <v>0</v>
      </c>
      <c r="E4764">
        <v>0</v>
      </c>
      <c r="F4764">
        <v>4000</v>
      </c>
      <c r="G4764">
        <v>1750</v>
      </c>
      <c r="H4764">
        <v>0</v>
      </c>
      <c r="J4764" t="str">
        <f>VLOOKUP(Table3[[#This Row],[Faction ID]],Table4[],2)</f>
        <v>_</v>
      </c>
    </row>
    <row r="4765" spans="1:10" x14ac:dyDescent="0.25">
      <c r="A4765">
        <v>123</v>
      </c>
      <c r="B4765" t="s">
        <v>44</v>
      </c>
      <c r="C4765">
        <v>0</v>
      </c>
      <c r="D4765">
        <v>0</v>
      </c>
      <c r="E4765">
        <v>0</v>
      </c>
      <c r="F4765">
        <v>4000</v>
      </c>
      <c r="G4765">
        <v>1750</v>
      </c>
      <c r="H4765">
        <v>0</v>
      </c>
      <c r="J4765" t="str">
        <f>VLOOKUP(Table3[[#This Row],[Faction ID]],Table4[],2)</f>
        <v>_</v>
      </c>
    </row>
    <row r="4766" spans="1:10" x14ac:dyDescent="0.25">
      <c r="A4766">
        <v>124</v>
      </c>
      <c r="B4766" t="s">
        <v>9</v>
      </c>
      <c r="C4766">
        <v>623</v>
      </c>
      <c r="D4766">
        <v>37</v>
      </c>
      <c r="E4766">
        <v>492.8</v>
      </c>
      <c r="F4766">
        <v>165</v>
      </c>
      <c r="G4766">
        <v>69324</v>
      </c>
      <c r="H4766">
        <v>4097</v>
      </c>
      <c r="J4766" t="str">
        <f>VLOOKUP(Table3[[#This Row],[Faction ID]],Table4[],2)</f>
        <v>Mordor</v>
      </c>
    </row>
    <row r="4767" spans="1:10" x14ac:dyDescent="0.25">
      <c r="A4767">
        <v>124</v>
      </c>
      <c r="B4767" t="s">
        <v>4</v>
      </c>
      <c r="C4767">
        <v>146</v>
      </c>
      <c r="D4767">
        <v>0</v>
      </c>
      <c r="E4767">
        <v>0</v>
      </c>
      <c r="F4767">
        <v>55420</v>
      </c>
      <c r="G4767">
        <v>2500</v>
      </c>
      <c r="H4767">
        <v>0</v>
      </c>
      <c r="J4767" t="str">
        <f>VLOOKUP(Table3[[#This Row],[Faction ID]],Table4[],2)</f>
        <v>Gondor</v>
      </c>
    </row>
    <row r="4768" spans="1:10" x14ac:dyDescent="0.25">
      <c r="A4768">
        <v>124</v>
      </c>
      <c r="B4768" t="s">
        <v>6</v>
      </c>
      <c r="C4768">
        <v>199</v>
      </c>
      <c r="D4768">
        <v>0</v>
      </c>
      <c r="E4768">
        <v>0</v>
      </c>
      <c r="F4768">
        <v>10343</v>
      </c>
      <c r="G4768">
        <v>2500</v>
      </c>
      <c r="H4768">
        <v>0</v>
      </c>
      <c r="J4768" t="str">
        <f>VLOOKUP(Table3[[#This Row],[Faction ID]],Table4[],2)</f>
        <v>Dale</v>
      </c>
    </row>
    <row r="4769" spans="1:10" x14ac:dyDescent="0.25">
      <c r="A4769">
        <v>124</v>
      </c>
      <c r="B4769" t="s">
        <v>21</v>
      </c>
      <c r="C4769">
        <v>200</v>
      </c>
      <c r="D4769">
        <v>0</v>
      </c>
      <c r="E4769">
        <v>0</v>
      </c>
      <c r="F4769">
        <v>10040</v>
      </c>
      <c r="G4769">
        <v>2500</v>
      </c>
      <c r="H4769">
        <v>0</v>
      </c>
      <c r="J4769" t="str">
        <f>VLOOKUP(Table3[[#This Row],[Faction ID]],Table4[],2)</f>
        <v>Erebor</v>
      </c>
    </row>
    <row r="4770" spans="1:10" x14ac:dyDescent="0.25">
      <c r="A4770">
        <v>124</v>
      </c>
      <c r="B4770" t="s">
        <v>5</v>
      </c>
      <c r="C4770">
        <v>157</v>
      </c>
      <c r="D4770">
        <v>0</v>
      </c>
      <c r="E4770">
        <v>0</v>
      </c>
      <c r="F4770">
        <v>6638</v>
      </c>
      <c r="G4770">
        <v>2500</v>
      </c>
      <c r="H4770">
        <v>0</v>
      </c>
      <c r="J4770" t="str">
        <f>VLOOKUP(Table3[[#This Row],[Faction ID]],Table4[],2)</f>
        <v>Rohan</v>
      </c>
    </row>
    <row r="4771" spans="1:10" x14ac:dyDescent="0.25">
      <c r="A4771">
        <v>124</v>
      </c>
      <c r="B4771" t="s">
        <v>12</v>
      </c>
      <c r="C4771">
        <v>486</v>
      </c>
      <c r="D4771">
        <v>23</v>
      </c>
      <c r="E4771">
        <v>318.60000000000002</v>
      </c>
      <c r="F4771">
        <v>263345</v>
      </c>
      <c r="G4771">
        <v>50277</v>
      </c>
      <c r="H4771">
        <v>4046</v>
      </c>
      <c r="J4771" t="str">
        <f>VLOOKUP(Table3[[#This Row],[Faction ID]],Table4[],2)</f>
        <v>Dol Guldur</v>
      </c>
    </row>
    <row r="4772" spans="1:10" x14ac:dyDescent="0.25">
      <c r="A4772">
        <v>124</v>
      </c>
      <c r="B4772" t="s">
        <v>10</v>
      </c>
      <c r="C4772">
        <v>58</v>
      </c>
      <c r="D4772">
        <v>0</v>
      </c>
      <c r="E4772">
        <v>0</v>
      </c>
      <c r="F4772">
        <v>4515</v>
      </c>
      <c r="G4772">
        <v>2500</v>
      </c>
      <c r="H4772">
        <v>0</v>
      </c>
      <c r="J4772" t="str">
        <f>VLOOKUP(Table3[[#This Row],[Faction ID]],Table4[],2)</f>
        <v>Anduin Vale</v>
      </c>
    </row>
    <row r="4773" spans="1:10" x14ac:dyDescent="0.25">
      <c r="A4773">
        <v>124</v>
      </c>
      <c r="B4773" t="s">
        <v>32</v>
      </c>
      <c r="C4773">
        <v>318</v>
      </c>
      <c r="D4773">
        <v>6</v>
      </c>
      <c r="E4773">
        <v>184</v>
      </c>
      <c r="F4773">
        <v>30761</v>
      </c>
      <c r="G4773">
        <v>29140</v>
      </c>
      <c r="H4773">
        <v>1269</v>
      </c>
      <c r="J4773" t="str">
        <f>VLOOKUP(Table3[[#This Row],[Faction ID]],Table4[],2)</f>
        <v>Isengard</v>
      </c>
    </row>
    <row r="4774" spans="1:10" x14ac:dyDescent="0.25">
      <c r="A4774">
        <v>124</v>
      </c>
      <c r="B4774" t="s">
        <v>22</v>
      </c>
      <c r="C4774">
        <v>30</v>
      </c>
      <c r="D4774">
        <v>0</v>
      </c>
      <c r="E4774">
        <v>0</v>
      </c>
      <c r="F4774">
        <v>8475</v>
      </c>
      <c r="G4774">
        <v>2500</v>
      </c>
      <c r="H4774">
        <v>0</v>
      </c>
      <c r="J4774" t="str">
        <f>VLOOKUP(Table3[[#This Row],[Faction ID]],Table4[],2)</f>
        <v>Woodland Realm</v>
      </c>
    </row>
    <row r="4775" spans="1:10" x14ac:dyDescent="0.25">
      <c r="A4775">
        <v>124</v>
      </c>
      <c r="B4775" t="s">
        <v>23</v>
      </c>
      <c r="C4775">
        <v>64</v>
      </c>
      <c r="D4775">
        <v>0</v>
      </c>
      <c r="E4775">
        <v>0</v>
      </c>
      <c r="F4775">
        <v>4721</v>
      </c>
      <c r="G4775">
        <v>2500</v>
      </c>
      <c r="H4775">
        <v>0</v>
      </c>
      <c r="J4775" t="str">
        <f>VLOOKUP(Table3[[#This Row],[Faction ID]],Table4[],2)</f>
        <v>Lothlorien</v>
      </c>
    </row>
    <row r="4776" spans="1:10" x14ac:dyDescent="0.25">
      <c r="A4776">
        <v>124</v>
      </c>
      <c r="B4776" t="s">
        <v>24</v>
      </c>
      <c r="C4776">
        <v>0</v>
      </c>
      <c r="D4776">
        <v>0</v>
      </c>
      <c r="E4776">
        <v>0</v>
      </c>
      <c r="F4776">
        <v>4919</v>
      </c>
      <c r="G4776">
        <v>1750</v>
      </c>
      <c r="H4776">
        <v>0</v>
      </c>
      <c r="J4776" t="str">
        <f>VLOOKUP(Table3[[#This Row],[Faction ID]],Table4[],2)</f>
        <v>Variags (Khand)</v>
      </c>
    </row>
    <row r="4777" spans="1:10" x14ac:dyDescent="0.25">
      <c r="A4777">
        <v>124</v>
      </c>
      <c r="B4777" t="s">
        <v>14</v>
      </c>
      <c r="C4777">
        <v>20</v>
      </c>
      <c r="D4777">
        <v>14</v>
      </c>
      <c r="E4777">
        <v>260.8</v>
      </c>
      <c r="F4777">
        <v>254379</v>
      </c>
      <c r="G4777">
        <v>57539</v>
      </c>
      <c r="H4777">
        <v>4799</v>
      </c>
      <c r="J4777" t="str">
        <f>VLOOKUP(Table3[[#This Row],[Faction ID]],Table4[],2)</f>
        <v>Corsairs of Umbar</v>
      </c>
    </row>
    <row r="4778" spans="1:10" x14ac:dyDescent="0.25">
      <c r="A4778">
        <v>124</v>
      </c>
      <c r="B4778" t="s">
        <v>25</v>
      </c>
      <c r="C4778">
        <v>0</v>
      </c>
      <c r="D4778">
        <v>0</v>
      </c>
      <c r="E4778">
        <v>0</v>
      </c>
      <c r="F4778">
        <v>9228</v>
      </c>
      <c r="G4778">
        <v>1750</v>
      </c>
      <c r="H4778">
        <v>0</v>
      </c>
      <c r="J4778" t="str">
        <f>VLOOKUP(Table3[[#This Row],[Faction ID]],Table4[],2)</f>
        <v>Mahud</v>
      </c>
    </row>
    <row r="4779" spans="1:10" x14ac:dyDescent="0.25">
      <c r="A4779">
        <v>124</v>
      </c>
      <c r="B4779" t="s">
        <v>11</v>
      </c>
      <c r="C4779">
        <v>320</v>
      </c>
      <c r="D4779">
        <v>14</v>
      </c>
      <c r="E4779">
        <v>208.39999999999901</v>
      </c>
      <c r="F4779">
        <v>55665</v>
      </c>
      <c r="G4779">
        <v>35619</v>
      </c>
      <c r="H4779">
        <v>2569</v>
      </c>
      <c r="J4779" t="str">
        <f>VLOOKUP(Table3[[#This Row],[Faction ID]],Table4[],2)</f>
        <v>Haradrim</v>
      </c>
    </row>
    <row r="4780" spans="1:10" x14ac:dyDescent="0.25">
      <c r="A4780">
        <v>124</v>
      </c>
      <c r="B4780" t="s">
        <v>15</v>
      </c>
      <c r="C4780">
        <v>306</v>
      </c>
      <c r="D4780">
        <v>11</v>
      </c>
      <c r="E4780">
        <v>221</v>
      </c>
      <c r="F4780">
        <v>208092</v>
      </c>
      <c r="G4780">
        <v>40435</v>
      </c>
      <c r="H4780">
        <v>681</v>
      </c>
      <c r="J4780" t="str">
        <f>VLOOKUP(Table3[[#This Row],[Faction ID]],Table4[],2)</f>
        <v>Dunlendings</v>
      </c>
    </row>
    <row r="4781" spans="1:10" x14ac:dyDescent="0.25">
      <c r="A4781">
        <v>124</v>
      </c>
      <c r="B4781" t="s">
        <v>16</v>
      </c>
      <c r="C4781">
        <v>0</v>
      </c>
      <c r="D4781">
        <v>0</v>
      </c>
      <c r="E4781">
        <v>0</v>
      </c>
      <c r="F4781">
        <v>5352</v>
      </c>
      <c r="G4781">
        <v>1750</v>
      </c>
      <c r="H4781">
        <v>0</v>
      </c>
      <c r="J4781" t="str">
        <f>VLOOKUP(Table3[[#This Row],[Faction ID]],Table4[],2)</f>
        <v>Haerrim</v>
      </c>
    </row>
    <row r="4782" spans="1:10" x14ac:dyDescent="0.25">
      <c r="A4782">
        <v>124</v>
      </c>
      <c r="B4782" t="s">
        <v>13</v>
      </c>
      <c r="C4782">
        <v>630</v>
      </c>
      <c r="D4782">
        <v>17</v>
      </c>
      <c r="E4782">
        <v>431.5</v>
      </c>
      <c r="F4782">
        <v>217343</v>
      </c>
      <c r="G4782">
        <v>58671</v>
      </c>
      <c r="H4782">
        <v>1</v>
      </c>
      <c r="J4782" t="str">
        <f>VLOOKUP(Table3[[#This Row],[Faction ID]],Table4[],2)</f>
        <v>Goblins</v>
      </c>
    </row>
    <row r="4783" spans="1:10" x14ac:dyDescent="0.25">
      <c r="A4783">
        <v>124</v>
      </c>
      <c r="B4783" t="s">
        <v>17</v>
      </c>
      <c r="C4783">
        <v>0</v>
      </c>
      <c r="D4783">
        <v>0</v>
      </c>
      <c r="E4783">
        <v>0</v>
      </c>
      <c r="F4783">
        <v>4872</v>
      </c>
      <c r="G4783">
        <v>1750</v>
      </c>
      <c r="H4783">
        <v>0</v>
      </c>
      <c r="J4783" t="str">
        <f>VLOOKUP(Table3[[#This Row],[Faction ID]],Table4[],2)</f>
        <v>Balchoth</v>
      </c>
    </row>
    <row r="4784" spans="1:10" x14ac:dyDescent="0.25">
      <c r="A4784">
        <v>124</v>
      </c>
      <c r="B4784" t="s">
        <v>18</v>
      </c>
      <c r="C4784">
        <v>610</v>
      </c>
      <c r="D4784">
        <v>25</v>
      </c>
      <c r="E4784">
        <v>396.29999999999899</v>
      </c>
      <c r="F4784">
        <v>71118</v>
      </c>
      <c r="G4784">
        <v>51083</v>
      </c>
      <c r="H4784">
        <v>3567</v>
      </c>
      <c r="J4784" t="str">
        <f>VLOOKUP(Table3[[#This Row],[Faction ID]],Table4[],2)</f>
        <v>Rhurim/Rhun</v>
      </c>
    </row>
    <row r="4785" spans="1:10" x14ac:dyDescent="0.25">
      <c r="A4785">
        <v>124</v>
      </c>
      <c r="B4785" t="s">
        <v>19</v>
      </c>
      <c r="C4785">
        <v>0</v>
      </c>
      <c r="D4785">
        <v>0</v>
      </c>
      <c r="E4785">
        <v>0</v>
      </c>
      <c r="F4785">
        <v>7360</v>
      </c>
      <c r="G4785">
        <v>1750</v>
      </c>
      <c r="H4785">
        <v>0</v>
      </c>
      <c r="J4785" t="str">
        <f>VLOOKUP(Table3[[#This Row],[Faction ID]],Table4[],2)</f>
        <v>Feredrim</v>
      </c>
    </row>
    <row r="4786" spans="1:10" x14ac:dyDescent="0.25">
      <c r="A4786">
        <v>124</v>
      </c>
      <c r="B4786" t="s">
        <v>26</v>
      </c>
      <c r="C4786">
        <v>0</v>
      </c>
      <c r="D4786">
        <v>0</v>
      </c>
      <c r="E4786">
        <v>0</v>
      </c>
      <c r="F4786">
        <v>6395</v>
      </c>
      <c r="G4786">
        <v>1750</v>
      </c>
      <c r="H4786">
        <v>0</v>
      </c>
      <c r="J4786" t="str">
        <f>VLOOKUP(Table3[[#This Row],[Faction ID]],Table4[],2)</f>
        <v>Rachrohir (Wainriders)</v>
      </c>
    </row>
    <row r="4787" spans="1:10" x14ac:dyDescent="0.25">
      <c r="A4787">
        <v>124</v>
      </c>
      <c r="B4787" t="s">
        <v>27</v>
      </c>
      <c r="C4787">
        <v>5</v>
      </c>
      <c r="D4787">
        <v>3</v>
      </c>
      <c r="E4787">
        <v>52.2</v>
      </c>
      <c r="F4787">
        <v>11384</v>
      </c>
      <c r="G4787">
        <v>12147</v>
      </c>
      <c r="H4787">
        <v>553</v>
      </c>
      <c r="J4787" t="str">
        <f>VLOOKUP(Table3[[#This Row],[Faction ID]],Table4[],2)</f>
        <v>Blacklock-Stonefoot League</v>
      </c>
    </row>
    <row r="4788" spans="1:10" x14ac:dyDescent="0.25">
      <c r="A4788">
        <v>124</v>
      </c>
      <c r="B4788" t="s">
        <v>28</v>
      </c>
      <c r="C4788">
        <v>5</v>
      </c>
      <c r="D4788">
        <v>2</v>
      </c>
      <c r="E4788">
        <v>16</v>
      </c>
      <c r="F4788">
        <v>16622</v>
      </c>
      <c r="G4788">
        <v>5000</v>
      </c>
      <c r="H4788">
        <v>0</v>
      </c>
      <c r="J4788" t="str">
        <f>VLOOKUP(Table3[[#This Row],[Faction ID]],Table4[],2)</f>
        <v>Ironfist-Stiffbeard Union</v>
      </c>
    </row>
    <row r="4789" spans="1:10" x14ac:dyDescent="0.25">
      <c r="A4789">
        <v>124</v>
      </c>
      <c r="B4789" t="s">
        <v>20</v>
      </c>
      <c r="C4789">
        <v>245</v>
      </c>
      <c r="D4789">
        <v>0</v>
      </c>
      <c r="E4789">
        <v>0</v>
      </c>
      <c r="F4789">
        <v>9750</v>
      </c>
      <c r="G4789">
        <v>2500</v>
      </c>
      <c r="H4789">
        <v>0</v>
      </c>
      <c r="J4789" t="str">
        <f>VLOOKUP(Table3[[#This Row],[Faction ID]],Table4[],2)</f>
        <v>Gundabad</v>
      </c>
    </row>
    <row r="4790" spans="1:10" x14ac:dyDescent="0.25">
      <c r="A4790">
        <v>124</v>
      </c>
      <c r="B4790" t="s">
        <v>34</v>
      </c>
      <c r="C4790">
        <v>0</v>
      </c>
      <c r="D4790">
        <v>0</v>
      </c>
      <c r="E4790">
        <v>3</v>
      </c>
      <c r="F4790">
        <v>142483</v>
      </c>
      <c r="G4790">
        <v>2354</v>
      </c>
      <c r="H4790">
        <v>0</v>
      </c>
      <c r="J4790" t="str">
        <f>VLOOKUP(Table3[[#This Row],[Faction ID]],Table4[],2)</f>
        <v>Scouts of Rohan</v>
      </c>
    </row>
    <row r="4791" spans="1:10" x14ac:dyDescent="0.25">
      <c r="A4791">
        <v>124</v>
      </c>
      <c r="B4791" t="s">
        <v>33</v>
      </c>
      <c r="C4791">
        <v>6</v>
      </c>
      <c r="D4791">
        <v>4</v>
      </c>
      <c r="E4791">
        <v>110.6</v>
      </c>
      <c r="F4791">
        <v>136626</v>
      </c>
      <c r="G4791">
        <v>25405</v>
      </c>
      <c r="H4791">
        <v>1019</v>
      </c>
      <c r="J4791" t="str">
        <f>VLOOKUP(Table3[[#This Row],[Faction ID]],Table4[],2)</f>
        <v>Northern Enedwaith</v>
      </c>
    </row>
    <row r="4792" spans="1:10" x14ac:dyDescent="0.25">
      <c r="A4792">
        <v>124</v>
      </c>
      <c r="B4792" t="s">
        <v>29</v>
      </c>
      <c r="C4792">
        <v>0</v>
      </c>
      <c r="D4792">
        <v>0</v>
      </c>
      <c r="E4792">
        <v>0</v>
      </c>
      <c r="F4792">
        <v>54023</v>
      </c>
      <c r="G4792">
        <v>1750</v>
      </c>
      <c r="H4792">
        <v>0</v>
      </c>
      <c r="J4792" t="str">
        <f>VLOOKUP(Table3[[#This Row],[Faction ID]],Table4[],2)</f>
        <v>Southern Enedwaith</v>
      </c>
    </row>
    <row r="4793" spans="1:10" x14ac:dyDescent="0.25">
      <c r="A4793">
        <v>124</v>
      </c>
      <c r="B4793" t="s">
        <v>30</v>
      </c>
      <c r="C4793">
        <v>0</v>
      </c>
      <c r="D4793">
        <v>0</v>
      </c>
      <c r="E4793">
        <v>0</v>
      </c>
      <c r="F4793">
        <v>32146</v>
      </c>
      <c r="G4793">
        <v>1750</v>
      </c>
      <c r="H4793">
        <v>0</v>
      </c>
      <c r="J4793" t="str">
        <f>VLOOKUP(Table3[[#This Row],[Faction ID]],Table4[],2)</f>
        <v>Druedain</v>
      </c>
    </row>
    <row r="4794" spans="1:10" x14ac:dyDescent="0.25">
      <c r="A4794">
        <v>124</v>
      </c>
      <c r="B4794" t="s">
        <v>31</v>
      </c>
      <c r="C4794">
        <v>0</v>
      </c>
      <c r="D4794">
        <v>0</v>
      </c>
      <c r="E4794">
        <v>0</v>
      </c>
      <c r="F4794">
        <v>15146</v>
      </c>
      <c r="G4794">
        <v>1750</v>
      </c>
      <c r="H4794">
        <v>0</v>
      </c>
      <c r="J4794" t="str">
        <f>VLOOKUP(Table3[[#This Row],[Faction ID]],Table4[],2)</f>
        <v>Harondor</v>
      </c>
    </row>
    <row r="4795" spans="1:10" x14ac:dyDescent="0.25">
      <c r="A4795">
        <v>124</v>
      </c>
      <c r="B4795" t="s">
        <v>35</v>
      </c>
      <c r="C4795">
        <v>0</v>
      </c>
      <c r="D4795">
        <v>0</v>
      </c>
      <c r="E4795">
        <v>0</v>
      </c>
      <c r="F4795">
        <v>4000</v>
      </c>
      <c r="G4795">
        <v>1750</v>
      </c>
      <c r="H4795">
        <v>0</v>
      </c>
      <c r="J4795" t="str">
        <f>VLOOKUP(Table3[[#This Row],[Faction ID]],Table4[],2)</f>
        <v>Southron Nomads</v>
      </c>
    </row>
    <row r="4796" spans="1:10" x14ac:dyDescent="0.25">
      <c r="A4796">
        <v>124</v>
      </c>
      <c r="B4796" t="s">
        <v>36</v>
      </c>
      <c r="C4796">
        <v>0</v>
      </c>
      <c r="D4796">
        <v>0</v>
      </c>
      <c r="E4796">
        <v>0</v>
      </c>
      <c r="F4796">
        <v>4000</v>
      </c>
      <c r="G4796">
        <v>1750</v>
      </c>
      <c r="H4796">
        <v>0</v>
      </c>
      <c r="J4796" t="str">
        <f>VLOOKUP(Table3[[#This Row],[Faction ID]],Table4[],2)</f>
        <v>_</v>
      </c>
    </row>
    <row r="4797" spans="1:10" x14ac:dyDescent="0.25">
      <c r="A4797">
        <v>124</v>
      </c>
      <c r="B4797" t="s">
        <v>37</v>
      </c>
      <c r="C4797">
        <v>0</v>
      </c>
      <c r="D4797">
        <v>0</v>
      </c>
      <c r="E4797">
        <v>0</v>
      </c>
      <c r="F4797">
        <v>4000</v>
      </c>
      <c r="G4797">
        <v>1750</v>
      </c>
      <c r="H4797">
        <v>0</v>
      </c>
      <c r="J4797" t="str">
        <f>VLOOKUP(Table3[[#This Row],[Faction ID]],Table4[],2)</f>
        <v>_</v>
      </c>
    </row>
    <row r="4798" spans="1:10" x14ac:dyDescent="0.25">
      <c r="A4798">
        <v>124</v>
      </c>
      <c r="B4798" t="s">
        <v>38</v>
      </c>
      <c r="C4798">
        <v>0</v>
      </c>
      <c r="D4798">
        <v>0</v>
      </c>
      <c r="E4798">
        <v>0</v>
      </c>
      <c r="F4798">
        <v>4000</v>
      </c>
      <c r="G4798">
        <v>1750</v>
      </c>
      <c r="H4798">
        <v>0</v>
      </c>
      <c r="J4798" t="str">
        <f>VLOOKUP(Table3[[#This Row],[Faction ID]],Table4[],2)</f>
        <v>_</v>
      </c>
    </row>
    <row r="4799" spans="1:10" x14ac:dyDescent="0.25">
      <c r="A4799">
        <v>124</v>
      </c>
      <c r="B4799" t="s">
        <v>39</v>
      </c>
      <c r="C4799">
        <v>0</v>
      </c>
      <c r="D4799">
        <v>0</v>
      </c>
      <c r="E4799">
        <v>0</v>
      </c>
      <c r="F4799">
        <v>4000</v>
      </c>
      <c r="G4799">
        <v>1750</v>
      </c>
      <c r="H4799">
        <v>0</v>
      </c>
      <c r="J4799" t="str">
        <f>VLOOKUP(Table3[[#This Row],[Faction ID]],Table4[],2)</f>
        <v>_</v>
      </c>
    </row>
    <row r="4800" spans="1:10" x14ac:dyDescent="0.25">
      <c r="A4800">
        <v>124</v>
      </c>
      <c r="B4800" t="s">
        <v>40</v>
      </c>
      <c r="C4800">
        <v>0</v>
      </c>
      <c r="D4800">
        <v>0</v>
      </c>
      <c r="E4800">
        <v>0</v>
      </c>
      <c r="F4800">
        <v>4000</v>
      </c>
      <c r="G4800">
        <v>1750</v>
      </c>
      <c r="H4800">
        <v>0</v>
      </c>
      <c r="J4800" t="str">
        <f>VLOOKUP(Table3[[#This Row],[Faction ID]],Table4[],2)</f>
        <v>_</v>
      </c>
    </row>
    <row r="4801" spans="1:10" x14ac:dyDescent="0.25">
      <c r="A4801">
        <v>124</v>
      </c>
      <c r="B4801" t="s">
        <v>41</v>
      </c>
      <c r="C4801">
        <v>0</v>
      </c>
      <c r="D4801">
        <v>0</v>
      </c>
      <c r="E4801">
        <v>0</v>
      </c>
      <c r="F4801">
        <v>4000</v>
      </c>
      <c r="G4801">
        <v>1750</v>
      </c>
      <c r="H4801">
        <v>0</v>
      </c>
      <c r="J4801" t="str">
        <f>VLOOKUP(Table3[[#This Row],[Faction ID]],Table4[],2)</f>
        <v>_</v>
      </c>
    </row>
    <row r="4802" spans="1:10" x14ac:dyDescent="0.25">
      <c r="A4802">
        <v>124</v>
      </c>
      <c r="B4802" t="s">
        <v>42</v>
      </c>
      <c r="C4802">
        <v>0</v>
      </c>
      <c r="D4802">
        <v>0</v>
      </c>
      <c r="E4802">
        <v>0</v>
      </c>
      <c r="F4802">
        <v>4000</v>
      </c>
      <c r="G4802">
        <v>1750</v>
      </c>
      <c r="H4802">
        <v>0</v>
      </c>
      <c r="J4802" t="str">
        <f>VLOOKUP(Table3[[#This Row],[Faction ID]],Table4[],2)</f>
        <v>_</v>
      </c>
    </row>
    <row r="4803" spans="1:10" x14ac:dyDescent="0.25">
      <c r="A4803">
        <v>124</v>
      </c>
      <c r="B4803" t="s">
        <v>43</v>
      </c>
      <c r="C4803">
        <v>0</v>
      </c>
      <c r="D4803">
        <v>0</v>
      </c>
      <c r="E4803">
        <v>0</v>
      </c>
      <c r="F4803">
        <v>4000</v>
      </c>
      <c r="G4803">
        <v>1750</v>
      </c>
      <c r="H4803">
        <v>0</v>
      </c>
      <c r="J4803" t="str">
        <f>VLOOKUP(Table3[[#This Row],[Faction ID]],Table4[],2)</f>
        <v>_</v>
      </c>
    </row>
    <row r="4804" spans="1:10" x14ac:dyDescent="0.25">
      <c r="A4804">
        <v>124</v>
      </c>
      <c r="B4804" t="s">
        <v>44</v>
      </c>
      <c r="C4804">
        <v>0</v>
      </c>
      <c r="D4804">
        <v>0</v>
      </c>
      <c r="E4804">
        <v>0</v>
      </c>
      <c r="F4804">
        <v>4000</v>
      </c>
      <c r="G4804">
        <v>1750</v>
      </c>
      <c r="H4804">
        <v>0</v>
      </c>
      <c r="J4804" t="str">
        <f>VLOOKUP(Table3[[#This Row],[Faction ID]],Table4[],2)</f>
        <v>_</v>
      </c>
    </row>
    <row r="4805" spans="1:10" x14ac:dyDescent="0.25">
      <c r="A4805">
        <v>125</v>
      </c>
      <c r="B4805" t="s">
        <v>9</v>
      </c>
      <c r="C4805">
        <v>623</v>
      </c>
      <c r="D4805">
        <v>37</v>
      </c>
      <c r="E4805">
        <v>486.8</v>
      </c>
      <c r="F4805">
        <v>8573</v>
      </c>
      <c r="G4805">
        <v>69032</v>
      </c>
      <c r="H4805">
        <v>3996</v>
      </c>
      <c r="J4805" t="str">
        <f>VLOOKUP(Table3[[#This Row],[Faction ID]],Table4[],2)</f>
        <v>Mordor</v>
      </c>
    </row>
    <row r="4806" spans="1:10" x14ac:dyDescent="0.25">
      <c r="A4806">
        <v>125</v>
      </c>
      <c r="B4806" t="s">
        <v>4</v>
      </c>
      <c r="C4806">
        <v>146</v>
      </c>
      <c r="D4806">
        <v>0</v>
      </c>
      <c r="E4806">
        <v>0</v>
      </c>
      <c r="F4806">
        <v>55420</v>
      </c>
      <c r="G4806">
        <v>2500</v>
      </c>
      <c r="H4806">
        <v>0</v>
      </c>
      <c r="J4806" t="str">
        <f>VLOOKUP(Table3[[#This Row],[Faction ID]],Table4[],2)</f>
        <v>Gondor</v>
      </c>
    </row>
    <row r="4807" spans="1:10" x14ac:dyDescent="0.25">
      <c r="A4807">
        <v>125</v>
      </c>
      <c r="B4807" t="s">
        <v>6</v>
      </c>
      <c r="C4807">
        <v>199</v>
      </c>
      <c r="D4807">
        <v>0</v>
      </c>
      <c r="E4807">
        <v>0</v>
      </c>
      <c r="F4807">
        <v>10343</v>
      </c>
      <c r="G4807">
        <v>2500</v>
      </c>
      <c r="H4807">
        <v>0</v>
      </c>
      <c r="J4807" t="str">
        <f>VLOOKUP(Table3[[#This Row],[Faction ID]],Table4[],2)</f>
        <v>Dale</v>
      </c>
    </row>
    <row r="4808" spans="1:10" x14ac:dyDescent="0.25">
      <c r="A4808">
        <v>125</v>
      </c>
      <c r="B4808" t="s">
        <v>21</v>
      </c>
      <c r="C4808">
        <v>200</v>
      </c>
      <c r="D4808">
        <v>0</v>
      </c>
      <c r="E4808">
        <v>0</v>
      </c>
      <c r="F4808">
        <v>10040</v>
      </c>
      <c r="G4808">
        <v>2500</v>
      </c>
      <c r="H4808">
        <v>0</v>
      </c>
      <c r="J4808" t="str">
        <f>VLOOKUP(Table3[[#This Row],[Faction ID]],Table4[],2)</f>
        <v>Erebor</v>
      </c>
    </row>
    <row r="4809" spans="1:10" x14ac:dyDescent="0.25">
      <c r="A4809">
        <v>125</v>
      </c>
      <c r="B4809" t="s">
        <v>5</v>
      </c>
      <c r="C4809">
        <v>157</v>
      </c>
      <c r="D4809">
        <v>0</v>
      </c>
      <c r="E4809">
        <v>0</v>
      </c>
      <c r="F4809">
        <v>6638</v>
      </c>
      <c r="G4809">
        <v>2500</v>
      </c>
      <c r="H4809">
        <v>0</v>
      </c>
      <c r="J4809" t="str">
        <f>VLOOKUP(Table3[[#This Row],[Faction ID]],Table4[],2)</f>
        <v>Rohan</v>
      </c>
    </row>
    <row r="4810" spans="1:10" x14ac:dyDescent="0.25">
      <c r="A4810">
        <v>125</v>
      </c>
      <c r="B4810" t="s">
        <v>12</v>
      </c>
      <c r="C4810">
        <v>515</v>
      </c>
      <c r="D4810">
        <v>23</v>
      </c>
      <c r="E4810">
        <v>325.10000000000002</v>
      </c>
      <c r="F4810">
        <v>260411</v>
      </c>
      <c r="G4810">
        <v>51556</v>
      </c>
      <c r="H4810">
        <v>4052</v>
      </c>
      <c r="J4810" t="str">
        <f>VLOOKUP(Table3[[#This Row],[Faction ID]],Table4[],2)</f>
        <v>Dol Guldur</v>
      </c>
    </row>
    <row r="4811" spans="1:10" x14ac:dyDescent="0.25">
      <c r="A4811">
        <v>125</v>
      </c>
      <c r="B4811" t="s">
        <v>10</v>
      </c>
      <c r="C4811">
        <v>58</v>
      </c>
      <c r="D4811">
        <v>0</v>
      </c>
      <c r="E4811">
        <v>0</v>
      </c>
      <c r="F4811">
        <v>4515</v>
      </c>
      <c r="G4811">
        <v>2500</v>
      </c>
      <c r="H4811">
        <v>0</v>
      </c>
      <c r="J4811" t="str">
        <f>VLOOKUP(Table3[[#This Row],[Faction ID]],Table4[],2)</f>
        <v>Anduin Vale</v>
      </c>
    </row>
    <row r="4812" spans="1:10" x14ac:dyDescent="0.25">
      <c r="A4812">
        <v>125</v>
      </c>
      <c r="B4812" t="s">
        <v>32</v>
      </c>
      <c r="C4812">
        <v>323</v>
      </c>
      <c r="D4812">
        <v>6</v>
      </c>
      <c r="E4812">
        <v>181.2</v>
      </c>
      <c r="F4812">
        <v>18026</v>
      </c>
      <c r="G4812">
        <v>27360</v>
      </c>
      <c r="H4812">
        <v>1260</v>
      </c>
      <c r="J4812" t="str">
        <f>VLOOKUP(Table3[[#This Row],[Faction ID]],Table4[],2)</f>
        <v>Isengard</v>
      </c>
    </row>
    <row r="4813" spans="1:10" x14ac:dyDescent="0.25">
      <c r="A4813">
        <v>125</v>
      </c>
      <c r="B4813" t="s">
        <v>22</v>
      </c>
      <c r="C4813">
        <v>30</v>
      </c>
      <c r="D4813">
        <v>0</v>
      </c>
      <c r="E4813">
        <v>0</v>
      </c>
      <c r="F4813">
        <v>8475</v>
      </c>
      <c r="G4813">
        <v>2500</v>
      </c>
      <c r="H4813">
        <v>0</v>
      </c>
      <c r="J4813" t="str">
        <f>VLOOKUP(Table3[[#This Row],[Faction ID]],Table4[],2)</f>
        <v>Woodland Realm</v>
      </c>
    </row>
    <row r="4814" spans="1:10" x14ac:dyDescent="0.25">
      <c r="A4814">
        <v>125</v>
      </c>
      <c r="B4814" t="s">
        <v>23</v>
      </c>
      <c r="C4814">
        <v>64</v>
      </c>
      <c r="D4814">
        <v>0</v>
      </c>
      <c r="E4814">
        <v>0</v>
      </c>
      <c r="F4814">
        <v>4721</v>
      </c>
      <c r="G4814">
        <v>2500</v>
      </c>
      <c r="H4814">
        <v>0</v>
      </c>
      <c r="J4814" t="str">
        <f>VLOOKUP(Table3[[#This Row],[Faction ID]],Table4[],2)</f>
        <v>Lothlorien</v>
      </c>
    </row>
    <row r="4815" spans="1:10" x14ac:dyDescent="0.25">
      <c r="A4815">
        <v>125</v>
      </c>
      <c r="B4815" t="s">
        <v>24</v>
      </c>
      <c r="C4815">
        <v>0</v>
      </c>
      <c r="D4815">
        <v>0</v>
      </c>
      <c r="E4815">
        <v>0</v>
      </c>
      <c r="F4815">
        <v>4919</v>
      </c>
      <c r="G4815">
        <v>1750</v>
      </c>
      <c r="H4815">
        <v>0</v>
      </c>
      <c r="J4815" t="str">
        <f>VLOOKUP(Table3[[#This Row],[Faction ID]],Table4[],2)</f>
        <v>Variags (Khand)</v>
      </c>
    </row>
    <row r="4816" spans="1:10" x14ac:dyDescent="0.25">
      <c r="A4816">
        <v>125</v>
      </c>
      <c r="B4816" t="s">
        <v>14</v>
      </c>
      <c r="C4816">
        <v>20</v>
      </c>
      <c r="D4816">
        <v>14</v>
      </c>
      <c r="E4816">
        <v>260.8</v>
      </c>
      <c r="F4816">
        <v>268839</v>
      </c>
      <c r="G4816">
        <v>57898</v>
      </c>
      <c r="H4816">
        <v>4811</v>
      </c>
      <c r="J4816" t="str">
        <f>VLOOKUP(Table3[[#This Row],[Faction ID]],Table4[],2)</f>
        <v>Corsairs of Umbar</v>
      </c>
    </row>
    <row r="4817" spans="1:10" x14ac:dyDescent="0.25">
      <c r="A4817">
        <v>125</v>
      </c>
      <c r="B4817" t="s">
        <v>25</v>
      </c>
      <c r="C4817">
        <v>0</v>
      </c>
      <c r="D4817">
        <v>0</v>
      </c>
      <c r="E4817">
        <v>0</v>
      </c>
      <c r="F4817">
        <v>9228</v>
      </c>
      <c r="G4817">
        <v>1750</v>
      </c>
      <c r="H4817">
        <v>0</v>
      </c>
      <c r="J4817" t="str">
        <f>VLOOKUP(Table3[[#This Row],[Faction ID]],Table4[],2)</f>
        <v>Mahud</v>
      </c>
    </row>
    <row r="4818" spans="1:10" x14ac:dyDescent="0.25">
      <c r="A4818">
        <v>125</v>
      </c>
      <c r="B4818" t="s">
        <v>11</v>
      </c>
      <c r="C4818">
        <v>324</v>
      </c>
      <c r="D4818">
        <v>14</v>
      </c>
      <c r="E4818">
        <v>219</v>
      </c>
      <c r="F4818">
        <v>69271</v>
      </c>
      <c r="G4818">
        <v>37090</v>
      </c>
      <c r="H4818">
        <v>2571</v>
      </c>
      <c r="J4818" t="str">
        <f>VLOOKUP(Table3[[#This Row],[Faction ID]],Table4[],2)</f>
        <v>Haradrim</v>
      </c>
    </row>
    <row r="4819" spans="1:10" x14ac:dyDescent="0.25">
      <c r="A4819">
        <v>125</v>
      </c>
      <c r="B4819" t="s">
        <v>15</v>
      </c>
      <c r="C4819">
        <v>306</v>
      </c>
      <c r="D4819">
        <v>11</v>
      </c>
      <c r="E4819">
        <v>222</v>
      </c>
      <c r="F4819">
        <v>210857</v>
      </c>
      <c r="G4819">
        <v>39680</v>
      </c>
      <c r="H4819">
        <v>671</v>
      </c>
      <c r="J4819" t="str">
        <f>VLOOKUP(Table3[[#This Row],[Faction ID]],Table4[],2)</f>
        <v>Dunlendings</v>
      </c>
    </row>
    <row r="4820" spans="1:10" x14ac:dyDescent="0.25">
      <c r="A4820">
        <v>125</v>
      </c>
      <c r="B4820" t="s">
        <v>16</v>
      </c>
      <c r="C4820">
        <v>0</v>
      </c>
      <c r="D4820">
        <v>0</v>
      </c>
      <c r="E4820">
        <v>0</v>
      </c>
      <c r="F4820">
        <v>5352</v>
      </c>
      <c r="G4820">
        <v>1750</v>
      </c>
      <c r="H4820">
        <v>0</v>
      </c>
      <c r="J4820" t="str">
        <f>VLOOKUP(Table3[[#This Row],[Faction ID]],Table4[],2)</f>
        <v>Haerrim</v>
      </c>
    </row>
    <row r="4821" spans="1:10" x14ac:dyDescent="0.25">
      <c r="A4821">
        <v>125</v>
      </c>
      <c r="B4821" t="s">
        <v>13</v>
      </c>
      <c r="C4821">
        <v>630</v>
      </c>
      <c r="D4821">
        <v>17</v>
      </c>
      <c r="E4821">
        <v>431.5</v>
      </c>
      <c r="F4821">
        <v>208216</v>
      </c>
      <c r="G4821">
        <v>58005</v>
      </c>
      <c r="H4821">
        <v>1</v>
      </c>
      <c r="J4821" t="str">
        <f>VLOOKUP(Table3[[#This Row],[Faction ID]],Table4[],2)</f>
        <v>Goblins</v>
      </c>
    </row>
    <row r="4822" spans="1:10" x14ac:dyDescent="0.25">
      <c r="A4822">
        <v>125</v>
      </c>
      <c r="B4822" t="s">
        <v>17</v>
      </c>
      <c r="C4822">
        <v>0</v>
      </c>
      <c r="D4822">
        <v>0</v>
      </c>
      <c r="E4822">
        <v>0</v>
      </c>
      <c r="F4822">
        <v>4872</v>
      </c>
      <c r="G4822">
        <v>1750</v>
      </c>
      <c r="H4822">
        <v>0</v>
      </c>
      <c r="J4822" t="str">
        <f>VLOOKUP(Table3[[#This Row],[Faction ID]],Table4[],2)</f>
        <v>Balchoth</v>
      </c>
    </row>
    <row r="4823" spans="1:10" x14ac:dyDescent="0.25">
      <c r="A4823">
        <v>125</v>
      </c>
      <c r="B4823" t="s">
        <v>18</v>
      </c>
      <c r="C4823">
        <v>615</v>
      </c>
      <c r="D4823">
        <v>25</v>
      </c>
      <c r="E4823">
        <v>403.5</v>
      </c>
      <c r="F4823">
        <v>81577</v>
      </c>
      <c r="G4823">
        <v>53571</v>
      </c>
      <c r="H4823">
        <v>3696</v>
      </c>
      <c r="J4823" t="str">
        <f>VLOOKUP(Table3[[#This Row],[Faction ID]],Table4[],2)</f>
        <v>Rhurim/Rhun</v>
      </c>
    </row>
    <row r="4824" spans="1:10" x14ac:dyDescent="0.25">
      <c r="A4824">
        <v>125</v>
      </c>
      <c r="B4824" t="s">
        <v>19</v>
      </c>
      <c r="C4824">
        <v>0</v>
      </c>
      <c r="D4824">
        <v>0</v>
      </c>
      <c r="E4824">
        <v>0</v>
      </c>
      <c r="F4824">
        <v>7360</v>
      </c>
      <c r="G4824">
        <v>1750</v>
      </c>
      <c r="H4824">
        <v>0</v>
      </c>
      <c r="J4824" t="str">
        <f>VLOOKUP(Table3[[#This Row],[Faction ID]],Table4[],2)</f>
        <v>Feredrim</v>
      </c>
    </row>
    <row r="4825" spans="1:10" x14ac:dyDescent="0.25">
      <c r="A4825">
        <v>125</v>
      </c>
      <c r="B4825" t="s">
        <v>26</v>
      </c>
      <c r="C4825">
        <v>0</v>
      </c>
      <c r="D4825">
        <v>0</v>
      </c>
      <c r="E4825">
        <v>0</v>
      </c>
      <c r="F4825">
        <v>6395</v>
      </c>
      <c r="G4825">
        <v>1750</v>
      </c>
      <c r="H4825">
        <v>0</v>
      </c>
      <c r="J4825" t="str">
        <f>VLOOKUP(Table3[[#This Row],[Faction ID]],Table4[],2)</f>
        <v>Rachrohir (Wainriders)</v>
      </c>
    </row>
    <row r="4826" spans="1:10" x14ac:dyDescent="0.25">
      <c r="A4826">
        <v>125</v>
      </c>
      <c r="B4826" t="s">
        <v>27</v>
      </c>
      <c r="C4826">
        <v>5</v>
      </c>
      <c r="D4826">
        <v>3</v>
      </c>
      <c r="E4826">
        <v>53.2</v>
      </c>
      <c r="F4826">
        <v>12348</v>
      </c>
      <c r="G4826">
        <v>11869</v>
      </c>
      <c r="H4826">
        <v>554</v>
      </c>
      <c r="J4826" t="str">
        <f>VLOOKUP(Table3[[#This Row],[Faction ID]],Table4[],2)</f>
        <v>Blacklock-Stonefoot League</v>
      </c>
    </row>
    <row r="4827" spans="1:10" x14ac:dyDescent="0.25">
      <c r="A4827">
        <v>125</v>
      </c>
      <c r="B4827" t="s">
        <v>28</v>
      </c>
      <c r="C4827">
        <v>5</v>
      </c>
      <c r="D4827">
        <v>2</v>
      </c>
      <c r="E4827">
        <v>18.100000000000001</v>
      </c>
      <c r="F4827">
        <v>13348</v>
      </c>
      <c r="G4827">
        <v>5209</v>
      </c>
      <c r="H4827">
        <v>0</v>
      </c>
      <c r="J4827" t="str">
        <f>VLOOKUP(Table3[[#This Row],[Faction ID]],Table4[],2)</f>
        <v>Ironfist-Stiffbeard Union</v>
      </c>
    </row>
    <row r="4828" spans="1:10" x14ac:dyDescent="0.25">
      <c r="A4828">
        <v>125</v>
      </c>
      <c r="B4828" t="s">
        <v>20</v>
      </c>
      <c r="C4828">
        <v>245</v>
      </c>
      <c r="D4828">
        <v>0</v>
      </c>
      <c r="E4828">
        <v>0</v>
      </c>
      <c r="F4828">
        <v>9750</v>
      </c>
      <c r="G4828">
        <v>2500</v>
      </c>
      <c r="H4828">
        <v>0</v>
      </c>
      <c r="J4828" t="str">
        <f>VLOOKUP(Table3[[#This Row],[Faction ID]],Table4[],2)</f>
        <v>Gundabad</v>
      </c>
    </row>
    <row r="4829" spans="1:10" x14ac:dyDescent="0.25">
      <c r="A4829">
        <v>125</v>
      </c>
      <c r="B4829" t="s">
        <v>34</v>
      </c>
      <c r="C4829">
        <v>0</v>
      </c>
      <c r="D4829">
        <v>0</v>
      </c>
      <c r="E4829">
        <v>3</v>
      </c>
      <c r="F4829">
        <v>143629</v>
      </c>
      <c r="G4829">
        <v>2354</v>
      </c>
      <c r="H4829">
        <v>0</v>
      </c>
      <c r="J4829" t="str">
        <f>VLOOKUP(Table3[[#This Row],[Faction ID]],Table4[],2)</f>
        <v>Scouts of Rohan</v>
      </c>
    </row>
    <row r="4830" spans="1:10" x14ac:dyDescent="0.25">
      <c r="A4830">
        <v>125</v>
      </c>
      <c r="B4830" t="s">
        <v>33</v>
      </c>
      <c r="C4830">
        <v>6</v>
      </c>
      <c r="D4830">
        <v>4</v>
      </c>
      <c r="E4830">
        <v>110.6</v>
      </c>
      <c r="F4830">
        <v>131432</v>
      </c>
      <c r="G4830">
        <v>25411</v>
      </c>
      <c r="H4830">
        <v>1020</v>
      </c>
      <c r="J4830" t="str">
        <f>VLOOKUP(Table3[[#This Row],[Faction ID]],Table4[],2)</f>
        <v>Northern Enedwaith</v>
      </c>
    </row>
    <row r="4831" spans="1:10" x14ac:dyDescent="0.25">
      <c r="A4831">
        <v>125</v>
      </c>
      <c r="B4831" t="s">
        <v>29</v>
      </c>
      <c r="C4831">
        <v>0</v>
      </c>
      <c r="D4831">
        <v>0</v>
      </c>
      <c r="E4831">
        <v>0</v>
      </c>
      <c r="F4831">
        <v>54023</v>
      </c>
      <c r="G4831">
        <v>1750</v>
      </c>
      <c r="H4831">
        <v>0</v>
      </c>
      <c r="J4831" t="str">
        <f>VLOOKUP(Table3[[#This Row],[Faction ID]],Table4[],2)</f>
        <v>Southern Enedwaith</v>
      </c>
    </row>
    <row r="4832" spans="1:10" x14ac:dyDescent="0.25">
      <c r="A4832">
        <v>125</v>
      </c>
      <c r="B4832" t="s">
        <v>30</v>
      </c>
      <c r="C4832">
        <v>0</v>
      </c>
      <c r="D4832">
        <v>0</v>
      </c>
      <c r="E4832">
        <v>0</v>
      </c>
      <c r="F4832">
        <v>32146</v>
      </c>
      <c r="G4832">
        <v>1750</v>
      </c>
      <c r="H4832">
        <v>0</v>
      </c>
      <c r="J4832" t="str">
        <f>VLOOKUP(Table3[[#This Row],[Faction ID]],Table4[],2)</f>
        <v>Druedain</v>
      </c>
    </row>
    <row r="4833" spans="1:10" x14ac:dyDescent="0.25">
      <c r="A4833">
        <v>125</v>
      </c>
      <c r="B4833" t="s">
        <v>31</v>
      </c>
      <c r="C4833">
        <v>0</v>
      </c>
      <c r="D4833">
        <v>0</v>
      </c>
      <c r="E4833">
        <v>0</v>
      </c>
      <c r="F4833">
        <v>15146</v>
      </c>
      <c r="G4833">
        <v>1750</v>
      </c>
      <c r="H4833">
        <v>0</v>
      </c>
      <c r="J4833" t="str">
        <f>VLOOKUP(Table3[[#This Row],[Faction ID]],Table4[],2)</f>
        <v>Harondor</v>
      </c>
    </row>
    <row r="4834" spans="1:10" x14ac:dyDescent="0.25">
      <c r="A4834">
        <v>125</v>
      </c>
      <c r="B4834" t="s">
        <v>35</v>
      </c>
      <c r="C4834">
        <v>0</v>
      </c>
      <c r="D4834">
        <v>0</v>
      </c>
      <c r="E4834">
        <v>0</v>
      </c>
      <c r="F4834">
        <v>4000</v>
      </c>
      <c r="G4834">
        <v>1750</v>
      </c>
      <c r="H4834">
        <v>0</v>
      </c>
      <c r="J4834" t="str">
        <f>VLOOKUP(Table3[[#This Row],[Faction ID]],Table4[],2)</f>
        <v>Southron Nomads</v>
      </c>
    </row>
    <row r="4835" spans="1:10" x14ac:dyDescent="0.25">
      <c r="A4835">
        <v>125</v>
      </c>
      <c r="B4835" t="s">
        <v>36</v>
      </c>
      <c r="C4835">
        <v>0</v>
      </c>
      <c r="D4835">
        <v>0</v>
      </c>
      <c r="E4835">
        <v>0</v>
      </c>
      <c r="F4835">
        <v>4000</v>
      </c>
      <c r="G4835">
        <v>1750</v>
      </c>
      <c r="H4835">
        <v>0</v>
      </c>
      <c r="J4835" t="str">
        <f>VLOOKUP(Table3[[#This Row],[Faction ID]],Table4[],2)</f>
        <v>_</v>
      </c>
    </row>
    <row r="4836" spans="1:10" x14ac:dyDescent="0.25">
      <c r="A4836">
        <v>125</v>
      </c>
      <c r="B4836" t="s">
        <v>37</v>
      </c>
      <c r="C4836">
        <v>0</v>
      </c>
      <c r="D4836">
        <v>0</v>
      </c>
      <c r="E4836">
        <v>0</v>
      </c>
      <c r="F4836">
        <v>4000</v>
      </c>
      <c r="G4836">
        <v>1750</v>
      </c>
      <c r="H4836">
        <v>0</v>
      </c>
      <c r="J4836" t="str">
        <f>VLOOKUP(Table3[[#This Row],[Faction ID]],Table4[],2)</f>
        <v>_</v>
      </c>
    </row>
    <row r="4837" spans="1:10" x14ac:dyDescent="0.25">
      <c r="A4837">
        <v>125</v>
      </c>
      <c r="B4837" t="s">
        <v>38</v>
      </c>
      <c r="C4837">
        <v>0</v>
      </c>
      <c r="D4837">
        <v>0</v>
      </c>
      <c r="E4837">
        <v>0</v>
      </c>
      <c r="F4837">
        <v>4000</v>
      </c>
      <c r="G4837">
        <v>1750</v>
      </c>
      <c r="H4837">
        <v>0</v>
      </c>
      <c r="J4837" t="str">
        <f>VLOOKUP(Table3[[#This Row],[Faction ID]],Table4[],2)</f>
        <v>_</v>
      </c>
    </row>
    <row r="4838" spans="1:10" x14ac:dyDescent="0.25">
      <c r="A4838">
        <v>125</v>
      </c>
      <c r="B4838" t="s">
        <v>39</v>
      </c>
      <c r="C4838">
        <v>0</v>
      </c>
      <c r="D4838">
        <v>0</v>
      </c>
      <c r="E4838">
        <v>0</v>
      </c>
      <c r="F4838">
        <v>4000</v>
      </c>
      <c r="G4838">
        <v>1750</v>
      </c>
      <c r="H4838">
        <v>0</v>
      </c>
      <c r="J4838" t="str">
        <f>VLOOKUP(Table3[[#This Row],[Faction ID]],Table4[],2)</f>
        <v>_</v>
      </c>
    </row>
    <row r="4839" spans="1:10" x14ac:dyDescent="0.25">
      <c r="A4839">
        <v>125</v>
      </c>
      <c r="B4839" t="s">
        <v>40</v>
      </c>
      <c r="C4839">
        <v>0</v>
      </c>
      <c r="D4839">
        <v>0</v>
      </c>
      <c r="E4839">
        <v>0</v>
      </c>
      <c r="F4839">
        <v>4000</v>
      </c>
      <c r="G4839">
        <v>1750</v>
      </c>
      <c r="H4839">
        <v>0</v>
      </c>
      <c r="J4839" t="str">
        <f>VLOOKUP(Table3[[#This Row],[Faction ID]],Table4[],2)</f>
        <v>_</v>
      </c>
    </row>
    <row r="4840" spans="1:10" x14ac:dyDescent="0.25">
      <c r="A4840">
        <v>125</v>
      </c>
      <c r="B4840" t="s">
        <v>41</v>
      </c>
      <c r="C4840">
        <v>0</v>
      </c>
      <c r="D4840">
        <v>0</v>
      </c>
      <c r="E4840">
        <v>0</v>
      </c>
      <c r="F4840">
        <v>4000</v>
      </c>
      <c r="G4840">
        <v>1750</v>
      </c>
      <c r="H4840">
        <v>0</v>
      </c>
      <c r="J4840" t="str">
        <f>VLOOKUP(Table3[[#This Row],[Faction ID]],Table4[],2)</f>
        <v>_</v>
      </c>
    </row>
    <row r="4841" spans="1:10" x14ac:dyDescent="0.25">
      <c r="A4841">
        <v>125</v>
      </c>
      <c r="B4841" t="s">
        <v>42</v>
      </c>
      <c r="C4841">
        <v>0</v>
      </c>
      <c r="D4841">
        <v>0</v>
      </c>
      <c r="E4841">
        <v>0</v>
      </c>
      <c r="F4841">
        <v>4000</v>
      </c>
      <c r="G4841">
        <v>1750</v>
      </c>
      <c r="H4841">
        <v>0</v>
      </c>
      <c r="J4841" t="str">
        <f>VLOOKUP(Table3[[#This Row],[Faction ID]],Table4[],2)</f>
        <v>_</v>
      </c>
    </row>
    <row r="4842" spans="1:10" x14ac:dyDescent="0.25">
      <c r="A4842">
        <v>125</v>
      </c>
      <c r="B4842" t="s">
        <v>43</v>
      </c>
      <c r="C4842">
        <v>0</v>
      </c>
      <c r="D4842">
        <v>0</v>
      </c>
      <c r="E4842">
        <v>0</v>
      </c>
      <c r="F4842">
        <v>4000</v>
      </c>
      <c r="G4842">
        <v>1750</v>
      </c>
      <c r="H4842">
        <v>0</v>
      </c>
      <c r="J4842" t="str">
        <f>VLOOKUP(Table3[[#This Row],[Faction ID]],Table4[],2)</f>
        <v>_</v>
      </c>
    </row>
    <row r="4843" spans="1:10" x14ac:dyDescent="0.25">
      <c r="A4843">
        <v>125</v>
      </c>
      <c r="B4843" t="s">
        <v>44</v>
      </c>
      <c r="C4843">
        <v>0</v>
      </c>
      <c r="D4843">
        <v>0</v>
      </c>
      <c r="E4843">
        <v>0</v>
      </c>
      <c r="F4843">
        <v>4000</v>
      </c>
      <c r="G4843">
        <v>1750</v>
      </c>
      <c r="H4843">
        <v>0</v>
      </c>
      <c r="J4843" t="str">
        <f>VLOOKUP(Table3[[#This Row],[Faction ID]],Table4[],2)</f>
        <v>_</v>
      </c>
    </row>
    <row r="4844" spans="1:10" x14ac:dyDescent="0.25">
      <c r="A4844">
        <v>126</v>
      </c>
      <c r="B4844" t="s">
        <v>9</v>
      </c>
      <c r="C4844">
        <v>642</v>
      </c>
      <c r="D4844">
        <v>36</v>
      </c>
      <c r="E4844">
        <v>496.8</v>
      </c>
      <c r="F4844">
        <v>7177</v>
      </c>
      <c r="G4844">
        <v>69770</v>
      </c>
      <c r="H4844">
        <v>4000</v>
      </c>
      <c r="J4844" t="str">
        <f>VLOOKUP(Table3[[#This Row],[Faction ID]],Table4[],2)</f>
        <v>Mordor</v>
      </c>
    </row>
    <row r="4845" spans="1:10" x14ac:dyDescent="0.25">
      <c r="A4845">
        <v>126</v>
      </c>
      <c r="B4845" t="s">
        <v>4</v>
      </c>
      <c r="C4845">
        <v>146</v>
      </c>
      <c r="D4845">
        <v>0</v>
      </c>
      <c r="E4845">
        <v>0</v>
      </c>
      <c r="F4845">
        <v>55420</v>
      </c>
      <c r="G4845">
        <v>2500</v>
      </c>
      <c r="H4845">
        <v>0</v>
      </c>
      <c r="J4845" t="str">
        <f>VLOOKUP(Table3[[#This Row],[Faction ID]],Table4[],2)</f>
        <v>Gondor</v>
      </c>
    </row>
    <row r="4846" spans="1:10" x14ac:dyDescent="0.25">
      <c r="A4846">
        <v>126</v>
      </c>
      <c r="B4846" t="s">
        <v>6</v>
      </c>
      <c r="C4846">
        <v>199</v>
      </c>
      <c r="D4846">
        <v>0</v>
      </c>
      <c r="E4846">
        <v>0</v>
      </c>
      <c r="F4846">
        <v>10343</v>
      </c>
      <c r="G4846">
        <v>2500</v>
      </c>
      <c r="H4846">
        <v>0</v>
      </c>
      <c r="J4846" t="str">
        <f>VLOOKUP(Table3[[#This Row],[Faction ID]],Table4[],2)</f>
        <v>Dale</v>
      </c>
    </row>
    <row r="4847" spans="1:10" x14ac:dyDescent="0.25">
      <c r="A4847">
        <v>126</v>
      </c>
      <c r="B4847" t="s">
        <v>21</v>
      </c>
      <c r="C4847">
        <v>200</v>
      </c>
      <c r="D4847">
        <v>0</v>
      </c>
      <c r="E4847">
        <v>0</v>
      </c>
      <c r="F4847">
        <v>10040</v>
      </c>
      <c r="G4847">
        <v>2500</v>
      </c>
      <c r="H4847">
        <v>0</v>
      </c>
      <c r="J4847" t="str">
        <f>VLOOKUP(Table3[[#This Row],[Faction ID]],Table4[],2)</f>
        <v>Erebor</v>
      </c>
    </row>
    <row r="4848" spans="1:10" x14ac:dyDescent="0.25">
      <c r="A4848">
        <v>126</v>
      </c>
      <c r="B4848" t="s">
        <v>5</v>
      </c>
      <c r="C4848">
        <v>157</v>
      </c>
      <c r="D4848">
        <v>0</v>
      </c>
      <c r="E4848">
        <v>0</v>
      </c>
      <c r="F4848">
        <v>6638</v>
      </c>
      <c r="G4848">
        <v>2500</v>
      </c>
      <c r="H4848">
        <v>0</v>
      </c>
      <c r="J4848" t="str">
        <f>VLOOKUP(Table3[[#This Row],[Faction ID]],Table4[],2)</f>
        <v>Rohan</v>
      </c>
    </row>
    <row r="4849" spans="1:10" x14ac:dyDescent="0.25">
      <c r="A4849">
        <v>126</v>
      </c>
      <c r="B4849" t="s">
        <v>12</v>
      </c>
      <c r="C4849">
        <v>515</v>
      </c>
      <c r="D4849">
        <v>23</v>
      </c>
      <c r="E4849">
        <v>330.6</v>
      </c>
      <c r="F4849">
        <v>270871</v>
      </c>
      <c r="G4849">
        <v>54162</v>
      </c>
      <c r="H4849">
        <v>4730</v>
      </c>
      <c r="J4849" t="str">
        <f>VLOOKUP(Table3[[#This Row],[Faction ID]],Table4[],2)</f>
        <v>Dol Guldur</v>
      </c>
    </row>
    <row r="4850" spans="1:10" x14ac:dyDescent="0.25">
      <c r="A4850">
        <v>126</v>
      </c>
      <c r="B4850" t="s">
        <v>10</v>
      </c>
      <c r="C4850">
        <v>58</v>
      </c>
      <c r="D4850">
        <v>0</v>
      </c>
      <c r="E4850">
        <v>0</v>
      </c>
      <c r="F4850">
        <v>4515</v>
      </c>
      <c r="G4850">
        <v>2500</v>
      </c>
      <c r="H4850">
        <v>0</v>
      </c>
      <c r="J4850" t="str">
        <f>VLOOKUP(Table3[[#This Row],[Faction ID]],Table4[],2)</f>
        <v>Anduin Vale</v>
      </c>
    </row>
    <row r="4851" spans="1:10" x14ac:dyDescent="0.25">
      <c r="A4851">
        <v>126</v>
      </c>
      <c r="B4851" t="s">
        <v>32</v>
      </c>
      <c r="C4851">
        <v>324</v>
      </c>
      <c r="D4851">
        <v>7</v>
      </c>
      <c r="E4851">
        <v>161.6</v>
      </c>
      <c r="F4851">
        <v>17562</v>
      </c>
      <c r="G4851">
        <v>26788</v>
      </c>
      <c r="H4851">
        <v>1272</v>
      </c>
      <c r="J4851" t="str">
        <f>VLOOKUP(Table3[[#This Row],[Faction ID]],Table4[],2)</f>
        <v>Isengard</v>
      </c>
    </row>
    <row r="4852" spans="1:10" x14ac:dyDescent="0.25">
      <c r="A4852">
        <v>126</v>
      </c>
      <c r="B4852" t="s">
        <v>22</v>
      </c>
      <c r="C4852">
        <v>30</v>
      </c>
      <c r="D4852">
        <v>0</v>
      </c>
      <c r="E4852">
        <v>0</v>
      </c>
      <c r="F4852">
        <v>8475</v>
      </c>
      <c r="G4852">
        <v>2500</v>
      </c>
      <c r="H4852">
        <v>0</v>
      </c>
      <c r="J4852" t="str">
        <f>VLOOKUP(Table3[[#This Row],[Faction ID]],Table4[],2)</f>
        <v>Woodland Realm</v>
      </c>
    </row>
    <row r="4853" spans="1:10" x14ac:dyDescent="0.25">
      <c r="A4853">
        <v>126</v>
      </c>
      <c r="B4853" t="s">
        <v>23</v>
      </c>
      <c r="C4853">
        <v>64</v>
      </c>
      <c r="D4853">
        <v>0</v>
      </c>
      <c r="E4853">
        <v>0</v>
      </c>
      <c r="F4853">
        <v>4721</v>
      </c>
      <c r="G4853">
        <v>2500</v>
      </c>
      <c r="H4853">
        <v>0</v>
      </c>
      <c r="J4853" t="str">
        <f>VLOOKUP(Table3[[#This Row],[Faction ID]],Table4[],2)</f>
        <v>Lothlorien</v>
      </c>
    </row>
    <row r="4854" spans="1:10" x14ac:dyDescent="0.25">
      <c r="A4854">
        <v>126</v>
      </c>
      <c r="B4854" t="s">
        <v>24</v>
      </c>
      <c r="C4854">
        <v>0</v>
      </c>
      <c r="D4854">
        <v>0</v>
      </c>
      <c r="E4854">
        <v>0</v>
      </c>
      <c r="F4854">
        <v>4919</v>
      </c>
      <c r="G4854">
        <v>1750</v>
      </c>
      <c r="H4854">
        <v>0</v>
      </c>
      <c r="J4854" t="str">
        <f>VLOOKUP(Table3[[#This Row],[Faction ID]],Table4[],2)</f>
        <v>Variags (Khand)</v>
      </c>
    </row>
    <row r="4855" spans="1:10" x14ac:dyDescent="0.25">
      <c r="A4855">
        <v>126</v>
      </c>
      <c r="B4855" t="s">
        <v>14</v>
      </c>
      <c r="C4855">
        <v>20</v>
      </c>
      <c r="D4855">
        <v>14</v>
      </c>
      <c r="E4855">
        <v>260.8</v>
      </c>
      <c r="F4855">
        <v>281334</v>
      </c>
      <c r="G4855">
        <v>58421</v>
      </c>
      <c r="H4855">
        <v>4825</v>
      </c>
      <c r="J4855" t="str">
        <f>VLOOKUP(Table3[[#This Row],[Faction ID]],Table4[],2)</f>
        <v>Corsairs of Umbar</v>
      </c>
    </row>
    <row r="4856" spans="1:10" x14ac:dyDescent="0.25">
      <c r="A4856">
        <v>126</v>
      </c>
      <c r="B4856" t="s">
        <v>25</v>
      </c>
      <c r="C4856">
        <v>0</v>
      </c>
      <c r="D4856">
        <v>0</v>
      </c>
      <c r="E4856">
        <v>0</v>
      </c>
      <c r="F4856">
        <v>9228</v>
      </c>
      <c r="G4856">
        <v>1750</v>
      </c>
      <c r="H4856">
        <v>0</v>
      </c>
      <c r="J4856" t="str">
        <f>VLOOKUP(Table3[[#This Row],[Faction ID]],Table4[],2)</f>
        <v>Mahud</v>
      </c>
    </row>
    <row r="4857" spans="1:10" x14ac:dyDescent="0.25">
      <c r="A4857">
        <v>126</v>
      </c>
      <c r="B4857" t="s">
        <v>11</v>
      </c>
      <c r="C4857">
        <v>337</v>
      </c>
      <c r="D4857">
        <v>14</v>
      </c>
      <c r="E4857">
        <v>231.6</v>
      </c>
      <c r="F4857">
        <v>65969</v>
      </c>
      <c r="G4857">
        <v>38406</v>
      </c>
      <c r="H4857">
        <v>2581</v>
      </c>
      <c r="J4857" t="str">
        <f>VLOOKUP(Table3[[#This Row],[Faction ID]],Table4[],2)</f>
        <v>Haradrim</v>
      </c>
    </row>
    <row r="4858" spans="1:10" x14ac:dyDescent="0.25">
      <c r="A4858">
        <v>126</v>
      </c>
      <c r="B4858" t="s">
        <v>15</v>
      </c>
      <c r="C4858">
        <v>306</v>
      </c>
      <c r="D4858">
        <v>11</v>
      </c>
      <c r="E4858">
        <v>239.5</v>
      </c>
      <c r="F4858">
        <v>206723</v>
      </c>
      <c r="G4858">
        <v>43061</v>
      </c>
      <c r="H4858">
        <v>683</v>
      </c>
      <c r="J4858" t="str">
        <f>VLOOKUP(Table3[[#This Row],[Faction ID]],Table4[],2)</f>
        <v>Dunlendings</v>
      </c>
    </row>
    <row r="4859" spans="1:10" x14ac:dyDescent="0.25">
      <c r="A4859">
        <v>126</v>
      </c>
      <c r="B4859" t="s">
        <v>16</v>
      </c>
      <c r="C4859">
        <v>0</v>
      </c>
      <c r="D4859">
        <v>0</v>
      </c>
      <c r="E4859">
        <v>0</v>
      </c>
      <c r="F4859">
        <v>5352</v>
      </c>
      <c r="G4859">
        <v>1750</v>
      </c>
      <c r="H4859">
        <v>0</v>
      </c>
      <c r="J4859" t="str">
        <f>VLOOKUP(Table3[[#This Row],[Faction ID]],Table4[],2)</f>
        <v>Haerrim</v>
      </c>
    </row>
    <row r="4860" spans="1:10" x14ac:dyDescent="0.25">
      <c r="A4860">
        <v>126</v>
      </c>
      <c r="B4860" t="s">
        <v>13</v>
      </c>
      <c r="C4860">
        <v>635</v>
      </c>
      <c r="D4860">
        <v>17</v>
      </c>
      <c r="E4860">
        <v>418.5</v>
      </c>
      <c r="F4860">
        <v>208308</v>
      </c>
      <c r="G4860">
        <v>58160</v>
      </c>
      <c r="H4860">
        <v>1</v>
      </c>
      <c r="J4860" t="str">
        <f>VLOOKUP(Table3[[#This Row],[Faction ID]],Table4[],2)</f>
        <v>Goblins</v>
      </c>
    </row>
    <row r="4861" spans="1:10" x14ac:dyDescent="0.25">
      <c r="A4861">
        <v>126</v>
      </c>
      <c r="B4861" t="s">
        <v>17</v>
      </c>
      <c r="C4861">
        <v>0</v>
      </c>
      <c r="D4861">
        <v>0</v>
      </c>
      <c r="E4861">
        <v>0</v>
      </c>
      <c r="F4861">
        <v>4872</v>
      </c>
      <c r="G4861">
        <v>1750</v>
      </c>
      <c r="H4861">
        <v>0</v>
      </c>
      <c r="J4861" t="str">
        <f>VLOOKUP(Table3[[#This Row],[Faction ID]],Table4[],2)</f>
        <v>Balchoth</v>
      </c>
    </row>
    <row r="4862" spans="1:10" x14ac:dyDescent="0.25">
      <c r="A4862">
        <v>126</v>
      </c>
      <c r="B4862" t="s">
        <v>18</v>
      </c>
      <c r="C4862">
        <v>615</v>
      </c>
      <c r="D4862">
        <v>25</v>
      </c>
      <c r="E4862">
        <v>408.2</v>
      </c>
      <c r="F4862">
        <v>103077</v>
      </c>
      <c r="G4862">
        <v>50067</v>
      </c>
      <c r="H4862">
        <v>3694</v>
      </c>
      <c r="J4862" t="str">
        <f>VLOOKUP(Table3[[#This Row],[Faction ID]],Table4[],2)</f>
        <v>Rhurim/Rhun</v>
      </c>
    </row>
    <row r="4863" spans="1:10" x14ac:dyDescent="0.25">
      <c r="A4863">
        <v>126</v>
      </c>
      <c r="B4863" t="s">
        <v>19</v>
      </c>
      <c r="C4863">
        <v>0</v>
      </c>
      <c r="D4863">
        <v>0</v>
      </c>
      <c r="E4863">
        <v>0</v>
      </c>
      <c r="F4863">
        <v>7360</v>
      </c>
      <c r="G4863">
        <v>1750</v>
      </c>
      <c r="H4863">
        <v>0</v>
      </c>
      <c r="J4863" t="str">
        <f>VLOOKUP(Table3[[#This Row],[Faction ID]],Table4[],2)</f>
        <v>Feredrim</v>
      </c>
    </row>
    <row r="4864" spans="1:10" x14ac:dyDescent="0.25">
      <c r="A4864">
        <v>126</v>
      </c>
      <c r="B4864" t="s">
        <v>26</v>
      </c>
      <c r="C4864">
        <v>0</v>
      </c>
      <c r="D4864">
        <v>0</v>
      </c>
      <c r="E4864">
        <v>0</v>
      </c>
      <c r="F4864">
        <v>6395</v>
      </c>
      <c r="G4864">
        <v>1750</v>
      </c>
      <c r="H4864">
        <v>0</v>
      </c>
      <c r="J4864" t="str">
        <f>VLOOKUP(Table3[[#This Row],[Faction ID]],Table4[],2)</f>
        <v>Rachrohir (Wainriders)</v>
      </c>
    </row>
    <row r="4865" spans="1:10" x14ac:dyDescent="0.25">
      <c r="A4865">
        <v>126</v>
      </c>
      <c r="B4865" t="s">
        <v>27</v>
      </c>
      <c r="C4865">
        <v>5</v>
      </c>
      <c r="D4865">
        <v>3</v>
      </c>
      <c r="E4865">
        <v>57.7</v>
      </c>
      <c r="F4865">
        <v>12413</v>
      </c>
      <c r="G4865">
        <v>13927</v>
      </c>
      <c r="H4865">
        <v>559</v>
      </c>
      <c r="J4865" t="str">
        <f>VLOOKUP(Table3[[#This Row],[Faction ID]],Table4[],2)</f>
        <v>Blacklock-Stonefoot League</v>
      </c>
    </row>
    <row r="4866" spans="1:10" x14ac:dyDescent="0.25">
      <c r="A4866">
        <v>126</v>
      </c>
      <c r="B4866" t="s">
        <v>28</v>
      </c>
      <c r="C4866">
        <v>5</v>
      </c>
      <c r="D4866">
        <v>2</v>
      </c>
      <c r="E4866">
        <v>18.100000000000001</v>
      </c>
      <c r="F4866">
        <v>15031</v>
      </c>
      <c r="G4866">
        <v>5922</v>
      </c>
      <c r="H4866">
        <v>0</v>
      </c>
      <c r="J4866" t="str">
        <f>VLOOKUP(Table3[[#This Row],[Faction ID]],Table4[],2)</f>
        <v>Ironfist-Stiffbeard Union</v>
      </c>
    </row>
    <row r="4867" spans="1:10" x14ac:dyDescent="0.25">
      <c r="A4867">
        <v>126</v>
      </c>
      <c r="B4867" t="s">
        <v>20</v>
      </c>
      <c r="C4867">
        <v>245</v>
      </c>
      <c r="D4867">
        <v>0</v>
      </c>
      <c r="E4867">
        <v>0</v>
      </c>
      <c r="F4867">
        <v>9750</v>
      </c>
      <c r="G4867">
        <v>2500</v>
      </c>
      <c r="H4867">
        <v>0</v>
      </c>
      <c r="J4867" t="str">
        <f>VLOOKUP(Table3[[#This Row],[Faction ID]],Table4[],2)</f>
        <v>Gundabad</v>
      </c>
    </row>
    <row r="4868" spans="1:10" x14ac:dyDescent="0.25">
      <c r="A4868">
        <v>126</v>
      </c>
      <c r="B4868" t="s">
        <v>34</v>
      </c>
      <c r="C4868">
        <v>0</v>
      </c>
      <c r="D4868">
        <v>0</v>
      </c>
      <c r="E4868">
        <v>3</v>
      </c>
      <c r="F4868">
        <v>144775</v>
      </c>
      <c r="G4868">
        <v>2354</v>
      </c>
      <c r="H4868">
        <v>0</v>
      </c>
      <c r="J4868" t="str">
        <f>VLOOKUP(Table3[[#This Row],[Faction ID]],Table4[],2)</f>
        <v>Scouts of Rohan</v>
      </c>
    </row>
    <row r="4869" spans="1:10" x14ac:dyDescent="0.25">
      <c r="A4869">
        <v>126</v>
      </c>
      <c r="B4869" t="s">
        <v>33</v>
      </c>
      <c r="C4869">
        <v>6</v>
      </c>
      <c r="D4869">
        <v>4</v>
      </c>
      <c r="E4869">
        <v>65.099999999999994</v>
      </c>
      <c r="F4869">
        <v>109506</v>
      </c>
      <c r="G4869">
        <v>17237</v>
      </c>
      <c r="H4869">
        <v>1019</v>
      </c>
      <c r="J4869" t="str">
        <f>VLOOKUP(Table3[[#This Row],[Faction ID]],Table4[],2)</f>
        <v>Northern Enedwaith</v>
      </c>
    </row>
    <row r="4870" spans="1:10" x14ac:dyDescent="0.25">
      <c r="A4870">
        <v>126</v>
      </c>
      <c r="B4870" t="s">
        <v>29</v>
      </c>
      <c r="C4870">
        <v>0</v>
      </c>
      <c r="D4870">
        <v>0</v>
      </c>
      <c r="E4870">
        <v>0</v>
      </c>
      <c r="F4870">
        <v>54023</v>
      </c>
      <c r="G4870">
        <v>1750</v>
      </c>
      <c r="H4870">
        <v>0</v>
      </c>
      <c r="J4870" t="str">
        <f>VLOOKUP(Table3[[#This Row],[Faction ID]],Table4[],2)</f>
        <v>Southern Enedwaith</v>
      </c>
    </row>
    <row r="4871" spans="1:10" x14ac:dyDescent="0.25">
      <c r="A4871">
        <v>126</v>
      </c>
      <c r="B4871" t="s">
        <v>30</v>
      </c>
      <c r="C4871">
        <v>0</v>
      </c>
      <c r="D4871">
        <v>0</v>
      </c>
      <c r="E4871">
        <v>0</v>
      </c>
      <c r="F4871">
        <v>32146</v>
      </c>
      <c r="G4871">
        <v>1750</v>
      </c>
      <c r="H4871">
        <v>0</v>
      </c>
      <c r="J4871" t="str">
        <f>VLOOKUP(Table3[[#This Row],[Faction ID]],Table4[],2)</f>
        <v>Druedain</v>
      </c>
    </row>
    <row r="4872" spans="1:10" x14ac:dyDescent="0.25">
      <c r="A4872">
        <v>126</v>
      </c>
      <c r="B4872" t="s">
        <v>31</v>
      </c>
      <c r="C4872">
        <v>0</v>
      </c>
      <c r="D4872">
        <v>0</v>
      </c>
      <c r="E4872">
        <v>0</v>
      </c>
      <c r="F4872">
        <v>15146</v>
      </c>
      <c r="G4872">
        <v>1750</v>
      </c>
      <c r="H4872">
        <v>0</v>
      </c>
      <c r="J4872" t="str">
        <f>VLOOKUP(Table3[[#This Row],[Faction ID]],Table4[],2)</f>
        <v>Harondor</v>
      </c>
    </row>
    <row r="4873" spans="1:10" x14ac:dyDescent="0.25">
      <c r="A4873">
        <v>126</v>
      </c>
      <c r="B4873" t="s">
        <v>35</v>
      </c>
      <c r="C4873">
        <v>0</v>
      </c>
      <c r="D4873">
        <v>0</v>
      </c>
      <c r="E4873">
        <v>0</v>
      </c>
      <c r="F4873">
        <v>4000</v>
      </c>
      <c r="G4873">
        <v>1750</v>
      </c>
      <c r="H4873">
        <v>0</v>
      </c>
      <c r="J4873" t="str">
        <f>VLOOKUP(Table3[[#This Row],[Faction ID]],Table4[],2)</f>
        <v>Southron Nomads</v>
      </c>
    </row>
    <row r="4874" spans="1:10" x14ac:dyDescent="0.25">
      <c r="A4874">
        <v>126</v>
      </c>
      <c r="B4874" t="s">
        <v>36</v>
      </c>
      <c r="C4874">
        <v>0</v>
      </c>
      <c r="D4874">
        <v>0</v>
      </c>
      <c r="E4874">
        <v>0</v>
      </c>
      <c r="F4874">
        <v>4000</v>
      </c>
      <c r="G4874">
        <v>1750</v>
      </c>
      <c r="H4874">
        <v>0</v>
      </c>
      <c r="J4874" t="str">
        <f>VLOOKUP(Table3[[#This Row],[Faction ID]],Table4[],2)</f>
        <v>_</v>
      </c>
    </row>
    <row r="4875" spans="1:10" x14ac:dyDescent="0.25">
      <c r="A4875">
        <v>126</v>
      </c>
      <c r="B4875" t="s">
        <v>37</v>
      </c>
      <c r="C4875">
        <v>0</v>
      </c>
      <c r="D4875">
        <v>0</v>
      </c>
      <c r="E4875">
        <v>0</v>
      </c>
      <c r="F4875">
        <v>4000</v>
      </c>
      <c r="G4875">
        <v>1750</v>
      </c>
      <c r="H4875">
        <v>0</v>
      </c>
      <c r="J4875" t="str">
        <f>VLOOKUP(Table3[[#This Row],[Faction ID]],Table4[],2)</f>
        <v>_</v>
      </c>
    </row>
    <row r="4876" spans="1:10" x14ac:dyDescent="0.25">
      <c r="A4876">
        <v>126</v>
      </c>
      <c r="B4876" t="s">
        <v>38</v>
      </c>
      <c r="C4876">
        <v>0</v>
      </c>
      <c r="D4876">
        <v>0</v>
      </c>
      <c r="E4876">
        <v>0</v>
      </c>
      <c r="F4876">
        <v>4000</v>
      </c>
      <c r="G4876">
        <v>1750</v>
      </c>
      <c r="H4876">
        <v>0</v>
      </c>
      <c r="J4876" t="str">
        <f>VLOOKUP(Table3[[#This Row],[Faction ID]],Table4[],2)</f>
        <v>_</v>
      </c>
    </row>
    <row r="4877" spans="1:10" x14ac:dyDescent="0.25">
      <c r="A4877">
        <v>126</v>
      </c>
      <c r="B4877" t="s">
        <v>39</v>
      </c>
      <c r="C4877">
        <v>0</v>
      </c>
      <c r="D4877">
        <v>0</v>
      </c>
      <c r="E4877">
        <v>0</v>
      </c>
      <c r="F4877">
        <v>4000</v>
      </c>
      <c r="G4877">
        <v>1750</v>
      </c>
      <c r="H4877">
        <v>0</v>
      </c>
      <c r="J4877" t="str">
        <f>VLOOKUP(Table3[[#This Row],[Faction ID]],Table4[],2)</f>
        <v>_</v>
      </c>
    </row>
    <row r="4878" spans="1:10" x14ac:dyDescent="0.25">
      <c r="A4878">
        <v>126</v>
      </c>
      <c r="B4878" t="s">
        <v>40</v>
      </c>
      <c r="C4878">
        <v>0</v>
      </c>
      <c r="D4878">
        <v>0</v>
      </c>
      <c r="E4878">
        <v>0</v>
      </c>
      <c r="F4878">
        <v>4000</v>
      </c>
      <c r="G4878">
        <v>1750</v>
      </c>
      <c r="H4878">
        <v>0</v>
      </c>
      <c r="J4878" t="str">
        <f>VLOOKUP(Table3[[#This Row],[Faction ID]],Table4[],2)</f>
        <v>_</v>
      </c>
    </row>
    <row r="4879" spans="1:10" x14ac:dyDescent="0.25">
      <c r="A4879">
        <v>126</v>
      </c>
      <c r="B4879" t="s">
        <v>41</v>
      </c>
      <c r="C4879">
        <v>0</v>
      </c>
      <c r="D4879">
        <v>0</v>
      </c>
      <c r="E4879">
        <v>0</v>
      </c>
      <c r="F4879">
        <v>4000</v>
      </c>
      <c r="G4879">
        <v>1750</v>
      </c>
      <c r="H4879">
        <v>0</v>
      </c>
      <c r="J4879" t="str">
        <f>VLOOKUP(Table3[[#This Row],[Faction ID]],Table4[],2)</f>
        <v>_</v>
      </c>
    </row>
    <row r="4880" spans="1:10" x14ac:dyDescent="0.25">
      <c r="A4880">
        <v>126</v>
      </c>
      <c r="B4880" t="s">
        <v>42</v>
      </c>
      <c r="C4880">
        <v>0</v>
      </c>
      <c r="D4880">
        <v>0</v>
      </c>
      <c r="E4880">
        <v>0</v>
      </c>
      <c r="F4880">
        <v>4000</v>
      </c>
      <c r="G4880">
        <v>1750</v>
      </c>
      <c r="H4880">
        <v>0</v>
      </c>
      <c r="J4880" t="str">
        <f>VLOOKUP(Table3[[#This Row],[Faction ID]],Table4[],2)</f>
        <v>_</v>
      </c>
    </row>
    <row r="4881" spans="1:10" x14ac:dyDescent="0.25">
      <c r="A4881">
        <v>126</v>
      </c>
      <c r="B4881" t="s">
        <v>43</v>
      </c>
      <c r="C4881">
        <v>0</v>
      </c>
      <c r="D4881">
        <v>0</v>
      </c>
      <c r="E4881">
        <v>0</v>
      </c>
      <c r="F4881">
        <v>4000</v>
      </c>
      <c r="G4881">
        <v>1750</v>
      </c>
      <c r="H4881">
        <v>0</v>
      </c>
      <c r="J4881" t="str">
        <f>VLOOKUP(Table3[[#This Row],[Faction ID]],Table4[],2)</f>
        <v>_</v>
      </c>
    </row>
    <row r="4882" spans="1:10" x14ac:dyDescent="0.25">
      <c r="A4882">
        <v>126</v>
      </c>
      <c r="B4882" t="s">
        <v>44</v>
      </c>
      <c r="C4882">
        <v>0</v>
      </c>
      <c r="D4882">
        <v>0</v>
      </c>
      <c r="E4882">
        <v>0</v>
      </c>
      <c r="F4882">
        <v>4000</v>
      </c>
      <c r="G4882">
        <v>1750</v>
      </c>
      <c r="H4882">
        <v>0</v>
      </c>
      <c r="J4882" t="str">
        <f>VLOOKUP(Table3[[#This Row],[Faction ID]],Table4[],2)</f>
        <v>_</v>
      </c>
    </row>
    <row r="4883" spans="1:10" x14ac:dyDescent="0.25">
      <c r="A4883">
        <v>127</v>
      </c>
      <c r="B4883" t="s">
        <v>9</v>
      </c>
      <c r="C4883">
        <v>644</v>
      </c>
      <c r="D4883">
        <v>38</v>
      </c>
      <c r="E4883">
        <v>516.9</v>
      </c>
      <c r="F4883">
        <v>4229</v>
      </c>
      <c r="G4883">
        <v>71453</v>
      </c>
      <c r="H4883">
        <v>4124</v>
      </c>
      <c r="J4883" t="str">
        <f>VLOOKUP(Table3[[#This Row],[Faction ID]],Table4[],2)</f>
        <v>Mordor</v>
      </c>
    </row>
    <row r="4884" spans="1:10" x14ac:dyDescent="0.25">
      <c r="A4884">
        <v>127</v>
      </c>
      <c r="B4884" t="s">
        <v>4</v>
      </c>
      <c r="C4884">
        <v>146</v>
      </c>
      <c r="D4884">
        <v>0</v>
      </c>
      <c r="E4884">
        <v>0</v>
      </c>
      <c r="F4884">
        <v>55420</v>
      </c>
      <c r="G4884">
        <v>2500</v>
      </c>
      <c r="H4884">
        <v>0</v>
      </c>
      <c r="J4884" t="str">
        <f>VLOOKUP(Table3[[#This Row],[Faction ID]],Table4[],2)</f>
        <v>Gondor</v>
      </c>
    </row>
    <row r="4885" spans="1:10" x14ac:dyDescent="0.25">
      <c r="A4885">
        <v>127</v>
      </c>
      <c r="B4885" t="s">
        <v>6</v>
      </c>
      <c r="C4885">
        <v>199</v>
      </c>
      <c r="D4885">
        <v>0</v>
      </c>
      <c r="E4885">
        <v>0</v>
      </c>
      <c r="F4885">
        <v>10343</v>
      </c>
      <c r="G4885">
        <v>2500</v>
      </c>
      <c r="H4885">
        <v>0</v>
      </c>
      <c r="J4885" t="str">
        <f>VLOOKUP(Table3[[#This Row],[Faction ID]],Table4[],2)</f>
        <v>Dale</v>
      </c>
    </row>
    <row r="4886" spans="1:10" x14ac:dyDescent="0.25">
      <c r="A4886">
        <v>127</v>
      </c>
      <c r="B4886" t="s">
        <v>21</v>
      </c>
      <c r="C4886">
        <v>200</v>
      </c>
      <c r="D4886">
        <v>0</v>
      </c>
      <c r="E4886">
        <v>0</v>
      </c>
      <c r="F4886">
        <v>10040</v>
      </c>
      <c r="G4886">
        <v>2500</v>
      </c>
      <c r="H4886">
        <v>0</v>
      </c>
      <c r="J4886" t="str">
        <f>VLOOKUP(Table3[[#This Row],[Faction ID]],Table4[],2)</f>
        <v>Erebor</v>
      </c>
    </row>
    <row r="4887" spans="1:10" x14ac:dyDescent="0.25">
      <c r="A4887">
        <v>127</v>
      </c>
      <c r="B4887" t="s">
        <v>5</v>
      </c>
      <c r="C4887">
        <v>157</v>
      </c>
      <c r="D4887">
        <v>0</v>
      </c>
      <c r="E4887">
        <v>0</v>
      </c>
      <c r="F4887">
        <v>6638</v>
      </c>
      <c r="G4887">
        <v>2500</v>
      </c>
      <c r="H4887">
        <v>0</v>
      </c>
      <c r="J4887" t="str">
        <f>VLOOKUP(Table3[[#This Row],[Faction ID]],Table4[],2)</f>
        <v>Rohan</v>
      </c>
    </row>
    <row r="4888" spans="1:10" x14ac:dyDescent="0.25">
      <c r="A4888">
        <v>127</v>
      </c>
      <c r="B4888" t="s">
        <v>12</v>
      </c>
      <c r="C4888">
        <v>515</v>
      </c>
      <c r="D4888">
        <v>23</v>
      </c>
      <c r="E4888">
        <v>350.4</v>
      </c>
      <c r="F4888">
        <v>288724</v>
      </c>
      <c r="G4888">
        <v>55402</v>
      </c>
      <c r="H4888">
        <v>4742</v>
      </c>
      <c r="J4888" t="str">
        <f>VLOOKUP(Table3[[#This Row],[Faction ID]],Table4[],2)</f>
        <v>Dol Guldur</v>
      </c>
    </row>
    <row r="4889" spans="1:10" x14ac:dyDescent="0.25">
      <c r="A4889">
        <v>127</v>
      </c>
      <c r="B4889" t="s">
        <v>10</v>
      </c>
      <c r="C4889">
        <v>58</v>
      </c>
      <c r="D4889">
        <v>0</v>
      </c>
      <c r="E4889">
        <v>0</v>
      </c>
      <c r="F4889">
        <v>4515</v>
      </c>
      <c r="G4889">
        <v>2500</v>
      </c>
      <c r="H4889">
        <v>0</v>
      </c>
      <c r="J4889" t="str">
        <f>VLOOKUP(Table3[[#This Row],[Faction ID]],Table4[],2)</f>
        <v>Anduin Vale</v>
      </c>
    </row>
    <row r="4890" spans="1:10" x14ac:dyDescent="0.25">
      <c r="A4890">
        <v>127</v>
      </c>
      <c r="B4890" t="s">
        <v>32</v>
      </c>
      <c r="C4890">
        <v>323</v>
      </c>
      <c r="D4890">
        <v>6</v>
      </c>
      <c r="E4890">
        <v>129</v>
      </c>
      <c r="F4890">
        <v>23973</v>
      </c>
      <c r="G4890">
        <v>21580</v>
      </c>
      <c r="H4890">
        <v>1265</v>
      </c>
      <c r="J4890" t="str">
        <f>VLOOKUP(Table3[[#This Row],[Faction ID]],Table4[],2)</f>
        <v>Isengard</v>
      </c>
    </row>
    <row r="4891" spans="1:10" x14ac:dyDescent="0.25">
      <c r="A4891">
        <v>127</v>
      </c>
      <c r="B4891" t="s">
        <v>22</v>
      </c>
      <c r="C4891">
        <v>30</v>
      </c>
      <c r="D4891">
        <v>0</v>
      </c>
      <c r="E4891">
        <v>0</v>
      </c>
      <c r="F4891">
        <v>8475</v>
      </c>
      <c r="G4891">
        <v>2500</v>
      </c>
      <c r="H4891">
        <v>0</v>
      </c>
      <c r="J4891" t="str">
        <f>VLOOKUP(Table3[[#This Row],[Faction ID]],Table4[],2)</f>
        <v>Woodland Realm</v>
      </c>
    </row>
    <row r="4892" spans="1:10" x14ac:dyDescent="0.25">
      <c r="A4892">
        <v>127</v>
      </c>
      <c r="B4892" t="s">
        <v>23</v>
      </c>
      <c r="C4892">
        <v>64</v>
      </c>
      <c r="D4892">
        <v>0</v>
      </c>
      <c r="E4892">
        <v>0</v>
      </c>
      <c r="F4892">
        <v>4721</v>
      </c>
      <c r="G4892">
        <v>2500</v>
      </c>
      <c r="H4892">
        <v>0</v>
      </c>
      <c r="J4892" t="str">
        <f>VLOOKUP(Table3[[#This Row],[Faction ID]],Table4[],2)</f>
        <v>Lothlorien</v>
      </c>
    </row>
    <row r="4893" spans="1:10" x14ac:dyDescent="0.25">
      <c r="A4893">
        <v>127</v>
      </c>
      <c r="B4893" t="s">
        <v>24</v>
      </c>
      <c r="C4893">
        <v>0</v>
      </c>
      <c r="D4893">
        <v>0</v>
      </c>
      <c r="E4893">
        <v>0</v>
      </c>
      <c r="F4893">
        <v>4919</v>
      </c>
      <c r="G4893">
        <v>1750</v>
      </c>
      <c r="H4893">
        <v>0</v>
      </c>
      <c r="J4893" t="str">
        <f>VLOOKUP(Table3[[#This Row],[Faction ID]],Table4[],2)</f>
        <v>Variags (Khand)</v>
      </c>
    </row>
    <row r="4894" spans="1:10" x14ac:dyDescent="0.25">
      <c r="A4894">
        <v>127</v>
      </c>
      <c r="B4894" t="s">
        <v>14</v>
      </c>
      <c r="C4894">
        <v>20</v>
      </c>
      <c r="D4894">
        <v>14</v>
      </c>
      <c r="E4894">
        <v>238</v>
      </c>
      <c r="F4894">
        <v>274692</v>
      </c>
      <c r="G4894">
        <v>56461</v>
      </c>
      <c r="H4894">
        <v>4838</v>
      </c>
      <c r="J4894" t="str">
        <f>VLOOKUP(Table3[[#This Row],[Faction ID]],Table4[],2)</f>
        <v>Corsairs of Umbar</v>
      </c>
    </row>
    <row r="4895" spans="1:10" x14ac:dyDescent="0.25">
      <c r="A4895">
        <v>127</v>
      </c>
      <c r="B4895" t="s">
        <v>25</v>
      </c>
      <c r="C4895">
        <v>0</v>
      </c>
      <c r="D4895">
        <v>0</v>
      </c>
      <c r="E4895">
        <v>0</v>
      </c>
      <c r="F4895">
        <v>9228</v>
      </c>
      <c r="G4895">
        <v>1750</v>
      </c>
      <c r="H4895">
        <v>0</v>
      </c>
      <c r="J4895" t="str">
        <f>VLOOKUP(Table3[[#This Row],[Faction ID]],Table4[],2)</f>
        <v>Mahud</v>
      </c>
    </row>
    <row r="4896" spans="1:10" x14ac:dyDescent="0.25">
      <c r="A4896">
        <v>127</v>
      </c>
      <c r="B4896" t="s">
        <v>11</v>
      </c>
      <c r="C4896">
        <v>345</v>
      </c>
      <c r="D4896">
        <v>14</v>
      </c>
      <c r="E4896">
        <v>237.8</v>
      </c>
      <c r="F4896">
        <v>80195</v>
      </c>
      <c r="G4896">
        <v>35973</v>
      </c>
      <c r="H4896">
        <v>2564</v>
      </c>
      <c r="J4896" t="str">
        <f>VLOOKUP(Table3[[#This Row],[Faction ID]],Table4[],2)</f>
        <v>Haradrim</v>
      </c>
    </row>
    <row r="4897" spans="1:10" x14ac:dyDescent="0.25">
      <c r="A4897">
        <v>127</v>
      </c>
      <c r="B4897" t="s">
        <v>15</v>
      </c>
      <c r="C4897">
        <v>306</v>
      </c>
      <c r="D4897">
        <v>11</v>
      </c>
      <c r="E4897">
        <v>246.5</v>
      </c>
      <c r="F4897">
        <v>210903</v>
      </c>
      <c r="G4897">
        <v>44701</v>
      </c>
      <c r="H4897">
        <v>677</v>
      </c>
      <c r="J4897" t="str">
        <f>VLOOKUP(Table3[[#This Row],[Faction ID]],Table4[],2)</f>
        <v>Dunlendings</v>
      </c>
    </row>
    <row r="4898" spans="1:10" x14ac:dyDescent="0.25">
      <c r="A4898">
        <v>127</v>
      </c>
      <c r="B4898" t="s">
        <v>16</v>
      </c>
      <c r="C4898">
        <v>0</v>
      </c>
      <c r="D4898">
        <v>0</v>
      </c>
      <c r="E4898">
        <v>0</v>
      </c>
      <c r="F4898">
        <v>5352</v>
      </c>
      <c r="G4898">
        <v>1750</v>
      </c>
      <c r="H4898">
        <v>0</v>
      </c>
      <c r="J4898" t="str">
        <f>VLOOKUP(Table3[[#This Row],[Faction ID]],Table4[],2)</f>
        <v>Haerrim</v>
      </c>
    </row>
    <row r="4899" spans="1:10" x14ac:dyDescent="0.25">
      <c r="A4899">
        <v>127</v>
      </c>
      <c r="B4899" t="s">
        <v>13</v>
      </c>
      <c r="C4899">
        <v>634</v>
      </c>
      <c r="D4899">
        <v>16</v>
      </c>
      <c r="E4899">
        <v>413.5</v>
      </c>
      <c r="F4899">
        <v>205930</v>
      </c>
      <c r="G4899">
        <v>54769</v>
      </c>
      <c r="H4899">
        <v>1</v>
      </c>
      <c r="J4899" t="str">
        <f>VLOOKUP(Table3[[#This Row],[Faction ID]],Table4[],2)</f>
        <v>Goblins</v>
      </c>
    </row>
    <row r="4900" spans="1:10" x14ac:dyDescent="0.25">
      <c r="A4900">
        <v>127</v>
      </c>
      <c r="B4900" t="s">
        <v>17</v>
      </c>
      <c r="C4900">
        <v>0</v>
      </c>
      <c r="D4900">
        <v>0</v>
      </c>
      <c r="E4900">
        <v>0</v>
      </c>
      <c r="F4900">
        <v>4872</v>
      </c>
      <c r="G4900">
        <v>1750</v>
      </c>
      <c r="H4900">
        <v>0</v>
      </c>
      <c r="J4900" t="str">
        <f>VLOOKUP(Table3[[#This Row],[Faction ID]],Table4[],2)</f>
        <v>Balchoth</v>
      </c>
    </row>
    <row r="4901" spans="1:10" x14ac:dyDescent="0.25">
      <c r="A4901">
        <v>127</v>
      </c>
      <c r="B4901" t="s">
        <v>18</v>
      </c>
      <c r="C4901">
        <v>615</v>
      </c>
      <c r="D4901">
        <v>25</v>
      </c>
      <c r="E4901">
        <v>410</v>
      </c>
      <c r="F4901">
        <v>118794</v>
      </c>
      <c r="G4901">
        <v>50888</v>
      </c>
      <c r="H4901">
        <v>3800</v>
      </c>
      <c r="J4901" t="str">
        <f>VLOOKUP(Table3[[#This Row],[Faction ID]],Table4[],2)</f>
        <v>Rhurim/Rhun</v>
      </c>
    </row>
    <row r="4902" spans="1:10" x14ac:dyDescent="0.25">
      <c r="A4902">
        <v>127</v>
      </c>
      <c r="B4902" t="s">
        <v>19</v>
      </c>
      <c r="C4902">
        <v>0</v>
      </c>
      <c r="D4902">
        <v>0</v>
      </c>
      <c r="E4902">
        <v>0</v>
      </c>
      <c r="F4902">
        <v>7360</v>
      </c>
      <c r="G4902">
        <v>1750</v>
      </c>
      <c r="H4902">
        <v>0</v>
      </c>
      <c r="J4902" t="str">
        <f>VLOOKUP(Table3[[#This Row],[Faction ID]],Table4[],2)</f>
        <v>Feredrim</v>
      </c>
    </row>
    <row r="4903" spans="1:10" x14ac:dyDescent="0.25">
      <c r="A4903">
        <v>127</v>
      </c>
      <c r="B4903" t="s">
        <v>26</v>
      </c>
      <c r="C4903">
        <v>0</v>
      </c>
      <c r="D4903">
        <v>0</v>
      </c>
      <c r="E4903">
        <v>0</v>
      </c>
      <c r="F4903">
        <v>6395</v>
      </c>
      <c r="G4903">
        <v>1750</v>
      </c>
      <c r="H4903">
        <v>0</v>
      </c>
      <c r="J4903" t="str">
        <f>VLOOKUP(Table3[[#This Row],[Faction ID]],Table4[],2)</f>
        <v>Rachrohir (Wainriders)</v>
      </c>
    </row>
    <row r="4904" spans="1:10" x14ac:dyDescent="0.25">
      <c r="A4904">
        <v>127</v>
      </c>
      <c r="B4904" t="s">
        <v>27</v>
      </c>
      <c r="C4904">
        <v>5</v>
      </c>
      <c r="D4904">
        <v>3</v>
      </c>
      <c r="E4904">
        <v>63.099999999999902</v>
      </c>
      <c r="F4904">
        <v>12219</v>
      </c>
      <c r="G4904">
        <v>13012</v>
      </c>
      <c r="H4904">
        <v>547</v>
      </c>
      <c r="J4904" t="str">
        <f>VLOOKUP(Table3[[#This Row],[Faction ID]],Table4[],2)</f>
        <v>Blacklock-Stonefoot League</v>
      </c>
    </row>
    <row r="4905" spans="1:10" x14ac:dyDescent="0.25">
      <c r="A4905">
        <v>127</v>
      </c>
      <c r="B4905" t="s">
        <v>28</v>
      </c>
      <c r="C4905">
        <v>5</v>
      </c>
      <c r="D4905">
        <v>2</v>
      </c>
      <c r="E4905">
        <v>18.100000000000001</v>
      </c>
      <c r="F4905">
        <v>15551</v>
      </c>
      <c r="G4905">
        <v>5665</v>
      </c>
      <c r="H4905">
        <v>0</v>
      </c>
      <c r="J4905" t="str">
        <f>VLOOKUP(Table3[[#This Row],[Faction ID]],Table4[],2)</f>
        <v>Ironfist-Stiffbeard Union</v>
      </c>
    </row>
    <row r="4906" spans="1:10" x14ac:dyDescent="0.25">
      <c r="A4906">
        <v>127</v>
      </c>
      <c r="B4906" t="s">
        <v>20</v>
      </c>
      <c r="C4906">
        <v>245</v>
      </c>
      <c r="D4906">
        <v>0</v>
      </c>
      <c r="E4906">
        <v>0</v>
      </c>
      <c r="F4906">
        <v>9750</v>
      </c>
      <c r="G4906">
        <v>2500</v>
      </c>
      <c r="H4906">
        <v>0</v>
      </c>
      <c r="J4906" t="str">
        <f>VLOOKUP(Table3[[#This Row],[Faction ID]],Table4[],2)</f>
        <v>Gundabad</v>
      </c>
    </row>
    <row r="4907" spans="1:10" x14ac:dyDescent="0.25">
      <c r="A4907">
        <v>127</v>
      </c>
      <c r="B4907" t="s">
        <v>34</v>
      </c>
      <c r="C4907">
        <v>0</v>
      </c>
      <c r="D4907">
        <v>0</v>
      </c>
      <c r="E4907">
        <v>3</v>
      </c>
      <c r="F4907">
        <v>145921</v>
      </c>
      <c r="G4907">
        <v>2354</v>
      </c>
      <c r="H4907">
        <v>0</v>
      </c>
      <c r="J4907" t="str">
        <f>VLOOKUP(Table3[[#This Row],[Faction ID]],Table4[],2)</f>
        <v>Scouts of Rohan</v>
      </c>
    </row>
    <row r="4908" spans="1:10" x14ac:dyDescent="0.25">
      <c r="A4908">
        <v>127</v>
      </c>
      <c r="B4908" t="s">
        <v>33</v>
      </c>
      <c r="C4908">
        <v>6</v>
      </c>
      <c r="D4908">
        <v>4</v>
      </c>
      <c r="E4908">
        <v>68.5</v>
      </c>
      <c r="F4908">
        <v>116225</v>
      </c>
      <c r="G4908">
        <v>18338</v>
      </c>
      <c r="H4908">
        <v>1027</v>
      </c>
      <c r="J4908" t="str">
        <f>VLOOKUP(Table3[[#This Row],[Faction ID]],Table4[],2)</f>
        <v>Northern Enedwaith</v>
      </c>
    </row>
    <row r="4909" spans="1:10" x14ac:dyDescent="0.25">
      <c r="A4909">
        <v>127</v>
      </c>
      <c r="B4909" t="s">
        <v>29</v>
      </c>
      <c r="C4909">
        <v>0</v>
      </c>
      <c r="D4909">
        <v>0</v>
      </c>
      <c r="E4909">
        <v>0</v>
      </c>
      <c r="F4909">
        <v>54023</v>
      </c>
      <c r="G4909">
        <v>1750</v>
      </c>
      <c r="H4909">
        <v>0</v>
      </c>
      <c r="J4909" t="str">
        <f>VLOOKUP(Table3[[#This Row],[Faction ID]],Table4[],2)</f>
        <v>Southern Enedwaith</v>
      </c>
    </row>
    <row r="4910" spans="1:10" x14ac:dyDescent="0.25">
      <c r="A4910">
        <v>127</v>
      </c>
      <c r="B4910" t="s">
        <v>30</v>
      </c>
      <c r="C4910">
        <v>0</v>
      </c>
      <c r="D4910">
        <v>0</v>
      </c>
      <c r="E4910">
        <v>0</v>
      </c>
      <c r="F4910">
        <v>32146</v>
      </c>
      <c r="G4910">
        <v>1750</v>
      </c>
      <c r="H4910">
        <v>0</v>
      </c>
      <c r="J4910" t="str">
        <f>VLOOKUP(Table3[[#This Row],[Faction ID]],Table4[],2)</f>
        <v>Druedain</v>
      </c>
    </row>
    <row r="4911" spans="1:10" x14ac:dyDescent="0.25">
      <c r="A4911">
        <v>127</v>
      </c>
      <c r="B4911" t="s">
        <v>31</v>
      </c>
      <c r="C4911">
        <v>0</v>
      </c>
      <c r="D4911">
        <v>0</v>
      </c>
      <c r="E4911">
        <v>0</v>
      </c>
      <c r="F4911">
        <v>15146</v>
      </c>
      <c r="G4911">
        <v>1750</v>
      </c>
      <c r="H4911">
        <v>0</v>
      </c>
      <c r="J4911" t="str">
        <f>VLOOKUP(Table3[[#This Row],[Faction ID]],Table4[],2)</f>
        <v>Harondor</v>
      </c>
    </row>
    <row r="4912" spans="1:10" x14ac:dyDescent="0.25">
      <c r="A4912">
        <v>127</v>
      </c>
      <c r="B4912" t="s">
        <v>35</v>
      </c>
      <c r="C4912">
        <v>0</v>
      </c>
      <c r="D4912">
        <v>0</v>
      </c>
      <c r="E4912">
        <v>0</v>
      </c>
      <c r="F4912">
        <v>4000</v>
      </c>
      <c r="G4912">
        <v>1750</v>
      </c>
      <c r="H4912">
        <v>0</v>
      </c>
      <c r="J4912" t="str">
        <f>VLOOKUP(Table3[[#This Row],[Faction ID]],Table4[],2)</f>
        <v>Southron Nomads</v>
      </c>
    </row>
    <row r="4913" spans="1:10" x14ac:dyDescent="0.25">
      <c r="A4913">
        <v>127</v>
      </c>
      <c r="B4913" t="s">
        <v>36</v>
      </c>
      <c r="C4913">
        <v>0</v>
      </c>
      <c r="D4913">
        <v>0</v>
      </c>
      <c r="E4913">
        <v>0</v>
      </c>
      <c r="F4913">
        <v>4000</v>
      </c>
      <c r="G4913">
        <v>1750</v>
      </c>
      <c r="H4913">
        <v>0</v>
      </c>
      <c r="J4913" t="str">
        <f>VLOOKUP(Table3[[#This Row],[Faction ID]],Table4[],2)</f>
        <v>_</v>
      </c>
    </row>
    <row r="4914" spans="1:10" x14ac:dyDescent="0.25">
      <c r="A4914">
        <v>127</v>
      </c>
      <c r="B4914" t="s">
        <v>37</v>
      </c>
      <c r="C4914">
        <v>0</v>
      </c>
      <c r="D4914">
        <v>0</v>
      </c>
      <c r="E4914">
        <v>0</v>
      </c>
      <c r="F4914">
        <v>4000</v>
      </c>
      <c r="G4914">
        <v>1750</v>
      </c>
      <c r="H4914">
        <v>0</v>
      </c>
      <c r="J4914" t="str">
        <f>VLOOKUP(Table3[[#This Row],[Faction ID]],Table4[],2)</f>
        <v>_</v>
      </c>
    </row>
    <row r="4915" spans="1:10" x14ac:dyDescent="0.25">
      <c r="A4915">
        <v>127</v>
      </c>
      <c r="B4915" t="s">
        <v>38</v>
      </c>
      <c r="C4915">
        <v>0</v>
      </c>
      <c r="D4915">
        <v>0</v>
      </c>
      <c r="E4915">
        <v>0</v>
      </c>
      <c r="F4915">
        <v>4000</v>
      </c>
      <c r="G4915">
        <v>1750</v>
      </c>
      <c r="H4915">
        <v>0</v>
      </c>
      <c r="J4915" t="str">
        <f>VLOOKUP(Table3[[#This Row],[Faction ID]],Table4[],2)</f>
        <v>_</v>
      </c>
    </row>
    <row r="4916" spans="1:10" x14ac:dyDescent="0.25">
      <c r="A4916">
        <v>127</v>
      </c>
      <c r="B4916" t="s">
        <v>39</v>
      </c>
      <c r="C4916">
        <v>0</v>
      </c>
      <c r="D4916">
        <v>0</v>
      </c>
      <c r="E4916">
        <v>0</v>
      </c>
      <c r="F4916">
        <v>4000</v>
      </c>
      <c r="G4916">
        <v>1750</v>
      </c>
      <c r="H4916">
        <v>0</v>
      </c>
      <c r="J4916" t="str">
        <f>VLOOKUP(Table3[[#This Row],[Faction ID]],Table4[],2)</f>
        <v>_</v>
      </c>
    </row>
    <row r="4917" spans="1:10" x14ac:dyDescent="0.25">
      <c r="A4917">
        <v>127</v>
      </c>
      <c r="B4917" t="s">
        <v>40</v>
      </c>
      <c r="C4917">
        <v>0</v>
      </c>
      <c r="D4917">
        <v>0</v>
      </c>
      <c r="E4917">
        <v>0</v>
      </c>
      <c r="F4917">
        <v>4000</v>
      </c>
      <c r="G4917">
        <v>1750</v>
      </c>
      <c r="H4917">
        <v>0</v>
      </c>
      <c r="J4917" t="str">
        <f>VLOOKUP(Table3[[#This Row],[Faction ID]],Table4[],2)</f>
        <v>_</v>
      </c>
    </row>
    <row r="4918" spans="1:10" x14ac:dyDescent="0.25">
      <c r="A4918">
        <v>127</v>
      </c>
      <c r="B4918" t="s">
        <v>41</v>
      </c>
      <c r="C4918">
        <v>0</v>
      </c>
      <c r="D4918">
        <v>0</v>
      </c>
      <c r="E4918">
        <v>0</v>
      </c>
      <c r="F4918">
        <v>4000</v>
      </c>
      <c r="G4918">
        <v>1750</v>
      </c>
      <c r="H4918">
        <v>0</v>
      </c>
      <c r="J4918" t="str">
        <f>VLOOKUP(Table3[[#This Row],[Faction ID]],Table4[],2)</f>
        <v>_</v>
      </c>
    </row>
    <row r="4919" spans="1:10" x14ac:dyDescent="0.25">
      <c r="A4919">
        <v>127</v>
      </c>
      <c r="B4919" t="s">
        <v>42</v>
      </c>
      <c r="C4919">
        <v>0</v>
      </c>
      <c r="D4919">
        <v>0</v>
      </c>
      <c r="E4919">
        <v>0</v>
      </c>
      <c r="F4919">
        <v>4000</v>
      </c>
      <c r="G4919">
        <v>1750</v>
      </c>
      <c r="H4919">
        <v>0</v>
      </c>
      <c r="J4919" t="str">
        <f>VLOOKUP(Table3[[#This Row],[Faction ID]],Table4[],2)</f>
        <v>_</v>
      </c>
    </row>
    <row r="4920" spans="1:10" x14ac:dyDescent="0.25">
      <c r="A4920">
        <v>127</v>
      </c>
      <c r="B4920" t="s">
        <v>43</v>
      </c>
      <c r="C4920">
        <v>0</v>
      </c>
      <c r="D4920">
        <v>0</v>
      </c>
      <c r="E4920">
        <v>0</v>
      </c>
      <c r="F4920">
        <v>4000</v>
      </c>
      <c r="G4920">
        <v>1750</v>
      </c>
      <c r="H4920">
        <v>0</v>
      </c>
      <c r="J4920" t="str">
        <f>VLOOKUP(Table3[[#This Row],[Faction ID]],Table4[],2)</f>
        <v>_</v>
      </c>
    </row>
    <row r="4921" spans="1:10" x14ac:dyDescent="0.25">
      <c r="A4921">
        <v>127</v>
      </c>
      <c r="B4921" t="s">
        <v>44</v>
      </c>
      <c r="C4921">
        <v>0</v>
      </c>
      <c r="D4921">
        <v>0</v>
      </c>
      <c r="E4921">
        <v>0</v>
      </c>
      <c r="F4921">
        <v>4000</v>
      </c>
      <c r="G4921">
        <v>1750</v>
      </c>
      <c r="H4921">
        <v>0</v>
      </c>
      <c r="J4921" t="str">
        <f>VLOOKUP(Table3[[#This Row],[Faction ID]],Table4[],2)</f>
        <v>_</v>
      </c>
    </row>
    <row r="4922" spans="1:10" x14ac:dyDescent="0.25">
      <c r="A4922">
        <v>128</v>
      </c>
      <c r="B4922" t="s">
        <v>9</v>
      </c>
      <c r="C4922">
        <v>644</v>
      </c>
      <c r="D4922">
        <v>38</v>
      </c>
      <c r="E4922">
        <v>519.9</v>
      </c>
      <c r="F4922">
        <v>10825</v>
      </c>
      <c r="G4922">
        <v>70196</v>
      </c>
      <c r="H4922">
        <v>4122</v>
      </c>
      <c r="J4922" t="str">
        <f>VLOOKUP(Table3[[#This Row],[Faction ID]],Table4[],2)</f>
        <v>Mordor</v>
      </c>
    </row>
    <row r="4923" spans="1:10" x14ac:dyDescent="0.25">
      <c r="A4923">
        <v>128</v>
      </c>
      <c r="B4923" t="s">
        <v>4</v>
      </c>
      <c r="C4923">
        <v>146</v>
      </c>
      <c r="D4923">
        <v>0</v>
      </c>
      <c r="E4923">
        <v>0</v>
      </c>
      <c r="F4923">
        <v>55420</v>
      </c>
      <c r="G4923">
        <v>2500</v>
      </c>
      <c r="H4923">
        <v>0</v>
      </c>
      <c r="J4923" t="str">
        <f>VLOOKUP(Table3[[#This Row],[Faction ID]],Table4[],2)</f>
        <v>Gondor</v>
      </c>
    </row>
    <row r="4924" spans="1:10" x14ac:dyDescent="0.25">
      <c r="A4924">
        <v>128</v>
      </c>
      <c r="B4924" t="s">
        <v>6</v>
      </c>
      <c r="C4924">
        <v>199</v>
      </c>
      <c r="D4924">
        <v>0</v>
      </c>
      <c r="E4924">
        <v>0</v>
      </c>
      <c r="F4924">
        <v>10343</v>
      </c>
      <c r="G4924">
        <v>2500</v>
      </c>
      <c r="H4924">
        <v>0</v>
      </c>
      <c r="J4924" t="str">
        <f>VLOOKUP(Table3[[#This Row],[Faction ID]],Table4[],2)</f>
        <v>Dale</v>
      </c>
    </row>
    <row r="4925" spans="1:10" x14ac:dyDescent="0.25">
      <c r="A4925">
        <v>128</v>
      </c>
      <c r="B4925" t="s">
        <v>21</v>
      </c>
      <c r="C4925">
        <v>200</v>
      </c>
      <c r="D4925">
        <v>0</v>
      </c>
      <c r="E4925">
        <v>0</v>
      </c>
      <c r="F4925">
        <v>10040</v>
      </c>
      <c r="G4925">
        <v>2500</v>
      </c>
      <c r="H4925">
        <v>0</v>
      </c>
      <c r="J4925" t="str">
        <f>VLOOKUP(Table3[[#This Row],[Faction ID]],Table4[],2)</f>
        <v>Erebor</v>
      </c>
    </row>
    <row r="4926" spans="1:10" x14ac:dyDescent="0.25">
      <c r="A4926">
        <v>128</v>
      </c>
      <c r="B4926" t="s">
        <v>5</v>
      </c>
      <c r="C4926">
        <v>157</v>
      </c>
      <c r="D4926">
        <v>0</v>
      </c>
      <c r="E4926">
        <v>0</v>
      </c>
      <c r="F4926">
        <v>6638</v>
      </c>
      <c r="G4926">
        <v>2500</v>
      </c>
      <c r="H4926">
        <v>0</v>
      </c>
      <c r="J4926" t="str">
        <f>VLOOKUP(Table3[[#This Row],[Faction ID]],Table4[],2)</f>
        <v>Rohan</v>
      </c>
    </row>
    <row r="4927" spans="1:10" x14ac:dyDescent="0.25">
      <c r="A4927">
        <v>128</v>
      </c>
      <c r="B4927" t="s">
        <v>12</v>
      </c>
      <c r="C4927">
        <v>515</v>
      </c>
      <c r="D4927">
        <v>23</v>
      </c>
      <c r="E4927">
        <v>363.6</v>
      </c>
      <c r="F4927">
        <v>301659</v>
      </c>
      <c r="G4927">
        <v>58957</v>
      </c>
      <c r="H4927">
        <v>4741</v>
      </c>
      <c r="J4927" t="str">
        <f>VLOOKUP(Table3[[#This Row],[Faction ID]],Table4[],2)</f>
        <v>Dol Guldur</v>
      </c>
    </row>
    <row r="4928" spans="1:10" x14ac:dyDescent="0.25">
      <c r="A4928">
        <v>128</v>
      </c>
      <c r="B4928" t="s">
        <v>10</v>
      </c>
      <c r="C4928">
        <v>58</v>
      </c>
      <c r="D4928">
        <v>0</v>
      </c>
      <c r="E4928">
        <v>0</v>
      </c>
      <c r="F4928">
        <v>4515</v>
      </c>
      <c r="G4928">
        <v>2500</v>
      </c>
      <c r="H4928">
        <v>0</v>
      </c>
      <c r="J4928" t="str">
        <f>VLOOKUP(Table3[[#This Row],[Faction ID]],Table4[],2)</f>
        <v>Anduin Vale</v>
      </c>
    </row>
    <row r="4929" spans="1:10" x14ac:dyDescent="0.25">
      <c r="A4929">
        <v>128</v>
      </c>
      <c r="B4929" t="s">
        <v>32</v>
      </c>
      <c r="C4929">
        <v>323</v>
      </c>
      <c r="D4929">
        <v>6</v>
      </c>
      <c r="E4929">
        <v>136</v>
      </c>
      <c r="F4929">
        <v>25066</v>
      </c>
      <c r="G4929">
        <v>25898</v>
      </c>
      <c r="H4929">
        <v>1279</v>
      </c>
      <c r="J4929" t="str">
        <f>VLOOKUP(Table3[[#This Row],[Faction ID]],Table4[],2)</f>
        <v>Isengard</v>
      </c>
    </row>
    <row r="4930" spans="1:10" x14ac:dyDescent="0.25">
      <c r="A4930">
        <v>128</v>
      </c>
      <c r="B4930" t="s">
        <v>22</v>
      </c>
      <c r="C4930">
        <v>30</v>
      </c>
      <c r="D4930">
        <v>0</v>
      </c>
      <c r="E4930">
        <v>0</v>
      </c>
      <c r="F4930">
        <v>8475</v>
      </c>
      <c r="G4930">
        <v>2500</v>
      </c>
      <c r="H4930">
        <v>0</v>
      </c>
      <c r="J4930" t="str">
        <f>VLOOKUP(Table3[[#This Row],[Faction ID]],Table4[],2)</f>
        <v>Woodland Realm</v>
      </c>
    </row>
    <row r="4931" spans="1:10" x14ac:dyDescent="0.25">
      <c r="A4931">
        <v>128</v>
      </c>
      <c r="B4931" t="s">
        <v>23</v>
      </c>
      <c r="C4931">
        <v>64</v>
      </c>
      <c r="D4931">
        <v>0</v>
      </c>
      <c r="E4931">
        <v>0</v>
      </c>
      <c r="F4931">
        <v>4721</v>
      </c>
      <c r="G4931">
        <v>2500</v>
      </c>
      <c r="H4931">
        <v>0</v>
      </c>
      <c r="J4931" t="str">
        <f>VLOOKUP(Table3[[#This Row],[Faction ID]],Table4[],2)</f>
        <v>Lothlorien</v>
      </c>
    </row>
    <row r="4932" spans="1:10" x14ac:dyDescent="0.25">
      <c r="A4932">
        <v>128</v>
      </c>
      <c r="B4932" t="s">
        <v>24</v>
      </c>
      <c r="C4932">
        <v>0</v>
      </c>
      <c r="D4932">
        <v>0</v>
      </c>
      <c r="E4932">
        <v>0</v>
      </c>
      <c r="F4932">
        <v>4919</v>
      </c>
      <c r="G4932">
        <v>1750</v>
      </c>
      <c r="H4932">
        <v>0</v>
      </c>
      <c r="J4932" t="str">
        <f>VLOOKUP(Table3[[#This Row],[Faction ID]],Table4[],2)</f>
        <v>Variags (Khand)</v>
      </c>
    </row>
    <row r="4933" spans="1:10" x14ac:dyDescent="0.25">
      <c r="A4933">
        <v>128</v>
      </c>
      <c r="B4933" t="s">
        <v>14</v>
      </c>
      <c r="C4933">
        <v>20</v>
      </c>
      <c r="D4933">
        <v>14</v>
      </c>
      <c r="E4933">
        <v>246.1</v>
      </c>
      <c r="F4933">
        <v>277982</v>
      </c>
      <c r="G4933">
        <v>57302</v>
      </c>
      <c r="H4933">
        <v>4849</v>
      </c>
      <c r="J4933" t="str">
        <f>VLOOKUP(Table3[[#This Row],[Faction ID]],Table4[],2)</f>
        <v>Corsairs of Umbar</v>
      </c>
    </row>
    <row r="4934" spans="1:10" x14ac:dyDescent="0.25">
      <c r="A4934">
        <v>128</v>
      </c>
      <c r="B4934" t="s">
        <v>25</v>
      </c>
      <c r="C4934">
        <v>0</v>
      </c>
      <c r="D4934">
        <v>0</v>
      </c>
      <c r="E4934">
        <v>0</v>
      </c>
      <c r="F4934">
        <v>9228</v>
      </c>
      <c r="G4934">
        <v>1750</v>
      </c>
      <c r="H4934">
        <v>0</v>
      </c>
      <c r="J4934" t="str">
        <f>VLOOKUP(Table3[[#This Row],[Faction ID]],Table4[],2)</f>
        <v>Mahud</v>
      </c>
    </row>
    <row r="4935" spans="1:10" x14ac:dyDescent="0.25">
      <c r="A4935">
        <v>128</v>
      </c>
      <c r="B4935" t="s">
        <v>11</v>
      </c>
      <c r="C4935">
        <v>345</v>
      </c>
      <c r="D4935">
        <v>14</v>
      </c>
      <c r="E4935">
        <v>209.5</v>
      </c>
      <c r="F4935">
        <v>95678</v>
      </c>
      <c r="G4935">
        <v>33370</v>
      </c>
      <c r="H4935">
        <v>2616</v>
      </c>
      <c r="J4935" t="str">
        <f>VLOOKUP(Table3[[#This Row],[Faction ID]],Table4[],2)</f>
        <v>Haradrim</v>
      </c>
    </row>
    <row r="4936" spans="1:10" x14ac:dyDescent="0.25">
      <c r="A4936">
        <v>128</v>
      </c>
      <c r="B4936" t="s">
        <v>15</v>
      </c>
      <c r="C4936">
        <v>307</v>
      </c>
      <c r="D4936">
        <v>12</v>
      </c>
      <c r="E4936">
        <v>262.10000000000002</v>
      </c>
      <c r="F4936">
        <v>217060</v>
      </c>
      <c r="G4936">
        <v>47874</v>
      </c>
      <c r="H4936">
        <v>691</v>
      </c>
      <c r="J4936" t="str">
        <f>VLOOKUP(Table3[[#This Row],[Faction ID]],Table4[],2)</f>
        <v>Dunlendings</v>
      </c>
    </row>
    <row r="4937" spans="1:10" x14ac:dyDescent="0.25">
      <c r="A4937">
        <v>128</v>
      </c>
      <c r="B4937" t="s">
        <v>16</v>
      </c>
      <c r="C4937">
        <v>0</v>
      </c>
      <c r="D4937">
        <v>0</v>
      </c>
      <c r="E4937">
        <v>0</v>
      </c>
      <c r="F4937">
        <v>5352</v>
      </c>
      <c r="G4937">
        <v>1750</v>
      </c>
      <c r="H4937">
        <v>0</v>
      </c>
      <c r="J4937" t="str">
        <f>VLOOKUP(Table3[[#This Row],[Faction ID]],Table4[],2)</f>
        <v>Haerrim</v>
      </c>
    </row>
    <row r="4938" spans="1:10" x14ac:dyDescent="0.25">
      <c r="A4938">
        <v>128</v>
      </c>
      <c r="B4938" t="s">
        <v>13</v>
      </c>
      <c r="C4938">
        <v>634</v>
      </c>
      <c r="D4938">
        <v>16</v>
      </c>
      <c r="E4938">
        <v>390.1</v>
      </c>
      <c r="F4938">
        <v>207303</v>
      </c>
      <c r="G4938">
        <v>52756</v>
      </c>
      <c r="H4938">
        <v>1</v>
      </c>
      <c r="J4938" t="str">
        <f>VLOOKUP(Table3[[#This Row],[Faction ID]],Table4[],2)</f>
        <v>Goblins</v>
      </c>
    </row>
    <row r="4939" spans="1:10" x14ac:dyDescent="0.25">
      <c r="A4939">
        <v>128</v>
      </c>
      <c r="B4939" t="s">
        <v>17</v>
      </c>
      <c r="C4939">
        <v>0</v>
      </c>
      <c r="D4939">
        <v>0</v>
      </c>
      <c r="E4939">
        <v>0</v>
      </c>
      <c r="F4939">
        <v>4872</v>
      </c>
      <c r="G4939">
        <v>1750</v>
      </c>
      <c r="H4939">
        <v>0</v>
      </c>
      <c r="J4939" t="str">
        <f>VLOOKUP(Table3[[#This Row],[Faction ID]],Table4[],2)</f>
        <v>Balchoth</v>
      </c>
    </row>
    <row r="4940" spans="1:10" x14ac:dyDescent="0.25">
      <c r="A4940">
        <v>128</v>
      </c>
      <c r="B4940" t="s">
        <v>18</v>
      </c>
      <c r="C4940">
        <v>623</v>
      </c>
      <c r="D4940">
        <v>25</v>
      </c>
      <c r="E4940">
        <v>390.7</v>
      </c>
      <c r="F4940">
        <v>128630</v>
      </c>
      <c r="G4940">
        <v>47698</v>
      </c>
      <c r="H4940">
        <v>3801</v>
      </c>
      <c r="J4940" t="str">
        <f>VLOOKUP(Table3[[#This Row],[Faction ID]],Table4[],2)</f>
        <v>Rhurim/Rhun</v>
      </c>
    </row>
    <row r="4941" spans="1:10" x14ac:dyDescent="0.25">
      <c r="A4941">
        <v>128</v>
      </c>
      <c r="B4941" t="s">
        <v>19</v>
      </c>
      <c r="C4941">
        <v>0</v>
      </c>
      <c r="D4941">
        <v>0</v>
      </c>
      <c r="E4941">
        <v>0</v>
      </c>
      <c r="F4941">
        <v>7360</v>
      </c>
      <c r="G4941">
        <v>1750</v>
      </c>
      <c r="H4941">
        <v>0</v>
      </c>
      <c r="J4941" t="str">
        <f>VLOOKUP(Table3[[#This Row],[Faction ID]],Table4[],2)</f>
        <v>Feredrim</v>
      </c>
    </row>
    <row r="4942" spans="1:10" x14ac:dyDescent="0.25">
      <c r="A4942">
        <v>128</v>
      </c>
      <c r="B4942" t="s">
        <v>26</v>
      </c>
      <c r="C4942">
        <v>0</v>
      </c>
      <c r="D4942">
        <v>0</v>
      </c>
      <c r="E4942">
        <v>0</v>
      </c>
      <c r="F4942">
        <v>6395</v>
      </c>
      <c r="G4942">
        <v>1750</v>
      </c>
      <c r="H4942">
        <v>0</v>
      </c>
      <c r="J4942" t="str">
        <f>VLOOKUP(Table3[[#This Row],[Faction ID]],Table4[],2)</f>
        <v>Rachrohir (Wainriders)</v>
      </c>
    </row>
    <row r="4943" spans="1:10" x14ac:dyDescent="0.25">
      <c r="A4943">
        <v>128</v>
      </c>
      <c r="B4943" t="s">
        <v>27</v>
      </c>
      <c r="C4943">
        <v>5</v>
      </c>
      <c r="D4943">
        <v>3</v>
      </c>
      <c r="E4943">
        <v>67.400000000000006</v>
      </c>
      <c r="F4943">
        <v>15494</v>
      </c>
      <c r="G4943">
        <v>13855</v>
      </c>
      <c r="H4943">
        <v>548</v>
      </c>
      <c r="J4943" t="str">
        <f>VLOOKUP(Table3[[#This Row],[Faction ID]],Table4[],2)</f>
        <v>Blacklock-Stonefoot League</v>
      </c>
    </row>
    <row r="4944" spans="1:10" x14ac:dyDescent="0.25">
      <c r="A4944">
        <v>128</v>
      </c>
      <c r="B4944" t="s">
        <v>28</v>
      </c>
      <c r="C4944">
        <v>5</v>
      </c>
      <c r="D4944">
        <v>2</v>
      </c>
      <c r="E4944">
        <v>18.100000000000001</v>
      </c>
      <c r="F4944">
        <v>14351</v>
      </c>
      <c r="G4944">
        <v>6269</v>
      </c>
      <c r="H4944">
        <v>0</v>
      </c>
      <c r="J4944" t="str">
        <f>VLOOKUP(Table3[[#This Row],[Faction ID]],Table4[],2)</f>
        <v>Ironfist-Stiffbeard Union</v>
      </c>
    </row>
    <row r="4945" spans="1:10" x14ac:dyDescent="0.25">
      <c r="A4945">
        <v>128</v>
      </c>
      <c r="B4945" t="s">
        <v>20</v>
      </c>
      <c r="C4945">
        <v>245</v>
      </c>
      <c r="D4945">
        <v>0</v>
      </c>
      <c r="E4945">
        <v>0</v>
      </c>
      <c r="F4945">
        <v>9750</v>
      </c>
      <c r="G4945">
        <v>2500</v>
      </c>
      <c r="H4945">
        <v>0</v>
      </c>
      <c r="J4945" t="str">
        <f>VLOOKUP(Table3[[#This Row],[Faction ID]],Table4[],2)</f>
        <v>Gundabad</v>
      </c>
    </row>
    <row r="4946" spans="1:10" x14ac:dyDescent="0.25">
      <c r="A4946">
        <v>128</v>
      </c>
      <c r="B4946" t="s">
        <v>34</v>
      </c>
      <c r="C4946">
        <v>0</v>
      </c>
      <c r="D4946">
        <v>0</v>
      </c>
      <c r="E4946">
        <v>3</v>
      </c>
      <c r="F4946">
        <v>147067</v>
      </c>
      <c r="G4946">
        <v>2354</v>
      </c>
      <c r="H4946">
        <v>0</v>
      </c>
      <c r="J4946" t="str">
        <f>VLOOKUP(Table3[[#This Row],[Faction ID]],Table4[],2)</f>
        <v>Scouts of Rohan</v>
      </c>
    </row>
    <row r="4947" spans="1:10" x14ac:dyDescent="0.25">
      <c r="A4947">
        <v>128</v>
      </c>
      <c r="B4947" t="s">
        <v>33</v>
      </c>
      <c r="C4947">
        <v>4</v>
      </c>
      <c r="D4947">
        <v>3</v>
      </c>
      <c r="E4947">
        <v>58.5</v>
      </c>
      <c r="F4947">
        <v>105926</v>
      </c>
      <c r="G4947">
        <v>11719</v>
      </c>
      <c r="H4947">
        <v>0</v>
      </c>
      <c r="J4947" t="str">
        <f>VLOOKUP(Table3[[#This Row],[Faction ID]],Table4[],2)</f>
        <v>Northern Enedwaith</v>
      </c>
    </row>
    <row r="4948" spans="1:10" x14ac:dyDescent="0.25">
      <c r="A4948">
        <v>128</v>
      </c>
      <c r="B4948" t="s">
        <v>29</v>
      </c>
      <c r="C4948">
        <v>0</v>
      </c>
      <c r="D4948">
        <v>0</v>
      </c>
      <c r="E4948">
        <v>0</v>
      </c>
      <c r="F4948">
        <v>54023</v>
      </c>
      <c r="G4948">
        <v>1750</v>
      </c>
      <c r="H4948">
        <v>0</v>
      </c>
      <c r="J4948" t="str">
        <f>VLOOKUP(Table3[[#This Row],[Faction ID]],Table4[],2)</f>
        <v>Southern Enedwaith</v>
      </c>
    </row>
    <row r="4949" spans="1:10" x14ac:dyDescent="0.25">
      <c r="A4949">
        <v>128</v>
      </c>
      <c r="B4949" t="s">
        <v>30</v>
      </c>
      <c r="C4949">
        <v>0</v>
      </c>
      <c r="D4949">
        <v>0</v>
      </c>
      <c r="E4949">
        <v>0</v>
      </c>
      <c r="F4949">
        <v>32146</v>
      </c>
      <c r="G4949">
        <v>1750</v>
      </c>
      <c r="H4949">
        <v>0</v>
      </c>
      <c r="J4949" t="str">
        <f>VLOOKUP(Table3[[#This Row],[Faction ID]],Table4[],2)</f>
        <v>Druedain</v>
      </c>
    </row>
    <row r="4950" spans="1:10" x14ac:dyDescent="0.25">
      <c r="A4950">
        <v>128</v>
      </c>
      <c r="B4950" t="s">
        <v>31</v>
      </c>
      <c r="C4950">
        <v>0</v>
      </c>
      <c r="D4950">
        <v>0</v>
      </c>
      <c r="E4950">
        <v>0</v>
      </c>
      <c r="F4950">
        <v>15146</v>
      </c>
      <c r="G4950">
        <v>1750</v>
      </c>
      <c r="H4950">
        <v>0</v>
      </c>
      <c r="J4950" t="str">
        <f>VLOOKUP(Table3[[#This Row],[Faction ID]],Table4[],2)</f>
        <v>Harondor</v>
      </c>
    </row>
    <row r="4951" spans="1:10" x14ac:dyDescent="0.25">
      <c r="A4951">
        <v>128</v>
      </c>
      <c r="B4951" t="s">
        <v>35</v>
      </c>
      <c r="C4951">
        <v>0</v>
      </c>
      <c r="D4951">
        <v>0</v>
      </c>
      <c r="E4951">
        <v>0</v>
      </c>
      <c r="F4951">
        <v>4000</v>
      </c>
      <c r="G4951">
        <v>1750</v>
      </c>
      <c r="H4951">
        <v>0</v>
      </c>
      <c r="J4951" t="str">
        <f>VLOOKUP(Table3[[#This Row],[Faction ID]],Table4[],2)</f>
        <v>Southron Nomads</v>
      </c>
    </row>
    <row r="4952" spans="1:10" x14ac:dyDescent="0.25">
      <c r="A4952">
        <v>128</v>
      </c>
      <c r="B4952" t="s">
        <v>36</v>
      </c>
      <c r="C4952">
        <v>0</v>
      </c>
      <c r="D4952">
        <v>0</v>
      </c>
      <c r="E4952">
        <v>0</v>
      </c>
      <c r="F4952">
        <v>4000</v>
      </c>
      <c r="G4952">
        <v>1750</v>
      </c>
      <c r="H4952">
        <v>0</v>
      </c>
      <c r="J4952" t="str">
        <f>VLOOKUP(Table3[[#This Row],[Faction ID]],Table4[],2)</f>
        <v>_</v>
      </c>
    </row>
    <row r="4953" spans="1:10" x14ac:dyDescent="0.25">
      <c r="A4953">
        <v>128</v>
      </c>
      <c r="B4953" t="s">
        <v>37</v>
      </c>
      <c r="C4953">
        <v>0</v>
      </c>
      <c r="D4953">
        <v>0</v>
      </c>
      <c r="E4953">
        <v>0</v>
      </c>
      <c r="F4953">
        <v>4000</v>
      </c>
      <c r="G4953">
        <v>1750</v>
      </c>
      <c r="H4953">
        <v>0</v>
      </c>
      <c r="J4953" t="str">
        <f>VLOOKUP(Table3[[#This Row],[Faction ID]],Table4[],2)</f>
        <v>_</v>
      </c>
    </row>
    <row r="4954" spans="1:10" x14ac:dyDescent="0.25">
      <c r="A4954">
        <v>128</v>
      </c>
      <c r="B4954" t="s">
        <v>38</v>
      </c>
      <c r="C4954">
        <v>0</v>
      </c>
      <c r="D4954">
        <v>0</v>
      </c>
      <c r="E4954">
        <v>0</v>
      </c>
      <c r="F4954">
        <v>4000</v>
      </c>
      <c r="G4954">
        <v>1750</v>
      </c>
      <c r="H4954">
        <v>0</v>
      </c>
      <c r="J4954" t="str">
        <f>VLOOKUP(Table3[[#This Row],[Faction ID]],Table4[],2)</f>
        <v>_</v>
      </c>
    </row>
    <row r="4955" spans="1:10" x14ac:dyDescent="0.25">
      <c r="A4955">
        <v>128</v>
      </c>
      <c r="B4955" t="s">
        <v>39</v>
      </c>
      <c r="C4955">
        <v>0</v>
      </c>
      <c r="D4955">
        <v>0</v>
      </c>
      <c r="E4955">
        <v>0</v>
      </c>
      <c r="F4955">
        <v>4000</v>
      </c>
      <c r="G4955">
        <v>1750</v>
      </c>
      <c r="H4955">
        <v>0</v>
      </c>
      <c r="J4955" t="str">
        <f>VLOOKUP(Table3[[#This Row],[Faction ID]],Table4[],2)</f>
        <v>_</v>
      </c>
    </row>
    <row r="4956" spans="1:10" x14ac:dyDescent="0.25">
      <c r="A4956">
        <v>128</v>
      </c>
      <c r="B4956" t="s">
        <v>40</v>
      </c>
      <c r="C4956">
        <v>0</v>
      </c>
      <c r="D4956">
        <v>0</v>
      </c>
      <c r="E4956">
        <v>0</v>
      </c>
      <c r="F4956">
        <v>4000</v>
      </c>
      <c r="G4956">
        <v>1750</v>
      </c>
      <c r="H4956">
        <v>0</v>
      </c>
      <c r="J4956" t="str">
        <f>VLOOKUP(Table3[[#This Row],[Faction ID]],Table4[],2)</f>
        <v>_</v>
      </c>
    </row>
    <row r="4957" spans="1:10" x14ac:dyDescent="0.25">
      <c r="A4957">
        <v>128</v>
      </c>
      <c r="B4957" t="s">
        <v>41</v>
      </c>
      <c r="C4957">
        <v>0</v>
      </c>
      <c r="D4957">
        <v>0</v>
      </c>
      <c r="E4957">
        <v>0</v>
      </c>
      <c r="F4957">
        <v>4000</v>
      </c>
      <c r="G4957">
        <v>1750</v>
      </c>
      <c r="H4957">
        <v>0</v>
      </c>
      <c r="J4957" t="str">
        <f>VLOOKUP(Table3[[#This Row],[Faction ID]],Table4[],2)</f>
        <v>_</v>
      </c>
    </row>
    <row r="4958" spans="1:10" x14ac:dyDescent="0.25">
      <c r="A4958">
        <v>128</v>
      </c>
      <c r="B4958" t="s">
        <v>42</v>
      </c>
      <c r="C4958">
        <v>0</v>
      </c>
      <c r="D4958">
        <v>0</v>
      </c>
      <c r="E4958">
        <v>0</v>
      </c>
      <c r="F4958">
        <v>4000</v>
      </c>
      <c r="G4958">
        <v>1750</v>
      </c>
      <c r="H4958">
        <v>0</v>
      </c>
      <c r="J4958" t="str">
        <f>VLOOKUP(Table3[[#This Row],[Faction ID]],Table4[],2)</f>
        <v>_</v>
      </c>
    </row>
    <row r="4959" spans="1:10" x14ac:dyDescent="0.25">
      <c r="A4959">
        <v>128</v>
      </c>
      <c r="B4959" t="s">
        <v>43</v>
      </c>
      <c r="C4959">
        <v>0</v>
      </c>
      <c r="D4959">
        <v>0</v>
      </c>
      <c r="E4959">
        <v>0</v>
      </c>
      <c r="F4959">
        <v>4000</v>
      </c>
      <c r="G4959">
        <v>1750</v>
      </c>
      <c r="H4959">
        <v>0</v>
      </c>
      <c r="J4959" t="str">
        <f>VLOOKUP(Table3[[#This Row],[Faction ID]],Table4[],2)</f>
        <v>_</v>
      </c>
    </row>
    <row r="4960" spans="1:10" x14ac:dyDescent="0.25">
      <c r="A4960">
        <v>128</v>
      </c>
      <c r="B4960" t="s">
        <v>44</v>
      </c>
      <c r="C4960">
        <v>0</v>
      </c>
      <c r="D4960">
        <v>0</v>
      </c>
      <c r="E4960">
        <v>0</v>
      </c>
      <c r="F4960">
        <v>4000</v>
      </c>
      <c r="G4960">
        <v>1750</v>
      </c>
      <c r="H4960">
        <v>0</v>
      </c>
      <c r="J4960" t="str">
        <f>VLOOKUP(Table3[[#This Row],[Faction ID]],Table4[],2)</f>
        <v>_</v>
      </c>
    </row>
    <row r="4961" spans="1:10" x14ac:dyDescent="0.25">
      <c r="A4961">
        <v>129</v>
      </c>
      <c r="B4961" t="s">
        <v>9</v>
      </c>
      <c r="C4961">
        <v>645</v>
      </c>
      <c r="D4961">
        <v>39</v>
      </c>
      <c r="E4961">
        <v>532.1</v>
      </c>
      <c r="F4961">
        <v>7763</v>
      </c>
      <c r="G4961">
        <v>74430</v>
      </c>
      <c r="H4961">
        <v>4141</v>
      </c>
      <c r="J4961" t="str">
        <f>VLOOKUP(Table3[[#This Row],[Faction ID]],Table4[],2)</f>
        <v>Mordor</v>
      </c>
    </row>
    <row r="4962" spans="1:10" x14ac:dyDescent="0.25">
      <c r="A4962">
        <v>129</v>
      </c>
      <c r="B4962" t="s">
        <v>4</v>
      </c>
      <c r="C4962">
        <v>146</v>
      </c>
      <c r="D4962">
        <v>0</v>
      </c>
      <c r="E4962">
        <v>0</v>
      </c>
      <c r="F4962">
        <v>55420</v>
      </c>
      <c r="G4962">
        <v>2500</v>
      </c>
      <c r="H4962">
        <v>0</v>
      </c>
      <c r="J4962" t="str">
        <f>VLOOKUP(Table3[[#This Row],[Faction ID]],Table4[],2)</f>
        <v>Gondor</v>
      </c>
    </row>
    <row r="4963" spans="1:10" x14ac:dyDescent="0.25">
      <c r="A4963">
        <v>129</v>
      </c>
      <c r="B4963" t="s">
        <v>6</v>
      </c>
      <c r="C4963">
        <v>199</v>
      </c>
      <c r="D4963">
        <v>0</v>
      </c>
      <c r="E4963">
        <v>0</v>
      </c>
      <c r="F4963">
        <v>10343</v>
      </c>
      <c r="G4963">
        <v>2500</v>
      </c>
      <c r="H4963">
        <v>0</v>
      </c>
      <c r="J4963" t="str">
        <f>VLOOKUP(Table3[[#This Row],[Faction ID]],Table4[],2)</f>
        <v>Dale</v>
      </c>
    </row>
    <row r="4964" spans="1:10" x14ac:dyDescent="0.25">
      <c r="A4964">
        <v>129</v>
      </c>
      <c r="B4964" t="s">
        <v>21</v>
      </c>
      <c r="C4964">
        <v>200</v>
      </c>
      <c r="D4964">
        <v>0</v>
      </c>
      <c r="E4964">
        <v>0</v>
      </c>
      <c r="F4964">
        <v>10040</v>
      </c>
      <c r="G4964">
        <v>2500</v>
      </c>
      <c r="H4964">
        <v>0</v>
      </c>
      <c r="J4964" t="str">
        <f>VLOOKUP(Table3[[#This Row],[Faction ID]],Table4[],2)</f>
        <v>Erebor</v>
      </c>
    </row>
    <row r="4965" spans="1:10" x14ac:dyDescent="0.25">
      <c r="A4965">
        <v>129</v>
      </c>
      <c r="B4965" t="s">
        <v>5</v>
      </c>
      <c r="C4965">
        <v>157</v>
      </c>
      <c r="D4965">
        <v>0</v>
      </c>
      <c r="E4965">
        <v>0</v>
      </c>
      <c r="F4965">
        <v>6638</v>
      </c>
      <c r="G4965">
        <v>2500</v>
      </c>
      <c r="H4965">
        <v>0</v>
      </c>
      <c r="J4965" t="str">
        <f>VLOOKUP(Table3[[#This Row],[Faction ID]],Table4[],2)</f>
        <v>Rohan</v>
      </c>
    </row>
    <row r="4966" spans="1:10" x14ac:dyDescent="0.25">
      <c r="A4966">
        <v>129</v>
      </c>
      <c r="B4966" t="s">
        <v>12</v>
      </c>
      <c r="C4966">
        <v>520</v>
      </c>
      <c r="D4966">
        <v>23</v>
      </c>
      <c r="E4966">
        <v>380.2</v>
      </c>
      <c r="F4966">
        <v>297713</v>
      </c>
      <c r="G4966">
        <v>63996</v>
      </c>
      <c r="H4966">
        <v>4873</v>
      </c>
      <c r="J4966" t="str">
        <f>VLOOKUP(Table3[[#This Row],[Faction ID]],Table4[],2)</f>
        <v>Dol Guldur</v>
      </c>
    </row>
    <row r="4967" spans="1:10" x14ac:dyDescent="0.25">
      <c r="A4967">
        <v>129</v>
      </c>
      <c r="B4967" t="s">
        <v>10</v>
      </c>
      <c r="C4967">
        <v>58</v>
      </c>
      <c r="D4967">
        <v>0</v>
      </c>
      <c r="E4967">
        <v>0</v>
      </c>
      <c r="F4967">
        <v>4515</v>
      </c>
      <c r="G4967">
        <v>2500</v>
      </c>
      <c r="H4967">
        <v>0</v>
      </c>
      <c r="J4967" t="str">
        <f>VLOOKUP(Table3[[#This Row],[Faction ID]],Table4[],2)</f>
        <v>Anduin Vale</v>
      </c>
    </row>
    <row r="4968" spans="1:10" x14ac:dyDescent="0.25">
      <c r="A4968">
        <v>129</v>
      </c>
      <c r="B4968" t="s">
        <v>32</v>
      </c>
      <c r="C4968">
        <v>328</v>
      </c>
      <c r="D4968">
        <v>6</v>
      </c>
      <c r="E4968">
        <v>152.5</v>
      </c>
      <c r="F4968">
        <v>23410</v>
      </c>
      <c r="G4968">
        <v>27254</v>
      </c>
      <c r="H4968">
        <v>1289</v>
      </c>
      <c r="J4968" t="str">
        <f>VLOOKUP(Table3[[#This Row],[Faction ID]],Table4[],2)</f>
        <v>Isengard</v>
      </c>
    </row>
    <row r="4969" spans="1:10" x14ac:dyDescent="0.25">
      <c r="A4969">
        <v>129</v>
      </c>
      <c r="B4969" t="s">
        <v>22</v>
      </c>
      <c r="C4969">
        <v>30</v>
      </c>
      <c r="D4969">
        <v>0</v>
      </c>
      <c r="E4969">
        <v>0</v>
      </c>
      <c r="F4969">
        <v>8475</v>
      </c>
      <c r="G4969">
        <v>2500</v>
      </c>
      <c r="H4969">
        <v>0</v>
      </c>
      <c r="J4969" t="str">
        <f>VLOOKUP(Table3[[#This Row],[Faction ID]],Table4[],2)</f>
        <v>Woodland Realm</v>
      </c>
    </row>
    <row r="4970" spans="1:10" x14ac:dyDescent="0.25">
      <c r="A4970">
        <v>129</v>
      </c>
      <c r="B4970" t="s">
        <v>23</v>
      </c>
      <c r="C4970">
        <v>64</v>
      </c>
      <c r="D4970">
        <v>0</v>
      </c>
      <c r="E4970">
        <v>0</v>
      </c>
      <c r="F4970">
        <v>4721</v>
      </c>
      <c r="G4970">
        <v>2500</v>
      </c>
      <c r="H4970">
        <v>0</v>
      </c>
      <c r="J4970" t="str">
        <f>VLOOKUP(Table3[[#This Row],[Faction ID]],Table4[],2)</f>
        <v>Lothlorien</v>
      </c>
    </row>
    <row r="4971" spans="1:10" x14ac:dyDescent="0.25">
      <c r="A4971">
        <v>129</v>
      </c>
      <c r="B4971" t="s">
        <v>24</v>
      </c>
      <c r="C4971">
        <v>0</v>
      </c>
      <c r="D4971">
        <v>0</v>
      </c>
      <c r="E4971">
        <v>0</v>
      </c>
      <c r="F4971">
        <v>4919</v>
      </c>
      <c r="G4971">
        <v>1750</v>
      </c>
      <c r="H4971">
        <v>0</v>
      </c>
      <c r="J4971" t="str">
        <f>VLOOKUP(Table3[[#This Row],[Faction ID]],Table4[],2)</f>
        <v>Variags (Khand)</v>
      </c>
    </row>
    <row r="4972" spans="1:10" x14ac:dyDescent="0.25">
      <c r="A4972">
        <v>129</v>
      </c>
      <c r="B4972" t="s">
        <v>14</v>
      </c>
      <c r="C4972">
        <v>20</v>
      </c>
      <c r="D4972">
        <v>14</v>
      </c>
      <c r="E4972">
        <v>237.1</v>
      </c>
      <c r="F4972">
        <v>277344</v>
      </c>
      <c r="G4972">
        <v>55192</v>
      </c>
      <c r="H4972">
        <v>4859</v>
      </c>
      <c r="J4972" t="str">
        <f>VLOOKUP(Table3[[#This Row],[Faction ID]],Table4[],2)</f>
        <v>Corsairs of Umbar</v>
      </c>
    </row>
    <row r="4973" spans="1:10" x14ac:dyDescent="0.25">
      <c r="A4973">
        <v>129</v>
      </c>
      <c r="B4973" t="s">
        <v>25</v>
      </c>
      <c r="C4973">
        <v>0</v>
      </c>
      <c r="D4973">
        <v>0</v>
      </c>
      <c r="E4973">
        <v>0</v>
      </c>
      <c r="F4973">
        <v>9228</v>
      </c>
      <c r="G4973">
        <v>1750</v>
      </c>
      <c r="H4973">
        <v>0</v>
      </c>
      <c r="J4973" t="str">
        <f>VLOOKUP(Table3[[#This Row],[Faction ID]],Table4[],2)</f>
        <v>Mahud</v>
      </c>
    </row>
    <row r="4974" spans="1:10" x14ac:dyDescent="0.25">
      <c r="A4974">
        <v>129</v>
      </c>
      <c r="B4974" t="s">
        <v>11</v>
      </c>
      <c r="C4974">
        <v>351</v>
      </c>
      <c r="D4974">
        <v>13</v>
      </c>
      <c r="E4974">
        <v>210.5</v>
      </c>
      <c r="F4974">
        <v>103896</v>
      </c>
      <c r="G4974">
        <v>32955</v>
      </c>
      <c r="H4974">
        <v>2517</v>
      </c>
      <c r="J4974" t="str">
        <f>VLOOKUP(Table3[[#This Row],[Faction ID]],Table4[],2)</f>
        <v>Haradrim</v>
      </c>
    </row>
    <row r="4975" spans="1:10" x14ac:dyDescent="0.25">
      <c r="A4975">
        <v>129</v>
      </c>
      <c r="B4975" t="s">
        <v>15</v>
      </c>
      <c r="C4975">
        <v>309</v>
      </c>
      <c r="D4975">
        <v>13</v>
      </c>
      <c r="E4975">
        <v>281</v>
      </c>
      <c r="F4975">
        <v>216605</v>
      </c>
      <c r="G4975">
        <v>52256</v>
      </c>
      <c r="H4975">
        <v>702</v>
      </c>
      <c r="J4975" t="str">
        <f>VLOOKUP(Table3[[#This Row],[Faction ID]],Table4[],2)</f>
        <v>Dunlendings</v>
      </c>
    </row>
    <row r="4976" spans="1:10" x14ac:dyDescent="0.25">
      <c r="A4976">
        <v>129</v>
      </c>
      <c r="B4976" t="s">
        <v>16</v>
      </c>
      <c r="C4976">
        <v>0</v>
      </c>
      <c r="D4976">
        <v>0</v>
      </c>
      <c r="E4976">
        <v>0</v>
      </c>
      <c r="F4976">
        <v>5352</v>
      </c>
      <c r="G4976">
        <v>1750</v>
      </c>
      <c r="H4976">
        <v>0</v>
      </c>
      <c r="J4976" t="str">
        <f>VLOOKUP(Table3[[#This Row],[Faction ID]],Table4[],2)</f>
        <v>Haerrim</v>
      </c>
    </row>
    <row r="4977" spans="1:10" x14ac:dyDescent="0.25">
      <c r="A4977">
        <v>129</v>
      </c>
      <c r="B4977" t="s">
        <v>13</v>
      </c>
      <c r="C4977">
        <v>633</v>
      </c>
      <c r="D4977">
        <v>15</v>
      </c>
      <c r="E4977">
        <v>281.8</v>
      </c>
      <c r="F4977">
        <v>174499</v>
      </c>
      <c r="G4977">
        <v>41376</v>
      </c>
      <c r="H4977">
        <v>1</v>
      </c>
      <c r="J4977" t="str">
        <f>VLOOKUP(Table3[[#This Row],[Faction ID]],Table4[],2)</f>
        <v>Goblins</v>
      </c>
    </row>
    <row r="4978" spans="1:10" x14ac:dyDescent="0.25">
      <c r="A4978">
        <v>129</v>
      </c>
      <c r="B4978" t="s">
        <v>17</v>
      </c>
      <c r="C4978">
        <v>0</v>
      </c>
      <c r="D4978">
        <v>0</v>
      </c>
      <c r="E4978">
        <v>0</v>
      </c>
      <c r="F4978">
        <v>4872</v>
      </c>
      <c r="G4978">
        <v>1750</v>
      </c>
      <c r="H4978">
        <v>0</v>
      </c>
      <c r="J4978" t="str">
        <f>VLOOKUP(Table3[[#This Row],[Faction ID]],Table4[],2)</f>
        <v>Balchoth</v>
      </c>
    </row>
    <row r="4979" spans="1:10" x14ac:dyDescent="0.25">
      <c r="A4979">
        <v>129</v>
      </c>
      <c r="B4979" t="s">
        <v>18</v>
      </c>
      <c r="C4979">
        <v>626</v>
      </c>
      <c r="D4979">
        <v>26</v>
      </c>
      <c r="E4979">
        <v>394.8</v>
      </c>
      <c r="F4979">
        <v>164118</v>
      </c>
      <c r="G4979">
        <v>46866</v>
      </c>
      <c r="H4979">
        <v>3806</v>
      </c>
      <c r="J4979" t="str">
        <f>VLOOKUP(Table3[[#This Row],[Faction ID]],Table4[],2)</f>
        <v>Rhurim/Rhun</v>
      </c>
    </row>
    <row r="4980" spans="1:10" x14ac:dyDescent="0.25">
      <c r="A4980">
        <v>129</v>
      </c>
      <c r="B4980" t="s">
        <v>19</v>
      </c>
      <c r="C4980">
        <v>0</v>
      </c>
      <c r="D4980">
        <v>0</v>
      </c>
      <c r="E4980">
        <v>0</v>
      </c>
      <c r="F4980">
        <v>7360</v>
      </c>
      <c r="G4980">
        <v>1750</v>
      </c>
      <c r="H4980">
        <v>0</v>
      </c>
      <c r="J4980" t="str">
        <f>VLOOKUP(Table3[[#This Row],[Faction ID]],Table4[],2)</f>
        <v>Feredrim</v>
      </c>
    </row>
    <row r="4981" spans="1:10" x14ac:dyDescent="0.25">
      <c r="A4981">
        <v>129</v>
      </c>
      <c r="B4981" t="s">
        <v>26</v>
      </c>
      <c r="C4981">
        <v>0</v>
      </c>
      <c r="D4981">
        <v>0</v>
      </c>
      <c r="E4981">
        <v>0</v>
      </c>
      <c r="F4981">
        <v>6395</v>
      </c>
      <c r="G4981">
        <v>1750</v>
      </c>
      <c r="H4981">
        <v>0</v>
      </c>
      <c r="J4981" t="str">
        <f>VLOOKUP(Table3[[#This Row],[Faction ID]],Table4[],2)</f>
        <v>Rachrohir (Wainriders)</v>
      </c>
    </row>
    <row r="4982" spans="1:10" x14ac:dyDescent="0.25">
      <c r="A4982">
        <v>129</v>
      </c>
      <c r="B4982" t="s">
        <v>27</v>
      </c>
      <c r="C4982">
        <v>5</v>
      </c>
      <c r="D4982">
        <v>3</v>
      </c>
      <c r="E4982">
        <v>67.400000000000006</v>
      </c>
      <c r="F4982">
        <v>17248</v>
      </c>
      <c r="G4982">
        <v>14090</v>
      </c>
      <c r="H4982">
        <v>546</v>
      </c>
      <c r="J4982" t="str">
        <f>VLOOKUP(Table3[[#This Row],[Faction ID]],Table4[],2)</f>
        <v>Blacklock-Stonefoot League</v>
      </c>
    </row>
    <row r="4983" spans="1:10" x14ac:dyDescent="0.25">
      <c r="A4983">
        <v>129</v>
      </c>
      <c r="B4983" t="s">
        <v>28</v>
      </c>
      <c r="C4983">
        <v>5</v>
      </c>
      <c r="D4983">
        <v>2</v>
      </c>
      <c r="E4983">
        <v>18.100000000000001</v>
      </c>
      <c r="F4983">
        <v>15071</v>
      </c>
      <c r="G4983">
        <v>6144</v>
      </c>
      <c r="H4983">
        <v>0</v>
      </c>
      <c r="J4983" t="str">
        <f>VLOOKUP(Table3[[#This Row],[Faction ID]],Table4[],2)</f>
        <v>Ironfist-Stiffbeard Union</v>
      </c>
    </row>
    <row r="4984" spans="1:10" x14ac:dyDescent="0.25">
      <c r="A4984">
        <v>129</v>
      </c>
      <c r="B4984" t="s">
        <v>20</v>
      </c>
      <c r="C4984">
        <v>245</v>
      </c>
      <c r="D4984">
        <v>0</v>
      </c>
      <c r="E4984">
        <v>0</v>
      </c>
      <c r="F4984">
        <v>9750</v>
      </c>
      <c r="G4984">
        <v>2500</v>
      </c>
      <c r="H4984">
        <v>0</v>
      </c>
      <c r="J4984" t="str">
        <f>VLOOKUP(Table3[[#This Row],[Faction ID]],Table4[],2)</f>
        <v>Gundabad</v>
      </c>
    </row>
    <row r="4985" spans="1:10" x14ac:dyDescent="0.25">
      <c r="A4985">
        <v>129</v>
      </c>
      <c r="B4985" t="s">
        <v>34</v>
      </c>
      <c r="C4985">
        <v>0</v>
      </c>
      <c r="D4985">
        <v>0</v>
      </c>
      <c r="E4985">
        <v>3</v>
      </c>
      <c r="F4985">
        <v>148213</v>
      </c>
      <c r="G4985">
        <v>2354</v>
      </c>
      <c r="H4985">
        <v>0</v>
      </c>
      <c r="J4985" t="str">
        <f>VLOOKUP(Table3[[#This Row],[Faction ID]],Table4[],2)</f>
        <v>Scouts of Rohan</v>
      </c>
    </row>
    <row r="4986" spans="1:10" x14ac:dyDescent="0.25">
      <c r="A4986">
        <v>129</v>
      </c>
      <c r="B4986" t="s">
        <v>33</v>
      </c>
      <c r="C4986">
        <v>2</v>
      </c>
      <c r="D4986">
        <v>2</v>
      </c>
      <c r="E4986">
        <v>21.2</v>
      </c>
      <c r="F4986">
        <v>95002</v>
      </c>
      <c r="G4986">
        <v>6524</v>
      </c>
      <c r="H4986">
        <v>860</v>
      </c>
      <c r="J4986" t="str">
        <f>VLOOKUP(Table3[[#This Row],[Faction ID]],Table4[],2)</f>
        <v>Northern Enedwaith</v>
      </c>
    </row>
    <row r="4987" spans="1:10" x14ac:dyDescent="0.25">
      <c r="A4987">
        <v>129</v>
      </c>
      <c r="B4987" t="s">
        <v>29</v>
      </c>
      <c r="C4987">
        <v>0</v>
      </c>
      <c r="D4987">
        <v>0</v>
      </c>
      <c r="E4987">
        <v>0</v>
      </c>
      <c r="F4987">
        <v>54023</v>
      </c>
      <c r="G4987">
        <v>1750</v>
      </c>
      <c r="H4987">
        <v>0</v>
      </c>
      <c r="J4987" t="str">
        <f>VLOOKUP(Table3[[#This Row],[Faction ID]],Table4[],2)</f>
        <v>Southern Enedwaith</v>
      </c>
    </row>
    <row r="4988" spans="1:10" x14ac:dyDescent="0.25">
      <c r="A4988">
        <v>129</v>
      </c>
      <c r="B4988" t="s">
        <v>30</v>
      </c>
      <c r="C4988">
        <v>0</v>
      </c>
      <c r="D4988">
        <v>0</v>
      </c>
      <c r="E4988">
        <v>0</v>
      </c>
      <c r="F4988">
        <v>32146</v>
      </c>
      <c r="G4988">
        <v>1750</v>
      </c>
      <c r="H4988">
        <v>0</v>
      </c>
      <c r="J4988" t="str">
        <f>VLOOKUP(Table3[[#This Row],[Faction ID]],Table4[],2)</f>
        <v>Druedain</v>
      </c>
    </row>
    <row r="4989" spans="1:10" x14ac:dyDescent="0.25">
      <c r="A4989">
        <v>129</v>
      </c>
      <c r="B4989" t="s">
        <v>31</v>
      </c>
      <c r="C4989">
        <v>0</v>
      </c>
      <c r="D4989">
        <v>0</v>
      </c>
      <c r="E4989">
        <v>0</v>
      </c>
      <c r="F4989">
        <v>15146</v>
      </c>
      <c r="G4989">
        <v>1750</v>
      </c>
      <c r="H4989">
        <v>0</v>
      </c>
      <c r="J4989" t="str">
        <f>VLOOKUP(Table3[[#This Row],[Faction ID]],Table4[],2)</f>
        <v>Harondor</v>
      </c>
    </row>
    <row r="4990" spans="1:10" x14ac:dyDescent="0.25">
      <c r="A4990">
        <v>129</v>
      </c>
      <c r="B4990" t="s">
        <v>35</v>
      </c>
      <c r="C4990">
        <v>0</v>
      </c>
      <c r="D4990">
        <v>0</v>
      </c>
      <c r="E4990">
        <v>0</v>
      </c>
      <c r="F4990">
        <v>4000</v>
      </c>
      <c r="G4990">
        <v>1750</v>
      </c>
      <c r="H4990">
        <v>0</v>
      </c>
      <c r="J4990" t="str">
        <f>VLOOKUP(Table3[[#This Row],[Faction ID]],Table4[],2)</f>
        <v>Southron Nomads</v>
      </c>
    </row>
    <row r="4991" spans="1:10" x14ac:dyDescent="0.25">
      <c r="A4991">
        <v>129</v>
      </c>
      <c r="B4991" t="s">
        <v>36</v>
      </c>
      <c r="C4991">
        <v>0</v>
      </c>
      <c r="D4991">
        <v>0</v>
      </c>
      <c r="E4991">
        <v>0</v>
      </c>
      <c r="F4991">
        <v>4000</v>
      </c>
      <c r="G4991">
        <v>1750</v>
      </c>
      <c r="H4991">
        <v>0</v>
      </c>
      <c r="J4991" t="str">
        <f>VLOOKUP(Table3[[#This Row],[Faction ID]],Table4[],2)</f>
        <v>_</v>
      </c>
    </row>
    <row r="4992" spans="1:10" x14ac:dyDescent="0.25">
      <c r="A4992">
        <v>129</v>
      </c>
      <c r="B4992" t="s">
        <v>37</v>
      </c>
      <c r="C4992">
        <v>0</v>
      </c>
      <c r="D4992">
        <v>0</v>
      </c>
      <c r="E4992">
        <v>0</v>
      </c>
      <c r="F4992">
        <v>4000</v>
      </c>
      <c r="G4992">
        <v>1750</v>
      </c>
      <c r="H4992">
        <v>0</v>
      </c>
      <c r="J4992" t="str">
        <f>VLOOKUP(Table3[[#This Row],[Faction ID]],Table4[],2)</f>
        <v>_</v>
      </c>
    </row>
    <row r="4993" spans="1:10" x14ac:dyDescent="0.25">
      <c r="A4993">
        <v>129</v>
      </c>
      <c r="B4993" t="s">
        <v>38</v>
      </c>
      <c r="C4993">
        <v>0</v>
      </c>
      <c r="D4993">
        <v>0</v>
      </c>
      <c r="E4993">
        <v>0</v>
      </c>
      <c r="F4993">
        <v>4000</v>
      </c>
      <c r="G4993">
        <v>1750</v>
      </c>
      <c r="H4993">
        <v>0</v>
      </c>
      <c r="J4993" t="str">
        <f>VLOOKUP(Table3[[#This Row],[Faction ID]],Table4[],2)</f>
        <v>_</v>
      </c>
    </row>
    <row r="4994" spans="1:10" x14ac:dyDescent="0.25">
      <c r="A4994">
        <v>129</v>
      </c>
      <c r="B4994" t="s">
        <v>39</v>
      </c>
      <c r="C4994">
        <v>0</v>
      </c>
      <c r="D4994">
        <v>0</v>
      </c>
      <c r="E4994">
        <v>0</v>
      </c>
      <c r="F4994">
        <v>4000</v>
      </c>
      <c r="G4994">
        <v>1750</v>
      </c>
      <c r="H4994">
        <v>0</v>
      </c>
      <c r="J4994" t="str">
        <f>VLOOKUP(Table3[[#This Row],[Faction ID]],Table4[],2)</f>
        <v>_</v>
      </c>
    </row>
    <row r="4995" spans="1:10" x14ac:dyDescent="0.25">
      <c r="A4995">
        <v>129</v>
      </c>
      <c r="B4995" t="s">
        <v>40</v>
      </c>
      <c r="C4995">
        <v>0</v>
      </c>
      <c r="D4995">
        <v>0</v>
      </c>
      <c r="E4995">
        <v>0</v>
      </c>
      <c r="F4995">
        <v>4000</v>
      </c>
      <c r="G4995">
        <v>1750</v>
      </c>
      <c r="H4995">
        <v>0</v>
      </c>
      <c r="J4995" t="str">
        <f>VLOOKUP(Table3[[#This Row],[Faction ID]],Table4[],2)</f>
        <v>_</v>
      </c>
    </row>
    <row r="4996" spans="1:10" x14ac:dyDescent="0.25">
      <c r="A4996">
        <v>129</v>
      </c>
      <c r="B4996" t="s">
        <v>41</v>
      </c>
      <c r="C4996">
        <v>0</v>
      </c>
      <c r="D4996">
        <v>0</v>
      </c>
      <c r="E4996">
        <v>0</v>
      </c>
      <c r="F4996">
        <v>4000</v>
      </c>
      <c r="G4996">
        <v>1750</v>
      </c>
      <c r="H4996">
        <v>0</v>
      </c>
      <c r="J4996" t="str">
        <f>VLOOKUP(Table3[[#This Row],[Faction ID]],Table4[],2)</f>
        <v>_</v>
      </c>
    </row>
    <row r="4997" spans="1:10" x14ac:dyDescent="0.25">
      <c r="A4997">
        <v>129</v>
      </c>
      <c r="B4997" t="s">
        <v>42</v>
      </c>
      <c r="C4997">
        <v>0</v>
      </c>
      <c r="D4997">
        <v>0</v>
      </c>
      <c r="E4997">
        <v>0</v>
      </c>
      <c r="F4997">
        <v>4000</v>
      </c>
      <c r="G4997">
        <v>1750</v>
      </c>
      <c r="H4997">
        <v>0</v>
      </c>
      <c r="J4997" t="str">
        <f>VLOOKUP(Table3[[#This Row],[Faction ID]],Table4[],2)</f>
        <v>_</v>
      </c>
    </row>
    <row r="4998" spans="1:10" x14ac:dyDescent="0.25">
      <c r="A4998">
        <v>129</v>
      </c>
      <c r="B4998" t="s">
        <v>43</v>
      </c>
      <c r="C4998">
        <v>0</v>
      </c>
      <c r="D4998">
        <v>0</v>
      </c>
      <c r="E4998">
        <v>0</v>
      </c>
      <c r="F4998">
        <v>4000</v>
      </c>
      <c r="G4998">
        <v>1750</v>
      </c>
      <c r="H4998">
        <v>0</v>
      </c>
      <c r="J4998" t="str">
        <f>VLOOKUP(Table3[[#This Row],[Faction ID]],Table4[],2)</f>
        <v>_</v>
      </c>
    </row>
    <row r="4999" spans="1:10" x14ac:dyDescent="0.25">
      <c r="A4999">
        <v>129</v>
      </c>
      <c r="B4999" t="s">
        <v>44</v>
      </c>
      <c r="C4999">
        <v>0</v>
      </c>
      <c r="D4999">
        <v>0</v>
      </c>
      <c r="E4999">
        <v>0</v>
      </c>
      <c r="F4999">
        <v>4000</v>
      </c>
      <c r="G4999">
        <v>1750</v>
      </c>
      <c r="H4999">
        <v>0</v>
      </c>
      <c r="J4999" t="str">
        <f>VLOOKUP(Table3[[#This Row],[Faction ID]],Table4[],2)</f>
        <v>_</v>
      </c>
    </row>
    <row r="5000" spans="1:10" x14ac:dyDescent="0.25">
      <c r="A5000">
        <v>130</v>
      </c>
      <c r="B5000" t="s">
        <v>9</v>
      </c>
      <c r="C5000">
        <v>649</v>
      </c>
      <c r="D5000">
        <v>41</v>
      </c>
      <c r="E5000">
        <v>523.29999999999995</v>
      </c>
      <c r="F5000">
        <v>7961</v>
      </c>
      <c r="G5000">
        <v>78015</v>
      </c>
      <c r="H5000">
        <v>5785</v>
      </c>
      <c r="J5000" t="str">
        <f>VLOOKUP(Table3[[#This Row],[Faction ID]],Table4[],2)</f>
        <v>Mordor</v>
      </c>
    </row>
    <row r="5001" spans="1:10" x14ac:dyDescent="0.25">
      <c r="A5001">
        <v>130</v>
      </c>
      <c r="B5001" t="s">
        <v>4</v>
      </c>
      <c r="C5001">
        <v>146</v>
      </c>
      <c r="D5001">
        <v>0</v>
      </c>
      <c r="E5001">
        <v>0</v>
      </c>
      <c r="F5001">
        <v>55420</v>
      </c>
      <c r="G5001">
        <v>2500</v>
      </c>
      <c r="H5001">
        <v>0</v>
      </c>
      <c r="J5001" t="str">
        <f>VLOOKUP(Table3[[#This Row],[Faction ID]],Table4[],2)</f>
        <v>Gondor</v>
      </c>
    </row>
    <row r="5002" spans="1:10" x14ac:dyDescent="0.25">
      <c r="A5002">
        <v>130</v>
      </c>
      <c r="B5002" t="s">
        <v>6</v>
      </c>
      <c r="C5002">
        <v>199</v>
      </c>
      <c r="D5002">
        <v>0</v>
      </c>
      <c r="E5002">
        <v>0</v>
      </c>
      <c r="F5002">
        <v>10343</v>
      </c>
      <c r="G5002">
        <v>2500</v>
      </c>
      <c r="H5002">
        <v>0</v>
      </c>
      <c r="J5002" t="str">
        <f>VLOOKUP(Table3[[#This Row],[Faction ID]],Table4[],2)</f>
        <v>Dale</v>
      </c>
    </row>
    <row r="5003" spans="1:10" x14ac:dyDescent="0.25">
      <c r="A5003">
        <v>130</v>
      </c>
      <c r="B5003" t="s">
        <v>21</v>
      </c>
      <c r="C5003">
        <v>200</v>
      </c>
      <c r="D5003">
        <v>0</v>
      </c>
      <c r="E5003">
        <v>0</v>
      </c>
      <c r="F5003">
        <v>10040</v>
      </c>
      <c r="G5003">
        <v>2500</v>
      </c>
      <c r="H5003">
        <v>0</v>
      </c>
      <c r="J5003" t="str">
        <f>VLOOKUP(Table3[[#This Row],[Faction ID]],Table4[],2)</f>
        <v>Erebor</v>
      </c>
    </row>
    <row r="5004" spans="1:10" x14ac:dyDescent="0.25">
      <c r="A5004">
        <v>130</v>
      </c>
      <c r="B5004" t="s">
        <v>5</v>
      </c>
      <c r="C5004">
        <v>157</v>
      </c>
      <c r="D5004">
        <v>0</v>
      </c>
      <c r="E5004">
        <v>0</v>
      </c>
      <c r="F5004">
        <v>6638</v>
      </c>
      <c r="G5004">
        <v>2500</v>
      </c>
      <c r="H5004">
        <v>0</v>
      </c>
      <c r="J5004" t="str">
        <f>VLOOKUP(Table3[[#This Row],[Faction ID]],Table4[],2)</f>
        <v>Rohan</v>
      </c>
    </row>
    <row r="5005" spans="1:10" x14ac:dyDescent="0.25">
      <c r="A5005">
        <v>130</v>
      </c>
      <c r="B5005" t="s">
        <v>12</v>
      </c>
      <c r="C5005">
        <v>521</v>
      </c>
      <c r="D5005">
        <v>24</v>
      </c>
      <c r="E5005">
        <v>411.1</v>
      </c>
      <c r="F5005">
        <v>302461</v>
      </c>
      <c r="G5005">
        <v>67675</v>
      </c>
      <c r="H5005">
        <v>4885</v>
      </c>
      <c r="J5005" t="str">
        <f>VLOOKUP(Table3[[#This Row],[Faction ID]],Table4[],2)</f>
        <v>Dol Guldur</v>
      </c>
    </row>
    <row r="5006" spans="1:10" x14ac:dyDescent="0.25">
      <c r="A5006">
        <v>130</v>
      </c>
      <c r="B5006" t="s">
        <v>10</v>
      </c>
      <c r="C5006">
        <v>58</v>
      </c>
      <c r="D5006">
        <v>0</v>
      </c>
      <c r="E5006">
        <v>0</v>
      </c>
      <c r="F5006">
        <v>4515</v>
      </c>
      <c r="G5006">
        <v>2500</v>
      </c>
      <c r="H5006">
        <v>0</v>
      </c>
      <c r="J5006" t="str">
        <f>VLOOKUP(Table3[[#This Row],[Faction ID]],Table4[],2)</f>
        <v>Anduin Vale</v>
      </c>
    </row>
    <row r="5007" spans="1:10" x14ac:dyDescent="0.25">
      <c r="A5007">
        <v>130</v>
      </c>
      <c r="B5007" t="s">
        <v>32</v>
      </c>
      <c r="C5007">
        <v>327</v>
      </c>
      <c r="D5007">
        <v>5</v>
      </c>
      <c r="E5007">
        <v>137.6</v>
      </c>
      <c r="F5007">
        <v>25743</v>
      </c>
      <c r="G5007">
        <v>24888</v>
      </c>
      <c r="H5007">
        <v>1285</v>
      </c>
      <c r="J5007" t="str">
        <f>VLOOKUP(Table3[[#This Row],[Faction ID]],Table4[],2)</f>
        <v>Isengard</v>
      </c>
    </row>
    <row r="5008" spans="1:10" x14ac:dyDescent="0.25">
      <c r="A5008">
        <v>130</v>
      </c>
      <c r="B5008" t="s">
        <v>22</v>
      </c>
      <c r="C5008">
        <v>30</v>
      </c>
      <c r="D5008">
        <v>0</v>
      </c>
      <c r="E5008">
        <v>0</v>
      </c>
      <c r="F5008">
        <v>8475</v>
      </c>
      <c r="G5008">
        <v>2500</v>
      </c>
      <c r="H5008">
        <v>0</v>
      </c>
      <c r="J5008" t="str">
        <f>VLOOKUP(Table3[[#This Row],[Faction ID]],Table4[],2)</f>
        <v>Woodland Realm</v>
      </c>
    </row>
    <row r="5009" spans="1:10" x14ac:dyDescent="0.25">
      <c r="A5009">
        <v>130</v>
      </c>
      <c r="B5009" t="s">
        <v>23</v>
      </c>
      <c r="C5009">
        <v>64</v>
      </c>
      <c r="D5009">
        <v>0</v>
      </c>
      <c r="E5009">
        <v>0</v>
      </c>
      <c r="F5009">
        <v>4721</v>
      </c>
      <c r="G5009">
        <v>2500</v>
      </c>
      <c r="H5009">
        <v>0</v>
      </c>
      <c r="J5009" t="str">
        <f>VLOOKUP(Table3[[#This Row],[Faction ID]],Table4[],2)</f>
        <v>Lothlorien</v>
      </c>
    </row>
    <row r="5010" spans="1:10" x14ac:dyDescent="0.25">
      <c r="A5010">
        <v>130</v>
      </c>
      <c r="B5010" t="s">
        <v>24</v>
      </c>
      <c r="C5010">
        <v>0</v>
      </c>
      <c r="D5010">
        <v>0</v>
      </c>
      <c r="E5010">
        <v>0</v>
      </c>
      <c r="F5010">
        <v>4919</v>
      </c>
      <c r="G5010">
        <v>1750</v>
      </c>
      <c r="H5010">
        <v>0</v>
      </c>
      <c r="J5010" t="str">
        <f>VLOOKUP(Table3[[#This Row],[Faction ID]],Table4[],2)</f>
        <v>Variags (Khand)</v>
      </c>
    </row>
    <row r="5011" spans="1:10" x14ac:dyDescent="0.25">
      <c r="A5011">
        <v>130</v>
      </c>
      <c r="B5011" t="s">
        <v>14</v>
      </c>
      <c r="C5011">
        <v>20</v>
      </c>
      <c r="D5011">
        <v>14</v>
      </c>
      <c r="E5011">
        <v>243.4</v>
      </c>
      <c r="F5011">
        <v>279374</v>
      </c>
      <c r="G5011">
        <v>55970</v>
      </c>
      <c r="H5011">
        <v>4875</v>
      </c>
      <c r="J5011" t="str">
        <f>VLOOKUP(Table3[[#This Row],[Faction ID]],Table4[],2)</f>
        <v>Corsairs of Umbar</v>
      </c>
    </row>
    <row r="5012" spans="1:10" x14ac:dyDescent="0.25">
      <c r="A5012">
        <v>130</v>
      </c>
      <c r="B5012" t="s">
        <v>25</v>
      </c>
      <c r="C5012">
        <v>0</v>
      </c>
      <c r="D5012">
        <v>0</v>
      </c>
      <c r="E5012">
        <v>0</v>
      </c>
      <c r="F5012">
        <v>9228</v>
      </c>
      <c r="G5012">
        <v>1750</v>
      </c>
      <c r="H5012">
        <v>0</v>
      </c>
      <c r="J5012" t="str">
        <f>VLOOKUP(Table3[[#This Row],[Faction ID]],Table4[],2)</f>
        <v>Mahud</v>
      </c>
    </row>
    <row r="5013" spans="1:10" x14ac:dyDescent="0.25">
      <c r="A5013">
        <v>130</v>
      </c>
      <c r="B5013" t="s">
        <v>11</v>
      </c>
      <c r="C5013">
        <v>351</v>
      </c>
      <c r="D5013">
        <v>13</v>
      </c>
      <c r="E5013">
        <v>211.5</v>
      </c>
      <c r="F5013">
        <v>121994</v>
      </c>
      <c r="G5013">
        <v>33606</v>
      </c>
      <c r="H5013">
        <v>2532</v>
      </c>
      <c r="J5013" t="str">
        <f>VLOOKUP(Table3[[#This Row],[Faction ID]],Table4[],2)</f>
        <v>Haradrim</v>
      </c>
    </row>
    <row r="5014" spans="1:10" x14ac:dyDescent="0.25">
      <c r="A5014">
        <v>130</v>
      </c>
      <c r="B5014" t="s">
        <v>15</v>
      </c>
      <c r="C5014">
        <v>314</v>
      </c>
      <c r="D5014">
        <v>13</v>
      </c>
      <c r="E5014">
        <v>290.3</v>
      </c>
      <c r="F5014">
        <v>229963</v>
      </c>
      <c r="G5014">
        <v>53221</v>
      </c>
      <c r="H5014">
        <v>477</v>
      </c>
      <c r="J5014" t="str">
        <f>VLOOKUP(Table3[[#This Row],[Faction ID]],Table4[],2)</f>
        <v>Dunlendings</v>
      </c>
    </row>
    <row r="5015" spans="1:10" x14ac:dyDescent="0.25">
      <c r="A5015">
        <v>130</v>
      </c>
      <c r="B5015" t="s">
        <v>16</v>
      </c>
      <c r="C5015">
        <v>0</v>
      </c>
      <c r="D5015">
        <v>0</v>
      </c>
      <c r="E5015">
        <v>0</v>
      </c>
      <c r="F5015">
        <v>5352</v>
      </c>
      <c r="G5015">
        <v>1750</v>
      </c>
      <c r="H5015">
        <v>0</v>
      </c>
      <c r="J5015" t="str">
        <f>VLOOKUP(Table3[[#This Row],[Faction ID]],Table4[],2)</f>
        <v>Haerrim</v>
      </c>
    </row>
    <row r="5016" spans="1:10" x14ac:dyDescent="0.25">
      <c r="A5016">
        <v>130</v>
      </c>
      <c r="B5016" t="s">
        <v>13</v>
      </c>
      <c r="C5016">
        <v>650</v>
      </c>
      <c r="D5016">
        <v>13</v>
      </c>
      <c r="E5016">
        <v>254.8</v>
      </c>
      <c r="F5016">
        <v>173560</v>
      </c>
      <c r="G5016">
        <v>34033</v>
      </c>
      <c r="H5016">
        <v>0</v>
      </c>
      <c r="J5016" t="str">
        <f>VLOOKUP(Table3[[#This Row],[Faction ID]],Table4[],2)</f>
        <v>Goblins</v>
      </c>
    </row>
    <row r="5017" spans="1:10" x14ac:dyDescent="0.25">
      <c r="A5017">
        <v>130</v>
      </c>
      <c r="B5017" t="s">
        <v>17</v>
      </c>
      <c r="C5017">
        <v>0</v>
      </c>
      <c r="D5017">
        <v>0</v>
      </c>
      <c r="E5017">
        <v>0</v>
      </c>
      <c r="F5017">
        <v>4872</v>
      </c>
      <c r="G5017">
        <v>1750</v>
      </c>
      <c r="H5017">
        <v>0</v>
      </c>
      <c r="J5017" t="str">
        <f>VLOOKUP(Table3[[#This Row],[Faction ID]],Table4[],2)</f>
        <v>Balchoth</v>
      </c>
    </row>
    <row r="5018" spans="1:10" x14ac:dyDescent="0.25">
      <c r="A5018">
        <v>130</v>
      </c>
      <c r="B5018" t="s">
        <v>18</v>
      </c>
      <c r="C5018">
        <v>631</v>
      </c>
      <c r="D5018">
        <v>26</v>
      </c>
      <c r="E5018">
        <v>370.29999999999899</v>
      </c>
      <c r="F5018">
        <v>201976</v>
      </c>
      <c r="G5018">
        <v>45061</v>
      </c>
      <c r="H5018">
        <v>3570</v>
      </c>
      <c r="J5018" t="str">
        <f>VLOOKUP(Table3[[#This Row],[Faction ID]],Table4[],2)</f>
        <v>Rhurim/Rhun</v>
      </c>
    </row>
    <row r="5019" spans="1:10" x14ac:dyDescent="0.25">
      <c r="A5019">
        <v>130</v>
      </c>
      <c r="B5019" t="s">
        <v>19</v>
      </c>
      <c r="C5019">
        <v>0</v>
      </c>
      <c r="D5019">
        <v>0</v>
      </c>
      <c r="E5019">
        <v>0</v>
      </c>
      <c r="F5019">
        <v>7360</v>
      </c>
      <c r="G5019">
        <v>1750</v>
      </c>
      <c r="H5019">
        <v>0</v>
      </c>
      <c r="J5019" t="str">
        <f>VLOOKUP(Table3[[#This Row],[Faction ID]],Table4[],2)</f>
        <v>Feredrim</v>
      </c>
    </row>
    <row r="5020" spans="1:10" x14ac:dyDescent="0.25">
      <c r="A5020">
        <v>130</v>
      </c>
      <c r="B5020" t="s">
        <v>26</v>
      </c>
      <c r="C5020">
        <v>0</v>
      </c>
      <c r="D5020">
        <v>0</v>
      </c>
      <c r="E5020">
        <v>0</v>
      </c>
      <c r="F5020">
        <v>6395</v>
      </c>
      <c r="G5020">
        <v>1750</v>
      </c>
      <c r="H5020">
        <v>0</v>
      </c>
      <c r="J5020" t="str">
        <f>VLOOKUP(Table3[[#This Row],[Faction ID]],Table4[],2)</f>
        <v>Rachrohir (Wainriders)</v>
      </c>
    </row>
    <row r="5021" spans="1:10" x14ac:dyDescent="0.25">
      <c r="A5021">
        <v>130</v>
      </c>
      <c r="B5021" t="s">
        <v>27</v>
      </c>
      <c r="C5021">
        <v>5</v>
      </c>
      <c r="D5021">
        <v>3</v>
      </c>
      <c r="E5021">
        <v>73.400000000000006</v>
      </c>
      <c r="F5021">
        <v>17598</v>
      </c>
      <c r="G5021">
        <v>15438</v>
      </c>
      <c r="H5021">
        <v>756</v>
      </c>
      <c r="J5021" t="str">
        <f>VLOOKUP(Table3[[#This Row],[Faction ID]],Table4[],2)</f>
        <v>Blacklock-Stonefoot League</v>
      </c>
    </row>
    <row r="5022" spans="1:10" x14ac:dyDescent="0.25">
      <c r="A5022">
        <v>130</v>
      </c>
      <c r="B5022" t="s">
        <v>28</v>
      </c>
      <c r="C5022">
        <v>5</v>
      </c>
      <c r="D5022">
        <v>2</v>
      </c>
      <c r="E5022">
        <v>17.100000000000001</v>
      </c>
      <c r="F5022">
        <v>16788</v>
      </c>
      <c r="G5022">
        <v>6757</v>
      </c>
      <c r="H5022">
        <v>263</v>
      </c>
      <c r="J5022" t="str">
        <f>VLOOKUP(Table3[[#This Row],[Faction ID]],Table4[],2)</f>
        <v>Ironfist-Stiffbeard Union</v>
      </c>
    </row>
    <row r="5023" spans="1:10" x14ac:dyDescent="0.25">
      <c r="A5023">
        <v>130</v>
      </c>
      <c r="B5023" t="s">
        <v>20</v>
      </c>
      <c r="C5023">
        <v>245</v>
      </c>
      <c r="D5023">
        <v>0</v>
      </c>
      <c r="E5023">
        <v>0</v>
      </c>
      <c r="F5023">
        <v>9750</v>
      </c>
      <c r="G5023">
        <v>2500</v>
      </c>
      <c r="H5023">
        <v>0</v>
      </c>
      <c r="J5023" t="str">
        <f>VLOOKUP(Table3[[#This Row],[Faction ID]],Table4[],2)</f>
        <v>Gundabad</v>
      </c>
    </row>
    <row r="5024" spans="1:10" x14ac:dyDescent="0.25">
      <c r="A5024">
        <v>130</v>
      </c>
      <c r="B5024" t="s">
        <v>34</v>
      </c>
      <c r="C5024">
        <v>0</v>
      </c>
      <c r="D5024">
        <v>0</v>
      </c>
      <c r="E5024">
        <v>3</v>
      </c>
      <c r="F5024">
        <v>149359</v>
      </c>
      <c r="G5024">
        <v>2354</v>
      </c>
      <c r="H5024">
        <v>0</v>
      </c>
      <c r="J5024" t="str">
        <f>VLOOKUP(Table3[[#This Row],[Faction ID]],Table4[],2)</f>
        <v>Scouts of Rohan</v>
      </c>
    </row>
    <row r="5025" spans="1:10" x14ac:dyDescent="0.25">
      <c r="A5025">
        <v>130</v>
      </c>
      <c r="B5025" t="s">
        <v>33</v>
      </c>
      <c r="C5025">
        <v>2</v>
      </c>
      <c r="D5025">
        <v>2</v>
      </c>
      <c r="E5025">
        <v>21.2</v>
      </c>
      <c r="F5025">
        <v>86296</v>
      </c>
      <c r="G5025">
        <v>6397</v>
      </c>
      <c r="H5025">
        <v>873</v>
      </c>
      <c r="J5025" t="str">
        <f>VLOOKUP(Table3[[#This Row],[Faction ID]],Table4[],2)</f>
        <v>Northern Enedwaith</v>
      </c>
    </row>
    <row r="5026" spans="1:10" x14ac:dyDescent="0.25">
      <c r="A5026">
        <v>130</v>
      </c>
      <c r="B5026" t="s">
        <v>29</v>
      </c>
      <c r="C5026">
        <v>0</v>
      </c>
      <c r="D5026">
        <v>0</v>
      </c>
      <c r="E5026">
        <v>0</v>
      </c>
      <c r="F5026">
        <v>54023</v>
      </c>
      <c r="G5026">
        <v>1750</v>
      </c>
      <c r="H5026">
        <v>0</v>
      </c>
      <c r="J5026" t="str">
        <f>VLOOKUP(Table3[[#This Row],[Faction ID]],Table4[],2)</f>
        <v>Southern Enedwaith</v>
      </c>
    </row>
    <row r="5027" spans="1:10" x14ac:dyDescent="0.25">
      <c r="A5027">
        <v>130</v>
      </c>
      <c r="B5027" t="s">
        <v>30</v>
      </c>
      <c r="C5027">
        <v>0</v>
      </c>
      <c r="D5027">
        <v>0</v>
      </c>
      <c r="E5027">
        <v>0</v>
      </c>
      <c r="F5027">
        <v>32146</v>
      </c>
      <c r="G5027">
        <v>1750</v>
      </c>
      <c r="H5027">
        <v>0</v>
      </c>
      <c r="J5027" t="str">
        <f>VLOOKUP(Table3[[#This Row],[Faction ID]],Table4[],2)</f>
        <v>Druedain</v>
      </c>
    </row>
    <row r="5028" spans="1:10" x14ac:dyDescent="0.25">
      <c r="A5028">
        <v>130</v>
      </c>
      <c r="B5028" t="s">
        <v>31</v>
      </c>
      <c r="C5028">
        <v>0</v>
      </c>
      <c r="D5028">
        <v>0</v>
      </c>
      <c r="E5028">
        <v>0</v>
      </c>
      <c r="F5028">
        <v>15146</v>
      </c>
      <c r="G5028">
        <v>1750</v>
      </c>
      <c r="H5028">
        <v>0</v>
      </c>
      <c r="J5028" t="str">
        <f>VLOOKUP(Table3[[#This Row],[Faction ID]],Table4[],2)</f>
        <v>Harondor</v>
      </c>
    </row>
    <row r="5029" spans="1:10" x14ac:dyDescent="0.25">
      <c r="A5029">
        <v>130</v>
      </c>
      <c r="B5029" t="s">
        <v>35</v>
      </c>
      <c r="C5029">
        <v>0</v>
      </c>
      <c r="D5029">
        <v>0</v>
      </c>
      <c r="E5029">
        <v>0</v>
      </c>
      <c r="F5029">
        <v>4000</v>
      </c>
      <c r="G5029">
        <v>1750</v>
      </c>
      <c r="H5029">
        <v>0</v>
      </c>
      <c r="J5029" t="str">
        <f>VLOOKUP(Table3[[#This Row],[Faction ID]],Table4[],2)</f>
        <v>Southron Nomads</v>
      </c>
    </row>
    <row r="5030" spans="1:10" x14ac:dyDescent="0.25">
      <c r="A5030">
        <v>130</v>
      </c>
      <c r="B5030" t="s">
        <v>36</v>
      </c>
      <c r="C5030">
        <v>0</v>
      </c>
      <c r="D5030">
        <v>0</v>
      </c>
      <c r="E5030">
        <v>0</v>
      </c>
      <c r="F5030">
        <v>4000</v>
      </c>
      <c r="G5030">
        <v>1750</v>
      </c>
      <c r="H5030">
        <v>0</v>
      </c>
      <c r="J5030" t="str">
        <f>VLOOKUP(Table3[[#This Row],[Faction ID]],Table4[],2)</f>
        <v>_</v>
      </c>
    </row>
    <row r="5031" spans="1:10" x14ac:dyDescent="0.25">
      <c r="A5031">
        <v>130</v>
      </c>
      <c r="B5031" t="s">
        <v>37</v>
      </c>
      <c r="C5031">
        <v>0</v>
      </c>
      <c r="D5031">
        <v>0</v>
      </c>
      <c r="E5031">
        <v>0</v>
      </c>
      <c r="F5031">
        <v>4000</v>
      </c>
      <c r="G5031">
        <v>1750</v>
      </c>
      <c r="H5031">
        <v>0</v>
      </c>
      <c r="J5031" t="str">
        <f>VLOOKUP(Table3[[#This Row],[Faction ID]],Table4[],2)</f>
        <v>_</v>
      </c>
    </row>
    <row r="5032" spans="1:10" x14ac:dyDescent="0.25">
      <c r="A5032">
        <v>130</v>
      </c>
      <c r="B5032" t="s">
        <v>38</v>
      </c>
      <c r="C5032">
        <v>0</v>
      </c>
      <c r="D5032">
        <v>0</v>
      </c>
      <c r="E5032">
        <v>0</v>
      </c>
      <c r="F5032">
        <v>4000</v>
      </c>
      <c r="G5032">
        <v>1750</v>
      </c>
      <c r="H5032">
        <v>0</v>
      </c>
      <c r="J5032" t="str">
        <f>VLOOKUP(Table3[[#This Row],[Faction ID]],Table4[],2)</f>
        <v>_</v>
      </c>
    </row>
    <row r="5033" spans="1:10" x14ac:dyDescent="0.25">
      <c r="A5033">
        <v>130</v>
      </c>
      <c r="B5033" t="s">
        <v>39</v>
      </c>
      <c r="C5033">
        <v>0</v>
      </c>
      <c r="D5033">
        <v>0</v>
      </c>
      <c r="E5033">
        <v>0</v>
      </c>
      <c r="F5033">
        <v>4000</v>
      </c>
      <c r="G5033">
        <v>1750</v>
      </c>
      <c r="H5033">
        <v>0</v>
      </c>
      <c r="J5033" t="str">
        <f>VLOOKUP(Table3[[#This Row],[Faction ID]],Table4[],2)</f>
        <v>_</v>
      </c>
    </row>
    <row r="5034" spans="1:10" x14ac:dyDescent="0.25">
      <c r="A5034">
        <v>130</v>
      </c>
      <c r="B5034" t="s">
        <v>40</v>
      </c>
      <c r="C5034">
        <v>0</v>
      </c>
      <c r="D5034">
        <v>0</v>
      </c>
      <c r="E5034">
        <v>0</v>
      </c>
      <c r="F5034">
        <v>4000</v>
      </c>
      <c r="G5034">
        <v>1750</v>
      </c>
      <c r="H5034">
        <v>0</v>
      </c>
      <c r="J5034" t="str">
        <f>VLOOKUP(Table3[[#This Row],[Faction ID]],Table4[],2)</f>
        <v>_</v>
      </c>
    </row>
    <row r="5035" spans="1:10" x14ac:dyDescent="0.25">
      <c r="A5035">
        <v>130</v>
      </c>
      <c r="B5035" t="s">
        <v>41</v>
      </c>
      <c r="C5035">
        <v>0</v>
      </c>
      <c r="D5035">
        <v>0</v>
      </c>
      <c r="E5035">
        <v>0</v>
      </c>
      <c r="F5035">
        <v>4000</v>
      </c>
      <c r="G5035">
        <v>1750</v>
      </c>
      <c r="H5035">
        <v>0</v>
      </c>
      <c r="J5035" t="str">
        <f>VLOOKUP(Table3[[#This Row],[Faction ID]],Table4[],2)</f>
        <v>_</v>
      </c>
    </row>
    <row r="5036" spans="1:10" x14ac:dyDescent="0.25">
      <c r="A5036">
        <v>130</v>
      </c>
      <c r="B5036" t="s">
        <v>42</v>
      </c>
      <c r="C5036">
        <v>0</v>
      </c>
      <c r="D5036">
        <v>0</v>
      </c>
      <c r="E5036">
        <v>0</v>
      </c>
      <c r="F5036">
        <v>4000</v>
      </c>
      <c r="G5036">
        <v>1750</v>
      </c>
      <c r="H5036">
        <v>0</v>
      </c>
      <c r="J5036" t="str">
        <f>VLOOKUP(Table3[[#This Row],[Faction ID]],Table4[],2)</f>
        <v>_</v>
      </c>
    </row>
    <row r="5037" spans="1:10" x14ac:dyDescent="0.25">
      <c r="A5037">
        <v>130</v>
      </c>
      <c r="B5037" t="s">
        <v>43</v>
      </c>
      <c r="C5037">
        <v>0</v>
      </c>
      <c r="D5037">
        <v>0</v>
      </c>
      <c r="E5037">
        <v>0</v>
      </c>
      <c r="F5037">
        <v>4000</v>
      </c>
      <c r="G5037">
        <v>1750</v>
      </c>
      <c r="H5037">
        <v>0</v>
      </c>
      <c r="J5037" t="str">
        <f>VLOOKUP(Table3[[#This Row],[Faction ID]],Table4[],2)</f>
        <v>_</v>
      </c>
    </row>
    <row r="5038" spans="1:10" x14ac:dyDescent="0.25">
      <c r="A5038">
        <v>130</v>
      </c>
      <c r="B5038" t="s">
        <v>44</v>
      </c>
      <c r="C5038">
        <v>0</v>
      </c>
      <c r="D5038">
        <v>0</v>
      </c>
      <c r="E5038">
        <v>0</v>
      </c>
      <c r="F5038">
        <v>4000</v>
      </c>
      <c r="G5038">
        <v>1750</v>
      </c>
      <c r="H5038">
        <v>0</v>
      </c>
      <c r="J5038" t="str">
        <f>VLOOKUP(Table3[[#This Row],[Faction ID]],Table4[],2)</f>
        <v>_</v>
      </c>
    </row>
    <row r="5039" spans="1:10" x14ac:dyDescent="0.25">
      <c r="A5039">
        <v>131</v>
      </c>
      <c r="B5039" t="s">
        <v>9</v>
      </c>
      <c r="C5039">
        <v>658</v>
      </c>
      <c r="D5039">
        <v>43</v>
      </c>
      <c r="E5039">
        <v>546.9</v>
      </c>
      <c r="F5039">
        <v>10952</v>
      </c>
      <c r="G5039">
        <v>82612</v>
      </c>
      <c r="H5039">
        <v>6742</v>
      </c>
      <c r="J5039" t="str">
        <f>VLOOKUP(Table3[[#This Row],[Faction ID]],Table4[],2)</f>
        <v>Mordor</v>
      </c>
    </row>
    <row r="5040" spans="1:10" x14ac:dyDescent="0.25">
      <c r="A5040">
        <v>131</v>
      </c>
      <c r="B5040" t="s">
        <v>4</v>
      </c>
      <c r="C5040">
        <v>146</v>
      </c>
      <c r="D5040">
        <v>0</v>
      </c>
      <c r="E5040">
        <v>0</v>
      </c>
      <c r="F5040">
        <v>55420</v>
      </c>
      <c r="G5040">
        <v>2500</v>
      </c>
      <c r="H5040">
        <v>0</v>
      </c>
      <c r="J5040" t="str">
        <f>VLOOKUP(Table3[[#This Row],[Faction ID]],Table4[],2)</f>
        <v>Gondor</v>
      </c>
    </row>
    <row r="5041" spans="1:10" x14ac:dyDescent="0.25">
      <c r="A5041">
        <v>131</v>
      </c>
      <c r="B5041" t="s">
        <v>6</v>
      </c>
      <c r="C5041">
        <v>199</v>
      </c>
      <c r="D5041">
        <v>0</v>
      </c>
      <c r="E5041">
        <v>0</v>
      </c>
      <c r="F5041">
        <v>10343</v>
      </c>
      <c r="G5041">
        <v>2500</v>
      </c>
      <c r="H5041">
        <v>0</v>
      </c>
      <c r="J5041" t="str">
        <f>VLOOKUP(Table3[[#This Row],[Faction ID]],Table4[],2)</f>
        <v>Dale</v>
      </c>
    </row>
    <row r="5042" spans="1:10" x14ac:dyDescent="0.25">
      <c r="A5042">
        <v>131</v>
      </c>
      <c r="B5042" t="s">
        <v>21</v>
      </c>
      <c r="C5042">
        <v>200</v>
      </c>
      <c r="D5042">
        <v>0</v>
      </c>
      <c r="E5042">
        <v>0</v>
      </c>
      <c r="F5042">
        <v>10040</v>
      </c>
      <c r="G5042">
        <v>2500</v>
      </c>
      <c r="H5042">
        <v>0</v>
      </c>
      <c r="J5042" t="str">
        <f>VLOOKUP(Table3[[#This Row],[Faction ID]],Table4[],2)</f>
        <v>Erebor</v>
      </c>
    </row>
    <row r="5043" spans="1:10" x14ac:dyDescent="0.25">
      <c r="A5043">
        <v>131</v>
      </c>
      <c r="B5043" t="s">
        <v>5</v>
      </c>
      <c r="C5043">
        <v>157</v>
      </c>
      <c r="D5043">
        <v>0</v>
      </c>
      <c r="E5043">
        <v>0</v>
      </c>
      <c r="F5043">
        <v>6638</v>
      </c>
      <c r="G5043">
        <v>2500</v>
      </c>
      <c r="H5043">
        <v>0</v>
      </c>
      <c r="J5043" t="str">
        <f>VLOOKUP(Table3[[#This Row],[Faction ID]],Table4[],2)</f>
        <v>Rohan</v>
      </c>
    </row>
    <row r="5044" spans="1:10" x14ac:dyDescent="0.25">
      <c r="A5044">
        <v>131</v>
      </c>
      <c r="B5044" t="s">
        <v>12</v>
      </c>
      <c r="C5044">
        <v>523</v>
      </c>
      <c r="D5044">
        <v>25</v>
      </c>
      <c r="E5044">
        <v>437</v>
      </c>
      <c r="F5044">
        <v>312828</v>
      </c>
      <c r="G5044">
        <v>67136</v>
      </c>
      <c r="H5044">
        <v>5112</v>
      </c>
      <c r="J5044" t="str">
        <f>VLOOKUP(Table3[[#This Row],[Faction ID]],Table4[],2)</f>
        <v>Dol Guldur</v>
      </c>
    </row>
    <row r="5045" spans="1:10" x14ac:dyDescent="0.25">
      <c r="A5045">
        <v>131</v>
      </c>
      <c r="B5045" t="s">
        <v>10</v>
      </c>
      <c r="C5045">
        <v>58</v>
      </c>
      <c r="D5045">
        <v>0</v>
      </c>
      <c r="E5045">
        <v>0</v>
      </c>
      <c r="F5045">
        <v>4515</v>
      </c>
      <c r="G5045">
        <v>2500</v>
      </c>
      <c r="H5045">
        <v>0</v>
      </c>
      <c r="J5045" t="str">
        <f>VLOOKUP(Table3[[#This Row],[Faction ID]],Table4[],2)</f>
        <v>Anduin Vale</v>
      </c>
    </row>
    <row r="5046" spans="1:10" x14ac:dyDescent="0.25">
      <c r="A5046">
        <v>131</v>
      </c>
      <c r="B5046" t="s">
        <v>32</v>
      </c>
      <c r="C5046">
        <v>327</v>
      </c>
      <c r="D5046">
        <v>5</v>
      </c>
      <c r="E5046">
        <v>152</v>
      </c>
      <c r="F5046">
        <v>27651</v>
      </c>
      <c r="G5046">
        <v>27106</v>
      </c>
      <c r="H5046">
        <v>1286</v>
      </c>
      <c r="J5046" t="str">
        <f>VLOOKUP(Table3[[#This Row],[Faction ID]],Table4[],2)</f>
        <v>Isengard</v>
      </c>
    </row>
    <row r="5047" spans="1:10" x14ac:dyDescent="0.25">
      <c r="A5047">
        <v>131</v>
      </c>
      <c r="B5047" t="s">
        <v>22</v>
      </c>
      <c r="C5047">
        <v>30</v>
      </c>
      <c r="D5047">
        <v>0</v>
      </c>
      <c r="E5047">
        <v>0</v>
      </c>
      <c r="F5047">
        <v>8475</v>
      </c>
      <c r="G5047">
        <v>2500</v>
      </c>
      <c r="H5047">
        <v>0</v>
      </c>
      <c r="J5047" t="str">
        <f>VLOOKUP(Table3[[#This Row],[Faction ID]],Table4[],2)</f>
        <v>Woodland Realm</v>
      </c>
    </row>
    <row r="5048" spans="1:10" x14ac:dyDescent="0.25">
      <c r="A5048">
        <v>131</v>
      </c>
      <c r="B5048" t="s">
        <v>23</v>
      </c>
      <c r="C5048">
        <v>64</v>
      </c>
      <c r="D5048">
        <v>0</v>
      </c>
      <c r="E5048">
        <v>0</v>
      </c>
      <c r="F5048">
        <v>4721</v>
      </c>
      <c r="G5048">
        <v>2500</v>
      </c>
      <c r="H5048">
        <v>0</v>
      </c>
      <c r="J5048" t="str">
        <f>VLOOKUP(Table3[[#This Row],[Faction ID]],Table4[],2)</f>
        <v>Lothlorien</v>
      </c>
    </row>
    <row r="5049" spans="1:10" x14ac:dyDescent="0.25">
      <c r="A5049">
        <v>131</v>
      </c>
      <c r="B5049" t="s">
        <v>24</v>
      </c>
      <c r="C5049">
        <v>0</v>
      </c>
      <c r="D5049">
        <v>0</v>
      </c>
      <c r="E5049">
        <v>0</v>
      </c>
      <c r="F5049">
        <v>4919</v>
      </c>
      <c r="G5049">
        <v>1750</v>
      </c>
      <c r="H5049">
        <v>0</v>
      </c>
      <c r="J5049" t="str">
        <f>VLOOKUP(Table3[[#This Row],[Faction ID]],Table4[],2)</f>
        <v>Variags (Khand)</v>
      </c>
    </row>
    <row r="5050" spans="1:10" x14ac:dyDescent="0.25">
      <c r="A5050">
        <v>131</v>
      </c>
      <c r="B5050" t="s">
        <v>14</v>
      </c>
      <c r="C5050">
        <v>20</v>
      </c>
      <c r="D5050">
        <v>14</v>
      </c>
      <c r="E5050">
        <v>251.89999999999901</v>
      </c>
      <c r="F5050">
        <v>278604</v>
      </c>
      <c r="G5050">
        <v>57119</v>
      </c>
      <c r="H5050">
        <v>4905</v>
      </c>
      <c r="J5050" t="str">
        <f>VLOOKUP(Table3[[#This Row],[Faction ID]],Table4[],2)</f>
        <v>Corsairs of Umbar</v>
      </c>
    </row>
    <row r="5051" spans="1:10" x14ac:dyDescent="0.25">
      <c r="A5051">
        <v>131</v>
      </c>
      <c r="B5051" t="s">
        <v>25</v>
      </c>
      <c r="C5051">
        <v>0</v>
      </c>
      <c r="D5051">
        <v>0</v>
      </c>
      <c r="E5051">
        <v>0</v>
      </c>
      <c r="F5051">
        <v>9228</v>
      </c>
      <c r="G5051">
        <v>1750</v>
      </c>
      <c r="H5051">
        <v>0</v>
      </c>
      <c r="J5051" t="str">
        <f>VLOOKUP(Table3[[#This Row],[Faction ID]],Table4[],2)</f>
        <v>Mahud</v>
      </c>
    </row>
    <row r="5052" spans="1:10" x14ac:dyDescent="0.25">
      <c r="A5052">
        <v>131</v>
      </c>
      <c r="B5052" t="s">
        <v>11</v>
      </c>
      <c r="C5052">
        <v>358</v>
      </c>
      <c r="D5052">
        <v>14</v>
      </c>
      <c r="E5052">
        <v>220.1</v>
      </c>
      <c r="F5052">
        <v>140852</v>
      </c>
      <c r="G5052">
        <v>37902</v>
      </c>
      <c r="H5052">
        <v>2673</v>
      </c>
      <c r="J5052" t="str">
        <f>VLOOKUP(Table3[[#This Row],[Faction ID]],Table4[],2)</f>
        <v>Haradrim</v>
      </c>
    </row>
    <row r="5053" spans="1:10" x14ac:dyDescent="0.25">
      <c r="A5053">
        <v>131</v>
      </c>
      <c r="B5053" t="s">
        <v>15</v>
      </c>
      <c r="C5053">
        <v>314</v>
      </c>
      <c r="D5053">
        <v>13</v>
      </c>
      <c r="E5053">
        <v>299.3</v>
      </c>
      <c r="F5053">
        <v>236081</v>
      </c>
      <c r="G5053">
        <v>54204</v>
      </c>
      <c r="H5053">
        <v>478</v>
      </c>
      <c r="J5053" t="str">
        <f>VLOOKUP(Table3[[#This Row],[Faction ID]],Table4[],2)</f>
        <v>Dunlendings</v>
      </c>
    </row>
    <row r="5054" spans="1:10" x14ac:dyDescent="0.25">
      <c r="A5054">
        <v>131</v>
      </c>
      <c r="B5054" t="s">
        <v>16</v>
      </c>
      <c r="C5054">
        <v>0</v>
      </c>
      <c r="D5054">
        <v>0</v>
      </c>
      <c r="E5054">
        <v>0</v>
      </c>
      <c r="F5054">
        <v>5352</v>
      </c>
      <c r="G5054">
        <v>1750</v>
      </c>
      <c r="H5054">
        <v>0</v>
      </c>
      <c r="J5054" t="str">
        <f>VLOOKUP(Table3[[#This Row],[Faction ID]],Table4[],2)</f>
        <v>Haerrim</v>
      </c>
    </row>
    <row r="5055" spans="1:10" x14ac:dyDescent="0.25">
      <c r="A5055">
        <v>131</v>
      </c>
      <c r="B5055" t="s">
        <v>13</v>
      </c>
      <c r="C5055">
        <v>650</v>
      </c>
      <c r="D5055">
        <v>10</v>
      </c>
      <c r="E5055">
        <v>220.8</v>
      </c>
      <c r="F5055">
        <v>172461</v>
      </c>
      <c r="G5055">
        <v>32539</v>
      </c>
      <c r="H5055">
        <v>0</v>
      </c>
      <c r="J5055" t="str">
        <f>VLOOKUP(Table3[[#This Row],[Faction ID]],Table4[],2)</f>
        <v>Goblins</v>
      </c>
    </row>
    <row r="5056" spans="1:10" x14ac:dyDescent="0.25">
      <c r="A5056">
        <v>131</v>
      </c>
      <c r="B5056" t="s">
        <v>17</v>
      </c>
      <c r="C5056">
        <v>0</v>
      </c>
      <c r="D5056">
        <v>0</v>
      </c>
      <c r="E5056">
        <v>0</v>
      </c>
      <c r="F5056">
        <v>4872</v>
      </c>
      <c r="G5056">
        <v>1750</v>
      </c>
      <c r="H5056">
        <v>0</v>
      </c>
      <c r="J5056" t="str">
        <f>VLOOKUP(Table3[[#This Row],[Faction ID]],Table4[],2)</f>
        <v>Balchoth</v>
      </c>
    </row>
    <row r="5057" spans="1:10" x14ac:dyDescent="0.25">
      <c r="A5057">
        <v>131</v>
      </c>
      <c r="B5057" t="s">
        <v>18</v>
      </c>
      <c r="C5057">
        <v>628</v>
      </c>
      <c r="D5057">
        <v>25</v>
      </c>
      <c r="E5057">
        <v>342.4</v>
      </c>
      <c r="F5057">
        <v>211935</v>
      </c>
      <c r="G5057">
        <v>49667</v>
      </c>
      <c r="H5057">
        <v>3487</v>
      </c>
      <c r="J5057" t="str">
        <f>VLOOKUP(Table3[[#This Row],[Faction ID]],Table4[],2)</f>
        <v>Rhurim/Rhun</v>
      </c>
    </row>
    <row r="5058" spans="1:10" x14ac:dyDescent="0.25">
      <c r="A5058">
        <v>131</v>
      </c>
      <c r="B5058" t="s">
        <v>19</v>
      </c>
      <c r="C5058">
        <v>0</v>
      </c>
      <c r="D5058">
        <v>0</v>
      </c>
      <c r="E5058">
        <v>0</v>
      </c>
      <c r="F5058">
        <v>7360</v>
      </c>
      <c r="G5058">
        <v>1750</v>
      </c>
      <c r="H5058">
        <v>0</v>
      </c>
      <c r="J5058" t="str">
        <f>VLOOKUP(Table3[[#This Row],[Faction ID]],Table4[],2)</f>
        <v>Feredrim</v>
      </c>
    </row>
    <row r="5059" spans="1:10" x14ac:dyDescent="0.25">
      <c r="A5059">
        <v>131</v>
      </c>
      <c r="B5059" t="s">
        <v>26</v>
      </c>
      <c r="C5059">
        <v>0</v>
      </c>
      <c r="D5059">
        <v>0</v>
      </c>
      <c r="E5059">
        <v>0</v>
      </c>
      <c r="F5059">
        <v>6395</v>
      </c>
      <c r="G5059">
        <v>1750</v>
      </c>
      <c r="H5059">
        <v>0</v>
      </c>
      <c r="J5059" t="str">
        <f>VLOOKUP(Table3[[#This Row],[Faction ID]],Table4[],2)</f>
        <v>Rachrohir (Wainriders)</v>
      </c>
    </row>
    <row r="5060" spans="1:10" x14ac:dyDescent="0.25">
      <c r="A5060">
        <v>131</v>
      </c>
      <c r="B5060" t="s">
        <v>27</v>
      </c>
      <c r="C5060">
        <v>5</v>
      </c>
      <c r="D5060">
        <v>3</v>
      </c>
      <c r="E5060">
        <v>78.8</v>
      </c>
      <c r="F5060">
        <v>18149</v>
      </c>
      <c r="G5060">
        <v>14482</v>
      </c>
      <c r="H5060">
        <v>766</v>
      </c>
      <c r="J5060" t="str">
        <f>VLOOKUP(Table3[[#This Row],[Faction ID]],Table4[],2)</f>
        <v>Blacklock-Stonefoot League</v>
      </c>
    </row>
    <row r="5061" spans="1:10" x14ac:dyDescent="0.25">
      <c r="A5061">
        <v>131</v>
      </c>
      <c r="B5061" t="s">
        <v>28</v>
      </c>
      <c r="C5061">
        <v>5</v>
      </c>
      <c r="D5061">
        <v>2</v>
      </c>
      <c r="E5061">
        <v>17.100000000000001</v>
      </c>
      <c r="F5061">
        <v>14487</v>
      </c>
      <c r="G5061">
        <v>7036</v>
      </c>
      <c r="H5061">
        <v>262</v>
      </c>
      <c r="J5061" t="str">
        <f>VLOOKUP(Table3[[#This Row],[Faction ID]],Table4[],2)</f>
        <v>Ironfist-Stiffbeard Union</v>
      </c>
    </row>
    <row r="5062" spans="1:10" x14ac:dyDescent="0.25">
      <c r="A5062">
        <v>131</v>
      </c>
      <c r="B5062" t="s">
        <v>20</v>
      </c>
      <c r="C5062">
        <v>245</v>
      </c>
      <c r="D5062">
        <v>0</v>
      </c>
      <c r="E5062">
        <v>0</v>
      </c>
      <c r="F5062">
        <v>9750</v>
      </c>
      <c r="G5062">
        <v>2500</v>
      </c>
      <c r="H5062">
        <v>0</v>
      </c>
      <c r="J5062" t="str">
        <f>VLOOKUP(Table3[[#This Row],[Faction ID]],Table4[],2)</f>
        <v>Gundabad</v>
      </c>
    </row>
    <row r="5063" spans="1:10" x14ac:dyDescent="0.25">
      <c r="A5063">
        <v>131</v>
      </c>
      <c r="B5063" t="s">
        <v>34</v>
      </c>
      <c r="C5063">
        <v>0</v>
      </c>
      <c r="D5063">
        <v>0</v>
      </c>
      <c r="E5063">
        <v>3</v>
      </c>
      <c r="F5063">
        <v>150505</v>
      </c>
      <c r="G5063">
        <v>2354</v>
      </c>
      <c r="H5063">
        <v>0</v>
      </c>
      <c r="J5063" t="str">
        <f>VLOOKUP(Table3[[#This Row],[Faction ID]],Table4[],2)</f>
        <v>Scouts of Rohan</v>
      </c>
    </row>
    <row r="5064" spans="1:10" x14ac:dyDescent="0.25">
      <c r="A5064">
        <v>131</v>
      </c>
      <c r="B5064" t="s">
        <v>33</v>
      </c>
      <c r="C5064">
        <v>2</v>
      </c>
      <c r="D5064">
        <v>2</v>
      </c>
      <c r="E5064">
        <v>21.2</v>
      </c>
      <c r="F5064">
        <v>79408</v>
      </c>
      <c r="G5064">
        <v>6417</v>
      </c>
      <c r="H5064">
        <v>888</v>
      </c>
      <c r="J5064" t="str">
        <f>VLOOKUP(Table3[[#This Row],[Faction ID]],Table4[],2)</f>
        <v>Northern Enedwaith</v>
      </c>
    </row>
    <row r="5065" spans="1:10" x14ac:dyDescent="0.25">
      <c r="A5065">
        <v>131</v>
      </c>
      <c r="B5065" t="s">
        <v>29</v>
      </c>
      <c r="C5065">
        <v>0</v>
      </c>
      <c r="D5065">
        <v>0</v>
      </c>
      <c r="E5065">
        <v>0</v>
      </c>
      <c r="F5065">
        <v>54023</v>
      </c>
      <c r="G5065">
        <v>1750</v>
      </c>
      <c r="H5065">
        <v>0</v>
      </c>
      <c r="J5065" t="str">
        <f>VLOOKUP(Table3[[#This Row],[Faction ID]],Table4[],2)</f>
        <v>Southern Enedwaith</v>
      </c>
    </row>
    <row r="5066" spans="1:10" x14ac:dyDescent="0.25">
      <c r="A5066">
        <v>131</v>
      </c>
      <c r="B5066" t="s">
        <v>30</v>
      </c>
      <c r="C5066">
        <v>0</v>
      </c>
      <c r="D5066">
        <v>0</v>
      </c>
      <c r="E5066">
        <v>0</v>
      </c>
      <c r="F5066">
        <v>32146</v>
      </c>
      <c r="G5066">
        <v>1750</v>
      </c>
      <c r="H5066">
        <v>0</v>
      </c>
      <c r="J5066" t="str">
        <f>VLOOKUP(Table3[[#This Row],[Faction ID]],Table4[],2)</f>
        <v>Druedain</v>
      </c>
    </row>
    <row r="5067" spans="1:10" x14ac:dyDescent="0.25">
      <c r="A5067">
        <v>131</v>
      </c>
      <c r="B5067" t="s">
        <v>31</v>
      </c>
      <c r="C5067">
        <v>0</v>
      </c>
      <c r="D5067">
        <v>0</v>
      </c>
      <c r="E5067">
        <v>0</v>
      </c>
      <c r="F5067">
        <v>15146</v>
      </c>
      <c r="G5067">
        <v>1750</v>
      </c>
      <c r="H5067">
        <v>0</v>
      </c>
      <c r="J5067" t="str">
        <f>VLOOKUP(Table3[[#This Row],[Faction ID]],Table4[],2)</f>
        <v>Harondor</v>
      </c>
    </row>
    <row r="5068" spans="1:10" x14ac:dyDescent="0.25">
      <c r="A5068">
        <v>131</v>
      </c>
      <c r="B5068" t="s">
        <v>35</v>
      </c>
      <c r="C5068">
        <v>0</v>
      </c>
      <c r="D5068">
        <v>0</v>
      </c>
      <c r="E5068">
        <v>0</v>
      </c>
      <c r="F5068">
        <v>4000</v>
      </c>
      <c r="G5068">
        <v>1750</v>
      </c>
      <c r="H5068">
        <v>0</v>
      </c>
      <c r="J5068" t="str">
        <f>VLOOKUP(Table3[[#This Row],[Faction ID]],Table4[],2)</f>
        <v>Southron Nomads</v>
      </c>
    </row>
    <row r="5069" spans="1:10" x14ac:dyDescent="0.25">
      <c r="A5069">
        <v>131</v>
      </c>
      <c r="B5069" t="s">
        <v>36</v>
      </c>
      <c r="C5069">
        <v>0</v>
      </c>
      <c r="D5069">
        <v>0</v>
      </c>
      <c r="E5069">
        <v>0</v>
      </c>
      <c r="F5069">
        <v>4000</v>
      </c>
      <c r="G5069">
        <v>1750</v>
      </c>
      <c r="H5069">
        <v>0</v>
      </c>
      <c r="J5069" t="str">
        <f>VLOOKUP(Table3[[#This Row],[Faction ID]],Table4[],2)</f>
        <v>_</v>
      </c>
    </row>
    <row r="5070" spans="1:10" x14ac:dyDescent="0.25">
      <c r="A5070">
        <v>131</v>
      </c>
      <c r="B5070" t="s">
        <v>37</v>
      </c>
      <c r="C5070">
        <v>0</v>
      </c>
      <c r="D5070">
        <v>0</v>
      </c>
      <c r="E5070">
        <v>0</v>
      </c>
      <c r="F5070">
        <v>4000</v>
      </c>
      <c r="G5070">
        <v>1750</v>
      </c>
      <c r="H5070">
        <v>0</v>
      </c>
      <c r="J5070" t="str">
        <f>VLOOKUP(Table3[[#This Row],[Faction ID]],Table4[],2)</f>
        <v>_</v>
      </c>
    </row>
    <row r="5071" spans="1:10" x14ac:dyDescent="0.25">
      <c r="A5071">
        <v>131</v>
      </c>
      <c r="B5071" t="s">
        <v>38</v>
      </c>
      <c r="C5071">
        <v>0</v>
      </c>
      <c r="D5071">
        <v>0</v>
      </c>
      <c r="E5071">
        <v>0</v>
      </c>
      <c r="F5071">
        <v>4000</v>
      </c>
      <c r="G5071">
        <v>1750</v>
      </c>
      <c r="H5071">
        <v>0</v>
      </c>
      <c r="J5071" t="str">
        <f>VLOOKUP(Table3[[#This Row],[Faction ID]],Table4[],2)</f>
        <v>_</v>
      </c>
    </row>
    <row r="5072" spans="1:10" x14ac:dyDescent="0.25">
      <c r="A5072">
        <v>131</v>
      </c>
      <c r="B5072" t="s">
        <v>39</v>
      </c>
      <c r="C5072">
        <v>0</v>
      </c>
      <c r="D5072">
        <v>0</v>
      </c>
      <c r="E5072">
        <v>0</v>
      </c>
      <c r="F5072">
        <v>4000</v>
      </c>
      <c r="G5072">
        <v>1750</v>
      </c>
      <c r="H5072">
        <v>0</v>
      </c>
      <c r="J5072" t="str">
        <f>VLOOKUP(Table3[[#This Row],[Faction ID]],Table4[],2)</f>
        <v>_</v>
      </c>
    </row>
    <row r="5073" spans="1:10" x14ac:dyDescent="0.25">
      <c r="A5073">
        <v>131</v>
      </c>
      <c r="B5073" t="s">
        <v>40</v>
      </c>
      <c r="C5073">
        <v>0</v>
      </c>
      <c r="D5073">
        <v>0</v>
      </c>
      <c r="E5073">
        <v>0</v>
      </c>
      <c r="F5073">
        <v>4000</v>
      </c>
      <c r="G5073">
        <v>1750</v>
      </c>
      <c r="H5073">
        <v>0</v>
      </c>
      <c r="J5073" t="str">
        <f>VLOOKUP(Table3[[#This Row],[Faction ID]],Table4[],2)</f>
        <v>_</v>
      </c>
    </row>
    <row r="5074" spans="1:10" x14ac:dyDescent="0.25">
      <c r="A5074">
        <v>131</v>
      </c>
      <c r="B5074" t="s">
        <v>41</v>
      </c>
      <c r="C5074">
        <v>0</v>
      </c>
      <c r="D5074">
        <v>0</v>
      </c>
      <c r="E5074">
        <v>0</v>
      </c>
      <c r="F5074">
        <v>4000</v>
      </c>
      <c r="G5074">
        <v>1750</v>
      </c>
      <c r="H5074">
        <v>0</v>
      </c>
      <c r="J5074" t="str">
        <f>VLOOKUP(Table3[[#This Row],[Faction ID]],Table4[],2)</f>
        <v>_</v>
      </c>
    </row>
    <row r="5075" spans="1:10" x14ac:dyDescent="0.25">
      <c r="A5075">
        <v>131</v>
      </c>
      <c r="B5075" t="s">
        <v>42</v>
      </c>
      <c r="C5075">
        <v>0</v>
      </c>
      <c r="D5075">
        <v>0</v>
      </c>
      <c r="E5075">
        <v>0</v>
      </c>
      <c r="F5075">
        <v>4000</v>
      </c>
      <c r="G5075">
        <v>1750</v>
      </c>
      <c r="H5075">
        <v>0</v>
      </c>
      <c r="J5075" t="str">
        <f>VLOOKUP(Table3[[#This Row],[Faction ID]],Table4[],2)</f>
        <v>_</v>
      </c>
    </row>
    <row r="5076" spans="1:10" x14ac:dyDescent="0.25">
      <c r="A5076">
        <v>131</v>
      </c>
      <c r="B5076" t="s">
        <v>43</v>
      </c>
      <c r="C5076">
        <v>0</v>
      </c>
      <c r="D5076">
        <v>0</v>
      </c>
      <c r="E5076">
        <v>0</v>
      </c>
      <c r="F5076">
        <v>4000</v>
      </c>
      <c r="G5076">
        <v>1750</v>
      </c>
      <c r="H5076">
        <v>0</v>
      </c>
      <c r="J5076" t="str">
        <f>VLOOKUP(Table3[[#This Row],[Faction ID]],Table4[],2)</f>
        <v>_</v>
      </c>
    </row>
    <row r="5077" spans="1:10" x14ac:dyDescent="0.25">
      <c r="A5077">
        <v>131</v>
      </c>
      <c r="B5077" t="s">
        <v>44</v>
      </c>
      <c r="C5077">
        <v>0</v>
      </c>
      <c r="D5077">
        <v>0</v>
      </c>
      <c r="E5077">
        <v>0</v>
      </c>
      <c r="F5077">
        <v>4000</v>
      </c>
      <c r="G5077">
        <v>1750</v>
      </c>
      <c r="H5077">
        <v>0</v>
      </c>
      <c r="J5077" t="str">
        <f>VLOOKUP(Table3[[#This Row],[Faction ID]],Table4[],2)</f>
        <v>_</v>
      </c>
    </row>
    <row r="5078" spans="1:10" x14ac:dyDescent="0.25">
      <c r="A5078">
        <v>132</v>
      </c>
      <c r="B5078" t="s">
        <v>9</v>
      </c>
      <c r="C5078">
        <v>664</v>
      </c>
      <c r="D5078">
        <v>44</v>
      </c>
      <c r="E5078">
        <v>562.70000000000005</v>
      </c>
      <c r="F5078">
        <v>132</v>
      </c>
      <c r="G5078">
        <v>83719</v>
      </c>
      <c r="H5078">
        <v>6752</v>
      </c>
      <c r="J5078" t="str">
        <f>VLOOKUP(Table3[[#This Row],[Faction ID]],Table4[],2)</f>
        <v>Mordor</v>
      </c>
    </row>
    <row r="5079" spans="1:10" x14ac:dyDescent="0.25">
      <c r="A5079">
        <v>132</v>
      </c>
      <c r="B5079" t="s">
        <v>4</v>
      </c>
      <c r="C5079">
        <v>146</v>
      </c>
      <c r="D5079">
        <v>0</v>
      </c>
      <c r="E5079">
        <v>0</v>
      </c>
      <c r="F5079">
        <v>55420</v>
      </c>
      <c r="G5079">
        <v>2500</v>
      </c>
      <c r="H5079">
        <v>0</v>
      </c>
      <c r="J5079" t="str">
        <f>VLOOKUP(Table3[[#This Row],[Faction ID]],Table4[],2)</f>
        <v>Gondor</v>
      </c>
    </row>
    <row r="5080" spans="1:10" x14ac:dyDescent="0.25">
      <c r="A5080">
        <v>132</v>
      </c>
      <c r="B5080" t="s">
        <v>6</v>
      </c>
      <c r="C5080">
        <v>199</v>
      </c>
      <c r="D5080">
        <v>0</v>
      </c>
      <c r="E5080">
        <v>0</v>
      </c>
      <c r="F5080">
        <v>10343</v>
      </c>
      <c r="G5080">
        <v>2500</v>
      </c>
      <c r="H5080">
        <v>0</v>
      </c>
      <c r="J5080" t="str">
        <f>VLOOKUP(Table3[[#This Row],[Faction ID]],Table4[],2)</f>
        <v>Dale</v>
      </c>
    </row>
    <row r="5081" spans="1:10" x14ac:dyDescent="0.25">
      <c r="A5081">
        <v>132</v>
      </c>
      <c r="B5081" t="s">
        <v>21</v>
      </c>
      <c r="C5081">
        <v>200</v>
      </c>
      <c r="D5081">
        <v>0</v>
      </c>
      <c r="E5081">
        <v>0</v>
      </c>
      <c r="F5081">
        <v>10040</v>
      </c>
      <c r="G5081">
        <v>2500</v>
      </c>
      <c r="H5081">
        <v>0</v>
      </c>
      <c r="J5081" t="str">
        <f>VLOOKUP(Table3[[#This Row],[Faction ID]],Table4[],2)</f>
        <v>Erebor</v>
      </c>
    </row>
    <row r="5082" spans="1:10" x14ac:dyDescent="0.25">
      <c r="A5082">
        <v>132</v>
      </c>
      <c r="B5082" t="s">
        <v>5</v>
      </c>
      <c r="C5082">
        <v>157</v>
      </c>
      <c r="D5082">
        <v>0</v>
      </c>
      <c r="E5082">
        <v>0</v>
      </c>
      <c r="F5082">
        <v>6638</v>
      </c>
      <c r="G5082">
        <v>2500</v>
      </c>
      <c r="H5082">
        <v>0</v>
      </c>
      <c r="J5082" t="str">
        <f>VLOOKUP(Table3[[#This Row],[Faction ID]],Table4[],2)</f>
        <v>Rohan</v>
      </c>
    </row>
    <row r="5083" spans="1:10" x14ac:dyDescent="0.25">
      <c r="A5083">
        <v>132</v>
      </c>
      <c r="B5083" t="s">
        <v>12</v>
      </c>
      <c r="C5083">
        <v>523</v>
      </c>
      <c r="D5083">
        <v>25</v>
      </c>
      <c r="E5083">
        <v>448</v>
      </c>
      <c r="F5083">
        <v>303303</v>
      </c>
      <c r="G5083">
        <v>71890</v>
      </c>
      <c r="H5083">
        <v>5117</v>
      </c>
      <c r="J5083" t="str">
        <f>VLOOKUP(Table3[[#This Row],[Faction ID]],Table4[],2)</f>
        <v>Dol Guldur</v>
      </c>
    </row>
    <row r="5084" spans="1:10" x14ac:dyDescent="0.25">
      <c r="A5084">
        <v>132</v>
      </c>
      <c r="B5084" t="s">
        <v>10</v>
      </c>
      <c r="C5084">
        <v>58</v>
      </c>
      <c r="D5084">
        <v>0</v>
      </c>
      <c r="E5084">
        <v>0</v>
      </c>
      <c r="F5084">
        <v>4515</v>
      </c>
      <c r="G5084">
        <v>2500</v>
      </c>
      <c r="H5084">
        <v>0</v>
      </c>
      <c r="J5084" t="str">
        <f>VLOOKUP(Table3[[#This Row],[Faction ID]],Table4[],2)</f>
        <v>Anduin Vale</v>
      </c>
    </row>
    <row r="5085" spans="1:10" x14ac:dyDescent="0.25">
      <c r="A5085">
        <v>132</v>
      </c>
      <c r="B5085" t="s">
        <v>32</v>
      </c>
      <c r="C5085">
        <v>326</v>
      </c>
      <c r="D5085">
        <v>4</v>
      </c>
      <c r="E5085">
        <v>128</v>
      </c>
      <c r="F5085">
        <v>25769</v>
      </c>
      <c r="G5085">
        <v>23449</v>
      </c>
      <c r="H5085">
        <v>1281</v>
      </c>
      <c r="J5085" t="str">
        <f>VLOOKUP(Table3[[#This Row],[Faction ID]],Table4[],2)</f>
        <v>Isengard</v>
      </c>
    </row>
    <row r="5086" spans="1:10" x14ac:dyDescent="0.25">
      <c r="A5086">
        <v>132</v>
      </c>
      <c r="B5086" t="s">
        <v>22</v>
      </c>
      <c r="C5086">
        <v>30</v>
      </c>
      <c r="D5086">
        <v>0</v>
      </c>
      <c r="E5086">
        <v>0</v>
      </c>
      <c r="F5086">
        <v>8475</v>
      </c>
      <c r="G5086">
        <v>2500</v>
      </c>
      <c r="H5086">
        <v>0</v>
      </c>
      <c r="J5086" t="str">
        <f>VLOOKUP(Table3[[#This Row],[Faction ID]],Table4[],2)</f>
        <v>Woodland Realm</v>
      </c>
    </row>
    <row r="5087" spans="1:10" x14ac:dyDescent="0.25">
      <c r="A5087">
        <v>132</v>
      </c>
      <c r="B5087" t="s">
        <v>23</v>
      </c>
      <c r="C5087">
        <v>64</v>
      </c>
      <c r="D5087">
        <v>0</v>
      </c>
      <c r="E5087">
        <v>0</v>
      </c>
      <c r="F5087">
        <v>4721</v>
      </c>
      <c r="G5087">
        <v>2500</v>
      </c>
      <c r="H5087">
        <v>0</v>
      </c>
      <c r="J5087" t="str">
        <f>VLOOKUP(Table3[[#This Row],[Faction ID]],Table4[],2)</f>
        <v>Lothlorien</v>
      </c>
    </row>
    <row r="5088" spans="1:10" x14ac:dyDescent="0.25">
      <c r="A5088">
        <v>132</v>
      </c>
      <c r="B5088" t="s">
        <v>24</v>
      </c>
      <c r="C5088">
        <v>0</v>
      </c>
      <c r="D5088">
        <v>0</v>
      </c>
      <c r="E5088">
        <v>0</v>
      </c>
      <c r="F5088">
        <v>4919</v>
      </c>
      <c r="G5088">
        <v>1750</v>
      </c>
      <c r="H5088">
        <v>0</v>
      </c>
      <c r="J5088" t="str">
        <f>VLOOKUP(Table3[[#This Row],[Faction ID]],Table4[],2)</f>
        <v>Variags (Khand)</v>
      </c>
    </row>
    <row r="5089" spans="1:10" x14ac:dyDescent="0.25">
      <c r="A5089">
        <v>132</v>
      </c>
      <c r="B5089" t="s">
        <v>14</v>
      </c>
      <c r="C5089">
        <v>20</v>
      </c>
      <c r="D5089">
        <v>14</v>
      </c>
      <c r="E5089">
        <v>249.29999999999899</v>
      </c>
      <c r="F5089">
        <v>263300</v>
      </c>
      <c r="G5089">
        <v>57761</v>
      </c>
      <c r="H5089">
        <v>4914</v>
      </c>
      <c r="J5089" t="str">
        <f>VLOOKUP(Table3[[#This Row],[Faction ID]],Table4[],2)</f>
        <v>Corsairs of Umbar</v>
      </c>
    </row>
    <row r="5090" spans="1:10" x14ac:dyDescent="0.25">
      <c r="A5090">
        <v>132</v>
      </c>
      <c r="B5090" t="s">
        <v>25</v>
      </c>
      <c r="C5090">
        <v>0</v>
      </c>
      <c r="D5090">
        <v>0</v>
      </c>
      <c r="E5090">
        <v>0</v>
      </c>
      <c r="F5090">
        <v>9228</v>
      </c>
      <c r="G5090">
        <v>1750</v>
      </c>
      <c r="H5090">
        <v>0</v>
      </c>
      <c r="J5090" t="str">
        <f>VLOOKUP(Table3[[#This Row],[Faction ID]],Table4[],2)</f>
        <v>Mahud</v>
      </c>
    </row>
    <row r="5091" spans="1:10" x14ac:dyDescent="0.25">
      <c r="A5091">
        <v>132</v>
      </c>
      <c r="B5091" t="s">
        <v>11</v>
      </c>
      <c r="C5091">
        <v>358</v>
      </c>
      <c r="D5091">
        <v>14</v>
      </c>
      <c r="E5091">
        <v>223.2</v>
      </c>
      <c r="F5091">
        <v>154623</v>
      </c>
      <c r="G5091">
        <v>39402</v>
      </c>
      <c r="H5091">
        <v>2681</v>
      </c>
      <c r="J5091" t="str">
        <f>VLOOKUP(Table3[[#This Row],[Faction ID]],Table4[],2)</f>
        <v>Haradrim</v>
      </c>
    </row>
    <row r="5092" spans="1:10" x14ac:dyDescent="0.25">
      <c r="A5092">
        <v>132</v>
      </c>
      <c r="B5092" t="s">
        <v>15</v>
      </c>
      <c r="C5092">
        <v>314</v>
      </c>
      <c r="D5092">
        <v>13</v>
      </c>
      <c r="E5092">
        <v>281.3</v>
      </c>
      <c r="F5092">
        <v>252560</v>
      </c>
      <c r="G5092">
        <v>52320</v>
      </c>
      <c r="H5092">
        <v>473</v>
      </c>
      <c r="J5092" t="str">
        <f>VLOOKUP(Table3[[#This Row],[Faction ID]],Table4[],2)</f>
        <v>Dunlendings</v>
      </c>
    </row>
    <row r="5093" spans="1:10" x14ac:dyDescent="0.25">
      <c r="A5093">
        <v>132</v>
      </c>
      <c r="B5093" t="s">
        <v>16</v>
      </c>
      <c r="C5093">
        <v>0</v>
      </c>
      <c r="D5093">
        <v>0</v>
      </c>
      <c r="E5093">
        <v>0</v>
      </c>
      <c r="F5093">
        <v>5352</v>
      </c>
      <c r="G5093">
        <v>1750</v>
      </c>
      <c r="H5093">
        <v>0</v>
      </c>
      <c r="J5093" t="str">
        <f>VLOOKUP(Table3[[#This Row],[Faction ID]],Table4[],2)</f>
        <v>Haerrim</v>
      </c>
    </row>
    <row r="5094" spans="1:10" x14ac:dyDescent="0.25">
      <c r="A5094">
        <v>132</v>
      </c>
      <c r="B5094" t="s">
        <v>13</v>
      </c>
      <c r="C5094">
        <v>674</v>
      </c>
      <c r="D5094">
        <v>10</v>
      </c>
      <c r="E5094">
        <v>226.3</v>
      </c>
      <c r="F5094">
        <v>172291</v>
      </c>
      <c r="G5094">
        <v>33662</v>
      </c>
      <c r="H5094">
        <v>0</v>
      </c>
      <c r="J5094" t="str">
        <f>VLOOKUP(Table3[[#This Row],[Faction ID]],Table4[],2)</f>
        <v>Goblins</v>
      </c>
    </row>
    <row r="5095" spans="1:10" x14ac:dyDescent="0.25">
      <c r="A5095">
        <v>132</v>
      </c>
      <c r="B5095" t="s">
        <v>17</v>
      </c>
      <c r="C5095">
        <v>0</v>
      </c>
      <c r="D5095">
        <v>0</v>
      </c>
      <c r="E5095">
        <v>0</v>
      </c>
      <c r="F5095">
        <v>4872</v>
      </c>
      <c r="G5095">
        <v>1750</v>
      </c>
      <c r="H5095">
        <v>0</v>
      </c>
      <c r="J5095" t="str">
        <f>VLOOKUP(Table3[[#This Row],[Faction ID]],Table4[],2)</f>
        <v>Balchoth</v>
      </c>
    </row>
    <row r="5096" spans="1:10" x14ac:dyDescent="0.25">
      <c r="A5096">
        <v>132</v>
      </c>
      <c r="B5096" t="s">
        <v>18</v>
      </c>
      <c r="C5096">
        <v>628</v>
      </c>
      <c r="D5096">
        <v>25</v>
      </c>
      <c r="E5096">
        <v>311.2</v>
      </c>
      <c r="F5096">
        <v>238724</v>
      </c>
      <c r="G5096">
        <v>47470</v>
      </c>
      <c r="H5096">
        <v>3490</v>
      </c>
      <c r="J5096" t="str">
        <f>VLOOKUP(Table3[[#This Row],[Faction ID]],Table4[],2)</f>
        <v>Rhurim/Rhun</v>
      </c>
    </row>
    <row r="5097" spans="1:10" x14ac:dyDescent="0.25">
      <c r="A5097">
        <v>132</v>
      </c>
      <c r="B5097" t="s">
        <v>19</v>
      </c>
      <c r="C5097">
        <v>0</v>
      </c>
      <c r="D5097">
        <v>0</v>
      </c>
      <c r="E5097">
        <v>0</v>
      </c>
      <c r="F5097">
        <v>7360</v>
      </c>
      <c r="G5097">
        <v>1750</v>
      </c>
      <c r="H5097">
        <v>0</v>
      </c>
      <c r="J5097" t="str">
        <f>VLOOKUP(Table3[[#This Row],[Faction ID]],Table4[],2)</f>
        <v>Feredrim</v>
      </c>
    </row>
    <row r="5098" spans="1:10" x14ac:dyDescent="0.25">
      <c r="A5098">
        <v>132</v>
      </c>
      <c r="B5098" t="s">
        <v>26</v>
      </c>
      <c r="C5098">
        <v>0</v>
      </c>
      <c r="D5098">
        <v>0</v>
      </c>
      <c r="E5098">
        <v>0</v>
      </c>
      <c r="F5098">
        <v>6395</v>
      </c>
      <c r="G5098">
        <v>1750</v>
      </c>
      <c r="H5098">
        <v>0</v>
      </c>
      <c r="J5098" t="str">
        <f>VLOOKUP(Table3[[#This Row],[Faction ID]],Table4[],2)</f>
        <v>Rachrohir (Wainriders)</v>
      </c>
    </row>
    <row r="5099" spans="1:10" x14ac:dyDescent="0.25">
      <c r="A5099">
        <v>132</v>
      </c>
      <c r="B5099" t="s">
        <v>27</v>
      </c>
      <c r="C5099">
        <v>5</v>
      </c>
      <c r="D5099">
        <v>3</v>
      </c>
      <c r="E5099">
        <v>84</v>
      </c>
      <c r="F5099">
        <v>22035</v>
      </c>
      <c r="G5099">
        <v>14808</v>
      </c>
      <c r="H5099">
        <v>767</v>
      </c>
      <c r="J5099" t="str">
        <f>VLOOKUP(Table3[[#This Row],[Faction ID]],Table4[],2)</f>
        <v>Blacklock-Stonefoot League</v>
      </c>
    </row>
    <row r="5100" spans="1:10" x14ac:dyDescent="0.25">
      <c r="A5100">
        <v>132</v>
      </c>
      <c r="B5100" t="s">
        <v>28</v>
      </c>
      <c r="C5100">
        <v>5</v>
      </c>
      <c r="D5100">
        <v>2</v>
      </c>
      <c r="E5100">
        <v>20.399999999999999</v>
      </c>
      <c r="F5100">
        <v>18596</v>
      </c>
      <c r="G5100">
        <v>7396</v>
      </c>
      <c r="H5100">
        <v>263</v>
      </c>
      <c r="J5100" t="str">
        <f>VLOOKUP(Table3[[#This Row],[Faction ID]],Table4[],2)</f>
        <v>Ironfist-Stiffbeard Union</v>
      </c>
    </row>
    <row r="5101" spans="1:10" x14ac:dyDescent="0.25">
      <c r="A5101">
        <v>132</v>
      </c>
      <c r="B5101" t="s">
        <v>20</v>
      </c>
      <c r="C5101">
        <v>245</v>
      </c>
      <c r="D5101">
        <v>0</v>
      </c>
      <c r="E5101">
        <v>0</v>
      </c>
      <c r="F5101">
        <v>9750</v>
      </c>
      <c r="G5101">
        <v>2500</v>
      </c>
      <c r="H5101">
        <v>0</v>
      </c>
      <c r="J5101" t="str">
        <f>VLOOKUP(Table3[[#This Row],[Faction ID]],Table4[],2)</f>
        <v>Gundabad</v>
      </c>
    </row>
    <row r="5102" spans="1:10" x14ac:dyDescent="0.25">
      <c r="A5102">
        <v>132</v>
      </c>
      <c r="B5102" t="s">
        <v>34</v>
      </c>
      <c r="C5102">
        <v>0</v>
      </c>
      <c r="D5102">
        <v>0</v>
      </c>
      <c r="E5102">
        <v>3</v>
      </c>
      <c r="F5102">
        <v>151651</v>
      </c>
      <c r="G5102">
        <v>2354</v>
      </c>
      <c r="H5102">
        <v>0</v>
      </c>
      <c r="J5102" t="str">
        <f>VLOOKUP(Table3[[#This Row],[Faction ID]],Table4[],2)</f>
        <v>Scouts of Rohan</v>
      </c>
    </row>
    <row r="5103" spans="1:10" x14ac:dyDescent="0.25">
      <c r="A5103">
        <v>132</v>
      </c>
      <c r="B5103" t="s">
        <v>33</v>
      </c>
      <c r="C5103">
        <v>2</v>
      </c>
      <c r="D5103">
        <v>2</v>
      </c>
      <c r="E5103">
        <v>19</v>
      </c>
      <c r="F5103">
        <v>67454</v>
      </c>
      <c r="G5103">
        <v>5703</v>
      </c>
      <c r="H5103">
        <v>892</v>
      </c>
      <c r="J5103" t="str">
        <f>VLOOKUP(Table3[[#This Row],[Faction ID]],Table4[],2)</f>
        <v>Northern Enedwaith</v>
      </c>
    </row>
    <row r="5104" spans="1:10" x14ac:dyDescent="0.25">
      <c r="A5104">
        <v>132</v>
      </c>
      <c r="B5104" t="s">
        <v>29</v>
      </c>
      <c r="C5104">
        <v>0</v>
      </c>
      <c r="D5104">
        <v>0</v>
      </c>
      <c r="E5104">
        <v>0</v>
      </c>
      <c r="F5104">
        <v>54023</v>
      </c>
      <c r="G5104">
        <v>1750</v>
      </c>
      <c r="H5104">
        <v>0</v>
      </c>
      <c r="J5104" t="str">
        <f>VLOOKUP(Table3[[#This Row],[Faction ID]],Table4[],2)</f>
        <v>Southern Enedwaith</v>
      </c>
    </row>
    <row r="5105" spans="1:10" x14ac:dyDescent="0.25">
      <c r="A5105">
        <v>132</v>
      </c>
      <c r="B5105" t="s">
        <v>30</v>
      </c>
      <c r="C5105">
        <v>0</v>
      </c>
      <c r="D5105">
        <v>0</v>
      </c>
      <c r="E5105">
        <v>0</v>
      </c>
      <c r="F5105">
        <v>32146</v>
      </c>
      <c r="G5105">
        <v>1750</v>
      </c>
      <c r="H5105">
        <v>0</v>
      </c>
      <c r="J5105" t="str">
        <f>VLOOKUP(Table3[[#This Row],[Faction ID]],Table4[],2)</f>
        <v>Druedain</v>
      </c>
    </row>
    <row r="5106" spans="1:10" x14ac:dyDescent="0.25">
      <c r="A5106">
        <v>132</v>
      </c>
      <c r="B5106" t="s">
        <v>31</v>
      </c>
      <c r="C5106">
        <v>0</v>
      </c>
      <c r="D5106">
        <v>0</v>
      </c>
      <c r="E5106">
        <v>0</v>
      </c>
      <c r="F5106">
        <v>15146</v>
      </c>
      <c r="G5106">
        <v>1750</v>
      </c>
      <c r="H5106">
        <v>0</v>
      </c>
      <c r="J5106" t="str">
        <f>VLOOKUP(Table3[[#This Row],[Faction ID]],Table4[],2)</f>
        <v>Harondor</v>
      </c>
    </row>
    <row r="5107" spans="1:10" x14ac:dyDescent="0.25">
      <c r="A5107">
        <v>132</v>
      </c>
      <c r="B5107" t="s">
        <v>35</v>
      </c>
      <c r="C5107">
        <v>0</v>
      </c>
      <c r="D5107">
        <v>0</v>
      </c>
      <c r="E5107">
        <v>0</v>
      </c>
      <c r="F5107">
        <v>4000</v>
      </c>
      <c r="G5107">
        <v>1750</v>
      </c>
      <c r="H5107">
        <v>0</v>
      </c>
      <c r="J5107" t="str">
        <f>VLOOKUP(Table3[[#This Row],[Faction ID]],Table4[],2)</f>
        <v>Southron Nomads</v>
      </c>
    </row>
    <row r="5108" spans="1:10" x14ac:dyDescent="0.25">
      <c r="A5108">
        <v>132</v>
      </c>
      <c r="B5108" t="s">
        <v>36</v>
      </c>
      <c r="C5108">
        <v>0</v>
      </c>
      <c r="D5108">
        <v>0</v>
      </c>
      <c r="E5108">
        <v>0</v>
      </c>
      <c r="F5108">
        <v>4000</v>
      </c>
      <c r="G5108">
        <v>1750</v>
      </c>
      <c r="H5108">
        <v>0</v>
      </c>
      <c r="J5108" t="str">
        <f>VLOOKUP(Table3[[#This Row],[Faction ID]],Table4[],2)</f>
        <v>_</v>
      </c>
    </row>
    <row r="5109" spans="1:10" x14ac:dyDescent="0.25">
      <c r="A5109">
        <v>132</v>
      </c>
      <c r="B5109" t="s">
        <v>37</v>
      </c>
      <c r="C5109">
        <v>0</v>
      </c>
      <c r="D5109">
        <v>0</v>
      </c>
      <c r="E5109">
        <v>0</v>
      </c>
      <c r="F5109">
        <v>4000</v>
      </c>
      <c r="G5109">
        <v>1750</v>
      </c>
      <c r="H5109">
        <v>0</v>
      </c>
      <c r="J5109" t="str">
        <f>VLOOKUP(Table3[[#This Row],[Faction ID]],Table4[],2)</f>
        <v>_</v>
      </c>
    </row>
    <row r="5110" spans="1:10" x14ac:dyDescent="0.25">
      <c r="A5110">
        <v>132</v>
      </c>
      <c r="B5110" t="s">
        <v>38</v>
      </c>
      <c r="C5110">
        <v>0</v>
      </c>
      <c r="D5110">
        <v>0</v>
      </c>
      <c r="E5110">
        <v>0</v>
      </c>
      <c r="F5110">
        <v>4000</v>
      </c>
      <c r="G5110">
        <v>1750</v>
      </c>
      <c r="H5110">
        <v>0</v>
      </c>
      <c r="J5110" t="str">
        <f>VLOOKUP(Table3[[#This Row],[Faction ID]],Table4[],2)</f>
        <v>_</v>
      </c>
    </row>
    <row r="5111" spans="1:10" x14ac:dyDescent="0.25">
      <c r="A5111">
        <v>132</v>
      </c>
      <c r="B5111" t="s">
        <v>39</v>
      </c>
      <c r="C5111">
        <v>0</v>
      </c>
      <c r="D5111">
        <v>0</v>
      </c>
      <c r="E5111">
        <v>0</v>
      </c>
      <c r="F5111">
        <v>4000</v>
      </c>
      <c r="G5111">
        <v>1750</v>
      </c>
      <c r="H5111">
        <v>0</v>
      </c>
      <c r="J5111" t="str">
        <f>VLOOKUP(Table3[[#This Row],[Faction ID]],Table4[],2)</f>
        <v>_</v>
      </c>
    </row>
    <row r="5112" spans="1:10" x14ac:dyDescent="0.25">
      <c r="A5112">
        <v>132</v>
      </c>
      <c r="B5112" t="s">
        <v>40</v>
      </c>
      <c r="C5112">
        <v>0</v>
      </c>
      <c r="D5112">
        <v>0</v>
      </c>
      <c r="E5112">
        <v>0</v>
      </c>
      <c r="F5112">
        <v>4000</v>
      </c>
      <c r="G5112">
        <v>1750</v>
      </c>
      <c r="H5112">
        <v>0</v>
      </c>
      <c r="J5112" t="str">
        <f>VLOOKUP(Table3[[#This Row],[Faction ID]],Table4[],2)</f>
        <v>_</v>
      </c>
    </row>
    <row r="5113" spans="1:10" x14ac:dyDescent="0.25">
      <c r="A5113">
        <v>132</v>
      </c>
      <c r="B5113" t="s">
        <v>41</v>
      </c>
      <c r="C5113">
        <v>0</v>
      </c>
      <c r="D5113">
        <v>0</v>
      </c>
      <c r="E5113">
        <v>0</v>
      </c>
      <c r="F5113">
        <v>4000</v>
      </c>
      <c r="G5113">
        <v>1750</v>
      </c>
      <c r="H5113">
        <v>0</v>
      </c>
      <c r="J5113" t="str">
        <f>VLOOKUP(Table3[[#This Row],[Faction ID]],Table4[],2)</f>
        <v>_</v>
      </c>
    </row>
    <row r="5114" spans="1:10" x14ac:dyDescent="0.25">
      <c r="A5114">
        <v>132</v>
      </c>
      <c r="B5114" t="s">
        <v>42</v>
      </c>
      <c r="C5114">
        <v>0</v>
      </c>
      <c r="D5114">
        <v>0</v>
      </c>
      <c r="E5114">
        <v>0</v>
      </c>
      <c r="F5114">
        <v>4000</v>
      </c>
      <c r="G5114">
        <v>1750</v>
      </c>
      <c r="H5114">
        <v>0</v>
      </c>
      <c r="J5114" t="str">
        <f>VLOOKUP(Table3[[#This Row],[Faction ID]],Table4[],2)</f>
        <v>_</v>
      </c>
    </row>
    <row r="5115" spans="1:10" x14ac:dyDescent="0.25">
      <c r="A5115">
        <v>132</v>
      </c>
      <c r="B5115" t="s">
        <v>43</v>
      </c>
      <c r="C5115">
        <v>0</v>
      </c>
      <c r="D5115">
        <v>0</v>
      </c>
      <c r="E5115">
        <v>0</v>
      </c>
      <c r="F5115">
        <v>4000</v>
      </c>
      <c r="G5115">
        <v>1750</v>
      </c>
      <c r="H5115">
        <v>0</v>
      </c>
      <c r="J5115" t="str">
        <f>VLOOKUP(Table3[[#This Row],[Faction ID]],Table4[],2)</f>
        <v>_</v>
      </c>
    </row>
    <row r="5116" spans="1:10" x14ac:dyDescent="0.25">
      <c r="A5116">
        <v>132</v>
      </c>
      <c r="B5116" t="s">
        <v>44</v>
      </c>
      <c r="C5116">
        <v>0</v>
      </c>
      <c r="D5116">
        <v>0</v>
      </c>
      <c r="E5116">
        <v>0</v>
      </c>
      <c r="F5116">
        <v>4000</v>
      </c>
      <c r="G5116">
        <v>1750</v>
      </c>
      <c r="H5116">
        <v>0</v>
      </c>
      <c r="J5116" t="str">
        <f>VLOOKUP(Table3[[#This Row],[Faction ID]],Table4[],2)</f>
        <v>_</v>
      </c>
    </row>
    <row r="5117" spans="1:10" x14ac:dyDescent="0.25">
      <c r="A5117">
        <v>133</v>
      </c>
      <c r="B5117" t="s">
        <v>9</v>
      </c>
      <c r="C5117">
        <v>673</v>
      </c>
      <c r="D5117">
        <v>45</v>
      </c>
      <c r="E5117">
        <v>587.9</v>
      </c>
      <c r="F5117">
        <v>10955</v>
      </c>
      <c r="G5117">
        <v>86004</v>
      </c>
      <c r="H5117">
        <v>7015</v>
      </c>
      <c r="J5117" t="str">
        <f>VLOOKUP(Table3[[#This Row],[Faction ID]],Table4[],2)</f>
        <v>Mordor</v>
      </c>
    </row>
    <row r="5118" spans="1:10" x14ac:dyDescent="0.25">
      <c r="A5118">
        <v>133</v>
      </c>
      <c r="B5118" t="s">
        <v>4</v>
      </c>
      <c r="C5118">
        <v>146</v>
      </c>
      <c r="D5118">
        <v>0</v>
      </c>
      <c r="E5118">
        <v>0</v>
      </c>
      <c r="F5118">
        <v>55420</v>
      </c>
      <c r="G5118">
        <v>2500</v>
      </c>
      <c r="H5118">
        <v>0</v>
      </c>
      <c r="J5118" t="str">
        <f>VLOOKUP(Table3[[#This Row],[Faction ID]],Table4[],2)</f>
        <v>Gondor</v>
      </c>
    </row>
    <row r="5119" spans="1:10" x14ac:dyDescent="0.25">
      <c r="A5119">
        <v>133</v>
      </c>
      <c r="B5119" t="s">
        <v>6</v>
      </c>
      <c r="C5119">
        <v>199</v>
      </c>
      <c r="D5119">
        <v>0</v>
      </c>
      <c r="E5119">
        <v>0</v>
      </c>
      <c r="F5119">
        <v>10343</v>
      </c>
      <c r="G5119">
        <v>2500</v>
      </c>
      <c r="H5119">
        <v>0</v>
      </c>
      <c r="J5119" t="str">
        <f>VLOOKUP(Table3[[#This Row],[Faction ID]],Table4[],2)</f>
        <v>Dale</v>
      </c>
    </row>
    <row r="5120" spans="1:10" x14ac:dyDescent="0.25">
      <c r="A5120">
        <v>133</v>
      </c>
      <c r="B5120" t="s">
        <v>21</v>
      </c>
      <c r="C5120">
        <v>200</v>
      </c>
      <c r="D5120">
        <v>0</v>
      </c>
      <c r="E5120">
        <v>0</v>
      </c>
      <c r="F5120">
        <v>10040</v>
      </c>
      <c r="G5120">
        <v>2500</v>
      </c>
      <c r="H5120">
        <v>0</v>
      </c>
      <c r="J5120" t="str">
        <f>VLOOKUP(Table3[[#This Row],[Faction ID]],Table4[],2)</f>
        <v>Erebor</v>
      </c>
    </row>
    <row r="5121" spans="1:10" x14ac:dyDescent="0.25">
      <c r="A5121">
        <v>133</v>
      </c>
      <c r="B5121" t="s">
        <v>5</v>
      </c>
      <c r="C5121">
        <v>157</v>
      </c>
      <c r="D5121">
        <v>0</v>
      </c>
      <c r="E5121">
        <v>0</v>
      </c>
      <c r="F5121">
        <v>6638</v>
      </c>
      <c r="G5121">
        <v>2500</v>
      </c>
      <c r="H5121">
        <v>0</v>
      </c>
      <c r="J5121" t="str">
        <f>VLOOKUP(Table3[[#This Row],[Faction ID]],Table4[],2)</f>
        <v>Rohan</v>
      </c>
    </row>
    <row r="5122" spans="1:10" x14ac:dyDescent="0.25">
      <c r="A5122">
        <v>133</v>
      </c>
      <c r="B5122" t="s">
        <v>12</v>
      </c>
      <c r="C5122">
        <v>528</v>
      </c>
      <c r="D5122">
        <v>25</v>
      </c>
      <c r="E5122">
        <v>454.6</v>
      </c>
      <c r="F5122">
        <v>311165</v>
      </c>
      <c r="G5122">
        <v>75081</v>
      </c>
      <c r="H5122">
        <v>5244</v>
      </c>
      <c r="J5122" t="str">
        <f>VLOOKUP(Table3[[#This Row],[Faction ID]],Table4[],2)</f>
        <v>Dol Guldur</v>
      </c>
    </row>
    <row r="5123" spans="1:10" x14ac:dyDescent="0.25">
      <c r="A5123">
        <v>133</v>
      </c>
      <c r="B5123" t="s">
        <v>10</v>
      </c>
      <c r="C5123">
        <v>58</v>
      </c>
      <c r="D5123">
        <v>0</v>
      </c>
      <c r="E5123">
        <v>0</v>
      </c>
      <c r="F5123">
        <v>4515</v>
      </c>
      <c r="G5123">
        <v>2500</v>
      </c>
      <c r="H5123">
        <v>0</v>
      </c>
      <c r="J5123" t="str">
        <f>VLOOKUP(Table3[[#This Row],[Faction ID]],Table4[],2)</f>
        <v>Anduin Vale</v>
      </c>
    </row>
    <row r="5124" spans="1:10" x14ac:dyDescent="0.25">
      <c r="A5124">
        <v>133</v>
      </c>
      <c r="B5124" t="s">
        <v>32</v>
      </c>
      <c r="C5124">
        <v>326</v>
      </c>
      <c r="D5124">
        <v>4</v>
      </c>
      <c r="E5124">
        <v>133</v>
      </c>
      <c r="F5124">
        <v>25309</v>
      </c>
      <c r="G5124">
        <v>24545</v>
      </c>
      <c r="H5124">
        <v>1282</v>
      </c>
      <c r="J5124" t="str">
        <f>VLOOKUP(Table3[[#This Row],[Faction ID]],Table4[],2)</f>
        <v>Isengard</v>
      </c>
    </row>
    <row r="5125" spans="1:10" x14ac:dyDescent="0.25">
      <c r="A5125">
        <v>133</v>
      </c>
      <c r="B5125" t="s">
        <v>22</v>
      </c>
      <c r="C5125">
        <v>30</v>
      </c>
      <c r="D5125">
        <v>0</v>
      </c>
      <c r="E5125">
        <v>0</v>
      </c>
      <c r="F5125">
        <v>8475</v>
      </c>
      <c r="G5125">
        <v>2500</v>
      </c>
      <c r="H5125">
        <v>0</v>
      </c>
      <c r="J5125" t="str">
        <f>VLOOKUP(Table3[[#This Row],[Faction ID]],Table4[],2)</f>
        <v>Woodland Realm</v>
      </c>
    </row>
    <row r="5126" spans="1:10" x14ac:dyDescent="0.25">
      <c r="A5126">
        <v>133</v>
      </c>
      <c r="B5126" t="s">
        <v>23</v>
      </c>
      <c r="C5126">
        <v>64</v>
      </c>
      <c r="D5126">
        <v>0</v>
      </c>
      <c r="E5126">
        <v>0</v>
      </c>
      <c r="F5126">
        <v>4721</v>
      </c>
      <c r="G5126">
        <v>2500</v>
      </c>
      <c r="H5126">
        <v>0</v>
      </c>
      <c r="J5126" t="str">
        <f>VLOOKUP(Table3[[#This Row],[Faction ID]],Table4[],2)</f>
        <v>Lothlorien</v>
      </c>
    </row>
    <row r="5127" spans="1:10" x14ac:dyDescent="0.25">
      <c r="A5127">
        <v>133</v>
      </c>
      <c r="B5127" t="s">
        <v>24</v>
      </c>
      <c r="C5127">
        <v>0</v>
      </c>
      <c r="D5127">
        <v>0</v>
      </c>
      <c r="E5127">
        <v>0</v>
      </c>
      <c r="F5127">
        <v>4919</v>
      </c>
      <c r="G5127">
        <v>1750</v>
      </c>
      <c r="H5127">
        <v>0</v>
      </c>
      <c r="J5127" t="str">
        <f>VLOOKUP(Table3[[#This Row],[Faction ID]],Table4[],2)</f>
        <v>Variags (Khand)</v>
      </c>
    </row>
    <row r="5128" spans="1:10" x14ac:dyDescent="0.25">
      <c r="A5128">
        <v>133</v>
      </c>
      <c r="B5128" t="s">
        <v>14</v>
      </c>
      <c r="C5128">
        <v>20</v>
      </c>
      <c r="D5128">
        <v>14</v>
      </c>
      <c r="E5128">
        <v>247.7</v>
      </c>
      <c r="F5128">
        <v>284710</v>
      </c>
      <c r="G5128">
        <v>57123</v>
      </c>
      <c r="H5128">
        <v>4927</v>
      </c>
      <c r="J5128" t="str">
        <f>VLOOKUP(Table3[[#This Row],[Faction ID]],Table4[],2)</f>
        <v>Corsairs of Umbar</v>
      </c>
    </row>
    <row r="5129" spans="1:10" x14ac:dyDescent="0.25">
      <c r="A5129">
        <v>133</v>
      </c>
      <c r="B5129" t="s">
        <v>25</v>
      </c>
      <c r="C5129">
        <v>0</v>
      </c>
      <c r="D5129">
        <v>0</v>
      </c>
      <c r="E5129">
        <v>0</v>
      </c>
      <c r="F5129">
        <v>9228</v>
      </c>
      <c r="G5129">
        <v>1750</v>
      </c>
      <c r="H5129">
        <v>0</v>
      </c>
      <c r="J5129" t="str">
        <f>VLOOKUP(Table3[[#This Row],[Faction ID]],Table4[],2)</f>
        <v>Mahud</v>
      </c>
    </row>
    <row r="5130" spans="1:10" x14ac:dyDescent="0.25">
      <c r="A5130">
        <v>133</v>
      </c>
      <c r="B5130" t="s">
        <v>11</v>
      </c>
      <c r="C5130">
        <v>358</v>
      </c>
      <c r="D5130">
        <v>14</v>
      </c>
      <c r="E5130">
        <v>231.2</v>
      </c>
      <c r="F5130">
        <v>167913</v>
      </c>
      <c r="G5130">
        <v>38090</v>
      </c>
      <c r="H5130">
        <v>2668</v>
      </c>
      <c r="J5130" t="str">
        <f>VLOOKUP(Table3[[#This Row],[Faction ID]],Table4[],2)</f>
        <v>Haradrim</v>
      </c>
    </row>
    <row r="5131" spans="1:10" x14ac:dyDescent="0.25">
      <c r="A5131">
        <v>133</v>
      </c>
      <c r="B5131" t="s">
        <v>15</v>
      </c>
      <c r="C5131">
        <v>314</v>
      </c>
      <c r="D5131">
        <v>13</v>
      </c>
      <c r="E5131">
        <v>284.89999999999998</v>
      </c>
      <c r="F5131">
        <v>259634</v>
      </c>
      <c r="G5131">
        <v>53831</v>
      </c>
      <c r="H5131">
        <v>474</v>
      </c>
      <c r="J5131" t="str">
        <f>VLOOKUP(Table3[[#This Row],[Faction ID]],Table4[],2)</f>
        <v>Dunlendings</v>
      </c>
    </row>
    <row r="5132" spans="1:10" x14ac:dyDescent="0.25">
      <c r="A5132">
        <v>133</v>
      </c>
      <c r="B5132" t="s">
        <v>16</v>
      </c>
      <c r="C5132">
        <v>0</v>
      </c>
      <c r="D5132">
        <v>0</v>
      </c>
      <c r="E5132">
        <v>0</v>
      </c>
      <c r="F5132">
        <v>5352</v>
      </c>
      <c r="G5132">
        <v>1750</v>
      </c>
      <c r="H5132">
        <v>0</v>
      </c>
      <c r="J5132" t="str">
        <f>VLOOKUP(Table3[[#This Row],[Faction ID]],Table4[],2)</f>
        <v>Haerrim</v>
      </c>
    </row>
    <row r="5133" spans="1:10" x14ac:dyDescent="0.25">
      <c r="A5133">
        <v>133</v>
      </c>
      <c r="B5133" t="s">
        <v>13</v>
      </c>
      <c r="C5133">
        <v>673</v>
      </c>
      <c r="D5133">
        <v>9</v>
      </c>
      <c r="E5133">
        <v>180.1</v>
      </c>
      <c r="F5133">
        <v>177074</v>
      </c>
      <c r="G5133">
        <v>30269</v>
      </c>
      <c r="H5133">
        <v>0</v>
      </c>
      <c r="J5133" t="str">
        <f>VLOOKUP(Table3[[#This Row],[Faction ID]],Table4[],2)</f>
        <v>Goblins</v>
      </c>
    </row>
    <row r="5134" spans="1:10" x14ac:dyDescent="0.25">
      <c r="A5134">
        <v>133</v>
      </c>
      <c r="B5134" t="s">
        <v>17</v>
      </c>
      <c r="C5134">
        <v>0</v>
      </c>
      <c r="D5134">
        <v>0</v>
      </c>
      <c r="E5134">
        <v>0</v>
      </c>
      <c r="F5134">
        <v>4872</v>
      </c>
      <c r="G5134">
        <v>1750</v>
      </c>
      <c r="H5134">
        <v>0</v>
      </c>
      <c r="J5134" t="str">
        <f>VLOOKUP(Table3[[#This Row],[Faction ID]],Table4[],2)</f>
        <v>Balchoth</v>
      </c>
    </row>
    <row r="5135" spans="1:10" x14ac:dyDescent="0.25">
      <c r="A5135">
        <v>133</v>
      </c>
      <c r="B5135" t="s">
        <v>18</v>
      </c>
      <c r="C5135">
        <v>628</v>
      </c>
      <c r="D5135">
        <v>25</v>
      </c>
      <c r="E5135">
        <v>321</v>
      </c>
      <c r="F5135">
        <v>272734</v>
      </c>
      <c r="G5135">
        <v>49291</v>
      </c>
      <c r="H5135">
        <v>3592</v>
      </c>
      <c r="J5135" t="str">
        <f>VLOOKUP(Table3[[#This Row],[Faction ID]],Table4[],2)</f>
        <v>Rhurim/Rhun</v>
      </c>
    </row>
    <row r="5136" spans="1:10" x14ac:dyDescent="0.25">
      <c r="A5136">
        <v>133</v>
      </c>
      <c r="B5136" t="s">
        <v>19</v>
      </c>
      <c r="C5136">
        <v>0</v>
      </c>
      <c r="D5136">
        <v>0</v>
      </c>
      <c r="E5136">
        <v>0</v>
      </c>
      <c r="F5136">
        <v>7360</v>
      </c>
      <c r="G5136">
        <v>1750</v>
      </c>
      <c r="H5136">
        <v>0</v>
      </c>
      <c r="J5136" t="str">
        <f>VLOOKUP(Table3[[#This Row],[Faction ID]],Table4[],2)</f>
        <v>Feredrim</v>
      </c>
    </row>
    <row r="5137" spans="1:10" x14ac:dyDescent="0.25">
      <c r="A5137">
        <v>133</v>
      </c>
      <c r="B5137" t="s">
        <v>26</v>
      </c>
      <c r="C5137">
        <v>0</v>
      </c>
      <c r="D5137">
        <v>0</v>
      </c>
      <c r="E5137">
        <v>0</v>
      </c>
      <c r="F5137">
        <v>6395</v>
      </c>
      <c r="G5137">
        <v>1750</v>
      </c>
      <c r="H5137">
        <v>0</v>
      </c>
      <c r="J5137" t="str">
        <f>VLOOKUP(Table3[[#This Row],[Faction ID]],Table4[],2)</f>
        <v>Rachrohir (Wainriders)</v>
      </c>
    </row>
    <row r="5138" spans="1:10" x14ac:dyDescent="0.25">
      <c r="A5138">
        <v>133</v>
      </c>
      <c r="B5138" t="s">
        <v>27</v>
      </c>
      <c r="C5138">
        <v>5</v>
      </c>
      <c r="D5138">
        <v>3</v>
      </c>
      <c r="E5138">
        <v>84</v>
      </c>
      <c r="F5138">
        <v>24963</v>
      </c>
      <c r="G5138">
        <v>14639</v>
      </c>
      <c r="H5138">
        <v>763</v>
      </c>
      <c r="J5138" t="str">
        <f>VLOOKUP(Table3[[#This Row],[Faction ID]],Table4[],2)</f>
        <v>Blacklock-Stonefoot League</v>
      </c>
    </row>
    <row r="5139" spans="1:10" x14ac:dyDescent="0.25">
      <c r="A5139">
        <v>133</v>
      </c>
      <c r="B5139" t="s">
        <v>28</v>
      </c>
      <c r="C5139">
        <v>5</v>
      </c>
      <c r="D5139">
        <v>2</v>
      </c>
      <c r="E5139">
        <v>23.7</v>
      </c>
      <c r="F5139">
        <v>16655</v>
      </c>
      <c r="G5139">
        <v>8755</v>
      </c>
      <c r="H5139">
        <v>265</v>
      </c>
      <c r="J5139" t="str">
        <f>VLOOKUP(Table3[[#This Row],[Faction ID]],Table4[],2)</f>
        <v>Ironfist-Stiffbeard Union</v>
      </c>
    </row>
    <row r="5140" spans="1:10" x14ac:dyDescent="0.25">
      <c r="A5140">
        <v>133</v>
      </c>
      <c r="B5140" t="s">
        <v>20</v>
      </c>
      <c r="C5140">
        <v>245</v>
      </c>
      <c r="D5140">
        <v>0</v>
      </c>
      <c r="E5140">
        <v>0</v>
      </c>
      <c r="F5140">
        <v>9750</v>
      </c>
      <c r="G5140">
        <v>2500</v>
      </c>
      <c r="H5140">
        <v>0</v>
      </c>
      <c r="J5140" t="str">
        <f>VLOOKUP(Table3[[#This Row],[Faction ID]],Table4[],2)</f>
        <v>Gundabad</v>
      </c>
    </row>
    <row r="5141" spans="1:10" x14ac:dyDescent="0.25">
      <c r="A5141">
        <v>133</v>
      </c>
      <c r="B5141" t="s">
        <v>34</v>
      </c>
      <c r="C5141">
        <v>0</v>
      </c>
      <c r="D5141">
        <v>0</v>
      </c>
      <c r="E5141">
        <v>3</v>
      </c>
      <c r="F5141">
        <v>152797</v>
      </c>
      <c r="G5141">
        <v>2354</v>
      </c>
      <c r="H5141">
        <v>0</v>
      </c>
      <c r="J5141" t="str">
        <f>VLOOKUP(Table3[[#This Row],[Faction ID]],Table4[],2)</f>
        <v>Scouts of Rohan</v>
      </c>
    </row>
    <row r="5142" spans="1:10" x14ac:dyDescent="0.25">
      <c r="A5142">
        <v>133</v>
      </c>
      <c r="B5142" t="s">
        <v>33</v>
      </c>
      <c r="C5142">
        <v>2</v>
      </c>
      <c r="D5142">
        <v>2</v>
      </c>
      <c r="E5142">
        <v>20.100000000000001</v>
      </c>
      <c r="F5142">
        <v>63004</v>
      </c>
      <c r="G5142">
        <v>5874</v>
      </c>
      <c r="H5142">
        <v>900</v>
      </c>
      <c r="J5142" t="str">
        <f>VLOOKUP(Table3[[#This Row],[Faction ID]],Table4[],2)</f>
        <v>Northern Enedwaith</v>
      </c>
    </row>
    <row r="5143" spans="1:10" x14ac:dyDescent="0.25">
      <c r="A5143">
        <v>133</v>
      </c>
      <c r="B5143" t="s">
        <v>29</v>
      </c>
      <c r="C5143">
        <v>0</v>
      </c>
      <c r="D5143">
        <v>0</v>
      </c>
      <c r="E5143">
        <v>0</v>
      </c>
      <c r="F5143">
        <v>54023</v>
      </c>
      <c r="G5143">
        <v>1750</v>
      </c>
      <c r="H5143">
        <v>0</v>
      </c>
      <c r="J5143" t="str">
        <f>VLOOKUP(Table3[[#This Row],[Faction ID]],Table4[],2)</f>
        <v>Southern Enedwaith</v>
      </c>
    </row>
    <row r="5144" spans="1:10" x14ac:dyDescent="0.25">
      <c r="A5144">
        <v>133</v>
      </c>
      <c r="B5144" t="s">
        <v>30</v>
      </c>
      <c r="C5144">
        <v>0</v>
      </c>
      <c r="D5144">
        <v>0</v>
      </c>
      <c r="E5144">
        <v>0</v>
      </c>
      <c r="F5144">
        <v>32146</v>
      </c>
      <c r="G5144">
        <v>1750</v>
      </c>
      <c r="H5144">
        <v>0</v>
      </c>
      <c r="J5144" t="str">
        <f>VLOOKUP(Table3[[#This Row],[Faction ID]],Table4[],2)</f>
        <v>Druedain</v>
      </c>
    </row>
    <row r="5145" spans="1:10" x14ac:dyDescent="0.25">
      <c r="A5145">
        <v>133</v>
      </c>
      <c r="B5145" t="s">
        <v>31</v>
      </c>
      <c r="C5145">
        <v>0</v>
      </c>
      <c r="D5145">
        <v>0</v>
      </c>
      <c r="E5145">
        <v>0</v>
      </c>
      <c r="F5145">
        <v>15146</v>
      </c>
      <c r="G5145">
        <v>1750</v>
      </c>
      <c r="H5145">
        <v>0</v>
      </c>
      <c r="J5145" t="str">
        <f>VLOOKUP(Table3[[#This Row],[Faction ID]],Table4[],2)</f>
        <v>Harondor</v>
      </c>
    </row>
    <row r="5146" spans="1:10" x14ac:dyDescent="0.25">
      <c r="A5146">
        <v>133</v>
      </c>
      <c r="B5146" t="s">
        <v>35</v>
      </c>
      <c r="C5146">
        <v>0</v>
      </c>
      <c r="D5146">
        <v>0</v>
      </c>
      <c r="E5146">
        <v>0</v>
      </c>
      <c r="F5146">
        <v>4000</v>
      </c>
      <c r="G5146">
        <v>1750</v>
      </c>
      <c r="H5146">
        <v>0</v>
      </c>
      <c r="J5146" t="str">
        <f>VLOOKUP(Table3[[#This Row],[Faction ID]],Table4[],2)</f>
        <v>Southron Nomads</v>
      </c>
    </row>
    <row r="5147" spans="1:10" x14ac:dyDescent="0.25">
      <c r="A5147">
        <v>133</v>
      </c>
      <c r="B5147" t="s">
        <v>36</v>
      </c>
      <c r="C5147">
        <v>0</v>
      </c>
      <c r="D5147">
        <v>0</v>
      </c>
      <c r="E5147">
        <v>0</v>
      </c>
      <c r="F5147">
        <v>4000</v>
      </c>
      <c r="G5147">
        <v>1750</v>
      </c>
      <c r="H5147">
        <v>0</v>
      </c>
      <c r="J5147" t="str">
        <f>VLOOKUP(Table3[[#This Row],[Faction ID]],Table4[],2)</f>
        <v>_</v>
      </c>
    </row>
    <row r="5148" spans="1:10" x14ac:dyDescent="0.25">
      <c r="A5148">
        <v>133</v>
      </c>
      <c r="B5148" t="s">
        <v>37</v>
      </c>
      <c r="C5148">
        <v>0</v>
      </c>
      <c r="D5148">
        <v>0</v>
      </c>
      <c r="E5148">
        <v>0</v>
      </c>
      <c r="F5148">
        <v>4000</v>
      </c>
      <c r="G5148">
        <v>1750</v>
      </c>
      <c r="H5148">
        <v>0</v>
      </c>
      <c r="J5148" t="str">
        <f>VLOOKUP(Table3[[#This Row],[Faction ID]],Table4[],2)</f>
        <v>_</v>
      </c>
    </row>
    <row r="5149" spans="1:10" x14ac:dyDescent="0.25">
      <c r="A5149">
        <v>133</v>
      </c>
      <c r="B5149" t="s">
        <v>38</v>
      </c>
      <c r="C5149">
        <v>0</v>
      </c>
      <c r="D5149">
        <v>0</v>
      </c>
      <c r="E5149">
        <v>0</v>
      </c>
      <c r="F5149">
        <v>4000</v>
      </c>
      <c r="G5149">
        <v>1750</v>
      </c>
      <c r="H5149">
        <v>0</v>
      </c>
      <c r="J5149" t="str">
        <f>VLOOKUP(Table3[[#This Row],[Faction ID]],Table4[],2)</f>
        <v>_</v>
      </c>
    </row>
    <row r="5150" spans="1:10" x14ac:dyDescent="0.25">
      <c r="A5150">
        <v>133</v>
      </c>
      <c r="B5150" t="s">
        <v>39</v>
      </c>
      <c r="C5150">
        <v>0</v>
      </c>
      <c r="D5150">
        <v>0</v>
      </c>
      <c r="E5150">
        <v>0</v>
      </c>
      <c r="F5150">
        <v>4000</v>
      </c>
      <c r="G5150">
        <v>1750</v>
      </c>
      <c r="H5150">
        <v>0</v>
      </c>
      <c r="J5150" t="str">
        <f>VLOOKUP(Table3[[#This Row],[Faction ID]],Table4[],2)</f>
        <v>_</v>
      </c>
    </row>
    <row r="5151" spans="1:10" x14ac:dyDescent="0.25">
      <c r="A5151">
        <v>133</v>
      </c>
      <c r="B5151" t="s">
        <v>40</v>
      </c>
      <c r="C5151">
        <v>0</v>
      </c>
      <c r="D5151">
        <v>0</v>
      </c>
      <c r="E5151">
        <v>0</v>
      </c>
      <c r="F5151">
        <v>4000</v>
      </c>
      <c r="G5151">
        <v>1750</v>
      </c>
      <c r="H5151">
        <v>0</v>
      </c>
      <c r="J5151" t="str">
        <f>VLOOKUP(Table3[[#This Row],[Faction ID]],Table4[],2)</f>
        <v>_</v>
      </c>
    </row>
    <row r="5152" spans="1:10" x14ac:dyDescent="0.25">
      <c r="A5152">
        <v>133</v>
      </c>
      <c r="B5152" t="s">
        <v>41</v>
      </c>
      <c r="C5152">
        <v>0</v>
      </c>
      <c r="D5152">
        <v>0</v>
      </c>
      <c r="E5152">
        <v>0</v>
      </c>
      <c r="F5152">
        <v>4000</v>
      </c>
      <c r="G5152">
        <v>1750</v>
      </c>
      <c r="H5152">
        <v>0</v>
      </c>
      <c r="J5152" t="str">
        <f>VLOOKUP(Table3[[#This Row],[Faction ID]],Table4[],2)</f>
        <v>_</v>
      </c>
    </row>
    <row r="5153" spans="1:10" x14ac:dyDescent="0.25">
      <c r="A5153">
        <v>133</v>
      </c>
      <c r="B5153" t="s">
        <v>42</v>
      </c>
      <c r="C5153">
        <v>0</v>
      </c>
      <c r="D5153">
        <v>0</v>
      </c>
      <c r="E5153">
        <v>0</v>
      </c>
      <c r="F5153">
        <v>4000</v>
      </c>
      <c r="G5153">
        <v>1750</v>
      </c>
      <c r="H5153">
        <v>0</v>
      </c>
      <c r="J5153" t="str">
        <f>VLOOKUP(Table3[[#This Row],[Faction ID]],Table4[],2)</f>
        <v>_</v>
      </c>
    </row>
    <row r="5154" spans="1:10" x14ac:dyDescent="0.25">
      <c r="A5154">
        <v>133</v>
      </c>
      <c r="B5154" t="s">
        <v>43</v>
      </c>
      <c r="C5154">
        <v>0</v>
      </c>
      <c r="D5154">
        <v>0</v>
      </c>
      <c r="E5154">
        <v>0</v>
      </c>
      <c r="F5154">
        <v>4000</v>
      </c>
      <c r="G5154">
        <v>1750</v>
      </c>
      <c r="H5154">
        <v>0</v>
      </c>
      <c r="J5154" t="str">
        <f>VLOOKUP(Table3[[#This Row],[Faction ID]],Table4[],2)</f>
        <v>_</v>
      </c>
    </row>
    <row r="5155" spans="1:10" x14ac:dyDescent="0.25">
      <c r="A5155">
        <v>133</v>
      </c>
      <c r="B5155" t="s">
        <v>44</v>
      </c>
      <c r="C5155">
        <v>0</v>
      </c>
      <c r="D5155">
        <v>0</v>
      </c>
      <c r="E5155">
        <v>0</v>
      </c>
      <c r="F5155">
        <v>4000</v>
      </c>
      <c r="G5155">
        <v>1750</v>
      </c>
      <c r="H5155">
        <v>0</v>
      </c>
      <c r="J5155" t="str">
        <f>VLOOKUP(Table3[[#This Row],[Faction ID]],Table4[],2)</f>
        <v>_</v>
      </c>
    </row>
    <row r="5156" spans="1:10" x14ac:dyDescent="0.25">
      <c r="A5156">
        <v>134</v>
      </c>
      <c r="B5156" t="s">
        <v>9</v>
      </c>
      <c r="C5156">
        <v>696</v>
      </c>
      <c r="D5156">
        <v>47</v>
      </c>
      <c r="E5156">
        <v>613.9</v>
      </c>
      <c r="F5156">
        <v>4509</v>
      </c>
      <c r="G5156">
        <v>88061</v>
      </c>
      <c r="H5156">
        <v>7289</v>
      </c>
      <c r="J5156" t="str">
        <f>VLOOKUP(Table3[[#This Row],[Faction ID]],Table4[],2)</f>
        <v>Mordor</v>
      </c>
    </row>
    <row r="5157" spans="1:10" x14ac:dyDescent="0.25">
      <c r="A5157">
        <v>134</v>
      </c>
      <c r="B5157" t="s">
        <v>4</v>
      </c>
      <c r="C5157">
        <v>146</v>
      </c>
      <c r="D5157">
        <v>0</v>
      </c>
      <c r="E5157">
        <v>0</v>
      </c>
      <c r="F5157">
        <v>55420</v>
      </c>
      <c r="G5157">
        <v>2500</v>
      </c>
      <c r="H5157">
        <v>0</v>
      </c>
      <c r="J5157" t="str">
        <f>VLOOKUP(Table3[[#This Row],[Faction ID]],Table4[],2)</f>
        <v>Gondor</v>
      </c>
    </row>
    <row r="5158" spans="1:10" x14ac:dyDescent="0.25">
      <c r="A5158">
        <v>134</v>
      </c>
      <c r="B5158" t="s">
        <v>6</v>
      </c>
      <c r="C5158">
        <v>199</v>
      </c>
      <c r="D5158">
        <v>0</v>
      </c>
      <c r="E5158">
        <v>0</v>
      </c>
      <c r="F5158">
        <v>10343</v>
      </c>
      <c r="G5158">
        <v>2500</v>
      </c>
      <c r="H5158">
        <v>0</v>
      </c>
      <c r="J5158" t="str">
        <f>VLOOKUP(Table3[[#This Row],[Faction ID]],Table4[],2)</f>
        <v>Dale</v>
      </c>
    </row>
    <row r="5159" spans="1:10" x14ac:dyDescent="0.25">
      <c r="A5159">
        <v>134</v>
      </c>
      <c r="B5159" t="s">
        <v>21</v>
      </c>
      <c r="C5159">
        <v>200</v>
      </c>
      <c r="D5159">
        <v>0</v>
      </c>
      <c r="E5159">
        <v>0</v>
      </c>
      <c r="F5159">
        <v>10040</v>
      </c>
      <c r="G5159">
        <v>2500</v>
      </c>
      <c r="H5159">
        <v>0</v>
      </c>
      <c r="J5159" t="str">
        <f>VLOOKUP(Table3[[#This Row],[Faction ID]],Table4[],2)</f>
        <v>Erebor</v>
      </c>
    </row>
    <row r="5160" spans="1:10" x14ac:dyDescent="0.25">
      <c r="A5160">
        <v>134</v>
      </c>
      <c r="B5160" t="s">
        <v>5</v>
      </c>
      <c r="C5160">
        <v>157</v>
      </c>
      <c r="D5160">
        <v>0</v>
      </c>
      <c r="E5160">
        <v>0</v>
      </c>
      <c r="F5160">
        <v>6638</v>
      </c>
      <c r="G5160">
        <v>2500</v>
      </c>
      <c r="H5160">
        <v>0</v>
      </c>
      <c r="J5160" t="str">
        <f>VLOOKUP(Table3[[#This Row],[Faction ID]],Table4[],2)</f>
        <v>Rohan</v>
      </c>
    </row>
    <row r="5161" spans="1:10" x14ac:dyDescent="0.25">
      <c r="A5161">
        <v>134</v>
      </c>
      <c r="B5161" t="s">
        <v>12</v>
      </c>
      <c r="C5161">
        <v>528</v>
      </c>
      <c r="D5161">
        <v>25</v>
      </c>
      <c r="E5161">
        <v>448.6</v>
      </c>
      <c r="F5161">
        <v>338142</v>
      </c>
      <c r="G5161">
        <v>74617</v>
      </c>
      <c r="H5161">
        <v>5252</v>
      </c>
      <c r="J5161" t="str">
        <f>VLOOKUP(Table3[[#This Row],[Faction ID]],Table4[],2)</f>
        <v>Dol Guldur</v>
      </c>
    </row>
    <row r="5162" spans="1:10" x14ac:dyDescent="0.25">
      <c r="A5162">
        <v>134</v>
      </c>
      <c r="B5162" t="s">
        <v>10</v>
      </c>
      <c r="C5162">
        <v>58</v>
      </c>
      <c r="D5162">
        <v>0</v>
      </c>
      <c r="E5162">
        <v>0</v>
      </c>
      <c r="F5162">
        <v>4515</v>
      </c>
      <c r="G5162">
        <v>2500</v>
      </c>
      <c r="H5162">
        <v>0</v>
      </c>
      <c r="J5162" t="str">
        <f>VLOOKUP(Table3[[#This Row],[Faction ID]],Table4[],2)</f>
        <v>Anduin Vale</v>
      </c>
    </row>
    <row r="5163" spans="1:10" x14ac:dyDescent="0.25">
      <c r="A5163">
        <v>134</v>
      </c>
      <c r="B5163" t="s">
        <v>32</v>
      </c>
      <c r="C5163">
        <v>331</v>
      </c>
      <c r="D5163">
        <v>4</v>
      </c>
      <c r="E5163">
        <v>64.5</v>
      </c>
      <c r="F5163">
        <v>35291</v>
      </c>
      <c r="G5163">
        <v>17524</v>
      </c>
      <c r="H5163">
        <v>1278</v>
      </c>
      <c r="J5163" t="str">
        <f>VLOOKUP(Table3[[#This Row],[Faction ID]],Table4[],2)</f>
        <v>Isengard</v>
      </c>
    </row>
    <row r="5164" spans="1:10" x14ac:dyDescent="0.25">
      <c r="A5164">
        <v>134</v>
      </c>
      <c r="B5164" t="s">
        <v>22</v>
      </c>
      <c r="C5164">
        <v>30</v>
      </c>
      <c r="D5164">
        <v>0</v>
      </c>
      <c r="E5164">
        <v>0</v>
      </c>
      <c r="F5164">
        <v>8475</v>
      </c>
      <c r="G5164">
        <v>2500</v>
      </c>
      <c r="H5164">
        <v>0</v>
      </c>
      <c r="J5164" t="str">
        <f>VLOOKUP(Table3[[#This Row],[Faction ID]],Table4[],2)</f>
        <v>Woodland Realm</v>
      </c>
    </row>
    <row r="5165" spans="1:10" x14ac:dyDescent="0.25">
      <c r="A5165">
        <v>134</v>
      </c>
      <c r="B5165" t="s">
        <v>23</v>
      </c>
      <c r="C5165">
        <v>64</v>
      </c>
      <c r="D5165">
        <v>0</v>
      </c>
      <c r="E5165">
        <v>0</v>
      </c>
      <c r="F5165">
        <v>4721</v>
      </c>
      <c r="G5165">
        <v>2500</v>
      </c>
      <c r="H5165">
        <v>0</v>
      </c>
      <c r="J5165" t="str">
        <f>VLOOKUP(Table3[[#This Row],[Faction ID]],Table4[],2)</f>
        <v>Lothlorien</v>
      </c>
    </row>
    <row r="5166" spans="1:10" x14ac:dyDescent="0.25">
      <c r="A5166">
        <v>134</v>
      </c>
      <c r="B5166" t="s">
        <v>24</v>
      </c>
      <c r="C5166">
        <v>0</v>
      </c>
      <c r="D5166">
        <v>0</v>
      </c>
      <c r="E5166">
        <v>0</v>
      </c>
      <c r="F5166">
        <v>4919</v>
      </c>
      <c r="G5166">
        <v>1750</v>
      </c>
      <c r="H5166">
        <v>0</v>
      </c>
      <c r="J5166" t="str">
        <f>VLOOKUP(Table3[[#This Row],[Faction ID]],Table4[],2)</f>
        <v>Variags (Khand)</v>
      </c>
    </row>
    <row r="5167" spans="1:10" x14ac:dyDescent="0.25">
      <c r="A5167">
        <v>134</v>
      </c>
      <c r="B5167" t="s">
        <v>14</v>
      </c>
      <c r="C5167">
        <v>20</v>
      </c>
      <c r="D5167">
        <v>14</v>
      </c>
      <c r="E5167">
        <v>256</v>
      </c>
      <c r="F5167">
        <v>270540</v>
      </c>
      <c r="G5167">
        <v>58653</v>
      </c>
      <c r="H5167">
        <v>4959</v>
      </c>
      <c r="J5167" t="str">
        <f>VLOOKUP(Table3[[#This Row],[Faction ID]],Table4[],2)</f>
        <v>Corsairs of Umbar</v>
      </c>
    </row>
    <row r="5168" spans="1:10" x14ac:dyDescent="0.25">
      <c r="A5168">
        <v>134</v>
      </c>
      <c r="B5168" t="s">
        <v>25</v>
      </c>
      <c r="C5168">
        <v>0</v>
      </c>
      <c r="D5168">
        <v>0</v>
      </c>
      <c r="E5168">
        <v>0</v>
      </c>
      <c r="F5168">
        <v>9228</v>
      </c>
      <c r="G5168">
        <v>1750</v>
      </c>
      <c r="H5168">
        <v>0</v>
      </c>
      <c r="J5168" t="str">
        <f>VLOOKUP(Table3[[#This Row],[Faction ID]],Table4[],2)</f>
        <v>Mahud</v>
      </c>
    </row>
    <row r="5169" spans="1:10" x14ac:dyDescent="0.25">
      <c r="A5169">
        <v>134</v>
      </c>
      <c r="B5169" t="s">
        <v>11</v>
      </c>
      <c r="C5169">
        <v>358</v>
      </c>
      <c r="D5169">
        <v>14</v>
      </c>
      <c r="E5169">
        <v>238.7</v>
      </c>
      <c r="F5169">
        <v>148102</v>
      </c>
      <c r="G5169">
        <v>41134</v>
      </c>
      <c r="H5169">
        <v>2799</v>
      </c>
      <c r="J5169" t="str">
        <f>VLOOKUP(Table3[[#This Row],[Faction ID]],Table4[],2)</f>
        <v>Haradrim</v>
      </c>
    </row>
    <row r="5170" spans="1:10" x14ac:dyDescent="0.25">
      <c r="A5170">
        <v>134</v>
      </c>
      <c r="B5170" t="s">
        <v>15</v>
      </c>
      <c r="C5170">
        <v>313</v>
      </c>
      <c r="D5170">
        <v>12</v>
      </c>
      <c r="E5170">
        <v>271.10000000000002</v>
      </c>
      <c r="F5170">
        <v>273636</v>
      </c>
      <c r="G5170">
        <v>52357</v>
      </c>
      <c r="H5170">
        <v>470</v>
      </c>
      <c r="J5170" t="str">
        <f>VLOOKUP(Table3[[#This Row],[Faction ID]],Table4[],2)</f>
        <v>Dunlendings</v>
      </c>
    </row>
    <row r="5171" spans="1:10" x14ac:dyDescent="0.25">
      <c r="A5171">
        <v>134</v>
      </c>
      <c r="B5171" t="s">
        <v>16</v>
      </c>
      <c r="C5171">
        <v>0</v>
      </c>
      <c r="D5171">
        <v>0</v>
      </c>
      <c r="E5171">
        <v>0</v>
      </c>
      <c r="F5171">
        <v>5352</v>
      </c>
      <c r="G5171">
        <v>1750</v>
      </c>
      <c r="H5171">
        <v>0</v>
      </c>
      <c r="J5171" t="str">
        <f>VLOOKUP(Table3[[#This Row],[Faction ID]],Table4[],2)</f>
        <v>Haerrim</v>
      </c>
    </row>
    <row r="5172" spans="1:10" x14ac:dyDescent="0.25">
      <c r="A5172">
        <v>134</v>
      </c>
      <c r="B5172" t="s">
        <v>13</v>
      </c>
      <c r="C5172">
        <v>671</v>
      </c>
      <c r="D5172">
        <v>8</v>
      </c>
      <c r="E5172">
        <v>161.30000000000001</v>
      </c>
      <c r="F5172">
        <v>169314</v>
      </c>
      <c r="G5172">
        <v>24314</v>
      </c>
      <c r="H5172">
        <v>0</v>
      </c>
      <c r="J5172" t="str">
        <f>VLOOKUP(Table3[[#This Row],[Faction ID]],Table4[],2)</f>
        <v>Goblins</v>
      </c>
    </row>
    <row r="5173" spans="1:10" x14ac:dyDescent="0.25">
      <c r="A5173">
        <v>134</v>
      </c>
      <c r="B5173" t="s">
        <v>17</v>
      </c>
      <c r="C5173">
        <v>0</v>
      </c>
      <c r="D5173">
        <v>0</v>
      </c>
      <c r="E5173">
        <v>0</v>
      </c>
      <c r="F5173">
        <v>4872</v>
      </c>
      <c r="G5173">
        <v>1750</v>
      </c>
      <c r="H5173">
        <v>0</v>
      </c>
      <c r="J5173" t="str">
        <f>VLOOKUP(Table3[[#This Row],[Faction ID]],Table4[],2)</f>
        <v>Balchoth</v>
      </c>
    </row>
    <row r="5174" spans="1:10" x14ac:dyDescent="0.25">
      <c r="A5174">
        <v>134</v>
      </c>
      <c r="B5174" t="s">
        <v>18</v>
      </c>
      <c r="C5174">
        <v>628</v>
      </c>
      <c r="D5174">
        <v>25</v>
      </c>
      <c r="E5174">
        <v>325.60000000000002</v>
      </c>
      <c r="F5174">
        <v>249763</v>
      </c>
      <c r="G5174">
        <v>49414</v>
      </c>
      <c r="H5174">
        <v>3695</v>
      </c>
      <c r="J5174" t="str">
        <f>VLOOKUP(Table3[[#This Row],[Faction ID]],Table4[],2)</f>
        <v>Rhurim/Rhun</v>
      </c>
    </row>
    <row r="5175" spans="1:10" x14ac:dyDescent="0.25">
      <c r="A5175">
        <v>134</v>
      </c>
      <c r="B5175" t="s">
        <v>19</v>
      </c>
      <c r="C5175">
        <v>0</v>
      </c>
      <c r="D5175">
        <v>0</v>
      </c>
      <c r="E5175">
        <v>0</v>
      </c>
      <c r="F5175">
        <v>7360</v>
      </c>
      <c r="G5175">
        <v>1750</v>
      </c>
      <c r="H5175">
        <v>0</v>
      </c>
      <c r="J5175" t="str">
        <f>VLOOKUP(Table3[[#This Row],[Faction ID]],Table4[],2)</f>
        <v>Feredrim</v>
      </c>
    </row>
    <row r="5176" spans="1:10" x14ac:dyDescent="0.25">
      <c r="A5176">
        <v>134</v>
      </c>
      <c r="B5176" t="s">
        <v>26</v>
      </c>
      <c r="C5176">
        <v>0</v>
      </c>
      <c r="D5176">
        <v>0</v>
      </c>
      <c r="E5176">
        <v>0</v>
      </c>
      <c r="F5176">
        <v>6395</v>
      </c>
      <c r="G5176">
        <v>1750</v>
      </c>
      <c r="H5176">
        <v>0</v>
      </c>
      <c r="J5176" t="str">
        <f>VLOOKUP(Table3[[#This Row],[Faction ID]],Table4[],2)</f>
        <v>Rachrohir (Wainriders)</v>
      </c>
    </row>
    <row r="5177" spans="1:10" x14ac:dyDescent="0.25">
      <c r="A5177">
        <v>134</v>
      </c>
      <c r="B5177" t="s">
        <v>27</v>
      </c>
      <c r="C5177">
        <v>5</v>
      </c>
      <c r="D5177">
        <v>3</v>
      </c>
      <c r="E5177">
        <v>83</v>
      </c>
      <c r="F5177">
        <v>22056</v>
      </c>
      <c r="G5177">
        <v>16576</v>
      </c>
      <c r="H5177">
        <v>780</v>
      </c>
      <c r="J5177" t="str">
        <f>VLOOKUP(Table3[[#This Row],[Faction ID]],Table4[],2)</f>
        <v>Blacklock-Stonefoot League</v>
      </c>
    </row>
    <row r="5178" spans="1:10" x14ac:dyDescent="0.25">
      <c r="A5178">
        <v>134</v>
      </c>
      <c r="B5178" t="s">
        <v>28</v>
      </c>
      <c r="C5178">
        <v>5</v>
      </c>
      <c r="D5178">
        <v>2</v>
      </c>
      <c r="E5178">
        <v>22</v>
      </c>
      <c r="F5178">
        <v>16986</v>
      </c>
      <c r="G5178">
        <v>9057</v>
      </c>
      <c r="H5178">
        <v>271</v>
      </c>
      <c r="J5178" t="str">
        <f>VLOOKUP(Table3[[#This Row],[Faction ID]],Table4[],2)</f>
        <v>Ironfist-Stiffbeard Union</v>
      </c>
    </row>
    <row r="5179" spans="1:10" x14ac:dyDescent="0.25">
      <c r="A5179">
        <v>134</v>
      </c>
      <c r="B5179" t="s">
        <v>20</v>
      </c>
      <c r="C5179">
        <v>245</v>
      </c>
      <c r="D5179">
        <v>0</v>
      </c>
      <c r="E5179">
        <v>0</v>
      </c>
      <c r="F5179">
        <v>9750</v>
      </c>
      <c r="G5179">
        <v>2500</v>
      </c>
      <c r="H5179">
        <v>0</v>
      </c>
      <c r="J5179" t="str">
        <f>VLOOKUP(Table3[[#This Row],[Faction ID]],Table4[],2)</f>
        <v>Gundabad</v>
      </c>
    </row>
    <row r="5180" spans="1:10" x14ac:dyDescent="0.25">
      <c r="A5180">
        <v>134</v>
      </c>
      <c r="B5180" t="s">
        <v>34</v>
      </c>
      <c r="C5180">
        <v>0</v>
      </c>
      <c r="D5180">
        <v>0</v>
      </c>
      <c r="E5180">
        <v>3</v>
      </c>
      <c r="F5180">
        <v>153943</v>
      </c>
      <c r="G5180">
        <v>2354</v>
      </c>
      <c r="H5180">
        <v>0</v>
      </c>
      <c r="J5180" t="str">
        <f>VLOOKUP(Table3[[#This Row],[Faction ID]],Table4[],2)</f>
        <v>Scouts of Rohan</v>
      </c>
    </row>
    <row r="5181" spans="1:10" x14ac:dyDescent="0.25">
      <c r="A5181">
        <v>134</v>
      </c>
      <c r="B5181" t="s">
        <v>33</v>
      </c>
      <c r="C5181">
        <v>2</v>
      </c>
      <c r="D5181">
        <v>2</v>
      </c>
      <c r="E5181">
        <v>20.100000000000001</v>
      </c>
      <c r="F5181">
        <v>46648</v>
      </c>
      <c r="G5181">
        <v>5557</v>
      </c>
      <c r="H5181">
        <v>909</v>
      </c>
      <c r="J5181" t="str">
        <f>VLOOKUP(Table3[[#This Row],[Faction ID]],Table4[],2)</f>
        <v>Northern Enedwaith</v>
      </c>
    </row>
    <row r="5182" spans="1:10" x14ac:dyDescent="0.25">
      <c r="A5182">
        <v>134</v>
      </c>
      <c r="B5182" t="s">
        <v>29</v>
      </c>
      <c r="C5182">
        <v>0</v>
      </c>
      <c r="D5182">
        <v>0</v>
      </c>
      <c r="E5182">
        <v>0</v>
      </c>
      <c r="F5182">
        <v>54023</v>
      </c>
      <c r="G5182">
        <v>1750</v>
      </c>
      <c r="H5182">
        <v>0</v>
      </c>
      <c r="J5182" t="str">
        <f>VLOOKUP(Table3[[#This Row],[Faction ID]],Table4[],2)</f>
        <v>Southern Enedwaith</v>
      </c>
    </row>
    <row r="5183" spans="1:10" x14ac:dyDescent="0.25">
      <c r="A5183">
        <v>134</v>
      </c>
      <c r="B5183" t="s">
        <v>30</v>
      </c>
      <c r="C5183">
        <v>0</v>
      </c>
      <c r="D5183">
        <v>0</v>
      </c>
      <c r="E5183">
        <v>0</v>
      </c>
      <c r="F5183">
        <v>32146</v>
      </c>
      <c r="G5183">
        <v>1750</v>
      </c>
      <c r="H5183">
        <v>0</v>
      </c>
      <c r="J5183" t="str">
        <f>VLOOKUP(Table3[[#This Row],[Faction ID]],Table4[],2)</f>
        <v>Druedain</v>
      </c>
    </row>
    <row r="5184" spans="1:10" x14ac:dyDescent="0.25">
      <c r="A5184">
        <v>134</v>
      </c>
      <c r="B5184" t="s">
        <v>31</v>
      </c>
      <c r="C5184">
        <v>0</v>
      </c>
      <c r="D5184">
        <v>0</v>
      </c>
      <c r="E5184">
        <v>0</v>
      </c>
      <c r="F5184">
        <v>15146</v>
      </c>
      <c r="G5184">
        <v>1750</v>
      </c>
      <c r="H5184">
        <v>0</v>
      </c>
      <c r="J5184" t="str">
        <f>VLOOKUP(Table3[[#This Row],[Faction ID]],Table4[],2)</f>
        <v>Harondor</v>
      </c>
    </row>
    <row r="5185" spans="1:10" x14ac:dyDescent="0.25">
      <c r="A5185">
        <v>134</v>
      </c>
      <c r="B5185" t="s">
        <v>35</v>
      </c>
      <c r="C5185">
        <v>0</v>
      </c>
      <c r="D5185">
        <v>0</v>
      </c>
      <c r="E5185">
        <v>0</v>
      </c>
      <c r="F5185">
        <v>4000</v>
      </c>
      <c r="G5185">
        <v>1750</v>
      </c>
      <c r="H5185">
        <v>0</v>
      </c>
      <c r="J5185" t="str">
        <f>VLOOKUP(Table3[[#This Row],[Faction ID]],Table4[],2)</f>
        <v>Southron Nomads</v>
      </c>
    </row>
    <row r="5186" spans="1:10" x14ac:dyDescent="0.25">
      <c r="A5186">
        <v>134</v>
      </c>
      <c r="B5186" t="s">
        <v>36</v>
      </c>
      <c r="C5186">
        <v>0</v>
      </c>
      <c r="D5186">
        <v>0</v>
      </c>
      <c r="E5186">
        <v>0</v>
      </c>
      <c r="F5186">
        <v>4000</v>
      </c>
      <c r="G5186">
        <v>1750</v>
      </c>
      <c r="H5186">
        <v>0</v>
      </c>
      <c r="J5186" t="str">
        <f>VLOOKUP(Table3[[#This Row],[Faction ID]],Table4[],2)</f>
        <v>_</v>
      </c>
    </row>
    <row r="5187" spans="1:10" x14ac:dyDescent="0.25">
      <c r="A5187">
        <v>134</v>
      </c>
      <c r="B5187" t="s">
        <v>37</v>
      </c>
      <c r="C5187">
        <v>0</v>
      </c>
      <c r="D5187">
        <v>0</v>
      </c>
      <c r="E5187">
        <v>0</v>
      </c>
      <c r="F5187">
        <v>4000</v>
      </c>
      <c r="G5187">
        <v>1750</v>
      </c>
      <c r="H5187">
        <v>0</v>
      </c>
      <c r="J5187" t="str">
        <f>VLOOKUP(Table3[[#This Row],[Faction ID]],Table4[],2)</f>
        <v>_</v>
      </c>
    </row>
    <row r="5188" spans="1:10" x14ac:dyDescent="0.25">
      <c r="A5188">
        <v>134</v>
      </c>
      <c r="B5188" t="s">
        <v>38</v>
      </c>
      <c r="C5188">
        <v>0</v>
      </c>
      <c r="D5188">
        <v>0</v>
      </c>
      <c r="E5188">
        <v>0</v>
      </c>
      <c r="F5188">
        <v>4000</v>
      </c>
      <c r="G5188">
        <v>1750</v>
      </c>
      <c r="H5188">
        <v>0</v>
      </c>
      <c r="J5188" t="str">
        <f>VLOOKUP(Table3[[#This Row],[Faction ID]],Table4[],2)</f>
        <v>_</v>
      </c>
    </row>
    <row r="5189" spans="1:10" x14ac:dyDescent="0.25">
      <c r="A5189">
        <v>134</v>
      </c>
      <c r="B5189" t="s">
        <v>39</v>
      </c>
      <c r="C5189">
        <v>0</v>
      </c>
      <c r="D5189">
        <v>0</v>
      </c>
      <c r="E5189">
        <v>0</v>
      </c>
      <c r="F5189">
        <v>4000</v>
      </c>
      <c r="G5189">
        <v>1750</v>
      </c>
      <c r="H5189">
        <v>0</v>
      </c>
      <c r="J5189" t="str">
        <f>VLOOKUP(Table3[[#This Row],[Faction ID]],Table4[],2)</f>
        <v>_</v>
      </c>
    </row>
    <row r="5190" spans="1:10" x14ac:dyDescent="0.25">
      <c r="A5190">
        <v>134</v>
      </c>
      <c r="B5190" t="s">
        <v>40</v>
      </c>
      <c r="C5190">
        <v>0</v>
      </c>
      <c r="D5190">
        <v>0</v>
      </c>
      <c r="E5190">
        <v>0</v>
      </c>
      <c r="F5190">
        <v>4000</v>
      </c>
      <c r="G5190">
        <v>1750</v>
      </c>
      <c r="H5190">
        <v>0</v>
      </c>
      <c r="J5190" t="str">
        <f>VLOOKUP(Table3[[#This Row],[Faction ID]],Table4[],2)</f>
        <v>_</v>
      </c>
    </row>
    <row r="5191" spans="1:10" x14ac:dyDescent="0.25">
      <c r="A5191">
        <v>134</v>
      </c>
      <c r="B5191" t="s">
        <v>41</v>
      </c>
      <c r="C5191">
        <v>0</v>
      </c>
      <c r="D5191">
        <v>0</v>
      </c>
      <c r="E5191">
        <v>0</v>
      </c>
      <c r="F5191">
        <v>4000</v>
      </c>
      <c r="G5191">
        <v>1750</v>
      </c>
      <c r="H5191">
        <v>0</v>
      </c>
      <c r="J5191" t="str">
        <f>VLOOKUP(Table3[[#This Row],[Faction ID]],Table4[],2)</f>
        <v>_</v>
      </c>
    </row>
    <row r="5192" spans="1:10" x14ac:dyDescent="0.25">
      <c r="A5192">
        <v>134</v>
      </c>
      <c r="B5192" t="s">
        <v>42</v>
      </c>
      <c r="C5192">
        <v>0</v>
      </c>
      <c r="D5192">
        <v>0</v>
      </c>
      <c r="E5192">
        <v>0</v>
      </c>
      <c r="F5192">
        <v>4000</v>
      </c>
      <c r="G5192">
        <v>1750</v>
      </c>
      <c r="H5192">
        <v>0</v>
      </c>
      <c r="J5192" t="str">
        <f>VLOOKUP(Table3[[#This Row],[Faction ID]],Table4[],2)</f>
        <v>_</v>
      </c>
    </row>
    <row r="5193" spans="1:10" x14ac:dyDescent="0.25">
      <c r="A5193">
        <v>134</v>
      </c>
      <c r="B5193" t="s">
        <v>43</v>
      </c>
      <c r="C5193">
        <v>0</v>
      </c>
      <c r="D5193">
        <v>0</v>
      </c>
      <c r="E5193">
        <v>0</v>
      </c>
      <c r="F5193">
        <v>4000</v>
      </c>
      <c r="G5193">
        <v>1750</v>
      </c>
      <c r="H5193">
        <v>0</v>
      </c>
      <c r="J5193" t="str">
        <f>VLOOKUP(Table3[[#This Row],[Faction ID]],Table4[],2)</f>
        <v>_</v>
      </c>
    </row>
    <row r="5194" spans="1:10" x14ac:dyDescent="0.25">
      <c r="A5194">
        <v>134</v>
      </c>
      <c r="B5194" t="s">
        <v>44</v>
      </c>
      <c r="C5194">
        <v>0</v>
      </c>
      <c r="D5194">
        <v>0</v>
      </c>
      <c r="E5194">
        <v>0</v>
      </c>
      <c r="F5194">
        <v>4000</v>
      </c>
      <c r="G5194">
        <v>1750</v>
      </c>
      <c r="H5194">
        <v>0</v>
      </c>
      <c r="J5194" t="str">
        <f>VLOOKUP(Table3[[#This Row],[Faction ID]],Table4[],2)</f>
        <v>_</v>
      </c>
    </row>
    <row r="5195" spans="1:10" x14ac:dyDescent="0.25">
      <c r="A5195">
        <v>135</v>
      </c>
      <c r="B5195" t="s">
        <v>9</v>
      </c>
      <c r="C5195">
        <v>698</v>
      </c>
      <c r="D5195">
        <v>48</v>
      </c>
      <c r="E5195">
        <v>621.6</v>
      </c>
      <c r="F5195">
        <v>168</v>
      </c>
      <c r="G5195">
        <v>91429</v>
      </c>
      <c r="H5195">
        <v>8378</v>
      </c>
      <c r="J5195" t="str">
        <f>VLOOKUP(Table3[[#This Row],[Faction ID]],Table4[],2)</f>
        <v>Mordor</v>
      </c>
    </row>
    <row r="5196" spans="1:10" x14ac:dyDescent="0.25">
      <c r="A5196">
        <v>135</v>
      </c>
      <c r="B5196" t="s">
        <v>4</v>
      </c>
      <c r="C5196">
        <v>146</v>
      </c>
      <c r="D5196">
        <v>0</v>
      </c>
      <c r="E5196">
        <v>0</v>
      </c>
      <c r="F5196">
        <v>55420</v>
      </c>
      <c r="G5196">
        <v>2500</v>
      </c>
      <c r="H5196">
        <v>0</v>
      </c>
      <c r="J5196" t="str">
        <f>VLOOKUP(Table3[[#This Row],[Faction ID]],Table4[],2)</f>
        <v>Gondor</v>
      </c>
    </row>
    <row r="5197" spans="1:10" x14ac:dyDescent="0.25">
      <c r="A5197">
        <v>135</v>
      </c>
      <c r="B5197" t="s">
        <v>6</v>
      </c>
      <c r="C5197">
        <v>199</v>
      </c>
      <c r="D5197">
        <v>0</v>
      </c>
      <c r="E5197">
        <v>0</v>
      </c>
      <c r="F5197">
        <v>10343</v>
      </c>
      <c r="G5197">
        <v>2500</v>
      </c>
      <c r="H5197">
        <v>0</v>
      </c>
      <c r="J5197" t="str">
        <f>VLOOKUP(Table3[[#This Row],[Faction ID]],Table4[],2)</f>
        <v>Dale</v>
      </c>
    </row>
    <row r="5198" spans="1:10" x14ac:dyDescent="0.25">
      <c r="A5198">
        <v>135</v>
      </c>
      <c r="B5198" t="s">
        <v>21</v>
      </c>
      <c r="C5198">
        <v>200</v>
      </c>
      <c r="D5198">
        <v>0</v>
      </c>
      <c r="E5198">
        <v>0</v>
      </c>
      <c r="F5198">
        <v>10040</v>
      </c>
      <c r="G5198">
        <v>2500</v>
      </c>
      <c r="H5198">
        <v>0</v>
      </c>
      <c r="J5198" t="str">
        <f>VLOOKUP(Table3[[#This Row],[Faction ID]],Table4[],2)</f>
        <v>Erebor</v>
      </c>
    </row>
    <row r="5199" spans="1:10" x14ac:dyDescent="0.25">
      <c r="A5199">
        <v>135</v>
      </c>
      <c r="B5199" t="s">
        <v>5</v>
      </c>
      <c r="C5199">
        <v>157</v>
      </c>
      <c r="D5199">
        <v>0</v>
      </c>
      <c r="E5199">
        <v>0</v>
      </c>
      <c r="F5199">
        <v>6638</v>
      </c>
      <c r="G5199">
        <v>2500</v>
      </c>
      <c r="H5199">
        <v>0</v>
      </c>
      <c r="J5199" t="str">
        <f>VLOOKUP(Table3[[#This Row],[Faction ID]],Table4[],2)</f>
        <v>Rohan</v>
      </c>
    </row>
    <row r="5200" spans="1:10" x14ac:dyDescent="0.25">
      <c r="A5200">
        <v>135</v>
      </c>
      <c r="B5200" t="s">
        <v>12</v>
      </c>
      <c r="C5200">
        <v>528</v>
      </c>
      <c r="D5200">
        <v>25</v>
      </c>
      <c r="E5200">
        <v>424.8</v>
      </c>
      <c r="F5200">
        <v>362303</v>
      </c>
      <c r="G5200">
        <v>73411</v>
      </c>
      <c r="H5200">
        <v>5459</v>
      </c>
      <c r="J5200" t="str">
        <f>VLOOKUP(Table3[[#This Row],[Faction ID]],Table4[],2)</f>
        <v>Dol Guldur</v>
      </c>
    </row>
    <row r="5201" spans="1:10" x14ac:dyDescent="0.25">
      <c r="A5201">
        <v>135</v>
      </c>
      <c r="B5201" t="s">
        <v>10</v>
      </c>
      <c r="C5201">
        <v>58</v>
      </c>
      <c r="D5201">
        <v>0</v>
      </c>
      <c r="E5201">
        <v>0</v>
      </c>
      <c r="F5201">
        <v>4515</v>
      </c>
      <c r="G5201">
        <v>2500</v>
      </c>
      <c r="H5201">
        <v>0</v>
      </c>
      <c r="J5201" t="str">
        <f>VLOOKUP(Table3[[#This Row],[Faction ID]],Table4[],2)</f>
        <v>Anduin Vale</v>
      </c>
    </row>
    <row r="5202" spans="1:10" x14ac:dyDescent="0.25">
      <c r="A5202">
        <v>135</v>
      </c>
      <c r="B5202" t="s">
        <v>32</v>
      </c>
      <c r="C5202">
        <v>329</v>
      </c>
      <c r="D5202">
        <v>3</v>
      </c>
      <c r="E5202">
        <v>40.5</v>
      </c>
      <c r="F5202">
        <v>38648</v>
      </c>
      <c r="G5202">
        <v>11984</v>
      </c>
      <c r="H5202">
        <v>471</v>
      </c>
      <c r="J5202" t="str">
        <f>VLOOKUP(Table3[[#This Row],[Faction ID]],Table4[],2)</f>
        <v>Isengard</v>
      </c>
    </row>
    <row r="5203" spans="1:10" x14ac:dyDescent="0.25">
      <c r="A5203">
        <v>135</v>
      </c>
      <c r="B5203" t="s">
        <v>22</v>
      </c>
      <c r="C5203">
        <v>30</v>
      </c>
      <c r="D5203">
        <v>0</v>
      </c>
      <c r="E5203">
        <v>0</v>
      </c>
      <c r="F5203">
        <v>8475</v>
      </c>
      <c r="G5203">
        <v>2500</v>
      </c>
      <c r="H5203">
        <v>0</v>
      </c>
      <c r="J5203" t="str">
        <f>VLOOKUP(Table3[[#This Row],[Faction ID]],Table4[],2)</f>
        <v>Woodland Realm</v>
      </c>
    </row>
    <row r="5204" spans="1:10" x14ac:dyDescent="0.25">
      <c r="A5204">
        <v>135</v>
      </c>
      <c r="B5204" t="s">
        <v>23</v>
      </c>
      <c r="C5204">
        <v>64</v>
      </c>
      <c r="D5204">
        <v>0</v>
      </c>
      <c r="E5204">
        <v>0</v>
      </c>
      <c r="F5204">
        <v>4721</v>
      </c>
      <c r="G5204">
        <v>2500</v>
      </c>
      <c r="H5204">
        <v>0</v>
      </c>
      <c r="J5204" t="str">
        <f>VLOOKUP(Table3[[#This Row],[Faction ID]],Table4[],2)</f>
        <v>Lothlorien</v>
      </c>
    </row>
    <row r="5205" spans="1:10" x14ac:dyDescent="0.25">
      <c r="A5205">
        <v>135</v>
      </c>
      <c r="B5205" t="s">
        <v>24</v>
      </c>
      <c r="C5205">
        <v>0</v>
      </c>
      <c r="D5205">
        <v>0</v>
      </c>
      <c r="E5205">
        <v>0</v>
      </c>
      <c r="F5205">
        <v>4919</v>
      </c>
      <c r="G5205">
        <v>1750</v>
      </c>
      <c r="H5205">
        <v>0</v>
      </c>
      <c r="J5205" t="str">
        <f>VLOOKUP(Table3[[#This Row],[Faction ID]],Table4[],2)</f>
        <v>Variags (Khand)</v>
      </c>
    </row>
    <row r="5206" spans="1:10" x14ac:dyDescent="0.25">
      <c r="A5206">
        <v>135</v>
      </c>
      <c r="B5206" t="s">
        <v>14</v>
      </c>
      <c r="C5206">
        <v>20</v>
      </c>
      <c r="D5206">
        <v>14</v>
      </c>
      <c r="E5206">
        <v>257</v>
      </c>
      <c r="F5206">
        <v>287207</v>
      </c>
      <c r="G5206">
        <v>59419</v>
      </c>
      <c r="H5206">
        <v>5383</v>
      </c>
      <c r="J5206" t="str">
        <f>VLOOKUP(Table3[[#This Row],[Faction ID]],Table4[],2)</f>
        <v>Corsairs of Umbar</v>
      </c>
    </row>
    <row r="5207" spans="1:10" x14ac:dyDescent="0.25">
      <c r="A5207">
        <v>135</v>
      </c>
      <c r="B5207" t="s">
        <v>25</v>
      </c>
      <c r="C5207">
        <v>0</v>
      </c>
      <c r="D5207">
        <v>0</v>
      </c>
      <c r="E5207">
        <v>0</v>
      </c>
      <c r="F5207">
        <v>9228</v>
      </c>
      <c r="G5207">
        <v>1750</v>
      </c>
      <c r="H5207">
        <v>0</v>
      </c>
      <c r="J5207" t="str">
        <f>VLOOKUP(Table3[[#This Row],[Faction ID]],Table4[],2)</f>
        <v>Mahud</v>
      </c>
    </row>
    <row r="5208" spans="1:10" x14ac:dyDescent="0.25">
      <c r="A5208">
        <v>135</v>
      </c>
      <c r="B5208" t="s">
        <v>11</v>
      </c>
      <c r="C5208">
        <v>358</v>
      </c>
      <c r="D5208">
        <v>14</v>
      </c>
      <c r="E5208">
        <v>246.39999999999901</v>
      </c>
      <c r="F5208">
        <v>145498</v>
      </c>
      <c r="G5208">
        <v>41369</v>
      </c>
      <c r="H5208">
        <v>2804</v>
      </c>
      <c r="J5208" t="str">
        <f>VLOOKUP(Table3[[#This Row],[Faction ID]],Table4[],2)</f>
        <v>Haradrim</v>
      </c>
    </row>
    <row r="5209" spans="1:10" x14ac:dyDescent="0.25">
      <c r="A5209">
        <v>135</v>
      </c>
      <c r="B5209" t="s">
        <v>15</v>
      </c>
      <c r="C5209">
        <v>318</v>
      </c>
      <c r="D5209">
        <v>12</v>
      </c>
      <c r="E5209">
        <v>277.10000000000002</v>
      </c>
      <c r="F5209">
        <v>278003</v>
      </c>
      <c r="G5209">
        <v>53092</v>
      </c>
      <c r="H5209">
        <v>463</v>
      </c>
      <c r="J5209" t="str">
        <f>VLOOKUP(Table3[[#This Row],[Faction ID]],Table4[],2)</f>
        <v>Dunlendings</v>
      </c>
    </row>
    <row r="5210" spans="1:10" x14ac:dyDescent="0.25">
      <c r="A5210">
        <v>135</v>
      </c>
      <c r="B5210" t="s">
        <v>16</v>
      </c>
      <c r="C5210">
        <v>0</v>
      </c>
      <c r="D5210">
        <v>0</v>
      </c>
      <c r="E5210">
        <v>0</v>
      </c>
      <c r="F5210">
        <v>5352</v>
      </c>
      <c r="G5210">
        <v>1750</v>
      </c>
      <c r="H5210">
        <v>0</v>
      </c>
      <c r="J5210" t="str">
        <f>VLOOKUP(Table3[[#This Row],[Faction ID]],Table4[],2)</f>
        <v>Haerrim</v>
      </c>
    </row>
    <row r="5211" spans="1:10" x14ac:dyDescent="0.25">
      <c r="A5211">
        <v>135</v>
      </c>
      <c r="B5211" t="s">
        <v>13</v>
      </c>
      <c r="C5211">
        <v>671</v>
      </c>
      <c r="D5211">
        <v>8</v>
      </c>
      <c r="E5211">
        <v>160.1</v>
      </c>
      <c r="F5211">
        <v>159107</v>
      </c>
      <c r="G5211">
        <v>22516</v>
      </c>
      <c r="H5211">
        <v>0</v>
      </c>
      <c r="J5211" t="str">
        <f>VLOOKUP(Table3[[#This Row],[Faction ID]],Table4[],2)</f>
        <v>Goblins</v>
      </c>
    </row>
    <row r="5212" spans="1:10" x14ac:dyDescent="0.25">
      <c r="A5212">
        <v>135</v>
      </c>
      <c r="B5212" t="s">
        <v>17</v>
      </c>
      <c r="C5212">
        <v>0</v>
      </c>
      <c r="D5212">
        <v>0</v>
      </c>
      <c r="E5212">
        <v>0</v>
      </c>
      <c r="F5212">
        <v>4872</v>
      </c>
      <c r="G5212">
        <v>1750</v>
      </c>
      <c r="H5212">
        <v>0</v>
      </c>
      <c r="J5212" t="str">
        <f>VLOOKUP(Table3[[#This Row],[Faction ID]],Table4[],2)</f>
        <v>Balchoth</v>
      </c>
    </row>
    <row r="5213" spans="1:10" x14ac:dyDescent="0.25">
      <c r="A5213">
        <v>135</v>
      </c>
      <c r="B5213" t="s">
        <v>18</v>
      </c>
      <c r="C5213">
        <v>641</v>
      </c>
      <c r="D5213">
        <v>25</v>
      </c>
      <c r="E5213">
        <v>326.60000000000002</v>
      </c>
      <c r="F5213">
        <v>273056</v>
      </c>
      <c r="G5213">
        <v>48578</v>
      </c>
      <c r="H5213">
        <v>3592</v>
      </c>
      <c r="J5213" t="str">
        <f>VLOOKUP(Table3[[#This Row],[Faction ID]],Table4[],2)</f>
        <v>Rhurim/Rhun</v>
      </c>
    </row>
    <row r="5214" spans="1:10" x14ac:dyDescent="0.25">
      <c r="A5214">
        <v>135</v>
      </c>
      <c r="B5214" t="s">
        <v>19</v>
      </c>
      <c r="C5214">
        <v>0</v>
      </c>
      <c r="D5214">
        <v>0</v>
      </c>
      <c r="E5214">
        <v>0</v>
      </c>
      <c r="F5214">
        <v>7360</v>
      </c>
      <c r="G5214">
        <v>1750</v>
      </c>
      <c r="H5214">
        <v>0</v>
      </c>
      <c r="J5214" t="str">
        <f>VLOOKUP(Table3[[#This Row],[Faction ID]],Table4[],2)</f>
        <v>Feredrim</v>
      </c>
    </row>
    <row r="5215" spans="1:10" x14ac:dyDescent="0.25">
      <c r="A5215">
        <v>135</v>
      </c>
      <c r="B5215" t="s">
        <v>26</v>
      </c>
      <c r="C5215">
        <v>0</v>
      </c>
      <c r="D5215">
        <v>0</v>
      </c>
      <c r="E5215">
        <v>0</v>
      </c>
      <c r="F5215">
        <v>6395</v>
      </c>
      <c r="G5215">
        <v>1750</v>
      </c>
      <c r="H5215">
        <v>0</v>
      </c>
      <c r="J5215" t="str">
        <f>VLOOKUP(Table3[[#This Row],[Faction ID]],Table4[],2)</f>
        <v>Rachrohir (Wainriders)</v>
      </c>
    </row>
    <row r="5216" spans="1:10" x14ac:dyDescent="0.25">
      <c r="A5216">
        <v>135</v>
      </c>
      <c r="B5216" t="s">
        <v>27</v>
      </c>
      <c r="C5216">
        <v>5</v>
      </c>
      <c r="D5216">
        <v>3</v>
      </c>
      <c r="E5216">
        <v>83</v>
      </c>
      <c r="F5216">
        <v>18173</v>
      </c>
      <c r="G5216">
        <v>15914</v>
      </c>
      <c r="H5216">
        <v>777</v>
      </c>
      <c r="J5216" t="str">
        <f>VLOOKUP(Table3[[#This Row],[Faction ID]],Table4[],2)</f>
        <v>Blacklock-Stonefoot League</v>
      </c>
    </row>
    <row r="5217" spans="1:10" x14ac:dyDescent="0.25">
      <c r="A5217">
        <v>135</v>
      </c>
      <c r="B5217" t="s">
        <v>28</v>
      </c>
      <c r="C5217">
        <v>5</v>
      </c>
      <c r="D5217">
        <v>2</v>
      </c>
      <c r="E5217">
        <v>30.3</v>
      </c>
      <c r="F5217">
        <v>18793</v>
      </c>
      <c r="G5217">
        <v>9711</v>
      </c>
      <c r="H5217">
        <v>269</v>
      </c>
      <c r="J5217" t="str">
        <f>VLOOKUP(Table3[[#This Row],[Faction ID]],Table4[],2)</f>
        <v>Ironfist-Stiffbeard Union</v>
      </c>
    </row>
    <row r="5218" spans="1:10" x14ac:dyDescent="0.25">
      <c r="A5218">
        <v>135</v>
      </c>
      <c r="B5218" t="s">
        <v>20</v>
      </c>
      <c r="C5218">
        <v>245</v>
      </c>
      <c r="D5218">
        <v>0</v>
      </c>
      <c r="E5218">
        <v>0</v>
      </c>
      <c r="F5218">
        <v>9750</v>
      </c>
      <c r="G5218">
        <v>2500</v>
      </c>
      <c r="H5218">
        <v>0</v>
      </c>
      <c r="J5218" t="str">
        <f>VLOOKUP(Table3[[#This Row],[Faction ID]],Table4[],2)</f>
        <v>Gundabad</v>
      </c>
    </row>
    <row r="5219" spans="1:10" x14ac:dyDescent="0.25">
      <c r="A5219">
        <v>135</v>
      </c>
      <c r="B5219" t="s">
        <v>34</v>
      </c>
      <c r="C5219">
        <v>0</v>
      </c>
      <c r="D5219">
        <v>0</v>
      </c>
      <c r="E5219">
        <v>3</v>
      </c>
      <c r="F5219">
        <v>155089</v>
      </c>
      <c r="G5219">
        <v>2354</v>
      </c>
      <c r="H5219">
        <v>0</v>
      </c>
      <c r="J5219" t="str">
        <f>VLOOKUP(Table3[[#This Row],[Faction ID]],Table4[],2)</f>
        <v>Scouts of Rohan</v>
      </c>
    </row>
    <row r="5220" spans="1:10" x14ac:dyDescent="0.25">
      <c r="A5220">
        <v>135</v>
      </c>
      <c r="B5220" t="s">
        <v>33</v>
      </c>
      <c r="C5220">
        <v>2</v>
      </c>
      <c r="D5220">
        <v>2</v>
      </c>
      <c r="E5220">
        <v>20.100000000000001</v>
      </c>
      <c r="F5220">
        <v>35959</v>
      </c>
      <c r="G5220">
        <v>4992</v>
      </c>
      <c r="H5220">
        <v>925</v>
      </c>
      <c r="J5220" t="str">
        <f>VLOOKUP(Table3[[#This Row],[Faction ID]],Table4[],2)</f>
        <v>Northern Enedwaith</v>
      </c>
    </row>
    <row r="5221" spans="1:10" x14ac:dyDescent="0.25">
      <c r="A5221">
        <v>135</v>
      </c>
      <c r="B5221" t="s">
        <v>29</v>
      </c>
      <c r="C5221">
        <v>0</v>
      </c>
      <c r="D5221">
        <v>0</v>
      </c>
      <c r="E5221">
        <v>0</v>
      </c>
      <c r="F5221">
        <v>54023</v>
      </c>
      <c r="G5221">
        <v>1750</v>
      </c>
      <c r="H5221">
        <v>0</v>
      </c>
      <c r="J5221" t="str">
        <f>VLOOKUP(Table3[[#This Row],[Faction ID]],Table4[],2)</f>
        <v>Southern Enedwaith</v>
      </c>
    </row>
    <row r="5222" spans="1:10" x14ac:dyDescent="0.25">
      <c r="A5222">
        <v>135</v>
      </c>
      <c r="B5222" t="s">
        <v>30</v>
      </c>
      <c r="C5222">
        <v>0</v>
      </c>
      <c r="D5222">
        <v>0</v>
      </c>
      <c r="E5222">
        <v>0</v>
      </c>
      <c r="F5222">
        <v>32146</v>
      </c>
      <c r="G5222">
        <v>1750</v>
      </c>
      <c r="H5222">
        <v>0</v>
      </c>
      <c r="J5222" t="str">
        <f>VLOOKUP(Table3[[#This Row],[Faction ID]],Table4[],2)</f>
        <v>Druedain</v>
      </c>
    </row>
    <row r="5223" spans="1:10" x14ac:dyDescent="0.25">
      <c r="A5223">
        <v>135</v>
      </c>
      <c r="B5223" t="s">
        <v>31</v>
      </c>
      <c r="C5223">
        <v>0</v>
      </c>
      <c r="D5223">
        <v>0</v>
      </c>
      <c r="E5223">
        <v>0</v>
      </c>
      <c r="F5223">
        <v>15146</v>
      </c>
      <c r="G5223">
        <v>1750</v>
      </c>
      <c r="H5223">
        <v>0</v>
      </c>
      <c r="J5223" t="str">
        <f>VLOOKUP(Table3[[#This Row],[Faction ID]],Table4[],2)</f>
        <v>Harondor</v>
      </c>
    </row>
    <row r="5224" spans="1:10" x14ac:dyDescent="0.25">
      <c r="A5224">
        <v>135</v>
      </c>
      <c r="B5224" t="s">
        <v>35</v>
      </c>
      <c r="C5224">
        <v>0</v>
      </c>
      <c r="D5224">
        <v>0</v>
      </c>
      <c r="E5224">
        <v>0</v>
      </c>
      <c r="F5224">
        <v>4000</v>
      </c>
      <c r="G5224">
        <v>1750</v>
      </c>
      <c r="H5224">
        <v>0</v>
      </c>
      <c r="J5224" t="str">
        <f>VLOOKUP(Table3[[#This Row],[Faction ID]],Table4[],2)</f>
        <v>Southron Nomads</v>
      </c>
    </row>
    <row r="5225" spans="1:10" x14ac:dyDescent="0.25">
      <c r="A5225">
        <v>135</v>
      </c>
      <c r="B5225" t="s">
        <v>36</v>
      </c>
      <c r="C5225">
        <v>0</v>
      </c>
      <c r="D5225">
        <v>0</v>
      </c>
      <c r="E5225">
        <v>0</v>
      </c>
      <c r="F5225">
        <v>4000</v>
      </c>
      <c r="G5225">
        <v>1750</v>
      </c>
      <c r="H5225">
        <v>0</v>
      </c>
      <c r="J5225" t="str">
        <f>VLOOKUP(Table3[[#This Row],[Faction ID]],Table4[],2)</f>
        <v>_</v>
      </c>
    </row>
    <row r="5226" spans="1:10" x14ac:dyDescent="0.25">
      <c r="A5226">
        <v>135</v>
      </c>
      <c r="B5226" t="s">
        <v>37</v>
      </c>
      <c r="C5226">
        <v>0</v>
      </c>
      <c r="D5226">
        <v>0</v>
      </c>
      <c r="E5226">
        <v>0</v>
      </c>
      <c r="F5226">
        <v>4000</v>
      </c>
      <c r="G5226">
        <v>1750</v>
      </c>
      <c r="H5226">
        <v>0</v>
      </c>
      <c r="J5226" t="str">
        <f>VLOOKUP(Table3[[#This Row],[Faction ID]],Table4[],2)</f>
        <v>_</v>
      </c>
    </row>
    <row r="5227" spans="1:10" x14ac:dyDescent="0.25">
      <c r="A5227">
        <v>135</v>
      </c>
      <c r="B5227" t="s">
        <v>38</v>
      </c>
      <c r="C5227">
        <v>0</v>
      </c>
      <c r="D5227">
        <v>0</v>
      </c>
      <c r="E5227">
        <v>0</v>
      </c>
      <c r="F5227">
        <v>4000</v>
      </c>
      <c r="G5227">
        <v>1750</v>
      </c>
      <c r="H5227">
        <v>0</v>
      </c>
      <c r="J5227" t="str">
        <f>VLOOKUP(Table3[[#This Row],[Faction ID]],Table4[],2)</f>
        <v>_</v>
      </c>
    </row>
    <row r="5228" spans="1:10" x14ac:dyDescent="0.25">
      <c r="A5228">
        <v>135</v>
      </c>
      <c r="B5228" t="s">
        <v>39</v>
      </c>
      <c r="C5228">
        <v>0</v>
      </c>
      <c r="D5228">
        <v>0</v>
      </c>
      <c r="E5228">
        <v>0</v>
      </c>
      <c r="F5228">
        <v>4000</v>
      </c>
      <c r="G5228">
        <v>1750</v>
      </c>
      <c r="H5228">
        <v>0</v>
      </c>
      <c r="J5228" t="str">
        <f>VLOOKUP(Table3[[#This Row],[Faction ID]],Table4[],2)</f>
        <v>_</v>
      </c>
    </row>
    <row r="5229" spans="1:10" x14ac:dyDescent="0.25">
      <c r="A5229">
        <v>135</v>
      </c>
      <c r="B5229" t="s">
        <v>40</v>
      </c>
      <c r="C5229">
        <v>0</v>
      </c>
      <c r="D5229">
        <v>0</v>
      </c>
      <c r="E5229">
        <v>0</v>
      </c>
      <c r="F5229">
        <v>4000</v>
      </c>
      <c r="G5229">
        <v>1750</v>
      </c>
      <c r="H5229">
        <v>0</v>
      </c>
      <c r="J5229" t="str">
        <f>VLOOKUP(Table3[[#This Row],[Faction ID]],Table4[],2)</f>
        <v>_</v>
      </c>
    </row>
    <row r="5230" spans="1:10" x14ac:dyDescent="0.25">
      <c r="A5230">
        <v>135</v>
      </c>
      <c r="B5230" t="s">
        <v>41</v>
      </c>
      <c r="C5230">
        <v>0</v>
      </c>
      <c r="D5230">
        <v>0</v>
      </c>
      <c r="E5230">
        <v>0</v>
      </c>
      <c r="F5230">
        <v>4000</v>
      </c>
      <c r="G5230">
        <v>1750</v>
      </c>
      <c r="H5230">
        <v>0</v>
      </c>
      <c r="J5230" t="str">
        <f>VLOOKUP(Table3[[#This Row],[Faction ID]],Table4[],2)</f>
        <v>_</v>
      </c>
    </row>
    <row r="5231" spans="1:10" x14ac:dyDescent="0.25">
      <c r="A5231">
        <v>135</v>
      </c>
      <c r="B5231" t="s">
        <v>42</v>
      </c>
      <c r="C5231">
        <v>0</v>
      </c>
      <c r="D5231">
        <v>0</v>
      </c>
      <c r="E5231">
        <v>0</v>
      </c>
      <c r="F5231">
        <v>4000</v>
      </c>
      <c r="G5231">
        <v>1750</v>
      </c>
      <c r="H5231">
        <v>0</v>
      </c>
      <c r="J5231" t="str">
        <f>VLOOKUP(Table3[[#This Row],[Faction ID]],Table4[],2)</f>
        <v>_</v>
      </c>
    </row>
    <row r="5232" spans="1:10" x14ac:dyDescent="0.25">
      <c r="A5232">
        <v>135</v>
      </c>
      <c r="B5232" t="s">
        <v>43</v>
      </c>
      <c r="C5232">
        <v>0</v>
      </c>
      <c r="D5232">
        <v>0</v>
      </c>
      <c r="E5232">
        <v>0</v>
      </c>
      <c r="F5232">
        <v>4000</v>
      </c>
      <c r="G5232">
        <v>1750</v>
      </c>
      <c r="H5232">
        <v>0</v>
      </c>
      <c r="J5232" t="str">
        <f>VLOOKUP(Table3[[#This Row],[Faction ID]],Table4[],2)</f>
        <v>_</v>
      </c>
    </row>
    <row r="5233" spans="1:10" x14ac:dyDescent="0.25">
      <c r="A5233">
        <v>135</v>
      </c>
      <c r="B5233" t="s">
        <v>44</v>
      </c>
      <c r="C5233">
        <v>0</v>
      </c>
      <c r="D5233">
        <v>0</v>
      </c>
      <c r="E5233">
        <v>0</v>
      </c>
      <c r="F5233">
        <v>4000</v>
      </c>
      <c r="G5233">
        <v>1750</v>
      </c>
      <c r="H5233">
        <v>0</v>
      </c>
      <c r="J5233" t="str">
        <f>VLOOKUP(Table3[[#This Row],[Faction ID]],Table4[],2)</f>
        <v>_</v>
      </c>
    </row>
    <row r="5234" spans="1:10" x14ac:dyDescent="0.25">
      <c r="A5234">
        <v>136</v>
      </c>
      <c r="B5234" t="s">
        <v>9</v>
      </c>
      <c r="C5234">
        <v>708</v>
      </c>
      <c r="D5234">
        <v>48</v>
      </c>
      <c r="E5234">
        <v>633.9</v>
      </c>
      <c r="F5234">
        <v>13818</v>
      </c>
      <c r="G5234">
        <v>92754</v>
      </c>
      <c r="H5234">
        <v>8391</v>
      </c>
      <c r="J5234" t="str">
        <f>VLOOKUP(Table3[[#This Row],[Faction ID]],Table4[],2)</f>
        <v>Mordor</v>
      </c>
    </row>
    <row r="5235" spans="1:10" x14ac:dyDescent="0.25">
      <c r="A5235">
        <v>136</v>
      </c>
      <c r="B5235" t="s">
        <v>4</v>
      </c>
      <c r="C5235">
        <v>146</v>
      </c>
      <c r="D5235">
        <v>0</v>
      </c>
      <c r="E5235">
        <v>0</v>
      </c>
      <c r="F5235">
        <v>55420</v>
      </c>
      <c r="G5235">
        <v>2500</v>
      </c>
      <c r="H5235">
        <v>0</v>
      </c>
      <c r="J5235" t="str">
        <f>VLOOKUP(Table3[[#This Row],[Faction ID]],Table4[],2)</f>
        <v>Gondor</v>
      </c>
    </row>
    <row r="5236" spans="1:10" x14ac:dyDescent="0.25">
      <c r="A5236">
        <v>136</v>
      </c>
      <c r="B5236" t="s">
        <v>6</v>
      </c>
      <c r="C5236">
        <v>199</v>
      </c>
      <c r="D5236">
        <v>0</v>
      </c>
      <c r="E5236">
        <v>0</v>
      </c>
      <c r="F5236">
        <v>10343</v>
      </c>
      <c r="G5236">
        <v>2500</v>
      </c>
      <c r="H5236">
        <v>0</v>
      </c>
      <c r="J5236" t="str">
        <f>VLOOKUP(Table3[[#This Row],[Faction ID]],Table4[],2)</f>
        <v>Dale</v>
      </c>
    </row>
    <row r="5237" spans="1:10" x14ac:dyDescent="0.25">
      <c r="A5237">
        <v>136</v>
      </c>
      <c r="B5237" t="s">
        <v>21</v>
      </c>
      <c r="C5237">
        <v>200</v>
      </c>
      <c r="D5237">
        <v>0</v>
      </c>
      <c r="E5237">
        <v>0</v>
      </c>
      <c r="F5237">
        <v>10040</v>
      </c>
      <c r="G5237">
        <v>2500</v>
      </c>
      <c r="H5237">
        <v>0</v>
      </c>
      <c r="J5237" t="str">
        <f>VLOOKUP(Table3[[#This Row],[Faction ID]],Table4[],2)</f>
        <v>Erebor</v>
      </c>
    </row>
    <row r="5238" spans="1:10" x14ac:dyDescent="0.25">
      <c r="A5238">
        <v>136</v>
      </c>
      <c r="B5238" t="s">
        <v>5</v>
      </c>
      <c r="C5238">
        <v>157</v>
      </c>
      <c r="D5238">
        <v>0</v>
      </c>
      <c r="E5238">
        <v>0</v>
      </c>
      <c r="F5238">
        <v>6638</v>
      </c>
      <c r="G5238">
        <v>2500</v>
      </c>
      <c r="H5238">
        <v>0</v>
      </c>
      <c r="J5238" t="str">
        <f>VLOOKUP(Table3[[#This Row],[Faction ID]],Table4[],2)</f>
        <v>Rohan</v>
      </c>
    </row>
    <row r="5239" spans="1:10" x14ac:dyDescent="0.25">
      <c r="A5239">
        <v>136</v>
      </c>
      <c r="B5239" t="s">
        <v>12</v>
      </c>
      <c r="C5239">
        <v>530</v>
      </c>
      <c r="D5239">
        <v>27</v>
      </c>
      <c r="E5239">
        <v>441.4</v>
      </c>
      <c r="F5239">
        <v>374946</v>
      </c>
      <c r="G5239">
        <v>76385</v>
      </c>
      <c r="H5239">
        <v>5793</v>
      </c>
      <c r="J5239" t="str">
        <f>VLOOKUP(Table3[[#This Row],[Faction ID]],Table4[],2)</f>
        <v>Dol Guldur</v>
      </c>
    </row>
    <row r="5240" spans="1:10" x14ac:dyDescent="0.25">
      <c r="A5240">
        <v>136</v>
      </c>
      <c r="B5240" t="s">
        <v>10</v>
      </c>
      <c r="C5240">
        <v>58</v>
      </c>
      <c r="D5240">
        <v>0</v>
      </c>
      <c r="E5240">
        <v>0</v>
      </c>
      <c r="F5240">
        <v>4515</v>
      </c>
      <c r="G5240">
        <v>2500</v>
      </c>
      <c r="H5240">
        <v>0</v>
      </c>
      <c r="J5240" t="str">
        <f>VLOOKUP(Table3[[#This Row],[Faction ID]],Table4[],2)</f>
        <v>Anduin Vale</v>
      </c>
    </row>
    <row r="5241" spans="1:10" x14ac:dyDescent="0.25">
      <c r="A5241">
        <v>136</v>
      </c>
      <c r="B5241" t="s">
        <v>32</v>
      </c>
      <c r="C5241">
        <v>329</v>
      </c>
      <c r="D5241">
        <v>3</v>
      </c>
      <c r="E5241">
        <v>62.2</v>
      </c>
      <c r="F5241">
        <v>42883</v>
      </c>
      <c r="G5241">
        <v>14268</v>
      </c>
      <c r="H5241">
        <v>471</v>
      </c>
      <c r="J5241" t="str">
        <f>VLOOKUP(Table3[[#This Row],[Faction ID]],Table4[],2)</f>
        <v>Isengard</v>
      </c>
    </row>
    <row r="5242" spans="1:10" x14ac:dyDescent="0.25">
      <c r="A5242">
        <v>136</v>
      </c>
      <c r="B5242" t="s">
        <v>22</v>
      </c>
      <c r="C5242">
        <v>30</v>
      </c>
      <c r="D5242">
        <v>0</v>
      </c>
      <c r="E5242">
        <v>0</v>
      </c>
      <c r="F5242">
        <v>8475</v>
      </c>
      <c r="G5242">
        <v>2500</v>
      </c>
      <c r="H5242">
        <v>0</v>
      </c>
      <c r="J5242" t="str">
        <f>VLOOKUP(Table3[[#This Row],[Faction ID]],Table4[],2)</f>
        <v>Woodland Realm</v>
      </c>
    </row>
    <row r="5243" spans="1:10" x14ac:dyDescent="0.25">
      <c r="A5243">
        <v>136</v>
      </c>
      <c r="B5243" t="s">
        <v>23</v>
      </c>
      <c r="C5243">
        <v>64</v>
      </c>
      <c r="D5243">
        <v>0</v>
      </c>
      <c r="E5243">
        <v>0</v>
      </c>
      <c r="F5243">
        <v>4721</v>
      </c>
      <c r="G5243">
        <v>2500</v>
      </c>
      <c r="H5243">
        <v>0</v>
      </c>
      <c r="J5243" t="str">
        <f>VLOOKUP(Table3[[#This Row],[Faction ID]],Table4[],2)</f>
        <v>Lothlorien</v>
      </c>
    </row>
    <row r="5244" spans="1:10" x14ac:dyDescent="0.25">
      <c r="A5244">
        <v>136</v>
      </c>
      <c r="B5244" t="s">
        <v>24</v>
      </c>
      <c r="C5244">
        <v>0</v>
      </c>
      <c r="D5244">
        <v>0</v>
      </c>
      <c r="E5244">
        <v>0</v>
      </c>
      <c r="F5244">
        <v>4919</v>
      </c>
      <c r="G5244">
        <v>1750</v>
      </c>
      <c r="H5244">
        <v>0</v>
      </c>
      <c r="J5244" t="str">
        <f>VLOOKUP(Table3[[#This Row],[Faction ID]],Table4[],2)</f>
        <v>Variags (Khand)</v>
      </c>
    </row>
    <row r="5245" spans="1:10" x14ac:dyDescent="0.25">
      <c r="A5245">
        <v>136</v>
      </c>
      <c r="B5245" t="s">
        <v>14</v>
      </c>
      <c r="C5245">
        <v>20</v>
      </c>
      <c r="D5245">
        <v>14</v>
      </c>
      <c r="E5245">
        <v>262.2</v>
      </c>
      <c r="F5245">
        <v>304733</v>
      </c>
      <c r="G5245">
        <v>57022</v>
      </c>
      <c r="H5245">
        <v>5384</v>
      </c>
      <c r="J5245" t="str">
        <f>VLOOKUP(Table3[[#This Row],[Faction ID]],Table4[],2)</f>
        <v>Corsairs of Umbar</v>
      </c>
    </row>
    <row r="5246" spans="1:10" x14ac:dyDescent="0.25">
      <c r="A5246">
        <v>136</v>
      </c>
      <c r="B5246" t="s">
        <v>25</v>
      </c>
      <c r="C5246">
        <v>0</v>
      </c>
      <c r="D5246">
        <v>0</v>
      </c>
      <c r="E5246">
        <v>0</v>
      </c>
      <c r="F5246">
        <v>9228</v>
      </c>
      <c r="G5246">
        <v>1750</v>
      </c>
      <c r="H5246">
        <v>0</v>
      </c>
      <c r="J5246" t="str">
        <f>VLOOKUP(Table3[[#This Row],[Faction ID]],Table4[],2)</f>
        <v>Mahud</v>
      </c>
    </row>
    <row r="5247" spans="1:10" x14ac:dyDescent="0.25">
      <c r="A5247">
        <v>136</v>
      </c>
      <c r="B5247" t="s">
        <v>11</v>
      </c>
      <c r="C5247">
        <v>363</v>
      </c>
      <c r="D5247">
        <v>14</v>
      </c>
      <c r="E5247">
        <v>255.5</v>
      </c>
      <c r="F5247">
        <v>119685</v>
      </c>
      <c r="G5247">
        <v>44169</v>
      </c>
      <c r="H5247">
        <v>2902</v>
      </c>
      <c r="J5247" t="str">
        <f>VLOOKUP(Table3[[#This Row],[Faction ID]],Table4[],2)</f>
        <v>Haradrim</v>
      </c>
    </row>
    <row r="5248" spans="1:10" x14ac:dyDescent="0.25">
      <c r="A5248">
        <v>136</v>
      </c>
      <c r="B5248" t="s">
        <v>15</v>
      </c>
      <c r="C5248">
        <v>318</v>
      </c>
      <c r="D5248">
        <v>12</v>
      </c>
      <c r="E5248">
        <v>279.10000000000002</v>
      </c>
      <c r="F5248">
        <v>276681</v>
      </c>
      <c r="G5248">
        <v>53112</v>
      </c>
      <c r="H5248">
        <v>462</v>
      </c>
      <c r="J5248" t="str">
        <f>VLOOKUP(Table3[[#This Row],[Faction ID]],Table4[],2)</f>
        <v>Dunlendings</v>
      </c>
    </row>
    <row r="5249" spans="1:10" x14ac:dyDescent="0.25">
      <c r="A5249">
        <v>136</v>
      </c>
      <c r="B5249" t="s">
        <v>16</v>
      </c>
      <c r="C5249">
        <v>0</v>
      </c>
      <c r="D5249">
        <v>0</v>
      </c>
      <c r="E5249">
        <v>0</v>
      </c>
      <c r="F5249">
        <v>5352</v>
      </c>
      <c r="G5249">
        <v>1750</v>
      </c>
      <c r="H5249">
        <v>0</v>
      </c>
      <c r="J5249" t="str">
        <f>VLOOKUP(Table3[[#This Row],[Faction ID]],Table4[],2)</f>
        <v>Haerrim</v>
      </c>
    </row>
    <row r="5250" spans="1:10" x14ac:dyDescent="0.25">
      <c r="A5250">
        <v>136</v>
      </c>
      <c r="B5250" t="s">
        <v>13</v>
      </c>
      <c r="C5250">
        <v>674</v>
      </c>
      <c r="D5250">
        <v>6</v>
      </c>
      <c r="E5250">
        <v>102.5</v>
      </c>
      <c r="F5250">
        <v>151260</v>
      </c>
      <c r="G5250">
        <v>15623</v>
      </c>
      <c r="H5250">
        <v>0</v>
      </c>
      <c r="J5250" t="str">
        <f>VLOOKUP(Table3[[#This Row],[Faction ID]],Table4[],2)</f>
        <v>Goblins</v>
      </c>
    </row>
    <row r="5251" spans="1:10" x14ac:dyDescent="0.25">
      <c r="A5251">
        <v>136</v>
      </c>
      <c r="B5251" t="s">
        <v>17</v>
      </c>
      <c r="C5251">
        <v>0</v>
      </c>
      <c r="D5251">
        <v>0</v>
      </c>
      <c r="E5251">
        <v>0</v>
      </c>
      <c r="F5251">
        <v>4872</v>
      </c>
      <c r="G5251">
        <v>1750</v>
      </c>
      <c r="H5251">
        <v>0</v>
      </c>
      <c r="J5251" t="str">
        <f>VLOOKUP(Table3[[#This Row],[Faction ID]],Table4[],2)</f>
        <v>Balchoth</v>
      </c>
    </row>
    <row r="5252" spans="1:10" x14ac:dyDescent="0.25">
      <c r="A5252">
        <v>136</v>
      </c>
      <c r="B5252" t="s">
        <v>18</v>
      </c>
      <c r="C5252">
        <v>641</v>
      </c>
      <c r="D5252">
        <v>25</v>
      </c>
      <c r="E5252">
        <v>339.7</v>
      </c>
      <c r="F5252">
        <v>298583</v>
      </c>
      <c r="G5252">
        <v>49911</v>
      </c>
      <c r="H5252">
        <v>3841</v>
      </c>
      <c r="J5252" t="str">
        <f>VLOOKUP(Table3[[#This Row],[Faction ID]],Table4[],2)</f>
        <v>Rhurim/Rhun</v>
      </c>
    </row>
    <row r="5253" spans="1:10" x14ac:dyDescent="0.25">
      <c r="A5253">
        <v>136</v>
      </c>
      <c r="B5253" t="s">
        <v>19</v>
      </c>
      <c r="C5253">
        <v>0</v>
      </c>
      <c r="D5253">
        <v>0</v>
      </c>
      <c r="E5253">
        <v>0</v>
      </c>
      <c r="F5253">
        <v>7360</v>
      </c>
      <c r="G5253">
        <v>1750</v>
      </c>
      <c r="H5253">
        <v>0</v>
      </c>
      <c r="J5253" t="str">
        <f>VLOOKUP(Table3[[#This Row],[Faction ID]],Table4[],2)</f>
        <v>Feredrim</v>
      </c>
    </row>
    <row r="5254" spans="1:10" x14ac:dyDescent="0.25">
      <c r="A5254">
        <v>136</v>
      </c>
      <c r="B5254" t="s">
        <v>26</v>
      </c>
      <c r="C5254">
        <v>0</v>
      </c>
      <c r="D5254">
        <v>0</v>
      </c>
      <c r="E5254">
        <v>0</v>
      </c>
      <c r="F5254">
        <v>6395</v>
      </c>
      <c r="G5254">
        <v>1750</v>
      </c>
      <c r="H5254">
        <v>0</v>
      </c>
      <c r="J5254" t="str">
        <f>VLOOKUP(Table3[[#This Row],[Faction ID]],Table4[],2)</f>
        <v>Rachrohir (Wainriders)</v>
      </c>
    </row>
    <row r="5255" spans="1:10" x14ac:dyDescent="0.25">
      <c r="A5255">
        <v>136</v>
      </c>
      <c r="B5255" t="s">
        <v>27</v>
      </c>
      <c r="C5255">
        <v>5</v>
      </c>
      <c r="D5255">
        <v>3</v>
      </c>
      <c r="E5255">
        <v>83</v>
      </c>
      <c r="F5255">
        <v>15711</v>
      </c>
      <c r="G5255">
        <v>15914</v>
      </c>
      <c r="H5255">
        <v>777</v>
      </c>
      <c r="J5255" t="str">
        <f>VLOOKUP(Table3[[#This Row],[Faction ID]],Table4[],2)</f>
        <v>Blacklock-Stonefoot League</v>
      </c>
    </row>
    <row r="5256" spans="1:10" x14ac:dyDescent="0.25">
      <c r="A5256">
        <v>136</v>
      </c>
      <c r="B5256" t="s">
        <v>28</v>
      </c>
      <c r="C5256">
        <v>5</v>
      </c>
      <c r="D5256">
        <v>2</v>
      </c>
      <c r="E5256">
        <v>34.6</v>
      </c>
      <c r="F5256">
        <v>16595</v>
      </c>
      <c r="G5256">
        <v>10204</v>
      </c>
      <c r="H5256">
        <v>269</v>
      </c>
      <c r="J5256" t="str">
        <f>VLOOKUP(Table3[[#This Row],[Faction ID]],Table4[],2)</f>
        <v>Ironfist-Stiffbeard Union</v>
      </c>
    </row>
    <row r="5257" spans="1:10" x14ac:dyDescent="0.25">
      <c r="A5257">
        <v>136</v>
      </c>
      <c r="B5257" t="s">
        <v>20</v>
      </c>
      <c r="C5257">
        <v>245</v>
      </c>
      <c r="D5257">
        <v>0</v>
      </c>
      <c r="E5257">
        <v>0</v>
      </c>
      <c r="F5257">
        <v>9750</v>
      </c>
      <c r="G5257">
        <v>2500</v>
      </c>
      <c r="H5257">
        <v>0</v>
      </c>
      <c r="J5257" t="str">
        <f>VLOOKUP(Table3[[#This Row],[Faction ID]],Table4[],2)</f>
        <v>Gundabad</v>
      </c>
    </row>
    <row r="5258" spans="1:10" x14ac:dyDescent="0.25">
      <c r="A5258">
        <v>136</v>
      </c>
      <c r="B5258" t="s">
        <v>34</v>
      </c>
      <c r="C5258">
        <v>0</v>
      </c>
      <c r="D5258">
        <v>0</v>
      </c>
      <c r="E5258">
        <v>3</v>
      </c>
      <c r="F5258">
        <v>156235</v>
      </c>
      <c r="G5258">
        <v>2354</v>
      </c>
      <c r="H5258">
        <v>0</v>
      </c>
      <c r="J5258" t="str">
        <f>VLOOKUP(Table3[[#This Row],[Faction ID]],Table4[],2)</f>
        <v>Scouts of Rohan</v>
      </c>
    </row>
    <row r="5259" spans="1:10" x14ac:dyDescent="0.25">
      <c r="A5259">
        <v>136</v>
      </c>
      <c r="B5259" t="s">
        <v>33</v>
      </c>
      <c r="C5259">
        <v>2</v>
      </c>
      <c r="D5259">
        <v>2</v>
      </c>
      <c r="E5259">
        <v>20.100000000000001</v>
      </c>
      <c r="F5259">
        <v>35108</v>
      </c>
      <c r="G5259">
        <v>5003</v>
      </c>
      <c r="H5259">
        <v>930</v>
      </c>
      <c r="J5259" t="str">
        <f>VLOOKUP(Table3[[#This Row],[Faction ID]],Table4[],2)</f>
        <v>Northern Enedwaith</v>
      </c>
    </row>
    <row r="5260" spans="1:10" x14ac:dyDescent="0.25">
      <c r="A5260">
        <v>136</v>
      </c>
      <c r="B5260" t="s">
        <v>29</v>
      </c>
      <c r="C5260">
        <v>0</v>
      </c>
      <c r="D5260">
        <v>0</v>
      </c>
      <c r="E5260">
        <v>0</v>
      </c>
      <c r="F5260">
        <v>54023</v>
      </c>
      <c r="G5260">
        <v>1750</v>
      </c>
      <c r="H5260">
        <v>0</v>
      </c>
      <c r="J5260" t="str">
        <f>VLOOKUP(Table3[[#This Row],[Faction ID]],Table4[],2)</f>
        <v>Southern Enedwaith</v>
      </c>
    </row>
    <row r="5261" spans="1:10" x14ac:dyDescent="0.25">
      <c r="A5261">
        <v>136</v>
      </c>
      <c r="B5261" t="s">
        <v>30</v>
      </c>
      <c r="C5261">
        <v>0</v>
      </c>
      <c r="D5261">
        <v>0</v>
      </c>
      <c r="E5261">
        <v>0</v>
      </c>
      <c r="F5261">
        <v>32146</v>
      </c>
      <c r="G5261">
        <v>1750</v>
      </c>
      <c r="H5261">
        <v>0</v>
      </c>
      <c r="J5261" t="str">
        <f>VLOOKUP(Table3[[#This Row],[Faction ID]],Table4[],2)</f>
        <v>Druedain</v>
      </c>
    </row>
    <row r="5262" spans="1:10" x14ac:dyDescent="0.25">
      <c r="A5262">
        <v>136</v>
      </c>
      <c r="B5262" t="s">
        <v>31</v>
      </c>
      <c r="C5262">
        <v>0</v>
      </c>
      <c r="D5262">
        <v>0</v>
      </c>
      <c r="E5262">
        <v>0</v>
      </c>
      <c r="F5262">
        <v>15146</v>
      </c>
      <c r="G5262">
        <v>1750</v>
      </c>
      <c r="H5262">
        <v>0</v>
      </c>
      <c r="J5262" t="str">
        <f>VLOOKUP(Table3[[#This Row],[Faction ID]],Table4[],2)</f>
        <v>Harondor</v>
      </c>
    </row>
    <row r="5263" spans="1:10" x14ac:dyDescent="0.25">
      <c r="A5263">
        <v>136</v>
      </c>
      <c r="B5263" t="s">
        <v>35</v>
      </c>
      <c r="C5263">
        <v>0</v>
      </c>
      <c r="D5263">
        <v>0</v>
      </c>
      <c r="E5263">
        <v>0</v>
      </c>
      <c r="F5263">
        <v>4000</v>
      </c>
      <c r="G5263">
        <v>1750</v>
      </c>
      <c r="H5263">
        <v>0</v>
      </c>
      <c r="J5263" t="str">
        <f>VLOOKUP(Table3[[#This Row],[Faction ID]],Table4[],2)</f>
        <v>Southron Nomads</v>
      </c>
    </row>
    <row r="5264" spans="1:10" x14ac:dyDescent="0.25">
      <c r="A5264">
        <v>136</v>
      </c>
      <c r="B5264" t="s">
        <v>36</v>
      </c>
      <c r="C5264">
        <v>0</v>
      </c>
      <c r="D5264">
        <v>0</v>
      </c>
      <c r="E5264">
        <v>0</v>
      </c>
      <c r="F5264">
        <v>4000</v>
      </c>
      <c r="G5264">
        <v>1750</v>
      </c>
      <c r="H5264">
        <v>0</v>
      </c>
      <c r="J5264" t="str">
        <f>VLOOKUP(Table3[[#This Row],[Faction ID]],Table4[],2)</f>
        <v>_</v>
      </c>
    </row>
    <row r="5265" spans="1:10" x14ac:dyDescent="0.25">
      <c r="A5265">
        <v>136</v>
      </c>
      <c r="B5265" t="s">
        <v>37</v>
      </c>
      <c r="C5265">
        <v>0</v>
      </c>
      <c r="D5265">
        <v>0</v>
      </c>
      <c r="E5265">
        <v>0</v>
      </c>
      <c r="F5265">
        <v>4000</v>
      </c>
      <c r="G5265">
        <v>1750</v>
      </c>
      <c r="H5265">
        <v>0</v>
      </c>
      <c r="J5265" t="str">
        <f>VLOOKUP(Table3[[#This Row],[Faction ID]],Table4[],2)</f>
        <v>_</v>
      </c>
    </row>
    <row r="5266" spans="1:10" x14ac:dyDescent="0.25">
      <c r="A5266">
        <v>136</v>
      </c>
      <c r="B5266" t="s">
        <v>38</v>
      </c>
      <c r="C5266">
        <v>0</v>
      </c>
      <c r="D5266">
        <v>0</v>
      </c>
      <c r="E5266">
        <v>0</v>
      </c>
      <c r="F5266">
        <v>4000</v>
      </c>
      <c r="G5266">
        <v>1750</v>
      </c>
      <c r="H5266">
        <v>0</v>
      </c>
      <c r="J5266" t="str">
        <f>VLOOKUP(Table3[[#This Row],[Faction ID]],Table4[],2)</f>
        <v>_</v>
      </c>
    </row>
    <row r="5267" spans="1:10" x14ac:dyDescent="0.25">
      <c r="A5267">
        <v>136</v>
      </c>
      <c r="B5267" t="s">
        <v>39</v>
      </c>
      <c r="C5267">
        <v>0</v>
      </c>
      <c r="D5267">
        <v>0</v>
      </c>
      <c r="E5267">
        <v>0</v>
      </c>
      <c r="F5267">
        <v>4000</v>
      </c>
      <c r="G5267">
        <v>1750</v>
      </c>
      <c r="H5267">
        <v>0</v>
      </c>
      <c r="J5267" t="str">
        <f>VLOOKUP(Table3[[#This Row],[Faction ID]],Table4[],2)</f>
        <v>_</v>
      </c>
    </row>
    <row r="5268" spans="1:10" x14ac:dyDescent="0.25">
      <c r="A5268">
        <v>136</v>
      </c>
      <c r="B5268" t="s">
        <v>40</v>
      </c>
      <c r="C5268">
        <v>0</v>
      </c>
      <c r="D5268">
        <v>0</v>
      </c>
      <c r="E5268">
        <v>0</v>
      </c>
      <c r="F5268">
        <v>4000</v>
      </c>
      <c r="G5268">
        <v>1750</v>
      </c>
      <c r="H5268">
        <v>0</v>
      </c>
      <c r="J5268" t="str">
        <f>VLOOKUP(Table3[[#This Row],[Faction ID]],Table4[],2)</f>
        <v>_</v>
      </c>
    </row>
    <row r="5269" spans="1:10" x14ac:dyDescent="0.25">
      <c r="A5269">
        <v>136</v>
      </c>
      <c r="B5269" t="s">
        <v>41</v>
      </c>
      <c r="C5269">
        <v>0</v>
      </c>
      <c r="D5269">
        <v>0</v>
      </c>
      <c r="E5269">
        <v>0</v>
      </c>
      <c r="F5269">
        <v>4000</v>
      </c>
      <c r="G5269">
        <v>1750</v>
      </c>
      <c r="H5269">
        <v>0</v>
      </c>
      <c r="J5269" t="str">
        <f>VLOOKUP(Table3[[#This Row],[Faction ID]],Table4[],2)</f>
        <v>_</v>
      </c>
    </row>
    <row r="5270" spans="1:10" x14ac:dyDescent="0.25">
      <c r="A5270">
        <v>136</v>
      </c>
      <c r="B5270" t="s">
        <v>42</v>
      </c>
      <c r="C5270">
        <v>0</v>
      </c>
      <c r="D5270">
        <v>0</v>
      </c>
      <c r="E5270">
        <v>0</v>
      </c>
      <c r="F5270">
        <v>4000</v>
      </c>
      <c r="G5270">
        <v>1750</v>
      </c>
      <c r="H5270">
        <v>0</v>
      </c>
      <c r="J5270" t="str">
        <f>VLOOKUP(Table3[[#This Row],[Faction ID]],Table4[],2)</f>
        <v>_</v>
      </c>
    </row>
    <row r="5271" spans="1:10" x14ac:dyDescent="0.25">
      <c r="A5271">
        <v>136</v>
      </c>
      <c r="B5271" t="s">
        <v>43</v>
      </c>
      <c r="C5271">
        <v>0</v>
      </c>
      <c r="D5271">
        <v>0</v>
      </c>
      <c r="E5271">
        <v>0</v>
      </c>
      <c r="F5271">
        <v>4000</v>
      </c>
      <c r="G5271">
        <v>1750</v>
      </c>
      <c r="H5271">
        <v>0</v>
      </c>
      <c r="J5271" t="str">
        <f>VLOOKUP(Table3[[#This Row],[Faction ID]],Table4[],2)</f>
        <v>_</v>
      </c>
    </row>
    <row r="5272" spans="1:10" x14ac:dyDescent="0.25">
      <c r="A5272">
        <v>136</v>
      </c>
      <c r="B5272" t="s">
        <v>44</v>
      </c>
      <c r="C5272">
        <v>0</v>
      </c>
      <c r="D5272">
        <v>0</v>
      </c>
      <c r="E5272">
        <v>0</v>
      </c>
      <c r="F5272">
        <v>4000</v>
      </c>
      <c r="G5272">
        <v>1750</v>
      </c>
      <c r="H5272">
        <v>0</v>
      </c>
      <c r="J5272" t="str">
        <f>VLOOKUP(Table3[[#This Row],[Faction ID]],Table4[],2)</f>
        <v>_</v>
      </c>
    </row>
    <row r="5273" spans="1:10" x14ac:dyDescent="0.25">
      <c r="A5273">
        <v>137</v>
      </c>
      <c r="B5273" t="s">
        <v>9</v>
      </c>
      <c r="C5273">
        <v>713</v>
      </c>
      <c r="D5273">
        <v>50</v>
      </c>
      <c r="E5273">
        <v>656.1</v>
      </c>
      <c r="F5273">
        <v>15695</v>
      </c>
      <c r="G5273">
        <v>96090</v>
      </c>
      <c r="H5273">
        <v>8736</v>
      </c>
      <c r="J5273" t="str">
        <f>VLOOKUP(Table3[[#This Row],[Faction ID]],Table4[],2)</f>
        <v>Mordor</v>
      </c>
    </row>
    <row r="5274" spans="1:10" x14ac:dyDescent="0.25">
      <c r="A5274">
        <v>137</v>
      </c>
      <c r="B5274" t="s">
        <v>4</v>
      </c>
      <c r="C5274">
        <v>146</v>
      </c>
      <c r="D5274">
        <v>0</v>
      </c>
      <c r="E5274">
        <v>0</v>
      </c>
      <c r="F5274">
        <v>55420</v>
      </c>
      <c r="G5274">
        <v>2500</v>
      </c>
      <c r="H5274">
        <v>0</v>
      </c>
      <c r="J5274" t="str">
        <f>VLOOKUP(Table3[[#This Row],[Faction ID]],Table4[],2)</f>
        <v>Gondor</v>
      </c>
    </row>
    <row r="5275" spans="1:10" x14ac:dyDescent="0.25">
      <c r="A5275">
        <v>137</v>
      </c>
      <c r="B5275" t="s">
        <v>6</v>
      </c>
      <c r="C5275">
        <v>199</v>
      </c>
      <c r="D5275">
        <v>0</v>
      </c>
      <c r="E5275">
        <v>0</v>
      </c>
      <c r="F5275">
        <v>10343</v>
      </c>
      <c r="G5275">
        <v>2500</v>
      </c>
      <c r="H5275">
        <v>0</v>
      </c>
      <c r="J5275" t="str">
        <f>VLOOKUP(Table3[[#This Row],[Faction ID]],Table4[],2)</f>
        <v>Dale</v>
      </c>
    </row>
    <row r="5276" spans="1:10" x14ac:dyDescent="0.25">
      <c r="A5276">
        <v>137</v>
      </c>
      <c r="B5276" t="s">
        <v>21</v>
      </c>
      <c r="C5276">
        <v>200</v>
      </c>
      <c r="D5276">
        <v>0</v>
      </c>
      <c r="E5276">
        <v>0</v>
      </c>
      <c r="F5276">
        <v>10040</v>
      </c>
      <c r="G5276">
        <v>2500</v>
      </c>
      <c r="H5276">
        <v>0</v>
      </c>
      <c r="J5276" t="str">
        <f>VLOOKUP(Table3[[#This Row],[Faction ID]],Table4[],2)</f>
        <v>Erebor</v>
      </c>
    </row>
    <row r="5277" spans="1:10" x14ac:dyDescent="0.25">
      <c r="A5277">
        <v>137</v>
      </c>
      <c r="B5277" t="s">
        <v>5</v>
      </c>
      <c r="C5277">
        <v>157</v>
      </c>
      <c r="D5277">
        <v>0</v>
      </c>
      <c r="E5277">
        <v>0</v>
      </c>
      <c r="F5277">
        <v>6638</v>
      </c>
      <c r="G5277">
        <v>2500</v>
      </c>
      <c r="H5277">
        <v>0</v>
      </c>
      <c r="J5277" t="str">
        <f>VLOOKUP(Table3[[#This Row],[Faction ID]],Table4[],2)</f>
        <v>Rohan</v>
      </c>
    </row>
    <row r="5278" spans="1:10" x14ac:dyDescent="0.25">
      <c r="A5278">
        <v>137</v>
      </c>
      <c r="B5278" t="s">
        <v>12</v>
      </c>
      <c r="C5278">
        <v>535</v>
      </c>
      <c r="D5278">
        <v>27</v>
      </c>
      <c r="E5278">
        <v>435.4</v>
      </c>
      <c r="F5278">
        <v>337271</v>
      </c>
      <c r="G5278">
        <v>75992</v>
      </c>
      <c r="H5278">
        <v>5789</v>
      </c>
      <c r="J5278" t="str">
        <f>VLOOKUP(Table3[[#This Row],[Faction ID]],Table4[],2)</f>
        <v>Dol Guldur</v>
      </c>
    </row>
    <row r="5279" spans="1:10" x14ac:dyDescent="0.25">
      <c r="A5279">
        <v>137</v>
      </c>
      <c r="B5279" t="s">
        <v>10</v>
      </c>
      <c r="C5279">
        <v>58</v>
      </c>
      <c r="D5279">
        <v>0</v>
      </c>
      <c r="E5279">
        <v>0</v>
      </c>
      <c r="F5279">
        <v>4515</v>
      </c>
      <c r="G5279">
        <v>2500</v>
      </c>
      <c r="H5279">
        <v>0</v>
      </c>
      <c r="J5279" t="str">
        <f>VLOOKUP(Table3[[#This Row],[Faction ID]],Table4[],2)</f>
        <v>Anduin Vale</v>
      </c>
    </row>
    <row r="5280" spans="1:10" x14ac:dyDescent="0.25">
      <c r="A5280">
        <v>137</v>
      </c>
      <c r="B5280" t="s">
        <v>32</v>
      </c>
      <c r="C5280">
        <v>329</v>
      </c>
      <c r="D5280">
        <v>3</v>
      </c>
      <c r="E5280">
        <v>79.900000000000006</v>
      </c>
      <c r="F5280">
        <v>46218</v>
      </c>
      <c r="G5280">
        <v>16437</v>
      </c>
      <c r="H5280">
        <v>472</v>
      </c>
      <c r="J5280" t="str">
        <f>VLOOKUP(Table3[[#This Row],[Faction ID]],Table4[],2)</f>
        <v>Isengard</v>
      </c>
    </row>
    <row r="5281" spans="1:10" x14ac:dyDescent="0.25">
      <c r="A5281">
        <v>137</v>
      </c>
      <c r="B5281" t="s">
        <v>22</v>
      </c>
      <c r="C5281">
        <v>30</v>
      </c>
      <c r="D5281">
        <v>0</v>
      </c>
      <c r="E5281">
        <v>0</v>
      </c>
      <c r="F5281">
        <v>8475</v>
      </c>
      <c r="G5281">
        <v>2500</v>
      </c>
      <c r="H5281">
        <v>0</v>
      </c>
      <c r="J5281" t="str">
        <f>VLOOKUP(Table3[[#This Row],[Faction ID]],Table4[],2)</f>
        <v>Woodland Realm</v>
      </c>
    </row>
    <row r="5282" spans="1:10" x14ac:dyDescent="0.25">
      <c r="A5282">
        <v>137</v>
      </c>
      <c r="B5282" t="s">
        <v>23</v>
      </c>
      <c r="C5282">
        <v>64</v>
      </c>
      <c r="D5282">
        <v>0</v>
      </c>
      <c r="E5282">
        <v>0</v>
      </c>
      <c r="F5282">
        <v>4721</v>
      </c>
      <c r="G5282">
        <v>2500</v>
      </c>
      <c r="H5282">
        <v>0</v>
      </c>
      <c r="J5282" t="str">
        <f>VLOOKUP(Table3[[#This Row],[Faction ID]],Table4[],2)</f>
        <v>Lothlorien</v>
      </c>
    </row>
    <row r="5283" spans="1:10" x14ac:dyDescent="0.25">
      <c r="A5283">
        <v>137</v>
      </c>
      <c r="B5283" t="s">
        <v>24</v>
      </c>
      <c r="C5283">
        <v>0</v>
      </c>
      <c r="D5283">
        <v>0</v>
      </c>
      <c r="E5283">
        <v>0</v>
      </c>
      <c r="F5283">
        <v>4919</v>
      </c>
      <c r="G5283">
        <v>1750</v>
      </c>
      <c r="H5283">
        <v>0</v>
      </c>
      <c r="J5283" t="str">
        <f>VLOOKUP(Table3[[#This Row],[Faction ID]],Table4[],2)</f>
        <v>Variags (Khand)</v>
      </c>
    </row>
    <row r="5284" spans="1:10" x14ac:dyDescent="0.25">
      <c r="A5284">
        <v>137</v>
      </c>
      <c r="B5284" t="s">
        <v>14</v>
      </c>
      <c r="C5284">
        <v>20</v>
      </c>
      <c r="D5284">
        <v>14</v>
      </c>
      <c r="E5284">
        <v>213.2</v>
      </c>
      <c r="F5284">
        <v>326982</v>
      </c>
      <c r="G5284">
        <v>53309</v>
      </c>
      <c r="H5284">
        <v>5526</v>
      </c>
      <c r="J5284" t="str">
        <f>VLOOKUP(Table3[[#This Row],[Faction ID]],Table4[],2)</f>
        <v>Corsairs of Umbar</v>
      </c>
    </row>
    <row r="5285" spans="1:10" x14ac:dyDescent="0.25">
      <c r="A5285">
        <v>137</v>
      </c>
      <c r="B5285" t="s">
        <v>25</v>
      </c>
      <c r="C5285">
        <v>0</v>
      </c>
      <c r="D5285">
        <v>0</v>
      </c>
      <c r="E5285">
        <v>0</v>
      </c>
      <c r="F5285">
        <v>9228</v>
      </c>
      <c r="G5285">
        <v>1750</v>
      </c>
      <c r="H5285">
        <v>0</v>
      </c>
      <c r="J5285" t="str">
        <f>VLOOKUP(Table3[[#This Row],[Faction ID]],Table4[],2)</f>
        <v>Mahud</v>
      </c>
    </row>
    <row r="5286" spans="1:10" x14ac:dyDescent="0.25">
      <c r="A5286">
        <v>137</v>
      </c>
      <c r="B5286" t="s">
        <v>11</v>
      </c>
      <c r="C5286">
        <v>375</v>
      </c>
      <c r="D5286">
        <v>14</v>
      </c>
      <c r="E5286">
        <v>262.10000000000002</v>
      </c>
      <c r="F5286">
        <v>130917</v>
      </c>
      <c r="G5286">
        <v>44520</v>
      </c>
      <c r="H5286">
        <v>3016</v>
      </c>
      <c r="J5286" t="str">
        <f>VLOOKUP(Table3[[#This Row],[Faction ID]],Table4[],2)</f>
        <v>Haradrim</v>
      </c>
    </row>
    <row r="5287" spans="1:10" x14ac:dyDescent="0.25">
      <c r="A5287">
        <v>137</v>
      </c>
      <c r="B5287" t="s">
        <v>15</v>
      </c>
      <c r="C5287">
        <v>318</v>
      </c>
      <c r="D5287">
        <v>12</v>
      </c>
      <c r="E5287">
        <v>277</v>
      </c>
      <c r="F5287">
        <v>284446</v>
      </c>
      <c r="G5287">
        <v>53325</v>
      </c>
      <c r="H5287">
        <v>463</v>
      </c>
      <c r="J5287" t="str">
        <f>VLOOKUP(Table3[[#This Row],[Faction ID]],Table4[],2)</f>
        <v>Dunlendings</v>
      </c>
    </row>
    <row r="5288" spans="1:10" x14ac:dyDescent="0.25">
      <c r="A5288">
        <v>137</v>
      </c>
      <c r="B5288" t="s">
        <v>16</v>
      </c>
      <c r="C5288">
        <v>0</v>
      </c>
      <c r="D5288">
        <v>0</v>
      </c>
      <c r="E5288">
        <v>0</v>
      </c>
      <c r="F5288">
        <v>5352</v>
      </c>
      <c r="G5288">
        <v>1750</v>
      </c>
      <c r="H5288">
        <v>0</v>
      </c>
      <c r="J5288" t="str">
        <f>VLOOKUP(Table3[[#This Row],[Faction ID]],Table4[],2)</f>
        <v>Haerrim</v>
      </c>
    </row>
    <row r="5289" spans="1:10" x14ac:dyDescent="0.25">
      <c r="A5289">
        <v>137</v>
      </c>
      <c r="B5289" t="s">
        <v>13</v>
      </c>
      <c r="C5289">
        <v>671</v>
      </c>
      <c r="D5289">
        <v>4</v>
      </c>
      <c r="E5289">
        <v>68.5</v>
      </c>
      <c r="F5289">
        <v>153218</v>
      </c>
      <c r="G5289">
        <v>10613</v>
      </c>
      <c r="H5289">
        <v>0</v>
      </c>
      <c r="J5289" t="str">
        <f>VLOOKUP(Table3[[#This Row],[Faction ID]],Table4[],2)</f>
        <v>Goblins</v>
      </c>
    </row>
    <row r="5290" spans="1:10" x14ac:dyDescent="0.25">
      <c r="A5290">
        <v>137</v>
      </c>
      <c r="B5290" t="s">
        <v>17</v>
      </c>
      <c r="C5290">
        <v>0</v>
      </c>
      <c r="D5290">
        <v>0</v>
      </c>
      <c r="E5290">
        <v>0</v>
      </c>
      <c r="F5290">
        <v>4872</v>
      </c>
      <c r="G5290">
        <v>1750</v>
      </c>
      <c r="H5290">
        <v>0</v>
      </c>
      <c r="J5290" t="str">
        <f>VLOOKUP(Table3[[#This Row],[Faction ID]],Table4[],2)</f>
        <v>Balchoth</v>
      </c>
    </row>
    <row r="5291" spans="1:10" x14ac:dyDescent="0.25">
      <c r="A5291">
        <v>137</v>
      </c>
      <c r="B5291" t="s">
        <v>18</v>
      </c>
      <c r="C5291">
        <v>640</v>
      </c>
      <c r="D5291">
        <v>24</v>
      </c>
      <c r="E5291">
        <v>304.5</v>
      </c>
      <c r="F5291">
        <v>321942</v>
      </c>
      <c r="G5291">
        <v>41591</v>
      </c>
      <c r="H5291">
        <v>3829</v>
      </c>
      <c r="J5291" t="str">
        <f>VLOOKUP(Table3[[#This Row],[Faction ID]],Table4[],2)</f>
        <v>Rhurim/Rhun</v>
      </c>
    </row>
    <row r="5292" spans="1:10" x14ac:dyDescent="0.25">
      <c r="A5292">
        <v>137</v>
      </c>
      <c r="B5292" t="s">
        <v>19</v>
      </c>
      <c r="C5292">
        <v>0</v>
      </c>
      <c r="D5292">
        <v>0</v>
      </c>
      <c r="E5292">
        <v>0</v>
      </c>
      <c r="F5292">
        <v>7360</v>
      </c>
      <c r="G5292">
        <v>1750</v>
      </c>
      <c r="H5292">
        <v>0</v>
      </c>
      <c r="J5292" t="str">
        <f>VLOOKUP(Table3[[#This Row],[Faction ID]],Table4[],2)</f>
        <v>Feredrim</v>
      </c>
    </row>
    <row r="5293" spans="1:10" x14ac:dyDescent="0.25">
      <c r="A5293">
        <v>137</v>
      </c>
      <c r="B5293" t="s">
        <v>26</v>
      </c>
      <c r="C5293">
        <v>0</v>
      </c>
      <c r="D5293">
        <v>0</v>
      </c>
      <c r="E5293">
        <v>0</v>
      </c>
      <c r="F5293">
        <v>6395</v>
      </c>
      <c r="G5293">
        <v>1750</v>
      </c>
      <c r="H5293">
        <v>0</v>
      </c>
      <c r="J5293" t="str">
        <f>VLOOKUP(Table3[[#This Row],[Faction ID]],Table4[],2)</f>
        <v>Rachrohir (Wainriders)</v>
      </c>
    </row>
    <row r="5294" spans="1:10" x14ac:dyDescent="0.25">
      <c r="A5294">
        <v>137</v>
      </c>
      <c r="B5294" t="s">
        <v>27</v>
      </c>
      <c r="C5294">
        <v>6</v>
      </c>
      <c r="D5294">
        <v>4</v>
      </c>
      <c r="E5294">
        <v>64</v>
      </c>
      <c r="F5294">
        <v>21611</v>
      </c>
      <c r="G5294">
        <v>14591</v>
      </c>
      <c r="H5294">
        <v>965</v>
      </c>
      <c r="J5294" t="str">
        <f>VLOOKUP(Table3[[#This Row],[Faction ID]],Table4[],2)</f>
        <v>Blacklock-Stonefoot League</v>
      </c>
    </row>
    <row r="5295" spans="1:10" x14ac:dyDescent="0.25">
      <c r="A5295">
        <v>137</v>
      </c>
      <c r="B5295" t="s">
        <v>28</v>
      </c>
      <c r="C5295">
        <v>5</v>
      </c>
      <c r="D5295">
        <v>2</v>
      </c>
      <c r="E5295">
        <v>38.6</v>
      </c>
      <c r="F5295">
        <v>18902</v>
      </c>
      <c r="G5295">
        <v>10685</v>
      </c>
      <c r="H5295">
        <v>273</v>
      </c>
      <c r="J5295" t="str">
        <f>VLOOKUP(Table3[[#This Row],[Faction ID]],Table4[],2)</f>
        <v>Ironfist-Stiffbeard Union</v>
      </c>
    </row>
    <row r="5296" spans="1:10" x14ac:dyDescent="0.25">
      <c r="A5296">
        <v>137</v>
      </c>
      <c r="B5296" t="s">
        <v>20</v>
      </c>
      <c r="C5296">
        <v>245</v>
      </c>
      <c r="D5296">
        <v>0</v>
      </c>
      <c r="E5296">
        <v>0</v>
      </c>
      <c r="F5296">
        <v>9750</v>
      </c>
      <c r="G5296">
        <v>2500</v>
      </c>
      <c r="H5296">
        <v>0</v>
      </c>
      <c r="J5296" t="str">
        <f>VLOOKUP(Table3[[#This Row],[Faction ID]],Table4[],2)</f>
        <v>Gundabad</v>
      </c>
    </row>
    <row r="5297" spans="1:10" x14ac:dyDescent="0.25">
      <c r="A5297">
        <v>137</v>
      </c>
      <c r="B5297" t="s">
        <v>34</v>
      </c>
      <c r="C5297">
        <v>0</v>
      </c>
      <c r="D5297">
        <v>0</v>
      </c>
      <c r="E5297">
        <v>3</v>
      </c>
      <c r="F5297">
        <v>157381</v>
      </c>
      <c r="G5297">
        <v>2354</v>
      </c>
      <c r="H5297">
        <v>0</v>
      </c>
      <c r="J5297" t="str">
        <f>VLOOKUP(Table3[[#This Row],[Faction ID]],Table4[],2)</f>
        <v>Scouts of Rohan</v>
      </c>
    </row>
    <row r="5298" spans="1:10" x14ac:dyDescent="0.25">
      <c r="A5298">
        <v>137</v>
      </c>
      <c r="B5298" t="s">
        <v>33</v>
      </c>
      <c r="C5298">
        <v>2</v>
      </c>
      <c r="D5298">
        <v>2</v>
      </c>
      <c r="E5298">
        <v>20.100000000000001</v>
      </c>
      <c r="F5298">
        <v>13725</v>
      </c>
      <c r="G5298">
        <v>3180</v>
      </c>
      <c r="H5298">
        <v>940</v>
      </c>
      <c r="J5298" t="str">
        <f>VLOOKUP(Table3[[#This Row],[Faction ID]],Table4[],2)</f>
        <v>Northern Enedwaith</v>
      </c>
    </row>
    <row r="5299" spans="1:10" x14ac:dyDescent="0.25">
      <c r="A5299">
        <v>137</v>
      </c>
      <c r="B5299" t="s">
        <v>29</v>
      </c>
      <c r="C5299">
        <v>0</v>
      </c>
      <c r="D5299">
        <v>0</v>
      </c>
      <c r="E5299">
        <v>0</v>
      </c>
      <c r="F5299">
        <v>54023</v>
      </c>
      <c r="G5299">
        <v>1750</v>
      </c>
      <c r="H5299">
        <v>0</v>
      </c>
      <c r="J5299" t="str">
        <f>VLOOKUP(Table3[[#This Row],[Faction ID]],Table4[],2)</f>
        <v>Southern Enedwaith</v>
      </c>
    </row>
    <row r="5300" spans="1:10" x14ac:dyDescent="0.25">
      <c r="A5300">
        <v>137</v>
      </c>
      <c r="B5300" t="s">
        <v>30</v>
      </c>
      <c r="C5300">
        <v>0</v>
      </c>
      <c r="D5300">
        <v>0</v>
      </c>
      <c r="E5300">
        <v>0</v>
      </c>
      <c r="F5300">
        <v>32146</v>
      </c>
      <c r="G5300">
        <v>1750</v>
      </c>
      <c r="H5300">
        <v>0</v>
      </c>
      <c r="J5300" t="str">
        <f>VLOOKUP(Table3[[#This Row],[Faction ID]],Table4[],2)</f>
        <v>Druedain</v>
      </c>
    </row>
    <row r="5301" spans="1:10" x14ac:dyDescent="0.25">
      <c r="A5301">
        <v>137</v>
      </c>
      <c r="B5301" t="s">
        <v>31</v>
      </c>
      <c r="C5301">
        <v>0</v>
      </c>
      <c r="D5301">
        <v>0</v>
      </c>
      <c r="E5301">
        <v>0</v>
      </c>
      <c r="F5301">
        <v>15146</v>
      </c>
      <c r="G5301">
        <v>1750</v>
      </c>
      <c r="H5301">
        <v>0</v>
      </c>
      <c r="J5301" t="str">
        <f>VLOOKUP(Table3[[#This Row],[Faction ID]],Table4[],2)</f>
        <v>Harondor</v>
      </c>
    </row>
    <row r="5302" spans="1:10" x14ac:dyDescent="0.25">
      <c r="A5302">
        <v>137</v>
      </c>
      <c r="B5302" t="s">
        <v>35</v>
      </c>
      <c r="C5302">
        <v>0</v>
      </c>
      <c r="D5302">
        <v>0</v>
      </c>
      <c r="E5302">
        <v>0</v>
      </c>
      <c r="F5302">
        <v>4000</v>
      </c>
      <c r="G5302">
        <v>1750</v>
      </c>
      <c r="H5302">
        <v>0</v>
      </c>
      <c r="J5302" t="str">
        <f>VLOOKUP(Table3[[#This Row],[Faction ID]],Table4[],2)</f>
        <v>Southron Nomads</v>
      </c>
    </row>
    <row r="5303" spans="1:10" x14ac:dyDescent="0.25">
      <c r="A5303">
        <v>137</v>
      </c>
      <c r="B5303" t="s">
        <v>36</v>
      </c>
      <c r="C5303">
        <v>0</v>
      </c>
      <c r="D5303">
        <v>0</v>
      </c>
      <c r="E5303">
        <v>0</v>
      </c>
      <c r="F5303">
        <v>4000</v>
      </c>
      <c r="G5303">
        <v>1750</v>
      </c>
      <c r="H5303">
        <v>0</v>
      </c>
      <c r="J5303" t="str">
        <f>VLOOKUP(Table3[[#This Row],[Faction ID]],Table4[],2)</f>
        <v>_</v>
      </c>
    </row>
    <row r="5304" spans="1:10" x14ac:dyDescent="0.25">
      <c r="A5304">
        <v>137</v>
      </c>
      <c r="B5304" t="s">
        <v>37</v>
      </c>
      <c r="C5304">
        <v>0</v>
      </c>
      <c r="D5304">
        <v>0</v>
      </c>
      <c r="E5304">
        <v>0</v>
      </c>
      <c r="F5304">
        <v>4000</v>
      </c>
      <c r="G5304">
        <v>1750</v>
      </c>
      <c r="H5304">
        <v>0</v>
      </c>
      <c r="J5304" t="str">
        <f>VLOOKUP(Table3[[#This Row],[Faction ID]],Table4[],2)</f>
        <v>_</v>
      </c>
    </row>
    <row r="5305" spans="1:10" x14ac:dyDescent="0.25">
      <c r="A5305">
        <v>137</v>
      </c>
      <c r="B5305" t="s">
        <v>38</v>
      </c>
      <c r="C5305">
        <v>0</v>
      </c>
      <c r="D5305">
        <v>0</v>
      </c>
      <c r="E5305">
        <v>0</v>
      </c>
      <c r="F5305">
        <v>4000</v>
      </c>
      <c r="G5305">
        <v>1750</v>
      </c>
      <c r="H5305">
        <v>0</v>
      </c>
      <c r="J5305" t="str">
        <f>VLOOKUP(Table3[[#This Row],[Faction ID]],Table4[],2)</f>
        <v>_</v>
      </c>
    </row>
    <row r="5306" spans="1:10" x14ac:dyDescent="0.25">
      <c r="A5306">
        <v>137</v>
      </c>
      <c r="B5306" t="s">
        <v>39</v>
      </c>
      <c r="C5306">
        <v>0</v>
      </c>
      <c r="D5306">
        <v>0</v>
      </c>
      <c r="E5306">
        <v>0</v>
      </c>
      <c r="F5306">
        <v>4000</v>
      </c>
      <c r="G5306">
        <v>1750</v>
      </c>
      <c r="H5306">
        <v>0</v>
      </c>
      <c r="J5306" t="str">
        <f>VLOOKUP(Table3[[#This Row],[Faction ID]],Table4[],2)</f>
        <v>_</v>
      </c>
    </row>
    <row r="5307" spans="1:10" x14ac:dyDescent="0.25">
      <c r="A5307">
        <v>137</v>
      </c>
      <c r="B5307" t="s">
        <v>40</v>
      </c>
      <c r="C5307">
        <v>0</v>
      </c>
      <c r="D5307">
        <v>0</v>
      </c>
      <c r="E5307">
        <v>0</v>
      </c>
      <c r="F5307">
        <v>4000</v>
      </c>
      <c r="G5307">
        <v>1750</v>
      </c>
      <c r="H5307">
        <v>0</v>
      </c>
      <c r="J5307" t="str">
        <f>VLOOKUP(Table3[[#This Row],[Faction ID]],Table4[],2)</f>
        <v>_</v>
      </c>
    </row>
    <row r="5308" spans="1:10" x14ac:dyDescent="0.25">
      <c r="A5308">
        <v>137</v>
      </c>
      <c r="B5308" t="s">
        <v>41</v>
      </c>
      <c r="C5308">
        <v>0</v>
      </c>
      <c r="D5308">
        <v>0</v>
      </c>
      <c r="E5308">
        <v>0</v>
      </c>
      <c r="F5308">
        <v>4000</v>
      </c>
      <c r="G5308">
        <v>1750</v>
      </c>
      <c r="H5308">
        <v>0</v>
      </c>
      <c r="J5308" t="str">
        <f>VLOOKUP(Table3[[#This Row],[Faction ID]],Table4[],2)</f>
        <v>_</v>
      </c>
    </row>
    <row r="5309" spans="1:10" x14ac:dyDescent="0.25">
      <c r="A5309">
        <v>137</v>
      </c>
      <c r="B5309" t="s">
        <v>42</v>
      </c>
      <c r="C5309">
        <v>0</v>
      </c>
      <c r="D5309">
        <v>0</v>
      </c>
      <c r="E5309">
        <v>0</v>
      </c>
      <c r="F5309">
        <v>4000</v>
      </c>
      <c r="G5309">
        <v>1750</v>
      </c>
      <c r="H5309">
        <v>0</v>
      </c>
      <c r="J5309" t="str">
        <f>VLOOKUP(Table3[[#This Row],[Faction ID]],Table4[],2)</f>
        <v>_</v>
      </c>
    </row>
    <row r="5310" spans="1:10" x14ac:dyDescent="0.25">
      <c r="A5310">
        <v>137</v>
      </c>
      <c r="B5310" t="s">
        <v>43</v>
      </c>
      <c r="C5310">
        <v>0</v>
      </c>
      <c r="D5310">
        <v>0</v>
      </c>
      <c r="E5310">
        <v>0</v>
      </c>
      <c r="F5310">
        <v>4000</v>
      </c>
      <c r="G5310">
        <v>1750</v>
      </c>
      <c r="H5310">
        <v>0</v>
      </c>
      <c r="J5310" t="str">
        <f>VLOOKUP(Table3[[#This Row],[Faction ID]],Table4[],2)</f>
        <v>_</v>
      </c>
    </row>
    <row r="5311" spans="1:10" x14ac:dyDescent="0.25">
      <c r="A5311">
        <v>137</v>
      </c>
      <c r="B5311" t="s">
        <v>44</v>
      </c>
      <c r="C5311">
        <v>0</v>
      </c>
      <c r="D5311">
        <v>0</v>
      </c>
      <c r="E5311">
        <v>0</v>
      </c>
      <c r="F5311">
        <v>4000</v>
      </c>
      <c r="G5311">
        <v>1750</v>
      </c>
      <c r="H5311">
        <v>0</v>
      </c>
      <c r="J5311" t="str">
        <f>VLOOKUP(Table3[[#This Row],[Faction ID]],Table4[],2)</f>
        <v>_</v>
      </c>
    </row>
    <row r="5312" spans="1:10" x14ac:dyDescent="0.25">
      <c r="A5312">
        <v>138</v>
      </c>
      <c r="B5312" t="s">
        <v>9</v>
      </c>
      <c r="C5312">
        <v>723</v>
      </c>
      <c r="D5312">
        <v>52</v>
      </c>
      <c r="E5312">
        <v>692.9</v>
      </c>
      <c r="F5312">
        <v>1600</v>
      </c>
      <c r="G5312">
        <v>99063</v>
      </c>
      <c r="H5312">
        <v>8905</v>
      </c>
      <c r="J5312" t="str">
        <f>VLOOKUP(Table3[[#This Row],[Faction ID]],Table4[],2)</f>
        <v>Mordor</v>
      </c>
    </row>
    <row r="5313" spans="1:10" x14ac:dyDescent="0.25">
      <c r="A5313">
        <v>138</v>
      </c>
      <c r="B5313" t="s">
        <v>4</v>
      </c>
      <c r="C5313">
        <v>146</v>
      </c>
      <c r="D5313">
        <v>0</v>
      </c>
      <c r="E5313">
        <v>0</v>
      </c>
      <c r="F5313">
        <v>55420</v>
      </c>
      <c r="G5313">
        <v>2500</v>
      </c>
      <c r="H5313">
        <v>0</v>
      </c>
      <c r="J5313" t="str">
        <f>VLOOKUP(Table3[[#This Row],[Faction ID]],Table4[],2)</f>
        <v>Gondor</v>
      </c>
    </row>
    <row r="5314" spans="1:10" x14ac:dyDescent="0.25">
      <c r="A5314">
        <v>138</v>
      </c>
      <c r="B5314" t="s">
        <v>6</v>
      </c>
      <c r="C5314">
        <v>199</v>
      </c>
      <c r="D5314">
        <v>0</v>
      </c>
      <c r="E5314">
        <v>0</v>
      </c>
      <c r="F5314">
        <v>10343</v>
      </c>
      <c r="G5314">
        <v>2500</v>
      </c>
      <c r="H5314">
        <v>0</v>
      </c>
      <c r="J5314" t="str">
        <f>VLOOKUP(Table3[[#This Row],[Faction ID]],Table4[],2)</f>
        <v>Dale</v>
      </c>
    </row>
    <row r="5315" spans="1:10" x14ac:dyDescent="0.25">
      <c r="A5315">
        <v>138</v>
      </c>
      <c r="B5315" t="s">
        <v>21</v>
      </c>
      <c r="C5315">
        <v>200</v>
      </c>
      <c r="D5315">
        <v>0</v>
      </c>
      <c r="E5315">
        <v>0</v>
      </c>
      <c r="F5315">
        <v>10040</v>
      </c>
      <c r="G5315">
        <v>2500</v>
      </c>
      <c r="H5315">
        <v>0</v>
      </c>
      <c r="J5315" t="str">
        <f>VLOOKUP(Table3[[#This Row],[Faction ID]],Table4[],2)</f>
        <v>Erebor</v>
      </c>
    </row>
    <row r="5316" spans="1:10" x14ac:dyDescent="0.25">
      <c r="A5316">
        <v>138</v>
      </c>
      <c r="B5316" t="s">
        <v>5</v>
      </c>
      <c r="C5316">
        <v>157</v>
      </c>
      <c r="D5316">
        <v>0</v>
      </c>
      <c r="E5316">
        <v>0</v>
      </c>
      <c r="F5316">
        <v>6638</v>
      </c>
      <c r="G5316">
        <v>2500</v>
      </c>
      <c r="H5316">
        <v>0</v>
      </c>
      <c r="J5316" t="str">
        <f>VLOOKUP(Table3[[#This Row],[Faction ID]],Table4[],2)</f>
        <v>Rohan</v>
      </c>
    </row>
    <row r="5317" spans="1:10" x14ac:dyDescent="0.25">
      <c r="A5317">
        <v>138</v>
      </c>
      <c r="B5317" t="s">
        <v>12</v>
      </c>
      <c r="C5317">
        <v>535</v>
      </c>
      <c r="D5317">
        <v>27</v>
      </c>
      <c r="E5317">
        <v>441.4</v>
      </c>
      <c r="F5317">
        <v>372586</v>
      </c>
      <c r="G5317">
        <v>79257</v>
      </c>
      <c r="H5317">
        <v>5805</v>
      </c>
      <c r="J5317" t="str">
        <f>VLOOKUP(Table3[[#This Row],[Faction ID]],Table4[],2)</f>
        <v>Dol Guldur</v>
      </c>
    </row>
    <row r="5318" spans="1:10" x14ac:dyDescent="0.25">
      <c r="A5318">
        <v>138</v>
      </c>
      <c r="B5318" t="s">
        <v>10</v>
      </c>
      <c r="C5318">
        <v>58</v>
      </c>
      <c r="D5318">
        <v>0</v>
      </c>
      <c r="E5318">
        <v>0</v>
      </c>
      <c r="F5318">
        <v>4515</v>
      </c>
      <c r="G5318">
        <v>2500</v>
      </c>
      <c r="H5318">
        <v>0</v>
      </c>
      <c r="J5318" t="str">
        <f>VLOOKUP(Table3[[#This Row],[Faction ID]],Table4[],2)</f>
        <v>Anduin Vale</v>
      </c>
    </row>
    <row r="5319" spans="1:10" x14ac:dyDescent="0.25">
      <c r="A5319">
        <v>138</v>
      </c>
      <c r="B5319" t="s">
        <v>32</v>
      </c>
      <c r="C5319">
        <v>329</v>
      </c>
      <c r="D5319">
        <v>3</v>
      </c>
      <c r="E5319">
        <v>100.7</v>
      </c>
      <c r="F5319">
        <v>45096</v>
      </c>
      <c r="G5319">
        <v>19110</v>
      </c>
      <c r="H5319">
        <v>473</v>
      </c>
      <c r="J5319" t="str">
        <f>VLOOKUP(Table3[[#This Row],[Faction ID]],Table4[],2)</f>
        <v>Isengard</v>
      </c>
    </row>
    <row r="5320" spans="1:10" x14ac:dyDescent="0.25">
      <c r="A5320">
        <v>138</v>
      </c>
      <c r="B5320" t="s">
        <v>22</v>
      </c>
      <c r="C5320">
        <v>30</v>
      </c>
      <c r="D5320">
        <v>0</v>
      </c>
      <c r="E5320">
        <v>0</v>
      </c>
      <c r="F5320">
        <v>8475</v>
      </c>
      <c r="G5320">
        <v>2500</v>
      </c>
      <c r="H5320">
        <v>0</v>
      </c>
      <c r="J5320" t="str">
        <f>VLOOKUP(Table3[[#This Row],[Faction ID]],Table4[],2)</f>
        <v>Woodland Realm</v>
      </c>
    </row>
    <row r="5321" spans="1:10" x14ac:dyDescent="0.25">
      <c r="A5321">
        <v>138</v>
      </c>
      <c r="B5321" t="s">
        <v>23</v>
      </c>
      <c r="C5321">
        <v>64</v>
      </c>
      <c r="D5321">
        <v>0</v>
      </c>
      <c r="E5321">
        <v>0</v>
      </c>
      <c r="F5321">
        <v>4721</v>
      </c>
      <c r="G5321">
        <v>2500</v>
      </c>
      <c r="H5321">
        <v>0</v>
      </c>
      <c r="J5321" t="str">
        <f>VLOOKUP(Table3[[#This Row],[Faction ID]],Table4[],2)</f>
        <v>Lothlorien</v>
      </c>
    </row>
    <row r="5322" spans="1:10" x14ac:dyDescent="0.25">
      <c r="A5322">
        <v>138</v>
      </c>
      <c r="B5322" t="s">
        <v>24</v>
      </c>
      <c r="C5322">
        <v>0</v>
      </c>
      <c r="D5322">
        <v>0</v>
      </c>
      <c r="E5322">
        <v>0</v>
      </c>
      <c r="F5322">
        <v>4919</v>
      </c>
      <c r="G5322">
        <v>1750</v>
      </c>
      <c r="H5322">
        <v>0</v>
      </c>
      <c r="J5322" t="str">
        <f>VLOOKUP(Table3[[#This Row],[Faction ID]],Table4[],2)</f>
        <v>Variags (Khand)</v>
      </c>
    </row>
    <row r="5323" spans="1:10" x14ac:dyDescent="0.25">
      <c r="A5323">
        <v>138</v>
      </c>
      <c r="B5323" t="s">
        <v>14</v>
      </c>
      <c r="C5323">
        <v>20</v>
      </c>
      <c r="D5323">
        <v>14</v>
      </c>
      <c r="E5323">
        <v>214.2</v>
      </c>
      <c r="F5323">
        <v>381670</v>
      </c>
      <c r="G5323">
        <v>53213</v>
      </c>
      <c r="H5323">
        <v>5775</v>
      </c>
      <c r="J5323" t="str">
        <f>VLOOKUP(Table3[[#This Row],[Faction ID]],Table4[],2)</f>
        <v>Corsairs of Umbar</v>
      </c>
    </row>
    <row r="5324" spans="1:10" x14ac:dyDescent="0.25">
      <c r="A5324">
        <v>138</v>
      </c>
      <c r="B5324" t="s">
        <v>25</v>
      </c>
      <c r="C5324">
        <v>0</v>
      </c>
      <c r="D5324">
        <v>0</v>
      </c>
      <c r="E5324">
        <v>0</v>
      </c>
      <c r="F5324">
        <v>9228</v>
      </c>
      <c r="G5324">
        <v>1750</v>
      </c>
      <c r="H5324">
        <v>0</v>
      </c>
      <c r="J5324" t="str">
        <f>VLOOKUP(Table3[[#This Row],[Faction ID]],Table4[],2)</f>
        <v>Mahud</v>
      </c>
    </row>
    <row r="5325" spans="1:10" x14ac:dyDescent="0.25">
      <c r="A5325">
        <v>138</v>
      </c>
      <c r="B5325" t="s">
        <v>11</v>
      </c>
      <c r="C5325">
        <v>375</v>
      </c>
      <c r="D5325">
        <v>14</v>
      </c>
      <c r="E5325">
        <v>268.2</v>
      </c>
      <c r="F5325">
        <v>144046</v>
      </c>
      <c r="G5325">
        <v>42464</v>
      </c>
      <c r="H5325">
        <v>2985</v>
      </c>
      <c r="J5325" t="str">
        <f>VLOOKUP(Table3[[#This Row],[Faction ID]],Table4[],2)</f>
        <v>Haradrim</v>
      </c>
    </row>
    <row r="5326" spans="1:10" x14ac:dyDescent="0.25">
      <c r="A5326">
        <v>138</v>
      </c>
      <c r="B5326" t="s">
        <v>15</v>
      </c>
      <c r="C5326">
        <v>318</v>
      </c>
      <c r="D5326">
        <v>12</v>
      </c>
      <c r="E5326">
        <v>250.39999999999901</v>
      </c>
      <c r="F5326">
        <v>286946</v>
      </c>
      <c r="G5326">
        <v>49252</v>
      </c>
      <c r="H5326">
        <v>465</v>
      </c>
      <c r="J5326" t="str">
        <f>VLOOKUP(Table3[[#This Row],[Faction ID]],Table4[],2)</f>
        <v>Dunlendings</v>
      </c>
    </row>
    <row r="5327" spans="1:10" x14ac:dyDescent="0.25">
      <c r="A5327">
        <v>138</v>
      </c>
      <c r="B5327" t="s">
        <v>16</v>
      </c>
      <c r="C5327">
        <v>0</v>
      </c>
      <c r="D5327">
        <v>0</v>
      </c>
      <c r="E5327">
        <v>0</v>
      </c>
      <c r="F5327">
        <v>5352</v>
      </c>
      <c r="G5327">
        <v>1750</v>
      </c>
      <c r="H5327">
        <v>0</v>
      </c>
      <c r="J5327" t="str">
        <f>VLOOKUP(Table3[[#This Row],[Faction ID]],Table4[],2)</f>
        <v>Haerrim</v>
      </c>
    </row>
    <row r="5328" spans="1:10" x14ac:dyDescent="0.25">
      <c r="A5328">
        <v>138</v>
      </c>
      <c r="B5328" t="s">
        <v>13</v>
      </c>
      <c r="C5328">
        <v>669</v>
      </c>
      <c r="D5328">
        <v>2</v>
      </c>
      <c r="E5328">
        <v>40.5</v>
      </c>
      <c r="F5328">
        <v>141673</v>
      </c>
      <c r="G5328">
        <v>6123</v>
      </c>
      <c r="H5328">
        <v>0</v>
      </c>
      <c r="J5328" t="str">
        <f>VLOOKUP(Table3[[#This Row],[Faction ID]],Table4[],2)</f>
        <v>Goblins</v>
      </c>
    </row>
    <row r="5329" spans="1:10" x14ac:dyDescent="0.25">
      <c r="A5329">
        <v>138</v>
      </c>
      <c r="B5329" t="s">
        <v>17</v>
      </c>
      <c r="C5329">
        <v>0</v>
      </c>
      <c r="D5329">
        <v>0</v>
      </c>
      <c r="E5329">
        <v>0</v>
      </c>
      <c r="F5329">
        <v>4872</v>
      </c>
      <c r="G5329">
        <v>1750</v>
      </c>
      <c r="H5329">
        <v>0</v>
      </c>
      <c r="J5329" t="str">
        <f>VLOOKUP(Table3[[#This Row],[Faction ID]],Table4[],2)</f>
        <v>Balchoth</v>
      </c>
    </row>
    <row r="5330" spans="1:10" x14ac:dyDescent="0.25">
      <c r="A5330">
        <v>138</v>
      </c>
      <c r="B5330" t="s">
        <v>18</v>
      </c>
      <c r="C5330">
        <v>664</v>
      </c>
      <c r="D5330">
        <v>24</v>
      </c>
      <c r="E5330">
        <v>309.3</v>
      </c>
      <c r="F5330">
        <v>357404</v>
      </c>
      <c r="G5330">
        <v>49279</v>
      </c>
      <c r="H5330">
        <v>3966</v>
      </c>
      <c r="J5330" t="str">
        <f>VLOOKUP(Table3[[#This Row],[Faction ID]],Table4[],2)</f>
        <v>Rhurim/Rhun</v>
      </c>
    </row>
    <row r="5331" spans="1:10" x14ac:dyDescent="0.25">
      <c r="A5331">
        <v>138</v>
      </c>
      <c r="B5331" t="s">
        <v>19</v>
      </c>
      <c r="C5331">
        <v>0</v>
      </c>
      <c r="D5331">
        <v>0</v>
      </c>
      <c r="E5331">
        <v>0</v>
      </c>
      <c r="F5331">
        <v>7360</v>
      </c>
      <c r="G5331">
        <v>1750</v>
      </c>
      <c r="H5331">
        <v>0</v>
      </c>
      <c r="J5331" t="str">
        <f>VLOOKUP(Table3[[#This Row],[Faction ID]],Table4[],2)</f>
        <v>Feredrim</v>
      </c>
    </row>
    <row r="5332" spans="1:10" x14ac:dyDescent="0.25">
      <c r="A5332">
        <v>138</v>
      </c>
      <c r="B5332" t="s">
        <v>26</v>
      </c>
      <c r="C5332">
        <v>0</v>
      </c>
      <c r="D5332">
        <v>0</v>
      </c>
      <c r="E5332">
        <v>0</v>
      </c>
      <c r="F5332">
        <v>6395</v>
      </c>
      <c r="G5332">
        <v>1750</v>
      </c>
      <c r="H5332">
        <v>0</v>
      </c>
      <c r="J5332" t="str">
        <f>VLOOKUP(Table3[[#This Row],[Faction ID]],Table4[],2)</f>
        <v>Rachrohir (Wainriders)</v>
      </c>
    </row>
    <row r="5333" spans="1:10" x14ac:dyDescent="0.25">
      <c r="A5333">
        <v>138</v>
      </c>
      <c r="B5333" t="s">
        <v>27</v>
      </c>
      <c r="C5333">
        <v>6</v>
      </c>
      <c r="D5333">
        <v>4</v>
      </c>
      <c r="E5333">
        <v>64</v>
      </c>
      <c r="F5333">
        <v>24375</v>
      </c>
      <c r="G5333">
        <v>15536</v>
      </c>
      <c r="H5333">
        <v>955</v>
      </c>
      <c r="J5333" t="str">
        <f>VLOOKUP(Table3[[#This Row],[Faction ID]],Table4[],2)</f>
        <v>Blacklock-Stonefoot League</v>
      </c>
    </row>
    <row r="5334" spans="1:10" x14ac:dyDescent="0.25">
      <c r="A5334">
        <v>138</v>
      </c>
      <c r="B5334" t="s">
        <v>28</v>
      </c>
      <c r="C5334">
        <v>5</v>
      </c>
      <c r="D5334">
        <v>2</v>
      </c>
      <c r="E5334">
        <v>42.6</v>
      </c>
      <c r="F5334">
        <v>18217</v>
      </c>
      <c r="G5334">
        <v>10855</v>
      </c>
      <c r="H5334">
        <v>276</v>
      </c>
      <c r="J5334" t="str">
        <f>VLOOKUP(Table3[[#This Row],[Faction ID]],Table4[],2)</f>
        <v>Ironfist-Stiffbeard Union</v>
      </c>
    </row>
    <row r="5335" spans="1:10" x14ac:dyDescent="0.25">
      <c r="A5335">
        <v>138</v>
      </c>
      <c r="B5335" t="s">
        <v>20</v>
      </c>
      <c r="C5335">
        <v>245</v>
      </c>
      <c r="D5335">
        <v>0</v>
      </c>
      <c r="E5335">
        <v>0</v>
      </c>
      <c r="F5335">
        <v>9750</v>
      </c>
      <c r="G5335">
        <v>2500</v>
      </c>
      <c r="H5335">
        <v>0</v>
      </c>
      <c r="J5335" t="str">
        <f>VLOOKUP(Table3[[#This Row],[Faction ID]],Table4[],2)</f>
        <v>Gundabad</v>
      </c>
    </row>
    <row r="5336" spans="1:10" x14ac:dyDescent="0.25">
      <c r="A5336">
        <v>138</v>
      </c>
      <c r="B5336" t="s">
        <v>34</v>
      </c>
      <c r="C5336">
        <v>0</v>
      </c>
      <c r="D5336">
        <v>0</v>
      </c>
      <c r="E5336">
        <v>3</v>
      </c>
      <c r="F5336">
        <v>158527</v>
      </c>
      <c r="G5336">
        <v>2354</v>
      </c>
      <c r="H5336">
        <v>0</v>
      </c>
      <c r="J5336" t="str">
        <f>VLOOKUP(Table3[[#This Row],[Faction ID]],Table4[],2)</f>
        <v>Scouts of Rohan</v>
      </c>
    </row>
    <row r="5337" spans="1:10" x14ac:dyDescent="0.25">
      <c r="A5337">
        <v>138</v>
      </c>
      <c r="B5337" t="s">
        <v>33</v>
      </c>
      <c r="C5337">
        <v>2</v>
      </c>
      <c r="D5337">
        <v>2</v>
      </c>
      <c r="E5337">
        <v>16.100000000000001</v>
      </c>
      <c r="F5337">
        <v>15345</v>
      </c>
      <c r="G5337">
        <v>5158</v>
      </c>
      <c r="H5337">
        <v>945</v>
      </c>
      <c r="J5337" t="str">
        <f>VLOOKUP(Table3[[#This Row],[Faction ID]],Table4[],2)</f>
        <v>Northern Enedwaith</v>
      </c>
    </row>
    <row r="5338" spans="1:10" x14ac:dyDescent="0.25">
      <c r="A5338">
        <v>138</v>
      </c>
      <c r="B5338" t="s">
        <v>29</v>
      </c>
      <c r="C5338">
        <v>0</v>
      </c>
      <c r="D5338">
        <v>0</v>
      </c>
      <c r="E5338">
        <v>0</v>
      </c>
      <c r="F5338">
        <v>54023</v>
      </c>
      <c r="G5338">
        <v>1750</v>
      </c>
      <c r="H5338">
        <v>0</v>
      </c>
      <c r="J5338" t="str">
        <f>VLOOKUP(Table3[[#This Row],[Faction ID]],Table4[],2)</f>
        <v>Southern Enedwaith</v>
      </c>
    </row>
    <row r="5339" spans="1:10" x14ac:dyDescent="0.25">
      <c r="A5339">
        <v>138</v>
      </c>
      <c r="B5339" t="s">
        <v>30</v>
      </c>
      <c r="C5339">
        <v>0</v>
      </c>
      <c r="D5339">
        <v>0</v>
      </c>
      <c r="E5339">
        <v>0</v>
      </c>
      <c r="F5339">
        <v>32146</v>
      </c>
      <c r="G5339">
        <v>1750</v>
      </c>
      <c r="H5339">
        <v>0</v>
      </c>
      <c r="J5339" t="str">
        <f>VLOOKUP(Table3[[#This Row],[Faction ID]],Table4[],2)</f>
        <v>Druedain</v>
      </c>
    </row>
    <row r="5340" spans="1:10" x14ac:dyDescent="0.25">
      <c r="A5340">
        <v>138</v>
      </c>
      <c r="B5340" t="s">
        <v>31</v>
      </c>
      <c r="C5340">
        <v>0</v>
      </c>
      <c r="D5340">
        <v>0</v>
      </c>
      <c r="E5340">
        <v>0</v>
      </c>
      <c r="F5340">
        <v>15146</v>
      </c>
      <c r="G5340">
        <v>1750</v>
      </c>
      <c r="H5340">
        <v>0</v>
      </c>
      <c r="J5340" t="str">
        <f>VLOOKUP(Table3[[#This Row],[Faction ID]],Table4[],2)</f>
        <v>Harondor</v>
      </c>
    </row>
    <row r="5341" spans="1:10" x14ac:dyDescent="0.25">
      <c r="A5341">
        <v>138</v>
      </c>
      <c r="B5341" t="s">
        <v>35</v>
      </c>
      <c r="C5341">
        <v>0</v>
      </c>
      <c r="D5341">
        <v>0</v>
      </c>
      <c r="E5341">
        <v>0</v>
      </c>
      <c r="F5341">
        <v>4000</v>
      </c>
      <c r="G5341">
        <v>1750</v>
      </c>
      <c r="H5341">
        <v>0</v>
      </c>
      <c r="J5341" t="str">
        <f>VLOOKUP(Table3[[#This Row],[Faction ID]],Table4[],2)</f>
        <v>Southron Nomads</v>
      </c>
    </row>
    <row r="5342" spans="1:10" x14ac:dyDescent="0.25">
      <c r="A5342">
        <v>138</v>
      </c>
      <c r="B5342" t="s">
        <v>36</v>
      </c>
      <c r="C5342">
        <v>0</v>
      </c>
      <c r="D5342">
        <v>0</v>
      </c>
      <c r="E5342">
        <v>0</v>
      </c>
      <c r="F5342">
        <v>4000</v>
      </c>
      <c r="G5342">
        <v>1750</v>
      </c>
      <c r="H5342">
        <v>0</v>
      </c>
      <c r="J5342" t="str">
        <f>VLOOKUP(Table3[[#This Row],[Faction ID]],Table4[],2)</f>
        <v>_</v>
      </c>
    </row>
    <row r="5343" spans="1:10" x14ac:dyDescent="0.25">
      <c r="A5343">
        <v>138</v>
      </c>
      <c r="B5343" t="s">
        <v>37</v>
      </c>
      <c r="C5343">
        <v>0</v>
      </c>
      <c r="D5343">
        <v>0</v>
      </c>
      <c r="E5343">
        <v>0</v>
      </c>
      <c r="F5343">
        <v>4000</v>
      </c>
      <c r="G5343">
        <v>1750</v>
      </c>
      <c r="H5343">
        <v>0</v>
      </c>
      <c r="J5343" t="str">
        <f>VLOOKUP(Table3[[#This Row],[Faction ID]],Table4[],2)</f>
        <v>_</v>
      </c>
    </row>
    <row r="5344" spans="1:10" x14ac:dyDescent="0.25">
      <c r="A5344">
        <v>138</v>
      </c>
      <c r="B5344" t="s">
        <v>38</v>
      </c>
      <c r="C5344">
        <v>0</v>
      </c>
      <c r="D5344">
        <v>0</v>
      </c>
      <c r="E5344">
        <v>0</v>
      </c>
      <c r="F5344">
        <v>4000</v>
      </c>
      <c r="G5344">
        <v>1750</v>
      </c>
      <c r="H5344">
        <v>0</v>
      </c>
      <c r="J5344" t="str">
        <f>VLOOKUP(Table3[[#This Row],[Faction ID]],Table4[],2)</f>
        <v>_</v>
      </c>
    </row>
    <row r="5345" spans="1:10" x14ac:dyDescent="0.25">
      <c r="A5345">
        <v>138</v>
      </c>
      <c r="B5345" t="s">
        <v>39</v>
      </c>
      <c r="C5345">
        <v>0</v>
      </c>
      <c r="D5345">
        <v>0</v>
      </c>
      <c r="E5345">
        <v>0</v>
      </c>
      <c r="F5345">
        <v>4000</v>
      </c>
      <c r="G5345">
        <v>1750</v>
      </c>
      <c r="H5345">
        <v>0</v>
      </c>
      <c r="J5345" t="str">
        <f>VLOOKUP(Table3[[#This Row],[Faction ID]],Table4[],2)</f>
        <v>_</v>
      </c>
    </row>
    <row r="5346" spans="1:10" x14ac:dyDescent="0.25">
      <c r="A5346">
        <v>138</v>
      </c>
      <c r="B5346" t="s">
        <v>40</v>
      </c>
      <c r="C5346">
        <v>0</v>
      </c>
      <c r="D5346">
        <v>0</v>
      </c>
      <c r="E5346">
        <v>0</v>
      </c>
      <c r="F5346">
        <v>4000</v>
      </c>
      <c r="G5346">
        <v>1750</v>
      </c>
      <c r="H5346">
        <v>0</v>
      </c>
      <c r="J5346" t="str">
        <f>VLOOKUP(Table3[[#This Row],[Faction ID]],Table4[],2)</f>
        <v>_</v>
      </c>
    </row>
    <row r="5347" spans="1:10" x14ac:dyDescent="0.25">
      <c r="A5347">
        <v>138</v>
      </c>
      <c r="B5347" t="s">
        <v>41</v>
      </c>
      <c r="C5347">
        <v>0</v>
      </c>
      <c r="D5347">
        <v>0</v>
      </c>
      <c r="E5347">
        <v>0</v>
      </c>
      <c r="F5347">
        <v>4000</v>
      </c>
      <c r="G5347">
        <v>1750</v>
      </c>
      <c r="H5347">
        <v>0</v>
      </c>
      <c r="J5347" t="str">
        <f>VLOOKUP(Table3[[#This Row],[Faction ID]],Table4[],2)</f>
        <v>_</v>
      </c>
    </row>
    <row r="5348" spans="1:10" x14ac:dyDescent="0.25">
      <c r="A5348">
        <v>138</v>
      </c>
      <c r="B5348" t="s">
        <v>42</v>
      </c>
      <c r="C5348">
        <v>0</v>
      </c>
      <c r="D5348">
        <v>0</v>
      </c>
      <c r="E5348">
        <v>0</v>
      </c>
      <c r="F5348">
        <v>4000</v>
      </c>
      <c r="G5348">
        <v>1750</v>
      </c>
      <c r="H5348">
        <v>0</v>
      </c>
      <c r="J5348" t="str">
        <f>VLOOKUP(Table3[[#This Row],[Faction ID]],Table4[],2)</f>
        <v>_</v>
      </c>
    </row>
    <row r="5349" spans="1:10" x14ac:dyDescent="0.25">
      <c r="A5349">
        <v>138</v>
      </c>
      <c r="B5349" t="s">
        <v>43</v>
      </c>
      <c r="C5349">
        <v>0</v>
      </c>
      <c r="D5349">
        <v>0</v>
      </c>
      <c r="E5349">
        <v>0</v>
      </c>
      <c r="F5349">
        <v>4000</v>
      </c>
      <c r="G5349">
        <v>1750</v>
      </c>
      <c r="H5349">
        <v>0</v>
      </c>
      <c r="J5349" t="str">
        <f>VLOOKUP(Table3[[#This Row],[Faction ID]],Table4[],2)</f>
        <v>_</v>
      </c>
    </row>
    <row r="5350" spans="1:10" x14ac:dyDescent="0.25">
      <c r="A5350">
        <v>138</v>
      </c>
      <c r="B5350" t="s">
        <v>44</v>
      </c>
      <c r="C5350">
        <v>0</v>
      </c>
      <c r="D5350">
        <v>0</v>
      </c>
      <c r="E5350">
        <v>0</v>
      </c>
      <c r="F5350">
        <v>4000</v>
      </c>
      <c r="G5350">
        <v>1750</v>
      </c>
      <c r="H5350">
        <v>0</v>
      </c>
      <c r="J5350" t="str">
        <f>VLOOKUP(Table3[[#This Row],[Faction ID]],Table4[],2)</f>
        <v>_</v>
      </c>
    </row>
    <row r="5351" spans="1:10" x14ac:dyDescent="0.25">
      <c r="A5351">
        <v>139</v>
      </c>
      <c r="B5351" t="s">
        <v>9</v>
      </c>
      <c r="C5351">
        <v>723</v>
      </c>
      <c r="D5351">
        <v>52</v>
      </c>
      <c r="E5351">
        <v>693.6</v>
      </c>
      <c r="F5351">
        <v>22675</v>
      </c>
      <c r="G5351">
        <v>99907</v>
      </c>
      <c r="H5351">
        <v>9203</v>
      </c>
      <c r="J5351" t="str">
        <f>VLOOKUP(Table3[[#This Row],[Faction ID]],Table4[],2)</f>
        <v>Mordor</v>
      </c>
    </row>
    <row r="5352" spans="1:10" x14ac:dyDescent="0.25">
      <c r="A5352">
        <v>139</v>
      </c>
      <c r="B5352" t="s">
        <v>4</v>
      </c>
      <c r="C5352">
        <v>146</v>
      </c>
      <c r="D5352">
        <v>0</v>
      </c>
      <c r="E5352">
        <v>0</v>
      </c>
      <c r="F5352">
        <v>55420</v>
      </c>
      <c r="G5352">
        <v>2500</v>
      </c>
      <c r="H5352">
        <v>0</v>
      </c>
      <c r="J5352" t="str">
        <f>VLOOKUP(Table3[[#This Row],[Faction ID]],Table4[],2)</f>
        <v>Gondor</v>
      </c>
    </row>
    <row r="5353" spans="1:10" x14ac:dyDescent="0.25">
      <c r="A5353">
        <v>139</v>
      </c>
      <c r="B5353" t="s">
        <v>6</v>
      </c>
      <c r="C5353">
        <v>199</v>
      </c>
      <c r="D5353">
        <v>0</v>
      </c>
      <c r="E5353">
        <v>0</v>
      </c>
      <c r="F5353">
        <v>10343</v>
      </c>
      <c r="G5353">
        <v>2500</v>
      </c>
      <c r="H5353">
        <v>0</v>
      </c>
      <c r="J5353" t="str">
        <f>VLOOKUP(Table3[[#This Row],[Faction ID]],Table4[],2)</f>
        <v>Dale</v>
      </c>
    </row>
    <row r="5354" spans="1:10" x14ac:dyDescent="0.25">
      <c r="A5354">
        <v>139</v>
      </c>
      <c r="B5354" t="s">
        <v>21</v>
      </c>
      <c r="C5354">
        <v>200</v>
      </c>
      <c r="D5354">
        <v>0</v>
      </c>
      <c r="E5354">
        <v>0</v>
      </c>
      <c r="F5354">
        <v>10040</v>
      </c>
      <c r="G5354">
        <v>2500</v>
      </c>
      <c r="H5354">
        <v>0</v>
      </c>
      <c r="J5354" t="str">
        <f>VLOOKUP(Table3[[#This Row],[Faction ID]],Table4[],2)</f>
        <v>Erebor</v>
      </c>
    </row>
    <row r="5355" spans="1:10" x14ac:dyDescent="0.25">
      <c r="A5355">
        <v>139</v>
      </c>
      <c r="B5355" t="s">
        <v>5</v>
      </c>
      <c r="C5355">
        <v>157</v>
      </c>
      <c r="D5355">
        <v>0</v>
      </c>
      <c r="E5355">
        <v>0</v>
      </c>
      <c r="F5355">
        <v>6638</v>
      </c>
      <c r="G5355">
        <v>2500</v>
      </c>
      <c r="H5355">
        <v>0</v>
      </c>
      <c r="J5355" t="str">
        <f>VLOOKUP(Table3[[#This Row],[Faction ID]],Table4[],2)</f>
        <v>Rohan</v>
      </c>
    </row>
    <row r="5356" spans="1:10" x14ac:dyDescent="0.25">
      <c r="A5356">
        <v>139</v>
      </c>
      <c r="B5356" t="s">
        <v>12</v>
      </c>
      <c r="C5356">
        <v>536</v>
      </c>
      <c r="D5356">
        <v>28</v>
      </c>
      <c r="E5356">
        <v>454.4</v>
      </c>
      <c r="F5356">
        <v>394782</v>
      </c>
      <c r="G5356">
        <v>77970</v>
      </c>
      <c r="H5356">
        <v>5797</v>
      </c>
      <c r="J5356" t="str">
        <f>VLOOKUP(Table3[[#This Row],[Faction ID]],Table4[],2)</f>
        <v>Dol Guldur</v>
      </c>
    </row>
    <row r="5357" spans="1:10" x14ac:dyDescent="0.25">
      <c r="A5357">
        <v>139</v>
      </c>
      <c r="B5357" t="s">
        <v>10</v>
      </c>
      <c r="C5357">
        <v>58</v>
      </c>
      <c r="D5357">
        <v>0</v>
      </c>
      <c r="E5357">
        <v>0</v>
      </c>
      <c r="F5357">
        <v>4515</v>
      </c>
      <c r="G5357">
        <v>2500</v>
      </c>
      <c r="H5357">
        <v>0</v>
      </c>
      <c r="J5357" t="str">
        <f>VLOOKUP(Table3[[#This Row],[Faction ID]],Table4[],2)</f>
        <v>Anduin Vale</v>
      </c>
    </row>
    <row r="5358" spans="1:10" x14ac:dyDescent="0.25">
      <c r="A5358">
        <v>139</v>
      </c>
      <c r="B5358" t="s">
        <v>32</v>
      </c>
      <c r="C5358">
        <v>334</v>
      </c>
      <c r="D5358">
        <v>3</v>
      </c>
      <c r="E5358">
        <v>114.4</v>
      </c>
      <c r="F5358">
        <v>32125</v>
      </c>
      <c r="G5358">
        <v>20805</v>
      </c>
      <c r="H5358">
        <v>472</v>
      </c>
      <c r="J5358" t="str">
        <f>VLOOKUP(Table3[[#This Row],[Faction ID]],Table4[],2)</f>
        <v>Isengard</v>
      </c>
    </row>
    <row r="5359" spans="1:10" x14ac:dyDescent="0.25">
      <c r="A5359">
        <v>139</v>
      </c>
      <c r="B5359" t="s">
        <v>22</v>
      </c>
      <c r="C5359">
        <v>30</v>
      </c>
      <c r="D5359">
        <v>0</v>
      </c>
      <c r="E5359">
        <v>0</v>
      </c>
      <c r="F5359">
        <v>8475</v>
      </c>
      <c r="G5359">
        <v>2500</v>
      </c>
      <c r="H5359">
        <v>0</v>
      </c>
      <c r="J5359" t="str">
        <f>VLOOKUP(Table3[[#This Row],[Faction ID]],Table4[],2)</f>
        <v>Woodland Realm</v>
      </c>
    </row>
    <row r="5360" spans="1:10" x14ac:dyDescent="0.25">
      <c r="A5360">
        <v>139</v>
      </c>
      <c r="B5360" t="s">
        <v>23</v>
      </c>
      <c r="C5360">
        <v>64</v>
      </c>
      <c r="D5360">
        <v>0</v>
      </c>
      <c r="E5360">
        <v>0</v>
      </c>
      <c r="F5360">
        <v>4721</v>
      </c>
      <c r="G5360">
        <v>2500</v>
      </c>
      <c r="H5360">
        <v>0</v>
      </c>
      <c r="J5360" t="str">
        <f>VLOOKUP(Table3[[#This Row],[Faction ID]],Table4[],2)</f>
        <v>Lothlorien</v>
      </c>
    </row>
    <row r="5361" spans="1:10" x14ac:dyDescent="0.25">
      <c r="A5361">
        <v>139</v>
      </c>
      <c r="B5361" t="s">
        <v>24</v>
      </c>
      <c r="C5361">
        <v>0</v>
      </c>
      <c r="D5361">
        <v>0</v>
      </c>
      <c r="E5361">
        <v>0</v>
      </c>
      <c r="F5361">
        <v>4919</v>
      </c>
      <c r="G5361">
        <v>1750</v>
      </c>
      <c r="H5361">
        <v>0</v>
      </c>
      <c r="J5361" t="str">
        <f>VLOOKUP(Table3[[#This Row],[Faction ID]],Table4[],2)</f>
        <v>Variags (Khand)</v>
      </c>
    </row>
    <row r="5362" spans="1:10" x14ac:dyDescent="0.25">
      <c r="A5362">
        <v>139</v>
      </c>
      <c r="B5362" t="s">
        <v>14</v>
      </c>
      <c r="C5362">
        <v>21</v>
      </c>
      <c r="D5362">
        <v>15</v>
      </c>
      <c r="E5362">
        <v>213.1</v>
      </c>
      <c r="F5362">
        <v>432223</v>
      </c>
      <c r="G5362">
        <v>52353</v>
      </c>
      <c r="H5362">
        <v>5836</v>
      </c>
      <c r="J5362" t="str">
        <f>VLOOKUP(Table3[[#This Row],[Faction ID]],Table4[],2)</f>
        <v>Corsairs of Umbar</v>
      </c>
    </row>
    <row r="5363" spans="1:10" x14ac:dyDescent="0.25">
      <c r="A5363">
        <v>139</v>
      </c>
      <c r="B5363" t="s">
        <v>25</v>
      </c>
      <c r="C5363">
        <v>0</v>
      </c>
      <c r="D5363">
        <v>0</v>
      </c>
      <c r="E5363">
        <v>0</v>
      </c>
      <c r="F5363">
        <v>9228</v>
      </c>
      <c r="G5363">
        <v>1750</v>
      </c>
      <c r="H5363">
        <v>0</v>
      </c>
      <c r="J5363" t="str">
        <f>VLOOKUP(Table3[[#This Row],[Faction ID]],Table4[],2)</f>
        <v>Mahud</v>
      </c>
    </row>
    <row r="5364" spans="1:10" x14ac:dyDescent="0.25">
      <c r="A5364">
        <v>139</v>
      </c>
      <c r="B5364" t="s">
        <v>11</v>
      </c>
      <c r="C5364">
        <v>383</v>
      </c>
      <c r="D5364">
        <v>14</v>
      </c>
      <c r="E5364">
        <v>272.39999999999998</v>
      </c>
      <c r="F5364">
        <v>155925</v>
      </c>
      <c r="G5364">
        <v>41797</v>
      </c>
      <c r="H5364">
        <v>2992</v>
      </c>
      <c r="J5364" t="str">
        <f>VLOOKUP(Table3[[#This Row],[Faction ID]],Table4[],2)</f>
        <v>Haradrim</v>
      </c>
    </row>
    <row r="5365" spans="1:10" x14ac:dyDescent="0.25">
      <c r="A5365">
        <v>139</v>
      </c>
      <c r="B5365" t="s">
        <v>15</v>
      </c>
      <c r="C5365">
        <v>318</v>
      </c>
      <c r="D5365">
        <v>12</v>
      </c>
      <c r="E5365">
        <v>257.89999999999998</v>
      </c>
      <c r="F5365">
        <v>300574</v>
      </c>
      <c r="G5365">
        <v>49535</v>
      </c>
      <c r="H5365">
        <v>464</v>
      </c>
      <c r="J5365" t="str">
        <f>VLOOKUP(Table3[[#This Row],[Faction ID]],Table4[],2)</f>
        <v>Dunlendings</v>
      </c>
    </row>
    <row r="5366" spans="1:10" x14ac:dyDescent="0.25">
      <c r="A5366">
        <v>139</v>
      </c>
      <c r="B5366" t="s">
        <v>16</v>
      </c>
      <c r="C5366">
        <v>0</v>
      </c>
      <c r="D5366">
        <v>0</v>
      </c>
      <c r="E5366">
        <v>0</v>
      </c>
      <c r="F5366">
        <v>5352</v>
      </c>
      <c r="G5366">
        <v>1750</v>
      </c>
      <c r="H5366">
        <v>0</v>
      </c>
      <c r="J5366" t="str">
        <f>VLOOKUP(Table3[[#This Row],[Faction ID]],Table4[],2)</f>
        <v>Haerrim</v>
      </c>
    </row>
    <row r="5367" spans="1:10" x14ac:dyDescent="0.25">
      <c r="A5367">
        <v>139</v>
      </c>
      <c r="B5367" t="s">
        <v>13</v>
      </c>
      <c r="C5367">
        <v>668</v>
      </c>
      <c r="D5367">
        <v>1</v>
      </c>
      <c r="E5367">
        <v>31.9</v>
      </c>
      <c r="F5367">
        <v>118745</v>
      </c>
      <c r="G5367">
        <v>5238</v>
      </c>
      <c r="H5367">
        <v>0</v>
      </c>
      <c r="J5367" t="str">
        <f>VLOOKUP(Table3[[#This Row],[Faction ID]],Table4[],2)</f>
        <v>Goblins</v>
      </c>
    </row>
    <row r="5368" spans="1:10" x14ac:dyDescent="0.25">
      <c r="A5368">
        <v>139</v>
      </c>
      <c r="B5368" t="s">
        <v>17</v>
      </c>
      <c r="C5368">
        <v>0</v>
      </c>
      <c r="D5368">
        <v>0</v>
      </c>
      <c r="E5368">
        <v>0</v>
      </c>
      <c r="F5368">
        <v>4872</v>
      </c>
      <c r="G5368">
        <v>1750</v>
      </c>
      <c r="H5368">
        <v>0</v>
      </c>
      <c r="J5368" t="str">
        <f>VLOOKUP(Table3[[#This Row],[Faction ID]],Table4[],2)</f>
        <v>Balchoth</v>
      </c>
    </row>
    <row r="5369" spans="1:10" x14ac:dyDescent="0.25">
      <c r="A5369">
        <v>139</v>
      </c>
      <c r="B5369" t="s">
        <v>18</v>
      </c>
      <c r="C5369">
        <v>663</v>
      </c>
      <c r="D5369">
        <v>23</v>
      </c>
      <c r="E5369">
        <v>303.89999999999998</v>
      </c>
      <c r="F5369">
        <v>407402</v>
      </c>
      <c r="G5369">
        <v>38663</v>
      </c>
      <c r="H5369">
        <v>0</v>
      </c>
      <c r="J5369" t="str">
        <f>VLOOKUP(Table3[[#This Row],[Faction ID]],Table4[],2)</f>
        <v>Rhurim/Rhun</v>
      </c>
    </row>
    <row r="5370" spans="1:10" x14ac:dyDescent="0.25">
      <c r="A5370">
        <v>139</v>
      </c>
      <c r="B5370" t="s">
        <v>19</v>
      </c>
      <c r="C5370">
        <v>0</v>
      </c>
      <c r="D5370">
        <v>0</v>
      </c>
      <c r="E5370">
        <v>0</v>
      </c>
      <c r="F5370">
        <v>7360</v>
      </c>
      <c r="G5370">
        <v>1750</v>
      </c>
      <c r="H5370">
        <v>0</v>
      </c>
      <c r="J5370" t="str">
        <f>VLOOKUP(Table3[[#This Row],[Faction ID]],Table4[],2)</f>
        <v>Feredrim</v>
      </c>
    </row>
    <row r="5371" spans="1:10" x14ac:dyDescent="0.25">
      <c r="A5371">
        <v>139</v>
      </c>
      <c r="B5371" t="s">
        <v>26</v>
      </c>
      <c r="C5371">
        <v>0</v>
      </c>
      <c r="D5371">
        <v>0</v>
      </c>
      <c r="E5371">
        <v>0</v>
      </c>
      <c r="F5371">
        <v>6395</v>
      </c>
      <c r="G5371">
        <v>1750</v>
      </c>
      <c r="H5371">
        <v>0</v>
      </c>
      <c r="J5371" t="str">
        <f>VLOOKUP(Table3[[#This Row],[Faction ID]],Table4[],2)</f>
        <v>Rachrohir (Wainriders)</v>
      </c>
    </row>
    <row r="5372" spans="1:10" x14ac:dyDescent="0.25">
      <c r="A5372">
        <v>139</v>
      </c>
      <c r="B5372" t="s">
        <v>27</v>
      </c>
      <c r="C5372">
        <v>6</v>
      </c>
      <c r="D5372">
        <v>4</v>
      </c>
      <c r="E5372">
        <v>65</v>
      </c>
      <c r="F5372">
        <v>24403</v>
      </c>
      <c r="G5372">
        <v>16168</v>
      </c>
      <c r="H5372">
        <v>1011</v>
      </c>
      <c r="J5372" t="str">
        <f>VLOOKUP(Table3[[#This Row],[Faction ID]],Table4[],2)</f>
        <v>Blacklock-Stonefoot League</v>
      </c>
    </row>
    <row r="5373" spans="1:10" x14ac:dyDescent="0.25">
      <c r="A5373">
        <v>139</v>
      </c>
      <c r="B5373" t="s">
        <v>28</v>
      </c>
      <c r="C5373">
        <v>5</v>
      </c>
      <c r="D5373">
        <v>2</v>
      </c>
      <c r="E5373">
        <v>42.6</v>
      </c>
      <c r="F5373">
        <v>16695</v>
      </c>
      <c r="G5373">
        <v>12293</v>
      </c>
      <c r="H5373">
        <v>279</v>
      </c>
      <c r="J5373" t="str">
        <f>VLOOKUP(Table3[[#This Row],[Faction ID]],Table4[],2)</f>
        <v>Ironfist-Stiffbeard Union</v>
      </c>
    </row>
    <row r="5374" spans="1:10" x14ac:dyDescent="0.25">
      <c r="A5374">
        <v>139</v>
      </c>
      <c r="B5374" t="s">
        <v>20</v>
      </c>
      <c r="C5374">
        <v>245</v>
      </c>
      <c r="D5374">
        <v>0</v>
      </c>
      <c r="E5374">
        <v>0</v>
      </c>
      <c r="F5374">
        <v>9750</v>
      </c>
      <c r="G5374">
        <v>2500</v>
      </c>
      <c r="H5374">
        <v>0</v>
      </c>
      <c r="J5374" t="str">
        <f>VLOOKUP(Table3[[#This Row],[Faction ID]],Table4[],2)</f>
        <v>Gundabad</v>
      </c>
    </row>
    <row r="5375" spans="1:10" x14ac:dyDescent="0.25">
      <c r="A5375">
        <v>139</v>
      </c>
      <c r="B5375" t="s">
        <v>34</v>
      </c>
      <c r="C5375">
        <v>0</v>
      </c>
      <c r="D5375">
        <v>0</v>
      </c>
      <c r="E5375">
        <v>3</v>
      </c>
      <c r="F5375">
        <v>159673</v>
      </c>
      <c r="G5375">
        <v>2354</v>
      </c>
      <c r="H5375">
        <v>0</v>
      </c>
      <c r="J5375" t="str">
        <f>VLOOKUP(Table3[[#This Row],[Faction ID]],Table4[],2)</f>
        <v>Scouts of Rohan</v>
      </c>
    </row>
    <row r="5376" spans="1:10" x14ac:dyDescent="0.25">
      <c r="A5376">
        <v>139</v>
      </c>
      <c r="B5376" t="s">
        <v>33</v>
      </c>
      <c r="C5376">
        <v>2</v>
      </c>
      <c r="D5376">
        <v>2</v>
      </c>
      <c r="E5376">
        <v>9.1</v>
      </c>
      <c r="F5376">
        <v>14978</v>
      </c>
      <c r="G5376">
        <v>4938</v>
      </c>
      <c r="H5376">
        <v>949</v>
      </c>
      <c r="J5376" t="str">
        <f>VLOOKUP(Table3[[#This Row],[Faction ID]],Table4[],2)</f>
        <v>Northern Enedwaith</v>
      </c>
    </row>
    <row r="5377" spans="1:10" x14ac:dyDescent="0.25">
      <c r="A5377">
        <v>139</v>
      </c>
      <c r="B5377" t="s">
        <v>29</v>
      </c>
      <c r="C5377">
        <v>0</v>
      </c>
      <c r="D5377">
        <v>0</v>
      </c>
      <c r="E5377">
        <v>0</v>
      </c>
      <c r="F5377">
        <v>54023</v>
      </c>
      <c r="G5377">
        <v>1750</v>
      </c>
      <c r="H5377">
        <v>0</v>
      </c>
      <c r="J5377" t="str">
        <f>VLOOKUP(Table3[[#This Row],[Faction ID]],Table4[],2)</f>
        <v>Southern Enedwaith</v>
      </c>
    </row>
    <row r="5378" spans="1:10" x14ac:dyDescent="0.25">
      <c r="A5378">
        <v>139</v>
      </c>
      <c r="B5378" t="s">
        <v>30</v>
      </c>
      <c r="C5378">
        <v>0</v>
      </c>
      <c r="D5378">
        <v>0</v>
      </c>
      <c r="E5378">
        <v>0</v>
      </c>
      <c r="F5378">
        <v>32146</v>
      </c>
      <c r="G5378">
        <v>1750</v>
      </c>
      <c r="H5378">
        <v>0</v>
      </c>
      <c r="J5378" t="str">
        <f>VLOOKUP(Table3[[#This Row],[Faction ID]],Table4[],2)</f>
        <v>Druedain</v>
      </c>
    </row>
    <row r="5379" spans="1:10" x14ac:dyDescent="0.25">
      <c r="A5379">
        <v>139</v>
      </c>
      <c r="B5379" t="s">
        <v>31</v>
      </c>
      <c r="C5379">
        <v>0</v>
      </c>
      <c r="D5379">
        <v>0</v>
      </c>
      <c r="E5379">
        <v>0</v>
      </c>
      <c r="F5379">
        <v>15146</v>
      </c>
      <c r="G5379">
        <v>1750</v>
      </c>
      <c r="H5379">
        <v>0</v>
      </c>
      <c r="J5379" t="str">
        <f>VLOOKUP(Table3[[#This Row],[Faction ID]],Table4[],2)</f>
        <v>Harondor</v>
      </c>
    </row>
    <row r="5380" spans="1:10" x14ac:dyDescent="0.25">
      <c r="A5380">
        <v>139</v>
      </c>
      <c r="B5380" t="s">
        <v>35</v>
      </c>
      <c r="C5380">
        <v>0</v>
      </c>
      <c r="D5380">
        <v>0</v>
      </c>
      <c r="E5380">
        <v>0</v>
      </c>
      <c r="F5380">
        <v>4000</v>
      </c>
      <c r="G5380">
        <v>1750</v>
      </c>
      <c r="H5380">
        <v>0</v>
      </c>
      <c r="J5380" t="str">
        <f>VLOOKUP(Table3[[#This Row],[Faction ID]],Table4[],2)</f>
        <v>Southron Nomads</v>
      </c>
    </row>
    <row r="5381" spans="1:10" x14ac:dyDescent="0.25">
      <c r="A5381">
        <v>139</v>
      </c>
      <c r="B5381" t="s">
        <v>36</v>
      </c>
      <c r="C5381">
        <v>0</v>
      </c>
      <c r="D5381">
        <v>0</v>
      </c>
      <c r="E5381">
        <v>0</v>
      </c>
      <c r="F5381">
        <v>4000</v>
      </c>
      <c r="G5381">
        <v>1750</v>
      </c>
      <c r="H5381">
        <v>0</v>
      </c>
      <c r="J5381" t="str">
        <f>VLOOKUP(Table3[[#This Row],[Faction ID]],Table4[],2)</f>
        <v>_</v>
      </c>
    </row>
    <row r="5382" spans="1:10" x14ac:dyDescent="0.25">
      <c r="A5382">
        <v>139</v>
      </c>
      <c r="B5382" t="s">
        <v>37</v>
      </c>
      <c r="C5382">
        <v>0</v>
      </c>
      <c r="D5382">
        <v>0</v>
      </c>
      <c r="E5382">
        <v>0</v>
      </c>
      <c r="F5382">
        <v>4000</v>
      </c>
      <c r="G5382">
        <v>1750</v>
      </c>
      <c r="H5382">
        <v>0</v>
      </c>
      <c r="J5382" t="str">
        <f>VLOOKUP(Table3[[#This Row],[Faction ID]],Table4[],2)</f>
        <v>_</v>
      </c>
    </row>
    <row r="5383" spans="1:10" x14ac:dyDescent="0.25">
      <c r="A5383">
        <v>139</v>
      </c>
      <c r="B5383" t="s">
        <v>38</v>
      </c>
      <c r="C5383">
        <v>0</v>
      </c>
      <c r="D5383">
        <v>0</v>
      </c>
      <c r="E5383">
        <v>0</v>
      </c>
      <c r="F5383">
        <v>4000</v>
      </c>
      <c r="G5383">
        <v>1750</v>
      </c>
      <c r="H5383">
        <v>0</v>
      </c>
      <c r="J5383" t="str">
        <f>VLOOKUP(Table3[[#This Row],[Faction ID]],Table4[],2)</f>
        <v>_</v>
      </c>
    </row>
    <row r="5384" spans="1:10" x14ac:dyDescent="0.25">
      <c r="A5384">
        <v>139</v>
      </c>
      <c r="B5384" t="s">
        <v>39</v>
      </c>
      <c r="C5384">
        <v>0</v>
      </c>
      <c r="D5384">
        <v>0</v>
      </c>
      <c r="E5384">
        <v>0</v>
      </c>
      <c r="F5384">
        <v>4000</v>
      </c>
      <c r="G5384">
        <v>1750</v>
      </c>
      <c r="H5384">
        <v>0</v>
      </c>
      <c r="J5384" t="str">
        <f>VLOOKUP(Table3[[#This Row],[Faction ID]],Table4[],2)</f>
        <v>_</v>
      </c>
    </row>
    <row r="5385" spans="1:10" x14ac:dyDescent="0.25">
      <c r="A5385">
        <v>139</v>
      </c>
      <c r="B5385" t="s">
        <v>40</v>
      </c>
      <c r="C5385">
        <v>0</v>
      </c>
      <c r="D5385">
        <v>0</v>
      </c>
      <c r="E5385">
        <v>0</v>
      </c>
      <c r="F5385">
        <v>4000</v>
      </c>
      <c r="G5385">
        <v>1750</v>
      </c>
      <c r="H5385">
        <v>0</v>
      </c>
      <c r="J5385" t="str">
        <f>VLOOKUP(Table3[[#This Row],[Faction ID]],Table4[],2)</f>
        <v>_</v>
      </c>
    </row>
    <row r="5386" spans="1:10" x14ac:dyDescent="0.25">
      <c r="A5386">
        <v>139</v>
      </c>
      <c r="B5386" t="s">
        <v>41</v>
      </c>
      <c r="C5386">
        <v>0</v>
      </c>
      <c r="D5386">
        <v>0</v>
      </c>
      <c r="E5386">
        <v>0</v>
      </c>
      <c r="F5386">
        <v>4000</v>
      </c>
      <c r="G5386">
        <v>1750</v>
      </c>
      <c r="H5386">
        <v>0</v>
      </c>
      <c r="J5386" t="str">
        <f>VLOOKUP(Table3[[#This Row],[Faction ID]],Table4[],2)</f>
        <v>_</v>
      </c>
    </row>
    <row r="5387" spans="1:10" x14ac:dyDescent="0.25">
      <c r="A5387">
        <v>139</v>
      </c>
      <c r="B5387" t="s">
        <v>42</v>
      </c>
      <c r="C5387">
        <v>0</v>
      </c>
      <c r="D5387">
        <v>0</v>
      </c>
      <c r="E5387">
        <v>0</v>
      </c>
      <c r="F5387">
        <v>4000</v>
      </c>
      <c r="G5387">
        <v>1750</v>
      </c>
      <c r="H5387">
        <v>0</v>
      </c>
      <c r="J5387" t="str">
        <f>VLOOKUP(Table3[[#This Row],[Faction ID]],Table4[],2)</f>
        <v>_</v>
      </c>
    </row>
    <row r="5388" spans="1:10" x14ac:dyDescent="0.25">
      <c r="A5388">
        <v>139</v>
      </c>
      <c r="B5388" t="s">
        <v>43</v>
      </c>
      <c r="C5388">
        <v>0</v>
      </c>
      <c r="D5388">
        <v>0</v>
      </c>
      <c r="E5388">
        <v>0</v>
      </c>
      <c r="F5388">
        <v>4000</v>
      </c>
      <c r="G5388">
        <v>1750</v>
      </c>
      <c r="H5388">
        <v>0</v>
      </c>
      <c r="J5388" t="str">
        <f>VLOOKUP(Table3[[#This Row],[Faction ID]],Table4[],2)</f>
        <v>_</v>
      </c>
    </row>
    <row r="5389" spans="1:10" x14ac:dyDescent="0.25">
      <c r="A5389">
        <v>139</v>
      </c>
      <c r="B5389" t="s">
        <v>44</v>
      </c>
      <c r="C5389">
        <v>0</v>
      </c>
      <c r="D5389">
        <v>0</v>
      </c>
      <c r="E5389">
        <v>0</v>
      </c>
      <c r="F5389">
        <v>4000</v>
      </c>
      <c r="G5389">
        <v>1750</v>
      </c>
      <c r="H5389">
        <v>0</v>
      </c>
      <c r="J5389" t="str">
        <f>VLOOKUP(Table3[[#This Row],[Faction ID]],Table4[],2)</f>
        <v>_</v>
      </c>
    </row>
    <row r="5390" spans="1:10" x14ac:dyDescent="0.25">
      <c r="A5390">
        <v>140</v>
      </c>
      <c r="B5390" t="s">
        <v>9</v>
      </c>
      <c r="C5390">
        <v>740</v>
      </c>
      <c r="D5390">
        <v>59</v>
      </c>
      <c r="E5390">
        <v>744.6</v>
      </c>
      <c r="F5390">
        <v>2407</v>
      </c>
      <c r="G5390">
        <v>112803</v>
      </c>
      <c r="H5390">
        <v>9627</v>
      </c>
      <c r="J5390" t="str">
        <f>VLOOKUP(Table3[[#This Row],[Faction ID]],Table4[],2)</f>
        <v>Mordor</v>
      </c>
    </row>
    <row r="5391" spans="1:10" x14ac:dyDescent="0.25">
      <c r="A5391">
        <v>140</v>
      </c>
      <c r="B5391" t="s">
        <v>4</v>
      </c>
      <c r="C5391">
        <v>146</v>
      </c>
      <c r="D5391">
        <v>0</v>
      </c>
      <c r="E5391">
        <v>0</v>
      </c>
      <c r="F5391">
        <v>55420</v>
      </c>
      <c r="G5391">
        <v>2500</v>
      </c>
      <c r="H5391">
        <v>0</v>
      </c>
      <c r="J5391" t="str">
        <f>VLOOKUP(Table3[[#This Row],[Faction ID]],Table4[],2)</f>
        <v>Gondor</v>
      </c>
    </row>
    <row r="5392" spans="1:10" x14ac:dyDescent="0.25">
      <c r="A5392">
        <v>140</v>
      </c>
      <c r="B5392" t="s">
        <v>6</v>
      </c>
      <c r="C5392">
        <v>199</v>
      </c>
      <c r="D5392">
        <v>0</v>
      </c>
      <c r="E5392">
        <v>0</v>
      </c>
      <c r="F5392">
        <v>10343</v>
      </c>
      <c r="G5392">
        <v>2500</v>
      </c>
      <c r="H5392">
        <v>0</v>
      </c>
      <c r="J5392" t="str">
        <f>VLOOKUP(Table3[[#This Row],[Faction ID]],Table4[],2)</f>
        <v>Dale</v>
      </c>
    </row>
    <row r="5393" spans="1:10" x14ac:dyDescent="0.25">
      <c r="A5393">
        <v>140</v>
      </c>
      <c r="B5393" t="s">
        <v>21</v>
      </c>
      <c r="C5393">
        <v>200</v>
      </c>
      <c r="D5393">
        <v>0</v>
      </c>
      <c r="E5393">
        <v>0</v>
      </c>
      <c r="F5393">
        <v>10040</v>
      </c>
      <c r="G5393">
        <v>2500</v>
      </c>
      <c r="H5393">
        <v>0</v>
      </c>
      <c r="J5393" t="str">
        <f>VLOOKUP(Table3[[#This Row],[Faction ID]],Table4[],2)</f>
        <v>Erebor</v>
      </c>
    </row>
    <row r="5394" spans="1:10" x14ac:dyDescent="0.25">
      <c r="A5394">
        <v>140</v>
      </c>
      <c r="B5394" t="s">
        <v>5</v>
      </c>
      <c r="C5394">
        <v>157</v>
      </c>
      <c r="D5394">
        <v>0</v>
      </c>
      <c r="E5394">
        <v>0</v>
      </c>
      <c r="F5394">
        <v>6638</v>
      </c>
      <c r="G5394">
        <v>2500</v>
      </c>
      <c r="H5394">
        <v>0</v>
      </c>
      <c r="J5394" t="str">
        <f>VLOOKUP(Table3[[#This Row],[Faction ID]],Table4[],2)</f>
        <v>Rohan</v>
      </c>
    </row>
    <row r="5395" spans="1:10" x14ac:dyDescent="0.25">
      <c r="A5395">
        <v>140</v>
      </c>
      <c r="B5395" t="s">
        <v>12</v>
      </c>
      <c r="C5395">
        <v>538</v>
      </c>
      <c r="D5395">
        <v>25</v>
      </c>
      <c r="E5395">
        <v>432.4</v>
      </c>
      <c r="F5395">
        <v>420680</v>
      </c>
      <c r="G5395">
        <v>77888</v>
      </c>
      <c r="H5395">
        <v>5437</v>
      </c>
      <c r="J5395" t="str">
        <f>VLOOKUP(Table3[[#This Row],[Faction ID]],Table4[],2)</f>
        <v>Dol Guldur</v>
      </c>
    </row>
    <row r="5396" spans="1:10" x14ac:dyDescent="0.25">
      <c r="A5396">
        <v>140</v>
      </c>
      <c r="B5396" t="s">
        <v>10</v>
      </c>
      <c r="C5396">
        <v>58</v>
      </c>
      <c r="D5396">
        <v>0</v>
      </c>
      <c r="E5396">
        <v>0</v>
      </c>
      <c r="F5396">
        <v>4515</v>
      </c>
      <c r="G5396">
        <v>2500</v>
      </c>
      <c r="H5396">
        <v>0</v>
      </c>
      <c r="J5396" t="str">
        <f>VLOOKUP(Table3[[#This Row],[Faction ID]],Table4[],2)</f>
        <v>Anduin Vale</v>
      </c>
    </row>
    <row r="5397" spans="1:10" x14ac:dyDescent="0.25">
      <c r="A5397">
        <v>140</v>
      </c>
      <c r="B5397" t="s">
        <v>32</v>
      </c>
      <c r="C5397">
        <v>329</v>
      </c>
      <c r="D5397">
        <v>0</v>
      </c>
      <c r="E5397">
        <v>63.2</v>
      </c>
      <c r="F5397">
        <v>29670</v>
      </c>
      <c r="G5397">
        <v>10687</v>
      </c>
      <c r="H5397">
        <v>0</v>
      </c>
      <c r="J5397" t="str">
        <f>VLOOKUP(Table3[[#This Row],[Faction ID]],Table4[],2)</f>
        <v>Isengard</v>
      </c>
    </row>
    <row r="5398" spans="1:10" x14ac:dyDescent="0.25">
      <c r="A5398">
        <v>140</v>
      </c>
      <c r="B5398" t="s">
        <v>22</v>
      </c>
      <c r="C5398">
        <v>30</v>
      </c>
      <c r="D5398">
        <v>0</v>
      </c>
      <c r="E5398">
        <v>0</v>
      </c>
      <c r="F5398">
        <v>8475</v>
      </c>
      <c r="G5398">
        <v>2500</v>
      </c>
      <c r="H5398">
        <v>0</v>
      </c>
      <c r="J5398" t="str">
        <f>VLOOKUP(Table3[[#This Row],[Faction ID]],Table4[],2)</f>
        <v>Woodland Realm</v>
      </c>
    </row>
    <row r="5399" spans="1:10" x14ac:dyDescent="0.25">
      <c r="A5399">
        <v>140</v>
      </c>
      <c r="B5399" t="s">
        <v>23</v>
      </c>
      <c r="C5399">
        <v>64</v>
      </c>
      <c r="D5399">
        <v>0</v>
      </c>
      <c r="E5399">
        <v>0</v>
      </c>
      <c r="F5399">
        <v>4721</v>
      </c>
      <c r="G5399">
        <v>2500</v>
      </c>
      <c r="H5399">
        <v>0</v>
      </c>
      <c r="J5399" t="str">
        <f>VLOOKUP(Table3[[#This Row],[Faction ID]],Table4[],2)</f>
        <v>Lothlorien</v>
      </c>
    </row>
    <row r="5400" spans="1:10" x14ac:dyDescent="0.25">
      <c r="A5400">
        <v>140</v>
      </c>
      <c r="B5400" t="s">
        <v>24</v>
      </c>
      <c r="C5400">
        <v>0</v>
      </c>
      <c r="D5400">
        <v>0</v>
      </c>
      <c r="E5400">
        <v>0</v>
      </c>
      <c r="F5400">
        <v>4919</v>
      </c>
      <c r="G5400">
        <v>1750</v>
      </c>
      <c r="H5400">
        <v>0</v>
      </c>
      <c r="J5400" t="str">
        <f>VLOOKUP(Table3[[#This Row],[Faction ID]],Table4[],2)</f>
        <v>Variags (Khand)</v>
      </c>
    </row>
    <row r="5401" spans="1:10" x14ac:dyDescent="0.25">
      <c r="A5401">
        <v>140</v>
      </c>
      <c r="B5401" t="s">
        <v>14</v>
      </c>
      <c r="C5401">
        <v>21</v>
      </c>
      <c r="D5401">
        <v>15</v>
      </c>
      <c r="E5401">
        <v>212.39999999999901</v>
      </c>
      <c r="F5401">
        <v>477870</v>
      </c>
      <c r="G5401">
        <v>51362</v>
      </c>
      <c r="H5401">
        <v>5783</v>
      </c>
      <c r="J5401" t="str">
        <f>VLOOKUP(Table3[[#This Row],[Faction ID]],Table4[],2)</f>
        <v>Corsairs of Umbar</v>
      </c>
    </row>
    <row r="5402" spans="1:10" x14ac:dyDescent="0.25">
      <c r="A5402">
        <v>140</v>
      </c>
      <c r="B5402" t="s">
        <v>25</v>
      </c>
      <c r="C5402">
        <v>0</v>
      </c>
      <c r="D5402">
        <v>0</v>
      </c>
      <c r="E5402">
        <v>0</v>
      </c>
      <c r="F5402">
        <v>9228</v>
      </c>
      <c r="G5402">
        <v>1750</v>
      </c>
      <c r="H5402">
        <v>0</v>
      </c>
      <c r="J5402" t="str">
        <f>VLOOKUP(Table3[[#This Row],[Faction ID]],Table4[],2)</f>
        <v>Mahud</v>
      </c>
    </row>
    <row r="5403" spans="1:10" x14ac:dyDescent="0.25">
      <c r="A5403">
        <v>140</v>
      </c>
      <c r="B5403" t="s">
        <v>11</v>
      </c>
      <c r="C5403">
        <v>385</v>
      </c>
      <c r="D5403">
        <v>15</v>
      </c>
      <c r="E5403">
        <v>256.39999999999998</v>
      </c>
      <c r="F5403">
        <v>281774</v>
      </c>
      <c r="G5403">
        <v>37593</v>
      </c>
      <c r="H5403">
        <v>2752</v>
      </c>
      <c r="J5403" t="str">
        <f>VLOOKUP(Table3[[#This Row],[Faction ID]],Table4[],2)</f>
        <v>Haradrim</v>
      </c>
    </row>
    <row r="5404" spans="1:10" x14ac:dyDescent="0.25">
      <c r="A5404">
        <v>140</v>
      </c>
      <c r="B5404" t="s">
        <v>15</v>
      </c>
      <c r="C5404">
        <v>324</v>
      </c>
      <c r="D5404">
        <v>13</v>
      </c>
      <c r="E5404">
        <v>234</v>
      </c>
      <c r="F5404">
        <v>303155</v>
      </c>
      <c r="G5404">
        <v>46236</v>
      </c>
      <c r="H5404">
        <v>0</v>
      </c>
      <c r="J5404" t="str">
        <f>VLOOKUP(Table3[[#This Row],[Faction ID]],Table4[],2)</f>
        <v>Dunlendings</v>
      </c>
    </row>
    <row r="5405" spans="1:10" x14ac:dyDescent="0.25">
      <c r="A5405">
        <v>140</v>
      </c>
      <c r="B5405" t="s">
        <v>16</v>
      </c>
      <c r="C5405">
        <v>0</v>
      </c>
      <c r="D5405">
        <v>0</v>
      </c>
      <c r="E5405">
        <v>0</v>
      </c>
      <c r="F5405">
        <v>5352</v>
      </c>
      <c r="G5405">
        <v>1750</v>
      </c>
      <c r="H5405">
        <v>0</v>
      </c>
      <c r="J5405" t="str">
        <f>VLOOKUP(Table3[[#This Row],[Faction ID]],Table4[],2)</f>
        <v>Haerrim</v>
      </c>
    </row>
    <row r="5406" spans="1:10" x14ac:dyDescent="0.25">
      <c r="A5406">
        <v>140</v>
      </c>
      <c r="B5406" t="s">
        <v>13</v>
      </c>
      <c r="C5406">
        <v>666</v>
      </c>
      <c r="D5406">
        <v>0</v>
      </c>
      <c r="E5406">
        <v>0</v>
      </c>
      <c r="F5406">
        <v>128480</v>
      </c>
      <c r="G5406">
        <v>2500</v>
      </c>
      <c r="H5406">
        <v>0</v>
      </c>
      <c r="J5406" t="str">
        <f>VLOOKUP(Table3[[#This Row],[Faction ID]],Table4[],2)</f>
        <v>Goblins</v>
      </c>
    </row>
    <row r="5407" spans="1:10" x14ac:dyDescent="0.25">
      <c r="A5407">
        <v>140</v>
      </c>
      <c r="B5407" t="s">
        <v>17</v>
      </c>
      <c r="C5407">
        <v>0</v>
      </c>
      <c r="D5407">
        <v>0</v>
      </c>
      <c r="E5407">
        <v>0</v>
      </c>
      <c r="F5407">
        <v>4872</v>
      </c>
      <c r="G5407">
        <v>1750</v>
      </c>
      <c r="H5407">
        <v>0</v>
      </c>
      <c r="J5407" t="str">
        <f>VLOOKUP(Table3[[#This Row],[Faction ID]],Table4[],2)</f>
        <v>Balchoth</v>
      </c>
    </row>
    <row r="5408" spans="1:10" x14ac:dyDescent="0.25">
      <c r="A5408">
        <v>140</v>
      </c>
      <c r="B5408" t="s">
        <v>18</v>
      </c>
      <c r="C5408">
        <v>666</v>
      </c>
      <c r="D5408">
        <v>22</v>
      </c>
      <c r="E5408">
        <v>291</v>
      </c>
      <c r="F5408">
        <v>454052</v>
      </c>
      <c r="G5408">
        <v>39745</v>
      </c>
      <c r="H5408">
        <v>0</v>
      </c>
      <c r="J5408" t="str">
        <f>VLOOKUP(Table3[[#This Row],[Faction ID]],Table4[],2)</f>
        <v>Rhurim/Rhun</v>
      </c>
    </row>
    <row r="5409" spans="1:10" x14ac:dyDescent="0.25">
      <c r="A5409">
        <v>140</v>
      </c>
      <c r="B5409" t="s">
        <v>19</v>
      </c>
      <c r="C5409">
        <v>0</v>
      </c>
      <c r="D5409">
        <v>0</v>
      </c>
      <c r="E5409">
        <v>0</v>
      </c>
      <c r="F5409">
        <v>7360</v>
      </c>
      <c r="G5409">
        <v>1750</v>
      </c>
      <c r="H5409">
        <v>0</v>
      </c>
      <c r="J5409" t="str">
        <f>VLOOKUP(Table3[[#This Row],[Faction ID]],Table4[],2)</f>
        <v>Feredrim</v>
      </c>
    </row>
    <row r="5410" spans="1:10" x14ac:dyDescent="0.25">
      <c r="A5410">
        <v>140</v>
      </c>
      <c r="B5410" t="s">
        <v>26</v>
      </c>
      <c r="C5410">
        <v>0</v>
      </c>
      <c r="D5410">
        <v>0</v>
      </c>
      <c r="E5410">
        <v>0</v>
      </c>
      <c r="F5410">
        <v>6395</v>
      </c>
      <c r="G5410">
        <v>1750</v>
      </c>
      <c r="H5410">
        <v>0</v>
      </c>
      <c r="J5410" t="str">
        <f>VLOOKUP(Table3[[#This Row],[Faction ID]],Table4[],2)</f>
        <v>Rachrohir (Wainriders)</v>
      </c>
    </row>
    <row r="5411" spans="1:10" x14ac:dyDescent="0.25">
      <c r="A5411">
        <v>140</v>
      </c>
      <c r="B5411" t="s">
        <v>27</v>
      </c>
      <c r="C5411">
        <v>6</v>
      </c>
      <c r="D5411">
        <v>4</v>
      </c>
      <c r="E5411">
        <v>64</v>
      </c>
      <c r="F5411">
        <v>23750</v>
      </c>
      <c r="G5411">
        <v>17429</v>
      </c>
      <c r="H5411">
        <v>1007</v>
      </c>
      <c r="J5411" t="str">
        <f>VLOOKUP(Table3[[#This Row],[Faction ID]],Table4[],2)</f>
        <v>Blacklock-Stonefoot League</v>
      </c>
    </row>
    <row r="5412" spans="1:10" x14ac:dyDescent="0.25">
      <c r="A5412">
        <v>140</v>
      </c>
      <c r="B5412" t="s">
        <v>28</v>
      </c>
      <c r="C5412">
        <v>5</v>
      </c>
      <c r="D5412">
        <v>2</v>
      </c>
      <c r="E5412">
        <v>45.6</v>
      </c>
      <c r="F5412">
        <v>22093</v>
      </c>
      <c r="G5412">
        <v>12383</v>
      </c>
      <c r="H5412">
        <v>282</v>
      </c>
      <c r="J5412" t="str">
        <f>VLOOKUP(Table3[[#This Row],[Faction ID]],Table4[],2)</f>
        <v>Ironfist-Stiffbeard Union</v>
      </c>
    </row>
    <row r="5413" spans="1:10" x14ac:dyDescent="0.25">
      <c r="A5413">
        <v>140</v>
      </c>
      <c r="B5413" t="s">
        <v>20</v>
      </c>
      <c r="C5413">
        <v>245</v>
      </c>
      <c r="D5413">
        <v>0</v>
      </c>
      <c r="E5413">
        <v>0</v>
      </c>
      <c r="F5413">
        <v>9750</v>
      </c>
      <c r="G5413">
        <v>2500</v>
      </c>
      <c r="H5413">
        <v>0</v>
      </c>
      <c r="J5413" t="str">
        <f>VLOOKUP(Table3[[#This Row],[Faction ID]],Table4[],2)</f>
        <v>Gundabad</v>
      </c>
    </row>
    <row r="5414" spans="1:10" x14ac:dyDescent="0.25">
      <c r="A5414">
        <v>140</v>
      </c>
      <c r="B5414" t="s">
        <v>34</v>
      </c>
      <c r="C5414">
        <v>0</v>
      </c>
      <c r="D5414">
        <v>0</v>
      </c>
      <c r="E5414">
        <v>3</v>
      </c>
      <c r="F5414">
        <v>160819</v>
      </c>
      <c r="G5414">
        <v>2354</v>
      </c>
      <c r="H5414">
        <v>0</v>
      </c>
      <c r="J5414" t="str">
        <f>VLOOKUP(Table3[[#This Row],[Faction ID]],Table4[],2)</f>
        <v>Scouts of Rohan</v>
      </c>
    </row>
    <row r="5415" spans="1:10" x14ac:dyDescent="0.25">
      <c r="A5415">
        <v>140</v>
      </c>
      <c r="B5415" t="s">
        <v>33</v>
      </c>
      <c r="C5415">
        <v>1</v>
      </c>
      <c r="D5415">
        <v>1</v>
      </c>
      <c r="E5415">
        <v>8</v>
      </c>
      <c r="F5415">
        <v>24059</v>
      </c>
      <c r="G5415">
        <v>3843</v>
      </c>
      <c r="H5415">
        <v>976</v>
      </c>
      <c r="J5415" t="str">
        <f>VLOOKUP(Table3[[#This Row],[Faction ID]],Table4[],2)</f>
        <v>Northern Enedwaith</v>
      </c>
    </row>
    <row r="5416" spans="1:10" x14ac:dyDescent="0.25">
      <c r="A5416">
        <v>140</v>
      </c>
      <c r="B5416" t="s">
        <v>29</v>
      </c>
      <c r="C5416">
        <v>0</v>
      </c>
      <c r="D5416">
        <v>0</v>
      </c>
      <c r="E5416">
        <v>0</v>
      </c>
      <c r="F5416">
        <v>54023</v>
      </c>
      <c r="G5416">
        <v>1750</v>
      </c>
      <c r="H5416">
        <v>0</v>
      </c>
      <c r="J5416" t="str">
        <f>VLOOKUP(Table3[[#This Row],[Faction ID]],Table4[],2)</f>
        <v>Southern Enedwaith</v>
      </c>
    </row>
    <row r="5417" spans="1:10" x14ac:dyDescent="0.25">
      <c r="A5417">
        <v>140</v>
      </c>
      <c r="B5417" t="s">
        <v>30</v>
      </c>
      <c r="C5417">
        <v>0</v>
      </c>
      <c r="D5417">
        <v>0</v>
      </c>
      <c r="E5417">
        <v>0</v>
      </c>
      <c r="F5417">
        <v>32146</v>
      </c>
      <c r="G5417">
        <v>1750</v>
      </c>
      <c r="H5417">
        <v>0</v>
      </c>
      <c r="J5417" t="str">
        <f>VLOOKUP(Table3[[#This Row],[Faction ID]],Table4[],2)</f>
        <v>Druedain</v>
      </c>
    </row>
    <row r="5418" spans="1:10" x14ac:dyDescent="0.25">
      <c r="A5418">
        <v>140</v>
      </c>
      <c r="B5418" t="s">
        <v>31</v>
      </c>
      <c r="C5418">
        <v>0</v>
      </c>
      <c r="D5418">
        <v>0</v>
      </c>
      <c r="E5418">
        <v>0</v>
      </c>
      <c r="F5418">
        <v>15146</v>
      </c>
      <c r="G5418">
        <v>1750</v>
      </c>
      <c r="H5418">
        <v>0</v>
      </c>
      <c r="J5418" t="str">
        <f>VLOOKUP(Table3[[#This Row],[Faction ID]],Table4[],2)</f>
        <v>Harondor</v>
      </c>
    </row>
    <row r="5419" spans="1:10" x14ac:dyDescent="0.25">
      <c r="A5419">
        <v>140</v>
      </c>
      <c r="B5419" t="s">
        <v>35</v>
      </c>
      <c r="C5419">
        <v>0</v>
      </c>
      <c r="D5419">
        <v>0</v>
      </c>
      <c r="E5419">
        <v>0</v>
      </c>
      <c r="F5419">
        <v>4000</v>
      </c>
      <c r="G5419">
        <v>1750</v>
      </c>
      <c r="H5419">
        <v>0</v>
      </c>
      <c r="J5419" t="str">
        <f>VLOOKUP(Table3[[#This Row],[Faction ID]],Table4[],2)</f>
        <v>Southron Nomads</v>
      </c>
    </row>
    <row r="5420" spans="1:10" x14ac:dyDescent="0.25">
      <c r="A5420">
        <v>140</v>
      </c>
      <c r="B5420" t="s">
        <v>36</v>
      </c>
      <c r="C5420">
        <v>0</v>
      </c>
      <c r="D5420">
        <v>0</v>
      </c>
      <c r="E5420">
        <v>0</v>
      </c>
      <c r="F5420">
        <v>4000</v>
      </c>
      <c r="G5420">
        <v>1750</v>
      </c>
      <c r="H5420">
        <v>0</v>
      </c>
      <c r="J5420" t="str">
        <f>VLOOKUP(Table3[[#This Row],[Faction ID]],Table4[],2)</f>
        <v>_</v>
      </c>
    </row>
    <row r="5421" spans="1:10" x14ac:dyDescent="0.25">
      <c r="A5421">
        <v>140</v>
      </c>
      <c r="B5421" t="s">
        <v>37</v>
      </c>
      <c r="C5421">
        <v>0</v>
      </c>
      <c r="D5421">
        <v>0</v>
      </c>
      <c r="E5421">
        <v>0</v>
      </c>
      <c r="F5421">
        <v>4000</v>
      </c>
      <c r="G5421">
        <v>1750</v>
      </c>
      <c r="H5421">
        <v>0</v>
      </c>
      <c r="J5421" t="str">
        <f>VLOOKUP(Table3[[#This Row],[Faction ID]],Table4[],2)</f>
        <v>_</v>
      </c>
    </row>
    <row r="5422" spans="1:10" x14ac:dyDescent="0.25">
      <c r="A5422">
        <v>140</v>
      </c>
      <c r="B5422" t="s">
        <v>38</v>
      </c>
      <c r="C5422">
        <v>0</v>
      </c>
      <c r="D5422">
        <v>0</v>
      </c>
      <c r="E5422">
        <v>0</v>
      </c>
      <c r="F5422">
        <v>4000</v>
      </c>
      <c r="G5422">
        <v>1750</v>
      </c>
      <c r="H5422">
        <v>0</v>
      </c>
      <c r="J5422" t="str">
        <f>VLOOKUP(Table3[[#This Row],[Faction ID]],Table4[],2)</f>
        <v>_</v>
      </c>
    </row>
    <row r="5423" spans="1:10" x14ac:dyDescent="0.25">
      <c r="A5423">
        <v>140</v>
      </c>
      <c r="B5423" t="s">
        <v>39</v>
      </c>
      <c r="C5423">
        <v>0</v>
      </c>
      <c r="D5423">
        <v>0</v>
      </c>
      <c r="E5423">
        <v>0</v>
      </c>
      <c r="F5423">
        <v>4000</v>
      </c>
      <c r="G5423">
        <v>1750</v>
      </c>
      <c r="H5423">
        <v>0</v>
      </c>
      <c r="J5423" t="str">
        <f>VLOOKUP(Table3[[#This Row],[Faction ID]],Table4[],2)</f>
        <v>_</v>
      </c>
    </row>
    <row r="5424" spans="1:10" x14ac:dyDescent="0.25">
      <c r="A5424">
        <v>140</v>
      </c>
      <c r="B5424" t="s">
        <v>40</v>
      </c>
      <c r="C5424">
        <v>0</v>
      </c>
      <c r="D5424">
        <v>0</v>
      </c>
      <c r="E5424">
        <v>0</v>
      </c>
      <c r="F5424">
        <v>4000</v>
      </c>
      <c r="G5424">
        <v>1750</v>
      </c>
      <c r="H5424">
        <v>0</v>
      </c>
      <c r="J5424" t="str">
        <f>VLOOKUP(Table3[[#This Row],[Faction ID]],Table4[],2)</f>
        <v>_</v>
      </c>
    </row>
    <row r="5425" spans="1:10" x14ac:dyDescent="0.25">
      <c r="A5425">
        <v>140</v>
      </c>
      <c r="B5425" t="s">
        <v>41</v>
      </c>
      <c r="C5425">
        <v>0</v>
      </c>
      <c r="D5425">
        <v>0</v>
      </c>
      <c r="E5425">
        <v>0</v>
      </c>
      <c r="F5425">
        <v>4000</v>
      </c>
      <c r="G5425">
        <v>1750</v>
      </c>
      <c r="H5425">
        <v>0</v>
      </c>
      <c r="J5425" t="str">
        <f>VLOOKUP(Table3[[#This Row],[Faction ID]],Table4[],2)</f>
        <v>_</v>
      </c>
    </row>
    <row r="5426" spans="1:10" x14ac:dyDescent="0.25">
      <c r="A5426">
        <v>140</v>
      </c>
      <c r="B5426" t="s">
        <v>42</v>
      </c>
      <c r="C5426">
        <v>0</v>
      </c>
      <c r="D5426">
        <v>0</v>
      </c>
      <c r="E5426">
        <v>0</v>
      </c>
      <c r="F5426">
        <v>4000</v>
      </c>
      <c r="G5426">
        <v>1750</v>
      </c>
      <c r="H5426">
        <v>0</v>
      </c>
      <c r="J5426" t="str">
        <f>VLOOKUP(Table3[[#This Row],[Faction ID]],Table4[],2)</f>
        <v>_</v>
      </c>
    </row>
    <row r="5427" spans="1:10" x14ac:dyDescent="0.25">
      <c r="A5427">
        <v>140</v>
      </c>
      <c r="B5427" t="s">
        <v>43</v>
      </c>
      <c r="C5427">
        <v>0</v>
      </c>
      <c r="D5427">
        <v>0</v>
      </c>
      <c r="E5427">
        <v>0</v>
      </c>
      <c r="F5427">
        <v>4000</v>
      </c>
      <c r="G5427">
        <v>1750</v>
      </c>
      <c r="H5427">
        <v>0</v>
      </c>
      <c r="J5427" t="str">
        <f>VLOOKUP(Table3[[#This Row],[Faction ID]],Table4[],2)</f>
        <v>_</v>
      </c>
    </row>
    <row r="5428" spans="1:10" x14ac:dyDescent="0.25">
      <c r="A5428">
        <v>140</v>
      </c>
      <c r="B5428" t="s">
        <v>44</v>
      </c>
      <c r="C5428">
        <v>0</v>
      </c>
      <c r="D5428">
        <v>0</v>
      </c>
      <c r="E5428">
        <v>0</v>
      </c>
      <c r="F5428">
        <v>4000</v>
      </c>
      <c r="G5428">
        <v>1750</v>
      </c>
      <c r="H5428">
        <v>0</v>
      </c>
      <c r="J5428" t="str">
        <f>VLOOKUP(Table3[[#This Row],[Faction ID]],Table4[],2)</f>
        <v>_</v>
      </c>
    </row>
    <row r="5429" spans="1:10" x14ac:dyDescent="0.25">
      <c r="A5429">
        <v>141</v>
      </c>
      <c r="B5429" t="s">
        <v>9</v>
      </c>
      <c r="C5429">
        <v>740</v>
      </c>
      <c r="D5429">
        <v>59</v>
      </c>
      <c r="E5429">
        <v>742.7</v>
      </c>
      <c r="F5429">
        <v>19335</v>
      </c>
      <c r="G5429">
        <v>113845</v>
      </c>
      <c r="H5429">
        <v>9888</v>
      </c>
      <c r="J5429" t="str">
        <f>VLOOKUP(Table3[[#This Row],[Faction ID]],Table4[],2)</f>
        <v>Mordor</v>
      </c>
    </row>
    <row r="5430" spans="1:10" x14ac:dyDescent="0.25">
      <c r="A5430">
        <v>141</v>
      </c>
      <c r="B5430" t="s">
        <v>4</v>
      </c>
      <c r="C5430">
        <v>146</v>
      </c>
      <c r="D5430">
        <v>0</v>
      </c>
      <c r="E5430">
        <v>0</v>
      </c>
      <c r="F5430">
        <v>55420</v>
      </c>
      <c r="G5430">
        <v>2500</v>
      </c>
      <c r="H5430">
        <v>0</v>
      </c>
      <c r="J5430" t="str">
        <f>VLOOKUP(Table3[[#This Row],[Faction ID]],Table4[],2)</f>
        <v>Gondor</v>
      </c>
    </row>
    <row r="5431" spans="1:10" x14ac:dyDescent="0.25">
      <c r="A5431">
        <v>141</v>
      </c>
      <c r="B5431" t="s">
        <v>6</v>
      </c>
      <c r="C5431">
        <v>199</v>
      </c>
      <c r="D5431">
        <v>0</v>
      </c>
      <c r="E5431">
        <v>0</v>
      </c>
      <c r="F5431">
        <v>10343</v>
      </c>
      <c r="G5431">
        <v>2500</v>
      </c>
      <c r="H5431">
        <v>0</v>
      </c>
      <c r="J5431" t="str">
        <f>VLOOKUP(Table3[[#This Row],[Faction ID]],Table4[],2)</f>
        <v>Dale</v>
      </c>
    </row>
    <row r="5432" spans="1:10" x14ac:dyDescent="0.25">
      <c r="A5432">
        <v>141</v>
      </c>
      <c r="B5432" t="s">
        <v>21</v>
      </c>
      <c r="C5432">
        <v>200</v>
      </c>
      <c r="D5432">
        <v>0</v>
      </c>
      <c r="E5432">
        <v>0</v>
      </c>
      <c r="F5432">
        <v>10040</v>
      </c>
      <c r="G5432">
        <v>2500</v>
      </c>
      <c r="H5432">
        <v>0</v>
      </c>
      <c r="J5432" t="str">
        <f>VLOOKUP(Table3[[#This Row],[Faction ID]],Table4[],2)</f>
        <v>Erebor</v>
      </c>
    </row>
    <row r="5433" spans="1:10" x14ac:dyDescent="0.25">
      <c r="A5433">
        <v>141</v>
      </c>
      <c r="B5433" t="s">
        <v>5</v>
      </c>
      <c r="C5433">
        <v>157</v>
      </c>
      <c r="D5433">
        <v>0</v>
      </c>
      <c r="E5433">
        <v>0</v>
      </c>
      <c r="F5433">
        <v>6638</v>
      </c>
      <c r="G5433">
        <v>2500</v>
      </c>
      <c r="H5433">
        <v>0</v>
      </c>
      <c r="J5433" t="str">
        <f>VLOOKUP(Table3[[#This Row],[Faction ID]],Table4[],2)</f>
        <v>Rohan</v>
      </c>
    </row>
    <row r="5434" spans="1:10" x14ac:dyDescent="0.25">
      <c r="A5434">
        <v>141</v>
      </c>
      <c r="B5434" t="s">
        <v>12</v>
      </c>
      <c r="C5434">
        <v>538</v>
      </c>
      <c r="D5434">
        <v>25</v>
      </c>
      <c r="E5434">
        <v>436.4</v>
      </c>
      <c r="F5434">
        <v>439954</v>
      </c>
      <c r="G5434">
        <v>72143</v>
      </c>
      <c r="H5434">
        <v>5621</v>
      </c>
      <c r="J5434" t="str">
        <f>VLOOKUP(Table3[[#This Row],[Faction ID]],Table4[],2)</f>
        <v>Dol Guldur</v>
      </c>
    </row>
    <row r="5435" spans="1:10" x14ac:dyDescent="0.25">
      <c r="A5435">
        <v>141</v>
      </c>
      <c r="B5435" t="s">
        <v>10</v>
      </c>
      <c r="C5435">
        <v>58</v>
      </c>
      <c r="D5435">
        <v>0</v>
      </c>
      <c r="E5435">
        <v>0</v>
      </c>
      <c r="F5435">
        <v>4515</v>
      </c>
      <c r="G5435">
        <v>2500</v>
      </c>
      <c r="H5435">
        <v>0</v>
      </c>
      <c r="J5435" t="str">
        <f>VLOOKUP(Table3[[#This Row],[Faction ID]],Table4[],2)</f>
        <v>Anduin Vale</v>
      </c>
    </row>
    <row r="5436" spans="1:10" x14ac:dyDescent="0.25">
      <c r="A5436">
        <v>141</v>
      </c>
      <c r="B5436" t="s">
        <v>32</v>
      </c>
      <c r="C5436">
        <v>329</v>
      </c>
      <c r="D5436">
        <v>0</v>
      </c>
      <c r="E5436">
        <v>48.3</v>
      </c>
      <c r="F5436">
        <v>26939</v>
      </c>
      <c r="G5436">
        <v>7279</v>
      </c>
      <c r="H5436">
        <v>0</v>
      </c>
      <c r="J5436" t="str">
        <f>VLOOKUP(Table3[[#This Row],[Faction ID]],Table4[],2)</f>
        <v>Isengard</v>
      </c>
    </row>
    <row r="5437" spans="1:10" x14ac:dyDescent="0.25">
      <c r="A5437">
        <v>141</v>
      </c>
      <c r="B5437" t="s">
        <v>22</v>
      </c>
      <c r="C5437">
        <v>30</v>
      </c>
      <c r="D5437">
        <v>0</v>
      </c>
      <c r="E5437">
        <v>0</v>
      </c>
      <c r="F5437">
        <v>8475</v>
      </c>
      <c r="G5437">
        <v>2500</v>
      </c>
      <c r="H5437">
        <v>0</v>
      </c>
      <c r="J5437" t="str">
        <f>VLOOKUP(Table3[[#This Row],[Faction ID]],Table4[],2)</f>
        <v>Woodland Realm</v>
      </c>
    </row>
    <row r="5438" spans="1:10" x14ac:dyDescent="0.25">
      <c r="A5438">
        <v>141</v>
      </c>
      <c r="B5438" t="s">
        <v>23</v>
      </c>
      <c r="C5438">
        <v>64</v>
      </c>
      <c r="D5438">
        <v>0</v>
      </c>
      <c r="E5438">
        <v>0</v>
      </c>
      <c r="F5438">
        <v>4721</v>
      </c>
      <c r="G5438">
        <v>2500</v>
      </c>
      <c r="H5438">
        <v>0</v>
      </c>
      <c r="J5438" t="str">
        <f>VLOOKUP(Table3[[#This Row],[Faction ID]],Table4[],2)</f>
        <v>Lothlorien</v>
      </c>
    </row>
    <row r="5439" spans="1:10" x14ac:dyDescent="0.25">
      <c r="A5439">
        <v>141</v>
      </c>
      <c r="B5439" t="s">
        <v>24</v>
      </c>
      <c r="C5439">
        <v>0</v>
      </c>
      <c r="D5439">
        <v>0</v>
      </c>
      <c r="E5439">
        <v>0</v>
      </c>
      <c r="F5439">
        <v>4919</v>
      </c>
      <c r="G5439">
        <v>1750</v>
      </c>
      <c r="H5439">
        <v>0</v>
      </c>
      <c r="J5439" t="str">
        <f>VLOOKUP(Table3[[#This Row],[Faction ID]],Table4[],2)</f>
        <v>Variags (Khand)</v>
      </c>
    </row>
    <row r="5440" spans="1:10" x14ac:dyDescent="0.25">
      <c r="A5440">
        <v>141</v>
      </c>
      <c r="B5440" t="s">
        <v>14</v>
      </c>
      <c r="C5440">
        <v>21</v>
      </c>
      <c r="D5440">
        <v>15</v>
      </c>
      <c r="E5440">
        <v>221.89999999999901</v>
      </c>
      <c r="F5440">
        <v>502795</v>
      </c>
      <c r="G5440">
        <v>56756</v>
      </c>
      <c r="H5440">
        <v>5833</v>
      </c>
      <c r="J5440" t="str">
        <f>VLOOKUP(Table3[[#This Row],[Faction ID]],Table4[],2)</f>
        <v>Corsairs of Umbar</v>
      </c>
    </row>
    <row r="5441" spans="1:10" x14ac:dyDescent="0.25">
      <c r="A5441">
        <v>141</v>
      </c>
      <c r="B5441" t="s">
        <v>25</v>
      </c>
      <c r="C5441">
        <v>0</v>
      </c>
      <c r="D5441">
        <v>0</v>
      </c>
      <c r="E5441">
        <v>0</v>
      </c>
      <c r="F5441">
        <v>9228</v>
      </c>
      <c r="G5441">
        <v>1750</v>
      </c>
      <c r="H5441">
        <v>0</v>
      </c>
      <c r="J5441" t="str">
        <f>VLOOKUP(Table3[[#This Row],[Faction ID]],Table4[],2)</f>
        <v>Mahud</v>
      </c>
    </row>
    <row r="5442" spans="1:10" x14ac:dyDescent="0.25">
      <c r="A5442">
        <v>141</v>
      </c>
      <c r="B5442" t="s">
        <v>11</v>
      </c>
      <c r="C5442">
        <v>390</v>
      </c>
      <c r="D5442">
        <v>15</v>
      </c>
      <c r="E5442">
        <v>258.39999999999998</v>
      </c>
      <c r="F5442">
        <v>238987</v>
      </c>
      <c r="G5442">
        <v>45020</v>
      </c>
      <c r="H5442">
        <v>3418</v>
      </c>
      <c r="J5442" t="str">
        <f>VLOOKUP(Table3[[#This Row],[Faction ID]],Table4[],2)</f>
        <v>Haradrim</v>
      </c>
    </row>
    <row r="5443" spans="1:10" x14ac:dyDescent="0.25">
      <c r="A5443">
        <v>141</v>
      </c>
      <c r="B5443" t="s">
        <v>15</v>
      </c>
      <c r="C5443">
        <v>348</v>
      </c>
      <c r="D5443">
        <v>13</v>
      </c>
      <c r="E5443">
        <v>245.7</v>
      </c>
      <c r="F5443">
        <v>316767</v>
      </c>
      <c r="G5443">
        <v>48545</v>
      </c>
      <c r="H5443">
        <v>1</v>
      </c>
      <c r="J5443" t="str">
        <f>VLOOKUP(Table3[[#This Row],[Faction ID]],Table4[],2)</f>
        <v>Dunlendings</v>
      </c>
    </row>
    <row r="5444" spans="1:10" x14ac:dyDescent="0.25">
      <c r="A5444">
        <v>141</v>
      </c>
      <c r="B5444" t="s">
        <v>16</v>
      </c>
      <c r="C5444">
        <v>0</v>
      </c>
      <c r="D5444">
        <v>0</v>
      </c>
      <c r="E5444">
        <v>0</v>
      </c>
      <c r="F5444">
        <v>5352</v>
      </c>
      <c r="G5444">
        <v>1750</v>
      </c>
      <c r="H5444">
        <v>0</v>
      </c>
      <c r="J5444" t="str">
        <f>VLOOKUP(Table3[[#This Row],[Faction ID]],Table4[],2)</f>
        <v>Haerrim</v>
      </c>
    </row>
    <row r="5445" spans="1:10" x14ac:dyDescent="0.25">
      <c r="A5445">
        <v>141</v>
      </c>
      <c r="B5445" t="s">
        <v>13</v>
      </c>
      <c r="C5445">
        <v>666</v>
      </c>
      <c r="D5445">
        <v>0</v>
      </c>
      <c r="E5445">
        <v>0</v>
      </c>
      <c r="F5445">
        <v>128480</v>
      </c>
      <c r="G5445">
        <v>2500</v>
      </c>
      <c r="H5445">
        <v>0</v>
      </c>
      <c r="J5445" t="str">
        <f>VLOOKUP(Table3[[#This Row],[Faction ID]],Table4[],2)</f>
        <v>Goblins</v>
      </c>
    </row>
    <row r="5446" spans="1:10" x14ac:dyDescent="0.25">
      <c r="A5446">
        <v>141</v>
      </c>
      <c r="B5446" t="s">
        <v>17</v>
      </c>
      <c r="C5446">
        <v>0</v>
      </c>
      <c r="D5446">
        <v>0</v>
      </c>
      <c r="E5446">
        <v>0</v>
      </c>
      <c r="F5446">
        <v>4872</v>
      </c>
      <c r="G5446">
        <v>1750</v>
      </c>
      <c r="H5446">
        <v>0</v>
      </c>
      <c r="J5446" t="str">
        <f>VLOOKUP(Table3[[#This Row],[Faction ID]],Table4[],2)</f>
        <v>Balchoth</v>
      </c>
    </row>
    <row r="5447" spans="1:10" x14ac:dyDescent="0.25">
      <c r="A5447">
        <v>141</v>
      </c>
      <c r="B5447" t="s">
        <v>18</v>
      </c>
      <c r="C5447">
        <v>666</v>
      </c>
      <c r="D5447">
        <v>22</v>
      </c>
      <c r="E5447">
        <v>298.7</v>
      </c>
      <c r="F5447">
        <v>456185</v>
      </c>
      <c r="G5447">
        <v>41633</v>
      </c>
      <c r="H5447">
        <v>0</v>
      </c>
      <c r="J5447" t="str">
        <f>VLOOKUP(Table3[[#This Row],[Faction ID]],Table4[],2)</f>
        <v>Rhurim/Rhun</v>
      </c>
    </row>
    <row r="5448" spans="1:10" x14ac:dyDescent="0.25">
      <c r="A5448">
        <v>141</v>
      </c>
      <c r="B5448" t="s">
        <v>19</v>
      </c>
      <c r="C5448">
        <v>0</v>
      </c>
      <c r="D5448">
        <v>0</v>
      </c>
      <c r="E5448">
        <v>0</v>
      </c>
      <c r="F5448">
        <v>7360</v>
      </c>
      <c r="G5448">
        <v>1750</v>
      </c>
      <c r="H5448">
        <v>0</v>
      </c>
      <c r="J5448" t="str">
        <f>VLOOKUP(Table3[[#This Row],[Faction ID]],Table4[],2)</f>
        <v>Feredrim</v>
      </c>
    </row>
    <row r="5449" spans="1:10" x14ac:dyDescent="0.25">
      <c r="A5449">
        <v>141</v>
      </c>
      <c r="B5449" t="s">
        <v>26</v>
      </c>
      <c r="C5449">
        <v>0</v>
      </c>
      <c r="D5449">
        <v>0</v>
      </c>
      <c r="E5449">
        <v>0</v>
      </c>
      <c r="F5449">
        <v>6395</v>
      </c>
      <c r="G5449">
        <v>1750</v>
      </c>
      <c r="H5449">
        <v>0</v>
      </c>
      <c r="J5449" t="str">
        <f>VLOOKUP(Table3[[#This Row],[Faction ID]],Table4[],2)</f>
        <v>Rachrohir (Wainriders)</v>
      </c>
    </row>
    <row r="5450" spans="1:10" x14ac:dyDescent="0.25">
      <c r="A5450">
        <v>141</v>
      </c>
      <c r="B5450" t="s">
        <v>27</v>
      </c>
      <c r="C5450">
        <v>6</v>
      </c>
      <c r="D5450">
        <v>4</v>
      </c>
      <c r="E5450">
        <v>65</v>
      </c>
      <c r="F5450">
        <v>27619</v>
      </c>
      <c r="G5450">
        <v>17878</v>
      </c>
      <c r="H5450">
        <v>1031</v>
      </c>
      <c r="J5450" t="str">
        <f>VLOOKUP(Table3[[#This Row],[Faction ID]],Table4[],2)</f>
        <v>Blacklock-Stonefoot League</v>
      </c>
    </row>
    <row r="5451" spans="1:10" x14ac:dyDescent="0.25">
      <c r="A5451">
        <v>141</v>
      </c>
      <c r="B5451" t="s">
        <v>28</v>
      </c>
      <c r="C5451">
        <v>5</v>
      </c>
      <c r="D5451">
        <v>2</v>
      </c>
      <c r="E5451">
        <v>48.6</v>
      </c>
      <c r="F5451">
        <v>14243</v>
      </c>
      <c r="G5451">
        <v>13505</v>
      </c>
      <c r="H5451">
        <v>880</v>
      </c>
      <c r="J5451" t="str">
        <f>VLOOKUP(Table3[[#This Row],[Faction ID]],Table4[],2)</f>
        <v>Ironfist-Stiffbeard Union</v>
      </c>
    </row>
    <row r="5452" spans="1:10" x14ac:dyDescent="0.25">
      <c r="A5452">
        <v>141</v>
      </c>
      <c r="B5452" t="s">
        <v>20</v>
      </c>
      <c r="C5452">
        <v>245</v>
      </c>
      <c r="D5452">
        <v>0</v>
      </c>
      <c r="E5452">
        <v>0</v>
      </c>
      <c r="F5452">
        <v>9750</v>
      </c>
      <c r="G5452">
        <v>2500</v>
      </c>
      <c r="H5452">
        <v>0</v>
      </c>
      <c r="J5452" t="str">
        <f>VLOOKUP(Table3[[#This Row],[Faction ID]],Table4[],2)</f>
        <v>Gundabad</v>
      </c>
    </row>
    <row r="5453" spans="1:10" x14ac:dyDescent="0.25">
      <c r="A5453">
        <v>141</v>
      </c>
      <c r="B5453" t="s">
        <v>34</v>
      </c>
      <c r="C5453">
        <v>0</v>
      </c>
      <c r="D5453">
        <v>0</v>
      </c>
      <c r="E5453">
        <v>3</v>
      </c>
      <c r="F5453">
        <v>161965</v>
      </c>
      <c r="G5453">
        <v>2354</v>
      </c>
      <c r="H5453">
        <v>0</v>
      </c>
      <c r="J5453" t="str">
        <f>VLOOKUP(Table3[[#This Row],[Faction ID]],Table4[],2)</f>
        <v>Scouts of Rohan</v>
      </c>
    </row>
    <row r="5454" spans="1:10" x14ac:dyDescent="0.25">
      <c r="A5454">
        <v>141</v>
      </c>
      <c r="B5454" t="s">
        <v>33</v>
      </c>
      <c r="C5454">
        <v>0</v>
      </c>
      <c r="D5454">
        <v>0</v>
      </c>
      <c r="E5454">
        <v>0</v>
      </c>
      <c r="F5454">
        <v>23466</v>
      </c>
      <c r="G5454">
        <v>1946</v>
      </c>
      <c r="H5454">
        <v>0</v>
      </c>
      <c r="J5454" t="str">
        <f>VLOOKUP(Table3[[#This Row],[Faction ID]],Table4[],2)</f>
        <v>Northern Enedwaith</v>
      </c>
    </row>
    <row r="5455" spans="1:10" x14ac:dyDescent="0.25">
      <c r="A5455">
        <v>141</v>
      </c>
      <c r="B5455" t="s">
        <v>29</v>
      </c>
      <c r="C5455">
        <v>0</v>
      </c>
      <c r="D5455">
        <v>0</v>
      </c>
      <c r="E5455">
        <v>0</v>
      </c>
      <c r="F5455">
        <v>54023</v>
      </c>
      <c r="G5455">
        <v>1750</v>
      </c>
      <c r="H5455">
        <v>0</v>
      </c>
      <c r="J5455" t="str">
        <f>VLOOKUP(Table3[[#This Row],[Faction ID]],Table4[],2)</f>
        <v>Southern Enedwaith</v>
      </c>
    </row>
    <row r="5456" spans="1:10" x14ac:dyDescent="0.25">
      <c r="A5456">
        <v>141</v>
      </c>
      <c r="B5456" t="s">
        <v>30</v>
      </c>
      <c r="C5456">
        <v>0</v>
      </c>
      <c r="D5456">
        <v>0</v>
      </c>
      <c r="E5456">
        <v>0</v>
      </c>
      <c r="F5456">
        <v>32146</v>
      </c>
      <c r="G5456">
        <v>1750</v>
      </c>
      <c r="H5456">
        <v>0</v>
      </c>
      <c r="J5456" t="str">
        <f>VLOOKUP(Table3[[#This Row],[Faction ID]],Table4[],2)</f>
        <v>Druedain</v>
      </c>
    </row>
    <row r="5457" spans="1:10" x14ac:dyDescent="0.25">
      <c r="A5457">
        <v>141</v>
      </c>
      <c r="B5457" t="s">
        <v>31</v>
      </c>
      <c r="C5457">
        <v>0</v>
      </c>
      <c r="D5457">
        <v>0</v>
      </c>
      <c r="E5457">
        <v>0</v>
      </c>
      <c r="F5457">
        <v>15146</v>
      </c>
      <c r="G5457">
        <v>1750</v>
      </c>
      <c r="H5457">
        <v>0</v>
      </c>
      <c r="J5457" t="str">
        <f>VLOOKUP(Table3[[#This Row],[Faction ID]],Table4[],2)</f>
        <v>Harondor</v>
      </c>
    </row>
    <row r="5458" spans="1:10" x14ac:dyDescent="0.25">
      <c r="A5458">
        <v>141</v>
      </c>
      <c r="B5458" t="s">
        <v>35</v>
      </c>
      <c r="C5458">
        <v>0</v>
      </c>
      <c r="D5458">
        <v>0</v>
      </c>
      <c r="E5458">
        <v>0</v>
      </c>
      <c r="F5458">
        <v>4000</v>
      </c>
      <c r="G5458">
        <v>1750</v>
      </c>
      <c r="H5458">
        <v>0</v>
      </c>
      <c r="J5458" t="str">
        <f>VLOOKUP(Table3[[#This Row],[Faction ID]],Table4[],2)</f>
        <v>Southron Nomads</v>
      </c>
    </row>
    <row r="5459" spans="1:10" x14ac:dyDescent="0.25">
      <c r="A5459">
        <v>141</v>
      </c>
      <c r="B5459" t="s">
        <v>36</v>
      </c>
      <c r="C5459">
        <v>0</v>
      </c>
      <c r="D5459">
        <v>0</v>
      </c>
      <c r="E5459">
        <v>0</v>
      </c>
      <c r="F5459">
        <v>4000</v>
      </c>
      <c r="G5459">
        <v>1750</v>
      </c>
      <c r="H5459">
        <v>0</v>
      </c>
      <c r="J5459" t="str">
        <f>VLOOKUP(Table3[[#This Row],[Faction ID]],Table4[],2)</f>
        <v>_</v>
      </c>
    </row>
    <row r="5460" spans="1:10" x14ac:dyDescent="0.25">
      <c r="A5460">
        <v>141</v>
      </c>
      <c r="B5460" t="s">
        <v>37</v>
      </c>
      <c r="C5460">
        <v>0</v>
      </c>
      <c r="D5460">
        <v>0</v>
      </c>
      <c r="E5460">
        <v>0</v>
      </c>
      <c r="F5460">
        <v>4000</v>
      </c>
      <c r="G5460">
        <v>1750</v>
      </c>
      <c r="H5460">
        <v>0</v>
      </c>
      <c r="J5460" t="str">
        <f>VLOOKUP(Table3[[#This Row],[Faction ID]],Table4[],2)</f>
        <v>_</v>
      </c>
    </row>
    <row r="5461" spans="1:10" x14ac:dyDescent="0.25">
      <c r="A5461">
        <v>141</v>
      </c>
      <c r="B5461" t="s">
        <v>38</v>
      </c>
      <c r="C5461">
        <v>0</v>
      </c>
      <c r="D5461">
        <v>0</v>
      </c>
      <c r="E5461">
        <v>0</v>
      </c>
      <c r="F5461">
        <v>4000</v>
      </c>
      <c r="G5461">
        <v>1750</v>
      </c>
      <c r="H5461">
        <v>0</v>
      </c>
      <c r="J5461" t="str">
        <f>VLOOKUP(Table3[[#This Row],[Faction ID]],Table4[],2)</f>
        <v>_</v>
      </c>
    </row>
    <row r="5462" spans="1:10" x14ac:dyDescent="0.25">
      <c r="A5462">
        <v>141</v>
      </c>
      <c r="B5462" t="s">
        <v>39</v>
      </c>
      <c r="C5462">
        <v>0</v>
      </c>
      <c r="D5462">
        <v>0</v>
      </c>
      <c r="E5462">
        <v>0</v>
      </c>
      <c r="F5462">
        <v>4000</v>
      </c>
      <c r="G5462">
        <v>1750</v>
      </c>
      <c r="H5462">
        <v>0</v>
      </c>
      <c r="J5462" t="str">
        <f>VLOOKUP(Table3[[#This Row],[Faction ID]],Table4[],2)</f>
        <v>_</v>
      </c>
    </row>
    <row r="5463" spans="1:10" x14ac:dyDescent="0.25">
      <c r="A5463">
        <v>141</v>
      </c>
      <c r="B5463" t="s">
        <v>40</v>
      </c>
      <c r="C5463">
        <v>0</v>
      </c>
      <c r="D5463">
        <v>0</v>
      </c>
      <c r="E5463">
        <v>0</v>
      </c>
      <c r="F5463">
        <v>4000</v>
      </c>
      <c r="G5463">
        <v>1750</v>
      </c>
      <c r="H5463">
        <v>0</v>
      </c>
      <c r="J5463" t="str">
        <f>VLOOKUP(Table3[[#This Row],[Faction ID]],Table4[],2)</f>
        <v>_</v>
      </c>
    </row>
    <row r="5464" spans="1:10" x14ac:dyDescent="0.25">
      <c r="A5464">
        <v>141</v>
      </c>
      <c r="B5464" t="s">
        <v>41</v>
      </c>
      <c r="C5464">
        <v>0</v>
      </c>
      <c r="D5464">
        <v>0</v>
      </c>
      <c r="E5464">
        <v>0</v>
      </c>
      <c r="F5464">
        <v>4000</v>
      </c>
      <c r="G5464">
        <v>1750</v>
      </c>
      <c r="H5464">
        <v>0</v>
      </c>
      <c r="J5464" t="str">
        <f>VLOOKUP(Table3[[#This Row],[Faction ID]],Table4[],2)</f>
        <v>_</v>
      </c>
    </row>
    <row r="5465" spans="1:10" x14ac:dyDescent="0.25">
      <c r="A5465">
        <v>141</v>
      </c>
      <c r="B5465" t="s">
        <v>42</v>
      </c>
      <c r="C5465">
        <v>0</v>
      </c>
      <c r="D5465">
        <v>0</v>
      </c>
      <c r="E5465">
        <v>0</v>
      </c>
      <c r="F5465">
        <v>4000</v>
      </c>
      <c r="G5465">
        <v>1750</v>
      </c>
      <c r="H5465">
        <v>0</v>
      </c>
      <c r="J5465" t="str">
        <f>VLOOKUP(Table3[[#This Row],[Faction ID]],Table4[],2)</f>
        <v>_</v>
      </c>
    </row>
    <row r="5466" spans="1:10" x14ac:dyDescent="0.25">
      <c r="A5466">
        <v>141</v>
      </c>
      <c r="B5466" t="s">
        <v>43</v>
      </c>
      <c r="C5466">
        <v>0</v>
      </c>
      <c r="D5466">
        <v>0</v>
      </c>
      <c r="E5466">
        <v>0</v>
      </c>
      <c r="F5466">
        <v>4000</v>
      </c>
      <c r="G5466">
        <v>1750</v>
      </c>
      <c r="H5466">
        <v>0</v>
      </c>
      <c r="J5466" t="str">
        <f>VLOOKUP(Table3[[#This Row],[Faction ID]],Table4[],2)</f>
        <v>_</v>
      </c>
    </row>
    <row r="5467" spans="1:10" x14ac:dyDescent="0.25">
      <c r="A5467">
        <v>141</v>
      </c>
      <c r="B5467" t="s">
        <v>44</v>
      </c>
      <c r="C5467">
        <v>0</v>
      </c>
      <c r="D5467">
        <v>0</v>
      </c>
      <c r="E5467">
        <v>0</v>
      </c>
      <c r="F5467">
        <v>4000</v>
      </c>
      <c r="G5467">
        <v>1750</v>
      </c>
      <c r="H5467">
        <v>0</v>
      </c>
      <c r="J5467" t="str">
        <f>VLOOKUP(Table3[[#This Row],[Faction ID]],Table4[],2)</f>
        <v>_</v>
      </c>
    </row>
    <row r="5468" spans="1:10" x14ac:dyDescent="0.25">
      <c r="A5468">
        <v>142</v>
      </c>
      <c r="B5468" t="s">
        <v>9</v>
      </c>
      <c r="C5468">
        <v>756</v>
      </c>
      <c r="D5468">
        <v>59</v>
      </c>
      <c r="E5468">
        <v>758.6</v>
      </c>
      <c r="F5468">
        <v>20644</v>
      </c>
      <c r="G5468">
        <v>114154</v>
      </c>
      <c r="H5468">
        <v>10139</v>
      </c>
      <c r="J5468" t="str">
        <f>VLOOKUP(Table3[[#This Row],[Faction ID]],Table4[],2)</f>
        <v>Mordor</v>
      </c>
    </row>
    <row r="5469" spans="1:10" x14ac:dyDescent="0.25">
      <c r="A5469">
        <v>142</v>
      </c>
      <c r="B5469" t="s">
        <v>4</v>
      </c>
      <c r="C5469">
        <v>146</v>
      </c>
      <c r="D5469">
        <v>0</v>
      </c>
      <c r="E5469">
        <v>0</v>
      </c>
      <c r="F5469">
        <v>55420</v>
      </c>
      <c r="G5469">
        <v>2500</v>
      </c>
      <c r="H5469">
        <v>0</v>
      </c>
      <c r="J5469" t="str">
        <f>VLOOKUP(Table3[[#This Row],[Faction ID]],Table4[],2)</f>
        <v>Gondor</v>
      </c>
    </row>
    <row r="5470" spans="1:10" x14ac:dyDescent="0.25">
      <c r="A5470">
        <v>142</v>
      </c>
      <c r="B5470" t="s">
        <v>6</v>
      </c>
      <c r="C5470">
        <v>199</v>
      </c>
      <c r="D5470">
        <v>0</v>
      </c>
      <c r="E5470">
        <v>0</v>
      </c>
      <c r="F5470">
        <v>10343</v>
      </c>
      <c r="G5470">
        <v>2500</v>
      </c>
      <c r="H5470">
        <v>0</v>
      </c>
      <c r="J5470" t="str">
        <f>VLOOKUP(Table3[[#This Row],[Faction ID]],Table4[],2)</f>
        <v>Dale</v>
      </c>
    </row>
    <row r="5471" spans="1:10" x14ac:dyDescent="0.25">
      <c r="A5471">
        <v>142</v>
      </c>
      <c r="B5471" t="s">
        <v>21</v>
      </c>
      <c r="C5471">
        <v>200</v>
      </c>
      <c r="D5471">
        <v>0</v>
      </c>
      <c r="E5471">
        <v>0</v>
      </c>
      <c r="F5471">
        <v>10040</v>
      </c>
      <c r="G5471">
        <v>2500</v>
      </c>
      <c r="H5471">
        <v>0</v>
      </c>
      <c r="J5471" t="str">
        <f>VLOOKUP(Table3[[#This Row],[Faction ID]],Table4[],2)</f>
        <v>Erebor</v>
      </c>
    </row>
    <row r="5472" spans="1:10" x14ac:dyDescent="0.25">
      <c r="A5472">
        <v>142</v>
      </c>
      <c r="B5472" t="s">
        <v>5</v>
      </c>
      <c r="C5472">
        <v>157</v>
      </c>
      <c r="D5472">
        <v>0</v>
      </c>
      <c r="E5472">
        <v>0</v>
      </c>
      <c r="F5472">
        <v>6638</v>
      </c>
      <c r="G5472">
        <v>2500</v>
      </c>
      <c r="H5472">
        <v>0</v>
      </c>
      <c r="J5472" t="str">
        <f>VLOOKUP(Table3[[#This Row],[Faction ID]],Table4[],2)</f>
        <v>Rohan</v>
      </c>
    </row>
    <row r="5473" spans="1:10" x14ac:dyDescent="0.25">
      <c r="A5473">
        <v>142</v>
      </c>
      <c r="B5473" t="s">
        <v>12</v>
      </c>
      <c r="C5473">
        <v>538</v>
      </c>
      <c r="D5473">
        <v>25</v>
      </c>
      <c r="E5473">
        <v>436.4</v>
      </c>
      <c r="F5473">
        <v>454983</v>
      </c>
      <c r="G5473">
        <v>73608</v>
      </c>
      <c r="H5473">
        <v>5792</v>
      </c>
      <c r="J5473" t="str">
        <f>VLOOKUP(Table3[[#This Row],[Faction ID]],Table4[],2)</f>
        <v>Dol Guldur</v>
      </c>
    </row>
    <row r="5474" spans="1:10" x14ac:dyDescent="0.25">
      <c r="A5474">
        <v>142</v>
      </c>
      <c r="B5474" t="s">
        <v>10</v>
      </c>
      <c r="C5474">
        <v>58</v>
      </c>
      <c r="D5474">
        <v>0</v>
      </c>
      <c r="E5474">
        <v>0</v>
      </c>
      <c r="F5474">
        <v>4515</v>
      </c>
      <c r="G5474">
        <v>2500</v>
      </c>
      <c r="H5474">
        <v>0</v>
      </c>
      <c r="J5474" t="str">
        <f>VLOOKUP(Table3[[#This Row],[Faction ID]],Table4[],2)</f>
        <v>Anduin Vale</v>
      </c>
    </row>
    <row r="5475" spans="1:10" x14ac:dyDescent="0.25">
      <c r="A5475">
        <v>142</v>
      </c>
      <c r="B5475" t="s">
        <v>32</v>
      </c>
      <c r="C5475">
        <v>329</v>
      </c>
      <c r="D5475">
        <v>0</v>
      </c>
      <c r="E5475">
        <v>0</v>
      </c>
      <c r="F5475">
        <v>23007</v>
      </c>
      <c r="G5475">
        <v>2500</v>
      </c>
      <c r="H5475">
        <v>0</v>
      </c>
      <c r="J5475" t="str">
        <f>VLOOKUP(Table3[[#This Row],[Faction ID]],Table4[],2)</f>
        <v>Isengard</v>
      </c>
    </row>
    <row r="5476" spans="1:10" x14ac:dyDescent="0.25">
      <c r="A5476">
        <v>142</v>
      </c>
      <c r="B5476" t="s">
        <v>22</v>
      </c>
      <c r="C5476">
        <v>30</v>
      </c>
      <c r="D5476">
        <v>0</v>
      </c>
      <c r="E5476">
        <v>0</v>
      </c>
      <c r="F5476">
        <v>8475</v>
      </c>
      <c r="G5476">
        <v>2500</v>
      </c>
      <c r="H5476">
        <v>0</v>
      </c>
      <c r="J5476" t="str">
        <f>VLOOKUP(Table3[[#This Row],[Faction ID]],Table4[],2)</f>
        <v>Woodland Realm</v>
      </c>
    </row>
    <row r="5477" spans="1:10" x14ac:dyDescent="0.25">
      <c r="A5477">
        <v>142</v>
      </c>
      <c r="B5477" t="s">
        <v>23</v>
      </c>
      <c r="C5477">
        <v>64</v>
      </c>
      <c r="D5477">
        <v>0</v>
      </c>
      <c r="E5477">
        <v>0</v>
      </c>
      <c r="F5477">
        <v>4721</v>
      </c>
      <c r="G5477">
        <v>2500</v>
      </c>
      <c r="H5477">
        <v>0</v>
      </c>
      <c r="J5477" t="str">
        <f>VLOOKUP(Table3[[#This Row],[Faction ID]],Table4[],2)</f>
        <v>Lothlorien</v>
      </c>
    </row>
    <row r="5478" spans="1:10" x14ac:dyDescent="0.25">
      <c r="A5478">
        <v>142</v>
      </c>
      <c r="B5478" t="s">
        <v>24</v>
      </c>
      <c r="C5478">
        <v>0</v>
      </c>
      <c r="D5478">
        <v>0</v>
      </c>
      <c r="E5478">
        <v>0</v>
      </c>
      <c r="F5478">
        <v>4919</v>
      </c>
      <c r="G5478">
        <v>1750</v>
      </c>
      <c r="H5478">
        <v>0</v>
      </c>
      <c r="J5478" t="str">
        <f>VLOOKUP(Table3[[#This Row],[Faction ID]],Table4[],2)</f>
        <v>Variags (Khand)</v>
      </c>
    </row>
    <row r="5479" spans="1:10" x14ac:dyDescent="0.25">
      <c r="A5479">
        <v>142</v>
      </c>
      <c r="B5479" t="s">
        <v>14</v>
      </c>
      <c r="C5479">
        <v>21</v>
      </c>
      <c r="D5479">
        <v>15</v>
      </c>
      <c r="E5479">
        <v>225.1</v>
      </c>
      <c r="F5479">
        <v>522305</v>
      </c>
      <c r="G5479">
        <v>57352</v>
      </c>
      <c r="H5479">
        <v>5848</v>
      </c>
      <c r="J5479" t="str">
        <f>VLOOKUP(Table3[[#This Row],[Faction ID]],Table4[],2)</f>
        <v>Corsairs of Umbar</v>
      </c>
    </row>
    <row r="5480" spans="1:10" x14ac:dyDescent="0.25">
      <c r="A5480">
        <v>142</v>
      </c>
      <c r="B5480" t="s">
        <v>25</v>
      </c>
      <c r="C5480">
        <v>0</v>
      </c>
      <c r="D5480">
        <v>0</v>
      </c>
      <c r="E5480">
        <v>0</v>
      </c>
      <c r="F5480">
        <v>9228</v>
      </c>
      <c r="G5480">
        <v>1750</v>
      </c>
      <c r="H5480">
        <v>0</v>
      </c>
      <c r="J5480" t="str">
        <f>VLOOKUP(Table3[[#This Row],[Faction ID]],Table4[],2)</f>
        <v>Mahud</v>
      </c>
    </row>
    <row r="5481" spans="1:10" x14ac:dyDescent="0.25">
      <c r="A5481">
        <v>142</v>
      </c>
      <c r="B5481" t="s">
        <v>11</v>
      </c>
      <c r="C5481">
        <v>392</v>
      </c>
      <c r="D5481">
        <v>16</v>
      </c>
      <c r="E5481">
        <v>265.8</v>
      </c>
      <c r="F5481">
        <v>250163</v>
      </c>
      <c r="G5481">
        <v>45230</v>
      </c>
      <c r="H5481">
        <v>3433</v>
      </c>
      <c r="J5481" t="str">
        <f>VLOOKUP(Table3[[#This Row],[Faction ID]],Table4[],2)</f>
        <v>Haradrim</v>
      </c>
    </row>
    <row r="5482" spans="1:10" x14ac:dyDescent="0.25">
      <c r="A5482">
        <v>142</v>
      </c>
      <c r="B5482" t="s">
        <v>15</v>
      </c>
      <c r="C5482">
        <v>360</v>
      </c>
      <c r="D5482">
        <v>13</v>
      </c>
      <c r="E5482">
        <v>252.5</v>
      </c>
      <c r="F5482">
        <v>331958</v>
      </c>
      <c r="G5482">
        <v>48619</v>
      </c>
      <c r="H5482">
        <v>1</v>
      </c>
      <c r="J5482" t="str">
        <f>VLOOKUP(Table3[[#This Row],[Faction ID]],Table4[],2)</f>
        <v>Dunlendings</v>
      </c>
    </row>
    <row r="5483" spans="1:10" x14ac:dyDescent="0.25">
      <c r="A5483">
        <v>142</v>
      </c>
      <c r="B5483" t="s">
        <v>16</v>
      </c>
      <c r="C5483">
        <v>0</v>
      </c>
      <c r="D5483">
        <v>0</v>
      </c>
      <c r="E5483">
        <v>0</v>
      </c>
      <c r="F5483">
        <v>5352</v>
      </c>
      <c r="G5483">
        <v>1750</v>
      </c>
      <c r="H5483">
        <v>0</v>
      </c>
      <c r="J5483" t="str">
        <f>VLOOKUP(Table3[[#This Row],[Faction ID]],Table4[],2)</f>
        <v>Haerrim</v>
      </c>
    </row>
    <row r="5484" spans="1:10" x14ac:dyDescent="0.25">
      <c r="A5484">
        <v>142</v>
      </c>
      <c r="B5484" t="s">
        <v>13</v>
      </c>
      <c r="C5484">
        <v>666</v>
      </c>
      <c r="D5484">
        <v>0</v>
      </c>
      <c r="E5484">
        <v>0</v>
      </c>
      <c r="F5484">
        <v>128480</v>
      </c>
      <c r="G5484">
        <v>2500</v>
      </c>
      <c r="H5484">
        <v>0</v>
      </c>
      <c r="J5484" t="str">
        <f>VLOOKUP(Table3[[#This Row],[Faction ID]],Table4[],2)</f>
        <v>Goblins</v>
      </c>
    </row>
    <row r="5485" spans="1:10" x14ac:dyDescent="0.25">
      <c r="A5485">
        <v>142</v>
      </c>
      <c r="B5485" t="s">
        <v>17</v>
      </c>
      <c r="C5485">
        <v>0</v>
      </c>
      <c r="D5485">
        <v>0</v>
      </c>
      <c r="E5485">
        <v>0</v>
      </c>
      <c r="F5485">
        <v>4872</v>
      </c>
      <c r="G5485">
        <v>1750</v>
      </c>
      <c r="H5485">
        <v>0</v>
      </c>
      <c r="J5485" t="str">
        <f>VLOOKUP(Table3[[#This Row],[Faction ID]],Table4[],2)</f>
        <v>Balchoth</v>
      </c>
    </row>
    <row r="5486" spans="1:10" x14ac:dyDescent="0.25">
      <c r="A5486">
        <v>142</v>
      </c>
      <c r="B5486" t="s">
        <v>18</v>
      </c>
      <c r="C5486">
        <v>664</v>
      </c>
      <c r="D5486">
        <v>21</v>
      </c>
      <c r="E5486">
        <v>264.7</v>
      </c>
      <c r="F5486">
        <v>412683</v>
      </c>
      <c r="G5486">
        <v>48319</v>
      </c>
      <c r="H5486">
        <v>3939</v>
      </c>
      <c r="J5486" t="str">
        <f>VLOOKUP(Table3[[#This Row],[Faction ID]],Table4[],2)</f>
        <v>Rhurim/Rhun</v>
      </c>
    </row>
    <row r="5487" spans="1:10" x14ac:dyDescent="0.25">
      <c r="A5487">
        <v>142</v>
      </c>
      <c r="B5487" t="s">
        <v>19</v>
      </c>
      <c r="C5487">
        <v>0</v>
      </c>
      <c r="D5487">
        <v>0</v>
      </c>
      <c r="E5487">
        <v>0</v>
      </c>
      <c r="F5487">
        <v>7360</v>
      </c>
      <c r="G5487">
        <v>1750</v>
      </c>
      <c r="H5487">
        <v>0</v>
      </c>
      <c r="J5487" t="str">
        <f>VLOOKUP(Table3[[#This Row],[Faction ID]],Table4[],2)</f>
        <v>Feredrim</v>
      </c>
    </row>
    <row r="5488" spans="1:10" x14ac:dyDescent="0.25">
      <c r="A5488">
        <v>142</v>
      </c>
      <c r="B5488" t="s">
        <v>26</v>
      </c>
      <c r="C5488">
        <v>0</v>
      </c>
      <c r="D5488">
        <v>0</v>
      </c>
      <c r="E5488">
        <v>0</v>
      </c>
      <c r="F5488">
        <v>6395</v>
      </c>
      <c r="G5488">
        <v>1750</v>
      </c>
      <c r="H5488">
        <v>0</v>
      </c>
      <c r="J5488" t="str">
        <f>VLOOKUP(Table3[[#This Row],[Faction ID]],Table4[],2)</f>
        <v>Rachrohir (Wainriders)</v>
      </c>
    </row>
    <row r="5489" spans="1:10" x14ac:dyDescent="0.25">
      <c r="A5489">
        <v>142</v>
      </c>
      <c r="B5489" t="s">
        <v>27</v>
      </c>
      <c r="C5489">
        <v>6</v>
      </c>
      <c r="D5489">
        <v>4</v>
      </c>
      <c r="E5489">
        <v>67.099999999999994</v>
      </c>
      <c r="F5489">
        <v>27844</v>
      </c>
      <c r="G5489">
        <v>18493</v>
      </c>
      <c r="H5489">
        <v>1215</v>
      </c>
      <c r="J5489" t="str">
        <f>VLOOKUP(Table3[[#This Row],[Faction ID]],Table4[],2)</f>
        <v>Blacklock-Stonefoot League</v>
      </c>
    </row>
    <row r="5490" spans="1:10" x14ac:dyDescent="0.25">
      <c r="A5490">
        <v>142</v>
      </c>
      <c r="B5490" t="s">
        <v>28</v>
      </c>
      <c r="C5490">
        <v>5</v>
      </c>
      <c r="D5490">
        <v>2</v>
      </c>
      <c r="E5490">
        <v>48.6</v>
      </c>
      <c r="F5490">
        <v>19155</v>
      </c>
      <c r="G5490">
        <v>13700</v>
      </c>
      <c r="H5490">
        <v>947</v>
      </c>
      <c r="J5490" t="str">
        <f>VLOOKUP(Table3[[#This Row],[Faction ID]],Table4[],2)</f>
        <v>Ironfist-Stiffbeard Union</v>
      </c>
    </row>
    <row r="5491" spans="1:10" x14ac:dyDescent="0.25">
      <c r="A5491">
        <v>142</v>
      </c>
      <c r="B5491" t="s">
        <v>20</v>
      </c>
      <c r="C5491">
        <v>245</v>
      </c>
      <c r="D5491">
        <v>0</v>
      </c>
      <c r="E5491">
        <v>0</v>
      </c>
      <c r="F5491">
        <v>9750</v>
      </c>
      <c r="G5491">
        <v>2500</v>
      </c>
      <c r="H5491">
        <v>0</v>
      </c>
      <c r="J5491" t="str">
        <f>VLOOKUP(Table3[[#This Row],[Faction ID]],Table4[],2)</f>
        <v>Gundabad</v>
      </c>
    </row>
    <row r="5492" spans="1:10" x14ac:dyDescent="0.25">
      <c r="A5492">
        <v>142</v>
      </c>
      <c r="B5492" t="s">
        <v>34</v>
      </c>
      <c r="C5492">
        <v>0</v>
      </c>
      <c r="D5492">
        <v>0</v>
      </c>
      <c r="E5492">
        <v>3</v>
      </c>
      <c r="F5492">
        <v>163111</v>
      </c>
      <c r="G5492">
        <v>2354</v>
      </c>
      <c r="H5492">
        <v>0</v>
      </c>
      <c r="J5492" t="str">
        <f>VLOOKUP(Table3[[#This Row],[Faction ID]],Table4[],2)</f>
        <v>Scouts of Rohan</v>
      </c>
    </row>
    <row r="5493" spans="1:10" x14ac:dyDescent="0.25">
      <c r="A5493">
        <v>142</v>
      </c>
      <c r="B5493" t="s">
        <v>33</v>
      </c>
      <c r="C5493">
        <v>0</v>
      </c>
      <c r="D5493">
        <v>0</v>
      </c>
      <c r="E5493">
        <v>0</v>
      </c>
      <c r="F5493">
        <v>23466</v>
      </c>
      <c r="G5493">
        <v>1750</v>
      </c>
      <c r="H5493">
        <v>0</v>
      </c>
      <c r="J5493" t="str">
        <f>VLOOKUP(Table3[[#This Row],[Faction ID]],Table4[],2)</f>
        <v>Northern Enedwaith</v>
      </c>
    </row>
    <row r="5494" spans="1:10" x14ac:dyDescent="0.25">
      <c r="A5494">
        <v>142</v>
      </c>
      <c r="B5494" t="s">
        <v>29</v>
      </c>
      <c r="C5494">
        <v>0</v>
      </c>
      <c r="D5494">
        <v>0</v>
      </c>
      <c r="E5494">
        <v>0</v>
      </c>
      <c r="F5494">
        <v>54023</v>
      </c>
      <c r="G5494">
        <v>1750</v>
      </c>
      <c r="H5494">
        <v>0</v>
      </c>
      <c r="J5494" t="str">
        <f>VLOOKUP(Table3[[#This Row],[Faction ID]],Table4[],2)</f>
        <v>Southern Enedwaith</v>
      </c>
    </row>
    <row r="5495" spans="1:10" x14ac:dyDescent="0.25">
      <c r="A5495">
        <v>142</v>
      </c>
      <c r="B5495" t="s">
        <v>30</v>
      </c>
      <c r="C5495">
        <v>0</v>
      </c>
      <c r="D5495">
        <v>0</v>
      </c>
      <c r="E5495">
        <v>0</v>
      </c>
      <c r="F5495">
        <v>32146</v>
      </c>
      <c r="G5495">
        <v>1750</v>
      </c>
      <c r="H5495">
        <v>0</v>
      </c>
      <c r="J5495" t="str">
        <f>VLOOKUP(Table3[[#This Row],[Faction ID]],Table4[],2)</f>
        <v>Druedain</v>
      </c>
    </row>
    <row r="5496" spans="1:10" x14ac:dyDescent="0.25">
      <c r="A5496">
        <v>142</v>
      </c>
      <c r="B5496" t="s">
        <v>31</v>
      </c>
      <c r="C5496">
        <v>0</v>
      </c>
      <c r="D5496">
        <v>0</v>
      </c>
      <c r="E5496">
        <v>0</v>
      </c>
      <c r="F5496">
        <v>15146</v>
      </c>
      <c r="G5496">
        <v>1750</v>
      </c>
      <c r="H5496">
        <v>0</v>
      </c>
      <c r="J5496" t="str">
        <f>VLOOKUP(Table3[[#This Row],[Faction ID]],Table4[],2)</f>
        <v>Harondor</v>
      </c>
    </row>
    <row r="5497" spans="1:10" x14ac:dyDescent="0.25">
      <c r="A5497">
        <v>142</v>
      </c>
      <c r="B5497" t="s">
        <v>35</v>
      </c>
      <c r="C5497">
        <v>0</v>
      </c>
      <c r="D5497">
        <v>0</v>
      </c>
      <c r="E5497">
        <v>0</v>
      </c>
      <c r="F5497">
        <v>4000</v>
      </c>
      <c r="G5497">
        <v>1750</v>
      </c>
      <c r="H5497">
        <v>0</v>
      </c>
      <c r="J5497" t="str">
        <f>VLOOKUP(Table3[[#This Row],[Faction ID]],Table4[],2)</f>
        <v>Southron Nomads</v>
      </c>
    </row>
    <row r="5498" spans="1:10" x14ac:dyDescent="0.25">
      <c r="A5498">
        <v>142</v>
      </c>
      <c r="B5498" t="s">
        <v>36</v>
      </c>
      <c r="C5498">
        <v>0</v>
      </c>
      <c r="D5498">
        <v>0</v>
      </c>
      <c r="E5498">
        <v>0</v>
      </c>
      <c r="F5498">
        <v>4000</v>
      </c>
      <c r="G5498">
        <v>1750</v>
      </c>
      <c r="H5498">
        <v>0</v>
      </c>
      <c r="J5498" t="str">
        <f>VLOOKUP(Table3[[#This Row],[Faction ID]],Table4[],2)</f>
        <v>_</v>
      </c>
    </row>
    <row r="5499" spans="1:10" x14ac:dyDescent="0.25">
      <c r="A5499">
        <v>142</v>
      </c>
      <c r="B5499" t="s">
        <v>37</v>
      </c>
      <c r="C5499">
        <v>0</v>
      </c>
      <c r="D5499">
        <v>0</v>
      </c>
      <c r="E5499">
        <v>0</v>
      </c>
      <c r="F5499">
        <v>4000</v>
      </c>
      <c r="G5499">
        <v>1750</v>
      </c>
      <c r="H5499">
        <v>0</v>
      </c>
      <c r="J5499" t="str">
        <f>VLOOKUP(Table3[[#This Row],[Faction ID]],Table4[],2)</f>
        <v>_</v>
      </c>
    </row>
    <row r="5500" spans="1:10" x14ac:dyDescent="0.25">
      <c r="A5500">
        <v>142</v>
      </c>
      <c r="B5500" t="s">
        <v>38</v>
      </c>
      <c r="C5500">
        <v>0</v>
      </c>
      <c r="D5500">
        <v>0</v>
      </c>
      <c r="E5500">
        <v>0</v>
      </c>
      <c r="F5500">
        <v>4000</v>
      </c>
      <c r="G5500">
        <v>1750</v>
      </c>
      <c r="H5500">
        <v>0</v>
      </c>
      <c r="J5500" t="str">
        <f>VLOOKUP(Table3[[#This Row],[Faction ID]],Table4[],2)</f>
        <v>_</v>
      </c>
    </row>
    <row r="5501" spans="1:10" x14ac:dyDescent="0.25">
      <c r="A5501">
        <v>142</v>
      </c>
      <c r="B5501" t="s">
        <v>39</v>
      </c>
      <c r="C5501">
        <v>0</v>
      </c>
      <c r="D5501">
        <v>0</v>
      </c>
      <c r="E5501">
        <v>0</v>
      </c>
      <c r="F5501">
        <v>4000</v>
      </c>
      <c r="G5501">
        <v>1750</v>
      </c>
      <c r="H5501">
        <v>0</v>
      </c>
      <c r="J5501" t="str">
        <f>VLOOKUP(Table3[[#This Row],[Faction ID]],Table4[],2)</f>
        <v>_</v>
      </c>
    </row>
    <row r="5502" spans="1:10" x14ac:dyDescent="0.25">
      <c r="A5502">
        <v>142</v>
      </c>
      <c r="B5502" t="s">
        <v>40</v>
      </c>
      <c r="C5502">
        <v>0</v>
      </c>
      <c r="D5502">
        <v>0</v>
      </c>
      <c r="E5502">
        <v>0</v>
      </c>
      <c r="F5502">
        <v>4000</v>
      </c>
      <c r="G5502">
        <v>1750</v>
      </c>
      <c r="H5502">
        <v>0</v>
      </c>
      <c r="J5502" t="str">
        <f>VLOOKUP(Table3[[#This Row],[Faction ID]],Table4[],2)</f>
        <v>_</v>
      </c>
    </row>
    <row r="5503" spans="1:10" x14ac:dyDescent="0.25">
      <c r="A5503">
        <v>142</v>
      </c>
      <c r="B5503" t="s">
        <v>41</v>
      </c>
      <c r="C5503">
        <v>0</v>
      </c>
      <c r="D5503">
        <v>0</v>
      </c>
      <c r="E5503">
        <v>0</v>
      </c>
      <c r="F5503">
        <v>4000</v>
      </c>
      <c r="G5503">
        <v>1750</v>
      </c>
      <c r="H5503">
        <v>0</v>
      </c>
      <c r="J5503" t="str">
        <f>VLOOKUP(Table3[[#This Row],[Faction ID]],Table4[],2)</f>
        <v>_</v>
      </c>
    </row>
    <row r="5504" spans="1:10" x14ac:dyDescent="0.25">
      <c r="A5504">
        <v>142</v>
      </c>
      <c r="B5504" t="s">
        <v>42</v>
      </c>
      <c r="C5504">
        <v>0</v>
      </c>
      <c r="D5504">
        <v>0</v>
      </c>
      <c r="E5504">
        <v>0</v>
      </c>
      <c r="F5504">
        <v>4000</v>
      </c>
      <c r="G5504">
        <v>1750</v>
      </c>
      <c r="H5504">
        <v>0</v>
      </c>
      <c r="J5504" t="str">
        <f>VLOOKUP(Table3[[#This Row],[Faction ID]],Table4[],2)</f>
        <v>_</v>
      </c>
    </row>
    <row r="5505" spans="1:10" x14ac:dyDescent="0.25">
      <c r="A5505">
        <v>142</v>
      </c>
      <c r="B5505" t="s">
        <v>43</v>
      </c>
      <c r="C5505">
        <v>0</v>
      </c>
      <c r="D5505">
        <v>0</v>
      </c>
      <c r="E5505">
        <v>0</v>
      </c>
      <c r="F5505">
        <v>4000</v>
      </c>
      <c r="G5505">
        <v>1750</v>
      </c>
      <c r="H5505">
        <v>0</v>
      </c>
      <c r="J5505" t="str">
        <f>VLOOKUP(Table3[[#This Row],[Faction ID]],Table4[],2)</f>
        <v>_</v>
      </c>
    </row>
    <row r="5506" spans="1:10" x14ac:dyDescent="0.25">
      <c r="A5506">
        <v>142</v>
      </c>
      <c r="B5506" t="s">
        <v>44</v>
      </c>
      <c r="C5506">
        <v>0</v>
      </c>
      <c r="D5506">
        <v>0</v>
      </c>
      <c r="E5506">
        <v>0</v>
      </c>
      <c r="F5506">
        <v>4000</v>
      </c>
      <c r="G5506">
        <v>1750</v>
      </c>
      <c r="H5506">
        <v>0</v>
      </c>
      <c r="J5506" t="str">
        <f>VLOOKUP(Table3[[#This Row],[Faction ID]],Table4[],2)</f>
        <v>_</v>
      </c>
    </row>
    <row r="5507" spans="1:10" x14ac:dyDescent="0.25">
      <c r="A5507">
        <v>143</v>
      </c>
      <c r="B5507" t="s">
        <v>9</v>
      </c>
      <c r="C5507">
        <v>759</v>
      </c>
      <c r="D5507">
        <v>62</v>
      </c>
      <c r="E5507">
        <v>757.6</v>
      </c>
      <c r="F5507">
        <v>841</v>
      </c>
      <c r="G5507">
        <v>120199</v>
      </c>
      <c r="H5507">
        <v>11289</v>
      </c>
      <c r="J5507" t="str">
        <f>VLOOKUP(Table3[[#This Row],[Faction ID]],Table4[],2)</f>
        <v>Mordor</v>
      </c>
    </row>
    <row r="5508" spans="1:10" x14ac:dyDescent="0.25">
      <c r="A5508">
        <v>143</v>
      </c>
      <c r="B5508" t="s">
        <v>4</v>
      </c>
      <c r="C5508">
        <v>146</v>
      </c>
      <c r="D5508">
        <v>0</v>
      </c>
      <c r="E5508">
        <v>0</v>
      </c>
      <c r="F5508">
        <v>55420</v>
      </c>
      <c r="G5508">
        <v>2500</v>
      </c>
      <c r="H5508">
        <v>0</v>
      </c>
      <c r="J5508" t="str">
        <f>VLOOKUP(Table3[[#This Row],[Faction ID]],Table4[],2)</f>
        <v>Gondor</v>
      </c>
    </row>
    <row r="5509" spans="1:10" x14ac:dyDescent="0.25">
      <c r="A5509">
        <v>143</v>
      </c>
      <c r="B5509" t="s">
        <v>6</v>
      </c>
      <c r="C5509">
        <v>199</v>
      </c>
      <c r="D5509">
        <v>0</v>
      </c>
      <c r="E5509">
        <v>0</v>
      </c>
      <c r="F5509">
        <v>10343</v>
      </c>
      <c r="G5509">
        <v>2500</v>
      </c>
      <c r="H5509">
        <v>0</v>
      </c>
      <c r="J5509" t="str">
        <f>VLOOKUP(Table3[[#This Row],[Faction ID]],Table4[],2)</f>
        <v>Dale</v>
      </c>
    </row>
    <row r="5510" spans="1:10" x14ac:dyDescent="0.25">
      <c r="A5510">
        <v>143</v>
      </c>
      <c r="B5510" t="s">
        <v>21</v>
      </c>
      <c r="C5510">
        <v>200</v>
      </c>
      <c r="D5510">
        <v>0</v>
      </c>
      <c r="E5510">
        <v>0</v>
      </c>
      <c r="F5510">
        <v>10040</v>
      </c>
      <c r="G5510">
        <v>2500</v>
      </c>
      <c r="H5510">
        <v>0</v>
      </c>
      <c r="J5510" t="str">
        <f>VLOOKUP(Table3[[#This Row],[Faction ID]],Table4[],2)</f>
        <v>Erebor</v>
      </c>
    </row>
    <row r="5511" spans="1:10" x14ac:dyDescent="0.25">
      <c r="A5511">
        <v>143</v>
      </c>
      <c r="B5511" t="s">
        <v>5</v>
      </c>
      <c r="C5511">
        <v>157</v>
      </c>
      <c r="D5511">
        <v>0</v>
      </c>
      <c r="E5511">
        <v>0</v>
      </c>
      <c r="F5511">
        <v>6638</v>
      </c>
      <c r="G5511">
        <v>2500</v>
      </c>
      <c r="H5511">
        <v>0</v>
      </c>
      <c r="J5511" t="str">
        <f>VLOOKUP(Table3[[#This Row],[Faction ID]],Table4[],2)</f>
        <v>Rohan</v>
      </c>
    </row>
    <row r="5512" spans="1:10" x14ac:dyDescent="0.25">
      <c r="A5512">
        <v>143</v>
      </c>
      <c r="B5512" t="s">
        <v>12</v>
      </c>
      <c r="C5512">
        <v>543</v>
      </c>
      <c r="D5512">
        <v>25</v>
      </c>
      <c r="E5512">
        <v>437.4</v>
      </c>
      <c r="F5512">
        <v>460303</v>
      </c>
      <c r="G5512">
        <v>71215</v>
      </c>
      <c r="H5512">
        <v>3180</v>
      </c>
      <c r="J5512" t="str">
        <f>VLOOKUP(Table3[[#This Row],[Faction ID]],Table4[],2)</f>
        <v>Dol Guldur</v>
      </c>
    </row>
    <row r="5513" spans="1:10" x14ac:dyDescent="0.25">
      <c r="A5513">
        <v>143</v>
      </c>
      <c r="B5513" t="s">
        <v>10</v>
      </c>
      <c r="C5513">
        <v>58</v>
      </c>
      <c r="D5513">
        <v>0</v>
      </c>
      <c r="E5513">
        <v>0</v>
      </c>
      <c r="F5513">
        <v>4515</v>
      </c>
      <c r="G5513">
        <v>2500</v>
      </c>
      <c r="H5513">
        <v>0</v>
      </c>
      <c r="J5513" t="str">
        <f>VLOOKUP(Table3[[#This Row],[Faction ID]],Table4[],2)</f>
        <v>Anduin Vale</v>
      </c>
    </row>
    <row r="5514" spans="1:10" x14ac:dyDescent="0.25">
      <c r="A5514">
        <v>143</v>
      </c>
      <c r="B5514" t="s">
        <v>32</v>
      </c>
      <c r="C5514">
        <v>329</v>
      </c>
      <c r="D5514">
        <v>0</v>
      </c>
      <c r="E5514">
        <v>0</v>
      </c>
      <c r="F5514">
        <v>23007</v>
      </c>
      <c r="G5514">
        <v>2500</v>
      </c>
      <c r="H5514">
        <v>0</v>
      </c>
      <c r="J5514" t="str">
        <f>VLOOKUP(Table3[[#This Row],[Faction ID]],Table4[],2)</f>
        <v>Isengard</v>
      </c>
    </row>
    <row r="5515" spans="1:10" x14ac:dyDescent="0.25">
      <c r="A5515">
        <v>143</v>
      </c>
      <c r="B5515" t="s">
        <v>22</v>
      </c>
      <c r="C5515">
        <v>30</v>
      </c>
      <c r="D5515">
        <v>0</v>
      </c>
      <c r="E5515">
        <v>0</v>
      </c>
      <c r="F5515">
        <v>8475</v>
      </c>
      <c r="G5515">
        <v>2500</v>
      </c>
      <c r="H5515">
        <v>0</v>
      </c>
      <c r="J5515" t="str">
        <f>VLOOKUP(Table3[[#This Row],[Faction ID]],Table4[],2)</f>
        <v>Woodland Realm</v>
      </c>
    </row>
    <row r="5516" spans="1:10" x14ac:dyDescent="0.25">
      <c r="A5516">
        <v>143</v>
      </c>
      <c r="B5516" t="s">
        <v>23</v>
      </c>
      <c r="C5516">
        <v>64</v>
      </c>
      <c r="D5516">
        <v>0</v>
      </c>
      <c r="E5516">
        <v>0</v>
      </c>
      <c r="F5516">
        <v>4721</v>
      </c>
      <c r="G5516">
        <v>2500</v>
      </c>
      <c r="H5516">
        <v>0</v>
      </c>
      <c r="J5516" t="str">
        <f>VLOOKUP(Table3[[#This Row],[Faction ID]],Table4[],2)</f>
        <v>Lothlorien</v>
      </c>
    </row>
    <row r="5517" spans="1:10" x14ac:dyDescent="0.25">
      <c r="A5517">
        <v>143</v>
      </c>
      <c r="B5517" t="s">
        <v>24</v>
      </c>
      <c r="C5517">
        <v>0</v>
      </c>
      <c r="D5517">
        <v>0</v>
      </c>
      <c r="E5517">
        <v>0</v>
      </c>
      <c r="F5517">
        <v>4919</v>
      </c>
      <c r="G5517">
        <v>1750</v>
      </c>
      <c r="H5517">
        <v>0</v>
      </c>
      <c r="J5517" t="str">
        <f>VLOOKUP(Table3[[#This Row],[Faction ID]],Table4[],2)</f>
        <v>Variags (Khand)</v>
      </c>
    </row>
    <row r="5518" spans="1:10" x14ac:dyDescent="0.25">
      <c r="A5518">
        <v>143</v>
      </c>
      <c r="B5518" t="s">
        <v>14</v>
      </c>
      <c r="C5518">
        <v>21</v>
      </c>
      <c r="D5518">
        <v>15</v>
      </c>
      <c r="E5518">
        <v>235.3</v>
      </c>
      <c r="F5518">
        <v>530601</v>
      </c>
      <c r="G5518">
        <v>57871</v>
      </c>
      <c r="H5518">
        <v>5861</v>
      </c>
      <c r="J5518" t="str">
        <f>VLOOKUP(Table3[[#This Row],[Faction ID]],Table4[],2)</f>
        <v>Corsairs of Umbar</v>
      </c>
    </row>
    <row r="5519" spans="1:10" x14ac:dyDescent="0.25">
      <c r="A5519">
        <v>143</v>
      </c>
      <c r="B5519" t="s">
        <v>25</v>
      </c>
      <c r="C5519">
        <v>0</v>
      </c>
      <c r="D5519">
        <v>0</v>
      </c>
      <c r="E5519">
        <v>0</v>
      </c>
      <c r="F5519">
        <v>9228</v>
      </c>
      <c r="G5519">
        <v>1750</v>
      </c>
      <c r="H5519">
        <v>0</v>
      </c>
      <c r="J5519" t="str">
        <f>VLOOKUP(Table3[[#This Row],[Faction ID]],Table4[],2)</f>
        <v>Mahud</v>
      </c>
    </row>
    <row r="5520" spans="1:10" x14ac:dyDescent="0.25">
      <c r="A5520">
        <v>143</v>
      </c>
      <c r="B5520" t="s">
        <v>11</v>
      </c>
      <c r="C5520">
        <v>392</v>
      </c>
      <c r="D5520">
        <v>16</v>
      </c>
      <c r="E5520">
        <v>262.8</v>
      </c>
      <c r="F5520">
        <v>274833</v>
      </c>
      <c r="G5520">
        <v>42231</v>
      </c>
      <c r="H5520">
        <v>3329</v>
      </c>
      <c r="J5520" t="str">
        <f>VLOOKUP(Table3[[#This Row],[Faction ID]],Table4[],2)</f>
        <v>Haradrim</v>
      </c>
    </row>
    <row r="5521" spans="1:10" x14ac:dyDescent="0.25">
      <c r="A5521">
        <v>143</v>
      </c>
      <c r="B5521" t="s">
        <v>15</v>
      </c>
      <c r="C5521">
        <v>370</v>
      </c>
      <c r="D5521">
        <v>11</v>
      </c>
      <c r="E5521">
        <v>209.8</v>
      </c>
      <c r="F5521">
        <v>322159</v>
      </c>
      <c r="G5521">
        <v>44649</v>
      </c>
      <c r="H5521">
        <v>0</v>
      </c>
      <c r="J5521" t="str">
        <f>VLOOKUP(Table3[[#This Row],[Faction ID]],Table4[],2)</f>
        <v>Dunlendings</v>
      </c>
    </row>
    <row r="5522" spans="1:10" x14ac:dyDescent="0.25">
      <c r="A5522">
        <v>143</v>
      </c>
      <c r="B5522" t="s">
        <v>16</v>
      </c>
      <c r="C5522">
        <v>0</v>
      </c>
      <c r="D5522">
        <v>0</v>
      </c>
      <c r="E5522">
        <v>0</v>
      </c>
      <c r="F5522">
        <v>5352</v>
      </c>
      <c r="G5522">
        <v>1750</v>
      </c>
      <c r="H5522">
        <v>0</v>
      </c>
      <c r="J5522" t="str">
        <f>VLOOKUP(Table3[[#This Row],[Faction ID]],Table4[],2)</f>
        <v>Haerrim</v>
      </c>
    </row>
    <row r="5523" spans="1:10" x14ac:dyDescent="0.25">
      <c r="A5523">
        <v>143</v>
      </c>
      <c r="B5523" t="s">
        <v>13</v>
      </c>
      <c r="C5523">
        <v>666</v>
      </c>
      <c r="D5523">
        <v>0</v>
      </c>
      <c r="E5523">
        <v>0</v>
      </c>
      <c r="F5523">
        <v>128480</v>
      </c>
      <c r="G5523">
        <v>2500</v>
      </c>
      <c r="H5523">
        <v>0</v>
      </c>
      <c r="J5523" t="str">
        <f>VLOOKUP(Table3[[#This Row],[Faction ID]],Table4[],2)</f>
        <v>Goblins</v>
      </c>
    </row>
    <row r="5524" spans="1:10" x14ac:dyDescent="0.25">
      <c r="A5524">
        <v>143</v>
      </c>
      <c r="B5524" t="s">
        <v>17</v>
      </c>
      <c r="C5524">
        <v>0</v>
      </c>
      <c r="D5524">
        <v>0</v>
      </c>
      <c r="E5524">
        <v>0</v>
      </c>
      <c r="F5524">
        <v>4872</v>
      </c>
      <c r="G5524">
        <v>1750</v>
      </c>
      <c r="H5524">
        <v>0</v>
      </c>
      <c r="J5524" t="str">
        <f>VLOOKUP(Table3[[#This Row],[Faction ID]],Table4[],2)</f>
        <v>Balchoth</v>
      </c>
    </row>
    <row r="5525" spans="1:10" x14ac:dyDescent="0.25">
      <c r="A5525">
        <v>143</v>
      </c>
      <c r="B5525" t="s">
        <v>18</v>
      </c>
      <c r="C5525">
        <v>672</v>
      </c>
      <c r="D5525">
        <v>21</v>
      </c>
      <c r="E5525">
        <v>274.2</v>
      </c>
      <c r="F5525">
        <v>428670</v>
      </c>
      <c r="G5525">
        <v>44051</v>
      </c>
      <c r="H5525">
        <v>0</v>
      </c>
      <c r="J5525" t="str">
        <f>VLOOKUP(Table3[[#This Row],[Faction ID]],Table4[],2)</f>
        <v>Rhurim/Rhun</v>
      </c>
    </row>
    <row r="5526" spans="1:10" x14ac:dyDescent="0.25">
      <c r="A5526">
        <v>143</v>
      </c>
      <c r="B5526" t="s">
        <v>19</v>
      </c>
      <c r="C5526">
        <v>0</v>
      </c>
      <c r="D5526">
        <v>0</v>
      </c>
      <c r="E5526">
        <v>0</v>
      </c>
      <c r="F5526">
        <v>7360</v>
      </c>
      <c r="G5526">
        <v>1750</v>
      </c>
      <c r="H5526">
        <v>0</v>
      </c>
      <c r="J5526" t="str">
        <f>VLOOKUP(Table3[[#This Row],[Faction ID]],Table4[],2)</f>
        <v>Feredrim</v>
      </c>
    </row>
    <row r="5527" spans="1:10" x14ac:dyDescent="0.25">
      <c r="A5527">
        <v>143</v>
      </c>
      <c r="B5527" t="s">
        <v>26</v>
      </c>
      <c r="C5527">
        <v>0</v>
      </c>
      <c r="D5527">
        <v>0</v>
      </c>
      <c r="E5527">
        <v>0</v>
      </c>
      <c r="F5527">
        <v>6395</v>
      </c>
      <c r="G5527">
        <v>1750</v>
      </c>
      <c r="H5527">
        <v>0</v>
      </c>
      <c r="J5527" t="str">
        <f>VLOOKUP(Table3[[#This Row],[Faction ID]],Table4[],2)</f>
        <v>Rachrohir (Wainriders)</v>
      </c>
    </row>
    <row r="5528" spans="1:10" x14ac:dyDescent="0.25">
      <c r="A5528">
        <v>143</v>
      </c>
      <c r="B5528" t="s">
        <v>27</v>
      </c>
      <c r="C5528">
        <v>6</v>
      </c>
      <c r="D5528">
        <v>4</v>
      </c>
      <c r="E5528">
        <v>68.099999999999994</v>
      </c>
      <c r="F5528">
        <v>31134</v>
      </c>
      <c r="G5528">
        <v>18386</v>
      </c>
      <c r="H5528">
        <v>1207</v>
      </c>
      <c r="J5528" t="str">
        <f>VLOOKUP(Table3[[#This Row],[Faction ID]],Table4[],2)</f>
        <v>Blacklock-Stonefoot League</v>
      </c>
    </row>
    <row r="5529" spans="1:10" x14ac:dyDescent="0.25">
      <c r="A5529">
        <v>143</v>
      </c>
      <c r="B5529" t="s">
        <v>28</v>
      </c>
      <c r="C5529">
        <v>5</v>
      </c>
      <c r="D5529">
        <v>2</v>
      </c>
      <c r="E5529">
        <v>48.6</v>
      </c>
      <c r="F5529">
        <v>17727</v>
      </c>
      <c r="G5529">
        <v>13615</v>
      </c>
      <c r="H5529">
        <v>1015</v>
      </c>
      <c r="J5529" t="str">
        <f>VLOOKUP(Table3[[#This Row],[Faction ID]],Table4[],2)</f>
        <v>Ironfist-Stiffbeard Union</v>
      </c>
    </row>
    <row r="5530" spans="1:10" x14ac:dyDescent="0.25">
      <c r="A5530">
        <v>143</v>
      </c>
      <c r="B5530" t="s">
        <v>20</v>
      </c>
      <c r="C5530">
        <v>245</v>
      </c>
      <c r="D5530">
        <v>0</v>
      </c>
      <c r="E5530">
        <v>0</v>
      </c>
      <c r="F5530">
        <v>9750</v>
      </c>
      <c r="G5530">
        <v>2500</v>
      </c>
      <c r="H5530">
        <v>0</v>
      </c>
      <c r="J5530" t="str">
        <f>VLOOKUP(Table3[[#This Row],[Faction ID]],Table4[],2)</f>
        <v>Gundabad</v>
      </c>
    </row>
    <row r="5531" spans="1:10" x14ac:dyDescent="0.25">
      <c r="A5531">
        <v>143</v>
      </c>
      <c r="B5531" t="s">
        <v>34</v>
      </c>
      <c r="C5531">
        <v>0</v>
      </c>
      <c r="D5531">
        <v>0</v>
      </c>
      <c r="E5531">
        <v>3</v>
      </c>
      <c r="F5531">
        <v>164257</v>
      </c>
      <c r="G5531">
        <v>2354</v>
      </c>
      <c r="H5531">
        <v>0</v>
      </c>
      <c r="J5531" t="str">
        <f>VLOOKUP(Table3[[#This Row],[Faction ID]],Table4[],2)</f>
        <v>Scouts of Rohan</v>
      </c>
    </row>
    <row r="5532" spans="1:10" x14ac:dyDescent="0.25">
      <c r="A5532">
        <v>143</v>
      </c>
      <c r="B5532" t="s">
        <v>33</v>
      </c>
      <c r="C5532">
        <v>0</v>
      </c>
      <c r="D5532">
        <v>0</v>
      </c>
      <c r="E5532">
        <v>0</v>
      </c>
      <c r="F5532">
        <v>23466</v>
      </c>
      <c r="G5532">
        <v>1750</v>
      </c>
      <c r="H5532">
        <v>0</v>
      </c>
      <c r="J5532" t="str">
        <f>VLOOKUP(Table3[[#This Row],[Faction ID]],Table4[],2)</f>
        <v>Northern Enedwaith</v>
      </c>
    </row>
    <row r="5533" spans="1:10" x14ac:dyDescent="0.25">
      <c r="A5533">
        <v>143</v>
      </c>
      <c r="B5533" t="s">
        <v>29</v>
      </c>
      <c r="C5533">
        <v>0</v>
      </c>
      <c r="D5533">
        <v>0</v>
      </c>
      <c r="E5533">
        <v>0</v>
      </c>
      <c r="F5533">
        <v>54023</v>
      </c>
      <c r="G5533">
        <v>1750</v>
      </c>
      <c r="H5533">
        <v>0</v>
      </c>
      <c r="J5533" t="str">
        <f>VLOOKUP(Table3[[#This Row],[Faction ID]],Table4[],2)</f>
        <v>Southern Enedwaith</v>
      </c>
    </row>
    <row r="5534" spans="1:10" x14ac:dyDescent="0.25">
      <c r="A5534">
        <v>143</v>
      </c>
      <c r="B5534" t="s">
        <v>30</v>
      </c>
      <c r="C5534">
        <v>0</v>
      </c>
      <c r="D5534">
        <v>0</v>
      </c>
      <c r="E5534">
        <v>0</v>
      </c>
      <c r="F5534">
        <v>32146</v>
      </c>
      <c r="G5534">
        <v>1750</v>
      </c>
      <c r="H5534">
        <v>0</v>
      </c>
      <c r="J5534" t="str">
        <f>VLOOKUP(Table3[[#This Row],[Faction ID]],Table4[],2)</f>
        <v>Druedain</v>
      </c>
    </row>
    <row r="5535" spans="1:10" x14ac:dyDescent="0.25">
      <c r="A5535">
        <v>143</v>
      </c>
      <c r="B5535" t="s">
        <v>31</v>
      </c>
      <c r="C5535">
        <v>0</v>
      </c>
      <c r="D5535">
        <v>0</v>
      </c>
      <c r="E5535">
        <v>0</v>
      </c>
      <c r="F5535">
        <v>15146</v>
      </c>
      <c r="G5535">
        <v>1750</v>
      </c>
      <c r="H5535">
        <v>0</v>
      </c>
      <c r="J5535" t="str">
        <f>VLOOKUP(Table3[[#This Row],[Faction ID]],Table4[],2)</f>
        <v>Harondor</v>
      </c>
    </row>
    <row r="5536" spans="1:10" x14ac:dyDescent="0.25">
      <c r="A5536">
        <v>143</v>
      </c>
      <c r="B5536" t="s">
        <v>35</v>
      </c>
      <c r="C5536">
        <v>0</v>
      </c>
      <c r="D5536">
        <v>0</v>
      </c>
      <c r="E5536">
        <v>0</v>
      </c>
      <c r="F5536">
        <v>4000</v>
      </c>
      <c r="G5536">
        <v>1750</v>
      </c>
      <c r="H5536">
        <v>0</v>
      </c>
      <c r="J5536" t="str">
        <f>VLOOKUP(Table3[[#This Row],[Faction ID]],Table4[],2)</f>
        <v>Southron Nomads</v>
      </c>
    </row>
    <row r="5537" spans="1:10" x14ac:dyDescent="0.25">
      <c r="A5537">
        <v>143</v>
      </c>
      <c r="B5537" t="s">
        <v>36</v>
      </c>
      <c r="C5537">
        <v>0</v>
      </c>
      <c r="D5537">
        <v>0</v>
      </c>
      <c r="E5537">
        <v>0</v>
      </c>
      <c r="F5537">
        <v>4000</v>
      </c>
      <c r="G5537">
        <v>1750</v>
      </c>
      <c r="H5537">
        <v>0</v>
      </c>
      <c r="J5537" t="str">
        <f>VLOOKUP(Table3[[#This Row],[Faction ID]],Table4[],2)</f>
        <v>_</v>
      </c>
    </row>
    <row r="5538" spans="1:10" x14ac:dyDescent="0.25">
      <c r="A5538">
        <v>143</v>
      </c>
      <c r="B5538" t="s">
        <v>37</v>
      </c>
      <c r="C5538">
        <v>0</v>
      </c>
      <c r="D5538">
        <v>0</v>
      </c>
      <c r="E5538">
        <v>0</v>
      </c>
      <c r="F5538">
        <v>4000</v>
      </c>
      <c r="G5538">
        <v>1750</v>
      </c>
      <c r="H5538">
        <v>0</v>
      </c>
      <c r="J5538" t="str">
        <f>VLOOKUP(Table3[[#This Row],[Faction ID]],Table4[],2)</f>
        <v>_</v>
      </c>
    </row>
    <row r="5539" spans="1:10" x14ac:dyDescent="0.25">
      <c r="A5539">
        <v>143</v>
      </c>
      <c r="B5539" t="s">
        <v>38</v>
      </c>
      <c r="C5539">
        <v>0</v>
      </c>
      <c r="D5539">
        <v>0</v>
      </c>
      <c r="E5539">
        <v>0</v>
      </c>
      <c r="F5539">
        <v>4000</v>
      </c>
      <c r="G5539">
        <v>1750</v>
      </c>
      <c r="H5539">
        <v>0</v>
      </c>
      <c r="J5539" t="str">
        <f>VLOOKUP(Table3[[#This Row],[Faction ID]],Table4[],2)</f>
        <v>_</v>
      </c>
    </row>
    <row r="5540" spans="1:10" x14ac:dyDescent="0.25">
      <c r="A5540">
        <v>143</v>
      </c>
      <c r="B5540" t="s">
        <v>39</v>
      </c>
      <c r="C5540">
        <v>0</v>
      </c>
      <c r="D5540">
        <v>0</v>
      </c>
      <c r="E5540">
        <v>0</v>
      </c>
      <c r="F5540">
        <v>4000</v>
      </c>
      <c r="G5540">
        <v>1750</v>
      </c>
      <c r="H5540">
        <v>0</v>
      </c>
      <c r="J5540" t="str">
        <f>VLOOKUP(Table3[[#This Row],[Faction ID]],Table4[],2)</f>
        <v>_</v>
      </c>
    </row>
    <row r="5541" spans="1:10" x14ac:dyDescent="0.25">
      <c r="A5541">
        <v>143</v>
      </c>
      <c r="B5541" t="s">
        <v>40</v>
      </c>
      <c r="C5541">
        <v>0</v>
      </c>
      <c r="D5541">
        <v>0</v>
      </c>
      <c r="E5541">
        <v>0</v>
      </c>
      <c r="F5541">
        <v>4000</v>
      </c>
      <c r="G5541">
        <v>1750</v>
      </c>
      <c r="H5541">
        <v>0</v>
      </c>
      <c r="J5541" t="str">
        <f>VLOOKUP(Table3[[#This Row],[Faction ID]],Table4[],2)</f>
        <v>_</v>
      </c>
    </row>
    <row r="5542" spans="1:10" x14ac:dyDescent="0.25">
      <c r="A5542">
        <v>143</v>
      </c>
      <c r="B5542" t="s">
        <v>41</v>
      </c>
      <c r="C5542">
        <v>0</v>
      </c>
      <c r="D5542">
        <v>0</v>
      </c>
      <c r="E5542">
        <v>0</v>
      </c>
      <c r="F5542">
        <v>4000</v>
      </c>
      <c r="G5542">
        <v>1750</v>
      </c>
      <c r="H5542">
        <v>0</v>
      </c>
      <c r="J5542" t="str">
        <f>VLOOKUP(Table3[[#This Row],[Faction ID]],Table4[],2)</f>
        <v>_</v>
      </c>
    </row>
    <row r="5543" spans="1:10" x14ac:dyDescent="0.25">
      <c r="A5543">
        <v>143</v>
      </c>
      <c r="B5543" t="s">
        <v>42</v>
      </c>
      <c r="C5543">
        <v>0</v>
      </c>
      <c r="D5543">
        <v>0</v>
      </c>
      <c r="E5543">
        <v>0</v>
      </c>
      <c r="F5543">
        <v>4000</v>
      </c>
      <c r="G5543">
        <v>1750</v>
      </c>
      <c r="H5543">
        <v>0</v>
      </c>
      <c r="J5543" t="str">
        <f>VLOOKUP(Table3[[#This Row],[Faction ID]],Table4[],2)</f>
        <v>_</v>
      </c>
    </row>
    <row r="5544" spans="1:10" x14ac:dyDescent="0.25">
      <c r="A5544">
        <v>143</v>
      </c>
      <c r="B5544" t="s">
        <v>43</v>
      </c>
      <c r="C5544">
        <v>0</v>
      </c>
      <c r="D5544">
        <v>0</v>
      </c>
      <c r="E5544">
        <v>0</v>
      </c>
      <c r="F5544">
        <v>4000</v>
      </c>
      <c r="G5544">
        <v>1750</v>
      </c>
      <c r="H5544">
        <v>0</v>
      </c>
      <c r="J5544" t="str">
        <f>VLOOKUP(Table3[[#This Row],[Faction ID]],Table4[],2)</f>
        <v>_</v>
      </c>
    </row>
    <row r="5545" spans="1:10" x14ac:dyDescent="0.25">
      <c r="A5545">
        <v>143</v>
      </c>
      <c r="B5545" t="s">
        <v>44</v>
      </c>
      <c r="C5545">
        <v>0</v>
      </c>
      <c r="D5545">
        <v>0</v>
      </c>
      <c r="E5545">
        <v>0</v>
      </c>
      <c r="F5545">
        <v>4000</v>
      </c>
      <c r="G5545">
        <v>1750</v>
      </c>
      <c r="H5545">
        <v>0</v>
      </c>
      <c r="J5545" t="str">
        <f>VLOOKUP(Table3[[#This Row],[Faction ID]],Table4[],2)</f>
        <v>_</v>
      </c>
    </row>
    <row r="5546" spans="1:10" x14ac:dyDescent="0.25">
      <c r="A5546">
        <v>144</v>
      </c>
      <c r="B5546" t="s">
        <v>9</v>
      </c>
      <c r="C5546">
        <v>765</v>
      </c>
      <c r="D5546">
        <v>63</v>
      </c>
      <c r="E5546">
        <v>766.6</v>
      </c>
      <c r="F5546">
        <v>1329</v>
      </c>
      <c r="G5546">
        <v>120528</v>
      </c>
      <c r="H5546">
        <v>11323</v>
      </c>
      <c r="J5546" t="str">
        <f>VLOOKUP(Table3[[#This Row],[Faction ID]],Table4[],2)</f>
        <v>Mordor</v>
      </c>
    </row>
    <row r="5547" spans="1:10" x14ac:dyDescent="0.25">
      <c r="A5547">
        <v>144</v>
      </c>
      <c r="B5547" t="s">
        <v>4</v>
      </c>
      <c r="C5547">
        <v>146</v>
      </c>
      <c r="D5547">
        <v>0</v>
      </c>
      <c r="E5547">
        <v>0</v>
      </c>
      <c r="F5547">
        <v>55420</v>
      </c>
      <c r="G5547">
        <v>2500</v>
      </c>
      <c r="H5547">
        <v>0</v>
      </c>
      <c r="J5547" t="str">
        <f>VLOOKUP(Table3[[#This Row],[Faction ID]],Table4[],2)</f>
        <v>Gondor</v>
      </c>
    </row>
    <row r="5548" spans="1:10" x14ac:dyDescent="0.25">
      <c r="A5548">
        <v>144</v>
      </c>
      <c r="B5548" t="s">
        <v>6</v>
      </c>
      <c r="C5548">
        <v>199</v>
      </c>
      <c r="D5548">
        <v>0</v>
      </c>
      <c r="E5548">
        <v>0</v>
      </c>
      <c r="F5548">
        <v>10343</v>
      </c>
      <c r="G5548">
        <v>2500</v>
      </c>
      <c r="H5548">
        <v>0</v>
      </c>
      <c r="J5548" t="str">
        <f>VLOOKUP(Table3[[#This Row],[Faction ID]],Table4[],2)</f>
        <v>Dale</v>
      </c>
    </row>
    <row r="5549" spans="1:10" x14ac:dyDescent="0.25">
      <c r="A5549">
        <v>144</v>
      </c>
      <c r="B5549" t="s">
        <v>21</v>
      </c>
      <c r="C5549">
        <v>200</v>
      </c>
      <c r="D5549">
        <v>0</v>
      </c>
      <c r="E5549">
        <v>0</v>
      </c>
      <c r="F5549">
        <v>10040</v>
      </c>
      <c r="G5549">
        <v>2500</v>
      </c>
      <c r="H5549">
        <v>0</v>
      </c>
      <c r="J5549" t="str">
        <f>VLOOKUP(Table3[[#This Row],[Faction ID]],Table4[],2)</f>
        <v>Erebor</v>
      </c>
    </row>
    <row r="5550" spans="1:10" x14ac:dyDescent="0.25">
      <c r="A5550">
        <v>144</v>
      </c>
      <c r="B5550" t="s">
        <v>5</v>
      </c>
      <c r="C5550">
        <v>157</v>
      </c>
      <c r="D5550">
        <v>0</v>
      </c>
      <c r="E5550">
        <v>0</v>
      </c>
      <c r="F5550">
        <v>6638</v>
      </c>
      <c r="G5550">
        <v>2500</v>
      </c>
      <c r="H5550">
        <v>0</v>
      </c>
      <c r="J5550" t="str">
        <f>VLOOKUP(Table3[[#This Row],[Faction ID]],Table4[],2)</f>
        <v>Rohan</v>
      </c>
    </row>
    <row r="5551" spans="1:10" x14ac:dyDescent="0.25">
      <c r="A5551">
        <v>144</v>
      </c>
      <c r="B5551" t="s">
        <v>12</v>
      </c>
      <c r="C5551">
        <v>543</v>
      </c>
      <c r="D5551">
        <v>25</v>
      </c>
      <c r="E5551">
        <v>447.6</v>
      </c>
      <c r="F5551">
        <v>491761</v>
      </c>
      <c r="G5551">
        <v>75127</v>
      </c>
      <c r="H5551">
        <v>4485</v>
      </c>
      <c r="J5551" t="str">
        <f>VLOOKUP(Table3[[#This Row],[Faction ID]],Table4[],2)</f>
        <v>Dol Guldur</v>
      </c>
    </row>
    <row r="5552" spans="1:10" x14ac:dyDescent="0.25">
      <c r="A5552">
        <v>144</v>
      </c>
      <c r="B5552" t="s">
        <v>10</v>
      </c>
      <c r="C5552">
        <v>58</v>
      </c>
      <c r="D5552">
        <v>0</v>
      </c>
      <c r="E5552">
        <v>0</v>
      </c>
      <c r="F5552">
        <v>4515</v>
      </c>
      <c r="G5552">
        <v>2500</v>
      </c>
      <c r="H5552">
        <v>0</v>
      </c>
      <c r="J5552" t="str">
        <f>VLOOKUP(Table3[[#This Row],[Faction ID]],Table4[],2)</f>
        <v>Anduin Vale</v>
      </c>
    </row>
    <row r="5553" spans="1:10" x14ac:dyDescent="0.25">
      <c r="A5553">
        <v>144</v>
      </c>
      <c r="B5553" t="s">
        <v>32</v>
      </c>
      <c r="C5553">
        <v>329</v>
      </c>
      <c r="D5553">
        <v>0</v>
      </c>
      <c r="E5553">
        <v>0</v>
      </c>
      <c r="F5553">
        <v>23007</v>
      </c>
      <c r="G5553">
        <v>2500</v>
      </c>
      <c r="H5553">
        <v>0</v>
      </c>
      <c r="J5553" t="str">
        <f>VLOOKUP(Table3[[#This Row],[Faction ID]],Table4[],2)</f>
        <v>Isengard</v>
      </c>
    </row>
    <row r="5554" spans="1:10" x14ac:dyDescent="0.25">
      <c r="A5554">
        <v>144</v>
      </c>
      <c r="B5554" t="s">
        <v>22</v>
      </c>
      <c r="C5554">
        <v>30</v>
      </c>
      <c r="D5554">
        <v>0</v>
      </c>
      <c r="E5554">
        <v>0</v>
      </c>
      <c r="F5554">
        <v>8475</v>
      </c>
      <c r="G5554">
        <v>2500</v>
      </c>
      <c r="H5554">
        <v>0</v>
      </c>
      <c r="J5554" t="str">
        <f>VLOOKUP(Table3[[#This Row],[Faction ID]],Table4[],2)</f>
        <v>Woodland Realm</v>
      </c>
    </row>
    <row r="5555" spans="1:10" x14ac:dyDescent="0.25">
      <c r="A5555">
        <v>144</v>
      </c>
      <c r="B5555" t="s">
        <v>23</v>
      </c>
      <c r="C5555">
        <v>64</v>
      </c>
      <c r="D5555">
        <v>0</v>
      </c>
      <c r="E5555">
        <v>0</v>
      </c>
      <c r="F5555">
        <v>4721</v>
      </c>
      <c r="G5555">
        <v>2500</v>
      </c>
      <c r="H5555">
        <v>0</v>
      </c>
      <c r="J5555" t="str">
        <f>VLOOKUP(Table3[[#This Row],[Faction ID]],Table4[],2)</f>
        <v>Lothlorien</v>
      </c>
    </row>
    <row r="5556" spans="1:10" x14ac:dyDescent="0.25">
      <c r="A5556">
        <v>144</v>
      </c>
      <c r="B5556" t="s">
        <v>24</v>
      </c>
      <c r="C5556">
        <v>0</v>
      </c>
      <c r="D5556">
        <v>0</v>
      </c>
      <c r="E5556">
        <v>0</v>
      </c>
      <c r="F5556">
        <v>4919</v>
      </c>
      <c r="G5556">
        <v>1750</v>
      </c>
      <c r="H5556">
        <v>0</v>
      </c>
      <c r="J5556" t="str">
        <f>VLOOKUP(Table3[[#This Row],[Faction ID]],Table4[],2)</f>
        <v>Variags (Khand)</v>
      </c>
    </row>
    <row r="5557" spans="1:10" x14ac:dyDescent="0.25">
      <c r="A5557">
        <v>144</v>
      </c>
      <c r="B5557" t="s">
        <v>14</v>
      </c>
      <c r="C5557">
        <v>21</v>
      </c>
      <c r="D5557">
        <v>15</v>
      </c>
      <c r="E5557">
        <v>239.3</v>
      </c>
      <c r="F5557">
        <v>544523</v>
      </c>
      <c r="G5557">
        <v>58101</v>
      </c>
      <c r="H5557">
        <v>5884</v>
      </c>
      <c r="J5557" t="str">
        <f>VLOOKUP(Table3[[#This Row],[Faction ID]],Table4[],2)</f>
        <v>Corsairs of Umbar</v>
      </c>
    </row>
    <row r="5558" spans="1:10" x14ac:dyDescent="0.25">
      <c r="A5558">
        <v>144</v>
      </c>
      <c r="B5558" t="s">
        <v>25</v>
      </c>
      <c r="C5558">
        <v>0</v>
      </c>
      <c r="D5558">
        <v>0</v>
      </c>
      <c r="E5558">
        <v>0</v>
      </c>
      <c r="F5558">
        <v>9228</v>
      </c>
      <c r="G5558">
        <v>1750</v>
      </c>
      <c r="H5558">
        <v>0</v>
      </c>
      <c r="J5558" t="str">
        <f>VLOOKUP(Table3[[#This Row],[Faction ID]],Table4[],2)</f>
        <v>Mahud</v>
      </c>
    </row>
    <row r="5559" spans="1:10" x14ac:dyDescent="0.25">
      <c r="A5559">
        <v>144</v>
      </c>
      <c r="B5559" t="s">
        <v>11</v>
      </c>
      <c r="C5559">
        <v>408</v>
      </c>
      <c r="D5559">
        <v>16</v>
      </c>
      <c r="E5559">
        <v>275.10000000000002</v>
      </c>
      <c r="F5559">
        <v>283070</v>
      </c>
      <c r="G5559">
        <v>46043</v>
      </c>
      <c r="H5559">
        <v>3376</v>
      </c>
      <c r="J5559" t="str">
        <f>VLOOKUP(Table3[[#This Row],[Faction ID]],Table4[],2)</f>
        <v>Haradrim</v>
      </c>
    </row>
    <row r="5560" spans="1:10" x14ac:dyDescent="0.25">
      <c r="A5560">
        <v>144</v>
      </c>
      <c r="B5560" t="s">
        <v>15</v>
      </c>
      <c r="C5560">
        <v>370</v>
      </c>
      <c r="D5560">
        <v>11</v>
      </c>
      <c r="E5560">
        <v>216.7</v>
      </c>
      <c r="F5560">
        <v>365736</v>
      </c>
      <c r="G5560">
        <v>45153</v>
      </c>
      <c r="H5560">
        <v>0</v>
      </c>
      <c r="J5560" t="str">
        <f>VLOOKUP(Table3[[#This Row],[Faction ID]],Table4[],2)</f>
        <v>Dunlendings</v>
      </c>
    </row>
    <row r="5561" spans="1:10" x14ac:dyDescent="0.25">
      <c r="A5561">
        <v>144</v>
      </c>
      <c r="B5561" t="s">
        <v>16</v>
      </c>
      <c r="C5561">
        <v>0</v>
      </c>
      <c r="D5561">
        <v>0</v>
      </c>
      <c r="E5561">
        <v>0</v>
      </c>
      <c r="F5561">
        <v>5352</v>
      </c>
      <c r="G5561">
        <v>1750</v>
      </c>
      <c r="H5561">
        <v>0</v>
      </c>
      <c r="J5561" t="str">
        <f>VLOOKUP(Table3[[#This Row],[Faction ID]],Table4[],2)</f>
        <v>Haerrim</v>
      </c>
    </row>
    <row r="5562" spans="1:10" x14ac:dyDescent="0.25">
      <c r="A5562">
        <v>144</v>
      </c>
      <c r="B5562" t="s">
        <v>13</v>
      </c>
      <c r="C5562">
        <v>666</v>
      </c>
      <c r="D5562">
        <v>0</v>
      </c>
      <c r="E5562">
        <v>0</v>
      </c>
      <c r="F5562">
        <v>128480</v>
      </c>
      <c r="G5562">
        <v>2500</v>
      </c>
      <c r="H5562">
        <v>0</v>
      </c>
      <c r="J5562" t="str">
        <f>VLOOKUP(Table3[[#This Row],[Faction ID]],Table4[],2)</f>
        <v>Goblins</v>
      </c>
    </row>
    <row r="5563" spans="1:10" x14ac:dyDescent="0.25">
      <c r="A5563">
        <v>144</v>
      </c>
      <c r="B5563" t="s">
        <v>17</v>
      </c>
      <c r="C5563">
        <v>0</v>
      </c>
      <c r="D5563">
        <v>0</v>
      </c>
      <c r="E5563">
        <v>0</v>
      </c>
      <c r="F5563">
        <v>4872</v>
      </c>
      <c r="G5563">
        <v>1750</v>
      </c>
      <c r="H5563">
        <v>0</v>
      </c>
      <c r="J5563" t="str">
        <f>VLOOKUP(Table3[[#This Row],[Faction ID]],Table4[],2)</f>
        <v>Balchoth</v>
      </c>
    </row>
    <row r="5564" spans="1:10" x14ac:dyDescent="0.25">
      <c r="A5564">
        <v>144</v>
      </c>
      <c r="B5564" t="s">
        <v>18</v>
      </c>
      <c r="C5564">
        <v>682</v>
      </c>
      <c r="D5564">
        <v>20</v>
      </c>
      <c r="E5564">
        <v>267.5</v>
      </c>
      <c r="F5564">
        <v>446550</v>
      </c>
      <c r="G5564">
        <v>42022</v>
      </c>
      <c r="H5564">
        <v>0</v>
      </c>
      <c r="J5564" t="str">
        <f>VLOOKUP(Table3[[#This Row],[Faction ID]],Table4[],2)</f>
        <v>Rhurim/Rhun</v>
      </c>
    </row>
    <row r="5565" spans="1:10" x14ac:dyDescent="0.25">
      <c r="A5565">
        <v>144</v>
      </c>
      <c r="B5565" t="s">
        <v>19</v>
      </c>
      <c r="C5565">
        <v>0</v>
      </c>
      <c r="D5565">
        <v>0</v>
      </c>
      <c r="E5565">
        <v>0</v>
      </c>
      <c r="F5565">
        <v>7360</v>
      </c>
      <c r="G5565">
        <v>1750</v>
      </c>
      <c r="H5565">
        <v>0</v>
      </c>
      <c r="J5565" t="str">
        <f>VLOOKUP(Table3[[#This Row],[Faction ID]],Table4[],2)</f>
        <v>Feredrim</v>
      </c>
    </row>
    <row r="5566" spans="1:10" x14ac:dyDescent="0.25">
      <c r="A5566">
        <v>144</v>
      </c>
      <c r="B5566" t="s">
        <v>26</v>
      </c>
      <c r="C5566">
        <v>0</v>
      </c>
      <c r="D5566">
        <v>0</v>
      </c>
      <c r="E5566">
        <v>0</v>
      </c>
      <c r="F5566">
        <v>6395</v>
      </c>
      <c r="G5566">
        <v>1750</v>
      </c>
      <c r="H5566">
        <v>0</v>
      </c>
      <c r="J5566" t="str">
        <f>VLOOKUP(Table3[[#This Row],[Faction ID]],Table4[],2)</f>
        <v>Rachrohir (Wainriders)</v>
      </c>
    </row>
    <row r="5567" spans="1:10" x14ac:dyDescent="0.25">
      <c r="A5567">
        <v>144</v>
      </c>
      <c r="B5567" t="s">
        <v>27</v>
      </c>
      <c r="C5567">
        <v>6</v>
      </c>
      <c r="D5567">
        <v>4</v>
      </c>
      <c r="E5567">
        <v>66.099999999999994</v>
      </c>
      <c r="F5567">
        <v>32995</v>
      </c>
      <c r="G5567">
        <v>18546</v>
      </c>
      <c r="H5567">
        <v>1217</v>
      </c>
      <c r="J5567" t="str">
        <f>VLOOKUP(Table3[[#This Row],[Faction ID]],Table4[],2)</f>
        <v>Blacklock-Stonefoot League</v>
      </c>
    </row>
    <row r="5568" spans="1:10" x14ac:dyDescent="0.25">
      <c r="A5568">
        <v>144</v>
      </c>
      <c r="B5568" t="s">
        <v>28</v>
      </c>
      <c r="C5568">
        <v>5</v>
      </c>
      <c r="D5568">
        <v>2</v>
      </c>
      <c r="E5568">
        <v>48.6</v>
      </c>
      <c r="F5568">
        <v>26176</v>
      </c>
      <c r="G5568">
        <v>13677</v>
      </c>
      <c r="H5568">
        <v>1028</v>
      </c>
      <c r="J5568" t="str">
        <f>VLOOKUP(Table3[[#This Row],[Faction ID]],Table4[],2)</f>
        <v>Ironfist-Stiffbeard Union</v>
      </c>
    </row>
    <row r="5569" spans="1:10" x14ac:dyDescent="0.25">
      <c r="A5569">
        <v>144</v>
      </c>
      <c r="B5569" t="s">
        <v>20</v>
      </c>
      <c r="C5569">
        <v>245</v>
      </c>
      <c r="D5569">
        <v>0</v>
      </c>
      <c r="E5569">
        <v>0</v>
      </c>
      <c r="F5569">
        <v>9750</v>
      </c>
      <c r="G5569">
        <v>2500</v>
      </c>
      <c r="H5569">
        <v>0</v>
      </c>
      <c r="J5569" t="str">
        <f>VLOOKUP(Table3[[#This Row],[Faction ID]],Table4[],2)</f>
        <v>Gundabad</v>
      </c>
    </row>
    <row r="5570" spans="1:10" x14ac:dyDescent="0.25">
      <c r="A5570">
        <v>144</v>
      </c>
      <c r="B5570" t="s">
        <v>34</v>
      </c>
      <c r="C5570">
        <v>0</v>
      </c>
      <c r="D5570">
        <v>0</v>
      </c>
      <c r="E5570">
        <v>3</v>
      </c>
      <c r="F5570">
        <v>165403</v>
      </c>
      <c r="G5570">
        <v>2354</v>
      </c>
      <c r="H5570">
        <v>0</v>
      </c>
      <c r="J5570" t="str">
        <f>VLOOKUP(Table3[[#This Row],[Faction ID]],Table4[],2)</f>
        <v>Scouts of Rohan</v>
      </c>
    </row>
    <row r="5571" spans="1:10" x14ac:dyDescent="0.25">
      <c r="A5571">
        <v>144</v>
      </c>
      <c r="B5571" t="s">
        <v>33</v>
      </c>
      <c r="C5571">
        <v>0</v>
      </c>
      <c r="D5571">
        <v>0</v>
      </c>
      <c r="E5571">
        <v>0</v>
      </c>
      <c r="F5571">
        <v>23466</v>
      </c>
      <c r="G5571">
        <v>1750</v>
      </c>
      <c r="H5571">
        <v>0</v>
      </c>
      <c r="J5571" t="str">
        <f>VLOOKUP(Table3[[#This Row],[Faction ID]],Table4[],2)</f>
        <v>Northern Enedwaith</v>
      </c>
    </row>
    <row r="5572" spans="1:10" x14ac:dyDescent="0.25">
      <c r="A5572">
        <v>144</v>
      </c>
      <c r="B5572" t="s">
        <v>29</v>
      </c>
      <c r="C5572">
        <v>0</v>
      </c>
      <c r="D5572">
        <v>0</v>
      </c>
      <c r="E5572">
        <v>0</v>
      </c>
      <c r="F5572">
        <v>54023</v>
      </c>
      <c r="G5572">
        <v>1750</v>
      </c>
      <c r="H5572">
        <v>0</v>
      </c>
      <c r="J5572" t="str">
        <f>VLOOKUP(Table3[[#This Row],[Faction ID]],Table4[],2)</f>
        <v>Southern Enedwaith</v>
      </c>
    </row>
    <row r="5573" spans="1:10" x14ac:dyDescent="0.25">
      <c r="A5573">
        <v>144</v>
      </c>
      <c r="B5573" t="s">
        <v>30</v>
      </c>
      <c r="C5573">
        <v>0</v>
      </c>
      <c r="D5573">
        <v>0</v>
      </c>
      <c r="E5573">
        <v>0</v>
      </c>
      <c r="F5573">
        <v>32146</v>
      </c>
      <c r="G5573">
        <v>1750</v>
      </c>
      <c r="H5573">
        <v>0</v>
      </c>
      <c r="J5573" t="str">
        <f>VLOOKUP(Table3[[#This Row],[Faction ID]],Table4[],2)</f>
        <v>Druedain</v>
      </c>
    </row>
    <row r="5574" spans="1:10" x14ac:dyDescent="0.25">
      <c r="A5574">
        <v>144</v>
      </c>
      <c r="B5574" t="s">
        <v>31</v>
      </c>
      <c r="C5574">
        <v>0</v>
      </c>
      <c r="D5574">
        <v>0</v>
      </c>
      <c r="E5574">
        <v>0</v>
      </c>
      <c r="F5574">
        <v>15146</v>
      </c>
      <c r="G5574">
        <v>1750</v>
      </c>
      <c r="H5574">
        <v>0</v>
      </c>
      <c r="J5574" t="str">
        <f>VLOOKUP(Table3[[#This Row],[Faction ID]],Table4[],2)</f>
        <v>Harondor</v>
      </c>
    </row>
    <row r="5575" spans="1:10" x14ac:dyDescent="0.25">
      <c r="A5575">
        <v>144</v>
      </c>
      <c r="B5575" t="s">
        <v>35</v>
      </c>
      <c r="C5575">
        <v>0</v>
      </c>
      <c r="D5575">
        <v>0</v>
      </c>
      <c r="E5575">
        <v>0</v>
      </c>
      <c r="F5575">
        <v>4000</v>
      </c>
      <c r="G5575">
        <v>1750</v>
      </c>
      <c r="H5575">
        <v>0</v>
      </c>
      <c r="J5575" t="str">
        <f>VLOOKUP(Table3[[#This Row],[Faction ID]],Table4[],2)</f>
        <v>Southron Nomads</v>
      </c>
    </row>
    <row r="5576" spans="1:10" x14ac:dyDescent="0.25">
      <c r="A5576">
        <v>144</v>
      </c>
      <c r="B5576" t="s">
        <v>36</v>
      </c>
      <c r="C5576">
        <v>0</v>
      </c>
      <c r="D5576">
        <v>0</v>
      </c>
      <c r="E5576">
        <v>0</v>
      </c>
      <c r="F5576">
        <v>4000</v>
      </c>
      <c r="G5576">
        <v>1750</v>
      </c>
      <c r="H5576">
        <v>0</v>
      </c>
      <c r="J5576" t="str">
        <f>VLOOKUP(Table3[[#This Row],[Faction ID]],Table4[],2)</f>
        <v>_</v>
      </c>
    </row>
    <row r="5577" spans="1:10" x14ac:dyDescent="0.25">
      <c r="A5577">
        <v>144</v>
      </c>
      <c r="B5577" t="s">
        <v>37</v>
      </c>
      <c r="C5577">
        <v>0</v>
      </c>
      <c r="D5577">
        <v>0</v>
      </c>
      <c r="E5577">
        <v>0</v>
      </c>
      <c r="F5577">
        <v>4000</v>
      </c>
      <c r="G5577">
        <v>1750</v>
      </c>
      <c r="H5577">
        <v>0</v>
      </c>
      <c r="J5577" t="str">
        <f>VLOOKUP(Table3[[#This Row],[Faction ID]],Table4[],2)</f>
        <v>_</v>
      </c>
    </row>
    <row r="5578" spans="1:10" x14ac:dyDescent="0.25">
      <c r="A5578">
        <v>144</v>
      </c>
      <c r="B5578" t="s">
        <v>38</v>
      </c>
      <c r="C5578">
        <v>0</v>
      </c>
      <c r="D5578">
        <v>0</v>
      </c>
      <c r="E5578">
        <v>0</v>
      </c>
      <c r="F5578">
        <v>4000</v>
      </c>
      <c r="G5578">
        <v>1750</v>
      </c>
      <c r="H5578">
        <v>0</v>
      </c>
      <c r="J5578" t="str">
        <f>VLOOKUP(Table3[[#This Row],[Faction ID]],Table4[],2)</f>
        <v>_</v>
      </c>
    </row>
    <row r="5579" spans="1:10" x14ac:dyDescent="0.25">
      <c r="A5579">
        <v>144</v>
      </c>
      <c r="B5579" t="s">
        <v>39</v>
      </c>
      <c r="C5579">
        <v>0</v>
      </c>
      <c r="D5579">
        <v>0</v>
      </c>
      <c r="E5579">
        <v>0</v>
      </c>
      <c r="F5579">
        <v>4000</v>
      </c>
      <c r="G5579">
        <v>1750</v>
      </c>
      <c r="H5579">
        <v>0</v>
      </c>
      <c r="J5579" t="str">
        <f>VLOOKUP(Table3[[#This Row],[Faction ID]],Table4[],2)</f>
        <v>_</v>
      </c>
    </row>
    <row r="5580" spans="1:10" x14ac:dyDescent="0.25">
      <c r="A5580">
        <v>144</v>
      </c>
      <c r="B5580" t="s">
        <v>40</v>
      </c>
      <c r="C5580">
        <v>0</v>
      </c>
      <c r="D5580">
        <v>0</v>
      </c>
      <c r="E5580">
        <v>0</v>
      </c>
      <c r="F5580">
        <v>4000</v>
      </c>
      <c r="G5580">
        <v>1750</v>
      </c>
      <c r="H5580">
        <v>0</v>
      </c>
      <c r="J5580" t="str">
        <f>VLOOKUP(Table3[[#This Row],[Faction ID]],Table4[],2)</f>
        <v>_</v>
      </c>
    </row>
    <row r="5581" spans="1:10" x14ac:dyDescent="0.25">
      <c r="A5581">
        <v>144</v>
      </c>
      <c r="B5581" t="s">
        <v>41</v>
      </c>
      <c r="C5581">
        <v>0</v>
      </c>
      <c r="D5581">
        <v>0</v>
      </c>
      <c r="E5581">
        <v>0</v>
      </c>
      <c r="F5581">
        <v>4000</v>
      </c>
      <c r="G5581">
        <v>1750</v>
      </c>
      <c r="H5581">
        <v>0</v>
      </c>
      <c r="J5581" t="str">
        <f>VLOOKUP(Table3[[#This Row],[Faction ID]],Table4[],2)</f>
        <v>_</v>
      </c>
    </row>
    <row r="5582" spans="1:10" x14ac:dyDescent="0.25">
      <c r="A5582">
        <v>144</v>
      </c>
      <c r="B5582" t="s">
        <v>42</v>
      </c>
      <c r="C5582">
        <v>0</v>
      </c>
      <c r="D5582">
        <v>0</v>
      </c>
      <c r="E5582">
        <v>0</v>
      </c>
      <c r="F5582">
        <v>4000</v>
      </c>
      <c r="G5582">
        <v>1750</v>
      </c>
      <c r="H5582">
        <v>0</v>
      </c>
      <c r="J5582" t="str">
        <f>VLOOKUP(Table3[[#This Row],[Faction ID]],Table4[],2)</f>
        <v>_</v>
      </c>
    </row>
    <row r="5583" spans="1:10" x14ac:dyDescent="0.25">
      <c r="A5583">
        <v>144</v>
      </c>
      <c r="B5583" t="s">
        <v>43</v>
      </c>
      <c r="C5583">
        <v>0</v>
      </c>
      <c r="D5583">
        <v>0</v>
      </c>
      <c r="E5583">
        <v>0</v>
      </c>
      <c r="F5583">
        <v>4000</v>
      </c>
      <c r="G5583">
        <v>1750</v>
      </c>
      <c r="H5583">
        <v>0</v>
      </c>
      <c r="J5583" t="str">
        <f>VLOOKUP(Table3[[#This Row],[Faction ID]],Table4[],2)</f>
        <v>_</v>
      </c>
    </row>
    <row r="5584" spans="1:10" x14ac:dyDescent="0.25">
      <c r="A5584">
        <v>144</v>
      </c>
      <c r="B5584" t="s">
        <v>44</v>
      </c>
      <c r="C5584">
        <v>0</v>
      </c>
      <c r="D5584">
        <v>0</v>
      </c>
      <c r="E5584">
        <v>0</v>
      </c>
      <c r="F5584">
        <v>4000</v>
      </c>
      <c r="G5584">
        <v>1750</v>
      </c>
      <c r="H5584">
        <v>0</v>
      </c>
      <c r="J5584" t="str">
        <f>VLOOKUP(Table3[[#This Row],[Faction ID]],Table4[],2)</f>
        <v>_</v>
      </c>
    </row>
    <row r="5585" spans="1:10" x14ac:dyDescent="0.25">
      <c r="A5585">
        <v>145</v>
      </c>
      <c r="B5585" t="s">
        <v>9</v>
      </c>
      <c r="C5585">
        <v>786</v>
      </c>
      <c r="D5585">
        <v>64</v>
      </c>
      <c r="E5585">
        <v>784.6</v>
      </c>
      <c r="F5585">
        <v>3024</v>
      </c>
      <c r="G5585">
        <v>121540</v>
      </c>
      <c r="H5585">
        <v>11222</v>
      </c>
      <c r="J5585" t="str">
        <f>VLOOKUP(Table3[[#This Row],[Faction ID]],Table4[],2)</f>
        <v>Mordor</v>
      </c>
    </row>
    <row r="5586" spans="1:10" x14ac:dyDescent="0.25">
      <c r="A5586">
        <v>145</v>
      </c>
      <c r="B5586" t="s">
        <v>4</v>
      </c>
      <c r="C5586">
        <v>146</v>
      </c>
      <c r="D5586">
        <v>0</v>
      </c>
      <c r="E5586">
        <v>0</v>
      </c>
      <c r="F5586">
        <v>55420</v>
      </c>
      <c r="G5586">
        <v>2500</v>
      </c>
      <c r="H5586">
        <v>0</v>
      </c>
      <c r="J5586" t="str">
        <f>VLOOKUP(Table3[[#This Row],[Faction ID]],Table4[],2)</f>
        <v>Gondor</v>
      </c>
    </row>
    <row r="5587" spans="1:10" x14ac:dyDescent="0.25">
      <c r="A5587">
        <v>145</v>
      </c>
      <c r="B5587" t="s">
        <v>6</v>
      </c>
      <c r="C5587">
        <v>199</v>
      </c>
      <c r="D5587">
        <v>0</v>
      </c>
      <c r="E5587">
        <v>0</v>
      </c>
      <c r="F5587">
        <v>10343</v>
      </c>
      <c r="G5587">
        <v>2500</v>
      </c>
      <c r="H5587">
        <v>0</v>
      </c>
      <c r="J5587" t="str">
        <f>VLOOKUP(Table3[[#This Row],[Faction ID]],Table4[],2)</f>
        <v>Dale</v>
      </c>
    </row>
    <row r="5588" spans="1:10" x14ac:dyDescent="0.25">
      <c r="A5588">
        <v>145</v>
      </c>
      <c r="B5588" t="s">
        <v>21</v>
      </c>
      <c r="C5588">
        <v>200</v>
      </c>
      <c r="D5588">
        <v>0</v>
      </c>
      <c r="E5588">
        <v>0</v>
      </c>
      <c r="F5588">
        <v>10040</v>
      </c>
      <c r="G5588">
        <v>2500</v>
      </c>
      <c r="H5588">
        <v>0</v>
      </c>
      <c r="J5588" t="str">
        <f>VLOOKUP(Table3[[#This Row],[Faction ID]],Table4[],2)</f>
        <v>Erebor</v>
      </c>
    </row>
    <row r="5589" spans="1:10" x14ac:dyDescent="0.25">
      <c r="A5589">
        <v>145</v>
      </c>
      <c r="B5589" t="s">
        <v>5</v>
      </c>
      <c r="C5589">
        <v>157</v>
      </c>
      <c r="D5589">
        <v>0</v>
      </c>
      <c r="E5589">
        <v>0</v>
      </c>
      <c r="F5589">
        <v>6638</v>
      </c>
      <c r="G5589">
        <v>2500</v>
      </c>
      <c r="H5589">
        <v>0</v>
      </c>
      <c r="J5589" t="str">
        <f>VLOOKUP(Table3[[#This Row],[Faction ID]],Table4[],2)</f>
        <v>Rohan</v>
      </c>
    </row>
    <row r="5590" spans="1:10" x14ac:dyDescent="0.25">
      <c r="A5590">
        <v>145</v>
      </c>
      <c r="B5590" t="s">
        <v>12</v>
      </c>
      <c r="C5590">
        <v>543</v>
      </c>
      <c r="D5590">
        <v>25</v>
      </c>
      <c r="E5590">
        <v>448.8</v>
      </c>
      <c r="F5590">
        <v>508128</v>
      </c>
      <c r="G5590">
        <v>81533</v>
      </c>
      <c r="H5590">
        <v>4654</v>
      </c>
      <c r="J5590" t="str">
        <f>VLOOKUP(Table3[[#This Row],[Faction ID]],Table4[],2)</f>
        <v>Dol Guldur</v>
      </c>
    </row>
    <row r="5591" spans="1:10" x14ac:dyDescent="0.25">
      <c r="A5591">
        <v>145</v>
      </c>
      <c r="B5591" t="s">
        <v>10</v>
      </c>
      <c r="C5591">
        <v>58</v>
      </c>
      <c r="D5591">
        <v>0</v>
      </c>
      <c r="E5591">
        <v>0</v>
      </c>
      <c r="F5591">
        <v>4515</v>
      </c>
      <c r="G5591">
        <v>2500</v>
      </c>
      <c r="H5591">
        <v>0</v>
      </c>
      <c r="J5591" t="str">
        <f>VLOOKUP(Table3[[#This Row],[Faction ID]],Table4[],2)</f>
        <v>Anduin Vale</v>
      </c>
    </row>
    <row r="5592" spans="1:10" x14ac:dyDescent="0.25">
      <c r="A5592">
        <v>145</v>
      </c>
      <c r="B5592" t="s">
        <v>32</v>
      </c>
      <c r="C5592">
        <v>329</v>
      </c>
      <c r="D5592">
        <v>0</v>
      </c>
      <c r="E5592">
        <v>0</v>
      </c>
      <c r="F5592">
        <v>23007</v>
      </c>
      <c r="G5592">
        <v>2500</v>
      </c>
      <c r="H5592">
        <v>0</v>
      </c>
      <c r="J5592" t="str">
        <f>VLOOKUP(Table3[[#This Row],[Faction ID]],Table4[],2)</f>
        <v>Isengard</v>
      </c>
    </row>
    <row r="5593" spans="1:10" x14ac:dyDescent="0.25">
      <c r="A5593">
        <v>145</v>
      </c>
      <c r="B5593" t="s">
        <v>22</v>
      </c>
      <c r="C5593">
        <v>30</v>
      </c>
      <c r="D5593">
        <v>0</v>
      </c>
      <c r="E5593">
        <v>0</v>
      </c>
      <c r="F5593">
        <v>8475</v>
      </c>
      <c r="G5593">
        <v>2500</v>
      </c>
      <c r="H5593">
        <v>0</v>
      </c>
      <c r="J5593" t="str">
        <f>VLOOKUP(Table3[[#This Row],[Faction ID]],Table4[],2)</f>
        <v>Woodland Realm</v>
      </c>
    </row>
    <row r="5594" spans="1:10" x14ac:dyDescent="0.25">
      <c r="A5594">
        <v>145</v>
      </c>
      <c r="B5594" t="s">
        <v>23</v>
      </c>
      <c r="C5594">
        <v>64</v>
      </c>
      <c r="D5594">
        <v>0</v>
      </c>
      <c r="E5594">
        <v>0</v>
      </c>
      <c r="F5594">
        <v>4721</v>
      </c>
      <c r="G5594">
        <v>2500</v>
      </c>
      <c r="H5594">
        <v>0</v>
      </c>
      <c r="J5594" t="str">
        <f>VLOOKUP(Table3[[#This Row],[Faction ID]],Table4[],2)</f>
        <v>Lothlorien</v>
      </c>
    </row>
    <row r="5595" spans="1:10" x14ac:dyDescent="0.25">
      <c r="A5595">
        <v>145</v>
      </c>
      <c r="B5595" t="s">
        <v>24</v>
      </c>
      <c r="C5595">
        <v>0</v>
      </c>
      <c r="D5595">
        <v>0</v>
      </c>
      <c r="E5595">
        <v>0</v>
      </c>
      <c r="F5595">
        <v>4919</v>
      </c>
      <c r="G5595">
        <v>1750</v>
      </c>
      <c r="H5595">
        <v>0</v>
      </c>
      <c r="J5595" t="str">
        <f>VLOOKUP(Table3[[#This Row],[Faction ID]],Table4[],2)</f>
        <v>Variags (Khand)</v>
      </c>
    </row>
    <row r="5596" spans="1:10" x14ac:dyDescent="0.25">
      <c r="A5596">
        <v>145</v>
      </c>
      <c r="B5596" t="s">
        <v>14</v>
      </c>
      <c r="C5596">
        <v>21</v>
      </c>
      <c r="D5596">
        <v>15</v>
      </c>
      <c r="E5596">
        <v>238.8</v>
      </c>
      <c r="F5596">
        <v>569441</v>
      </c>
      <c r="G5596">
        <v>58046</v>
      </c>
      <c r="H5596">
        <v>5974</v>
      </c>
      <c r="J5596" t="str">
        <f>VLOOKUP(Table3[[#This Row],[Faction ID]],Table4[],2)</f>
        <v>Corsairs of Umbar</v>
      </c>
    </row>
    <row r="5597" spans="1:10" x14ac:dyDescent="0.25">
      <c r="A5597">
        <v>145</v>
      </c>
      <c r="B5597" t="s">
        <v>25</v>
      </c>
      <c r="C5597">
        <v>0</v>
      </c>
      <c r="D5597">
        <v>0</v>
      </c>
      <c r="E5597">
        <v>0</v>
      </c>
      <c r="F5597">
        <v>9228</v>
      </c>
      <c r="G5597">
        <v>1750</v>
      </c>
      <c r="H5597">
        <v>0</v>
      </c>
      <c r="J5597" t="str">
        <f>VLOOKUP(Table3[[#This Row],[Faction ID]],Table4[],2)</f>
        <v>Mahud</v>
      </c>
    </row>
    <row r="5598" spans="1:10" x14ac:dyDescent="0.25">
      <c r="A5598">
        <v>145</v>
      </c>
      <c r="B5598" t="s">
        <v>11</v>
      </c>
      <c r="C5598">
        <v>408</v>
      </c>
      <c r="D5598">
        <v>16</v>
      </c>
      <c r="E5598">
        <v>278.10000000000002</v>
      </c>
      <c r="F5598">
        <v>294497</v>
      </c>
      <c r="G5598">
        <v>46587</v>
      </c>
      <c r="H5598">
        <v>3535</v>
      </c>
      <c r="J5598" t="str">
        <f>VLOOKUP(Table3[[#This Row],[Faction ID]],Table4[],2)</f>
        <v>Haradrim</v>
      </c>
    </row>
    <row r="5599" spans="1:10" x14ac:dyDescent="0.25">
      <c r="A5599">
        <v>145</v>
      </c>
      <c r="B5599" t="s">
        <v>15</v>
      </c>
      <c r="C5599">
        <v>370</v>
      </c>
      <c r="D5599">
        <v>11</v>
      </c>
      <c r="E5599">
        <v>229.6</v>
      </c>
      <c r="F5599">
        <v>376127</v>
      </c>
      <c r="G5599">
        <v>49976</v>
      </c>
      <c r="H5599">
        <v>0</v>
      </c>
      <c r="J5599" t="str">
        <f>VLOOKUP(Table3[[#This Row],[Faction ID]],Table4[],2)</f>
        <v>Dunlendings</v>
      </c>
    </row>
    <row r="5600" spans="1:10" x14ac:dyDescent="0.25">
      <c r="A5600">
        <v>145</v>
      </c>
      <c r="B5600" t="s">
        <v>16</v>
      </c>
      <c r="C5600">
        <v>0</v>
      </c>
      <c r="D5600">
        <v>0</v>
      </c>
      <c r="E5600">
        <v>0</v>
      </c>
      <c r="F5600">
        <v>5352</v>
      </c>
      <c r="G5600">
        <v>1750</v>
      </c>
      <c r="H5600">
        <v>0</v>
      </c>
      <c r="J5600" t="str">
        <f>VLOOKUP(Table3[[#This Row],[Faction ID]],Table4[],2)</f>
        <v>Haerrim</v>
      </c>
    </row>
    <row r="5601" spans="1:10" x14ac:dyDescent="0.25">
      <c r="A5601">
        <v>145</v>
      </c>
      <c r="B5601" t="s">
        <v>13</v>
      </c>
      <c r="C5601">
        <v>666</v>
      </c>
      <c r="D5601">
        <v>0</v>
      </c>
      <c r="E5601">
        <v>0</v>
      </c>
      <c r="F5601">
        <v>128480</v>
      </c>
      <c r="G5601">
        <v>2500</v>
      </c>
      <c r="H5601">
        <v>0</v>
      </c>
      <c r="J5601" t="str">
        <f>VLOOKUP(Table3[[#This Row],[Faction ID]],Table4[],2)</f>
        <v>Goblins</v>
      </c>
    </row>
    <row r="5602" spans="1:10" x14ac:dyDescent="0.25">
      <c r="A5602">
        <v>145</v>
      </c>
      <c r="B5602" t="s">
        <v>17</v>
      </c>
      <c r="C5602">
        <v>0</v>
      </c>
      <c r="D5602">
        <v>0</v>
      </c>
      <c r="E5602">
        <v>0</v>
      </c>
      <c r="F5602">
        <v>4872</v>
      </c>
      <c r="G5602">
        <v>1750</v>
      </c>
      <c r="H5602">
        <v>0</v>
      </c>
      <c r="J5602" t="str">
        <f>VLOOKUP(Table3[[#This Row],[Faction ID]],Table4[],2)</f>
        <v>Balchoth</v>
      </c>
    </row>
    <row r="5603" spans="1:10" x14ac:dyDescent="0.25">
      <c r="A5603">
        <v>145</v>
      </c>
      <c r="B5603" t="s">
        <v>18</v>
      </c>
      <c r="C5603">
        <v>702</v>
      </c>
      <c r="D5603">
        <v>19</v>
      </c>
      <c r="E5603">
        <v>278.5</v>
      </c>
      <c r="F5603">
        <v>449852</v>
      </c>
      <c r="G5603">
        <v>37273</v>
      </c>
      <c r="H5603">
        <v>0</v>
      </c>
      <c r="J5603" t="str">
        <f>VLOOKUP(Table3[[#This Row],[Faction ID]],Table4[],2)</f>
        <v>Rhurim/Rhun</v>
      </c>
    </row>
    <row r="5604" spans="1:10" x14ac:dyDescent="0.25">
      <c r="A5604">
        <v>145</v>
      </c>
      <c r="B5604" t="s">
        <v>19</v>
      </c>
      <c r="C5604">
        <v>0</v>
      </c>
      <c r="D5604">
        <v>0</v>
      </c>
      <c r="E5604">
        <v>0</v>
      </c>
      <c r="F5604">
        <v>7360</v>
      </c>
      <c r="G5604">
        <v>1750</v>
      </c>
      <c r="H5604">
        <v>0</v>
      </c>
      <c r="J5604" t="str">
        <f>VLOOKUP(Table3[[#This Row],[Faction ID]],Table4[],2)</f>
        <v>Feredrim</v>
      </c>
    </row>
    <row r="5605" spans="1:10" x14ac:dyDescent="0.25">
      <c r="A5605">
        <v>145</v>
      </c>
      <c r="B5605" t="s">
        <v>26</v>
      </c>
      <c r="C5605">
        <v>0</v>
      </c>
      <c r="D5605">
        <v>0</v>
      </c>
      <c r="E5605">
        <v>0</v>
      </c>
      <c r="F5605">
        <v>6395</v>
      </c>
      <c r="G5605">
        <v>1750</v>
      </c>
      <c r="H5605">
        <v>0</v>
      </c>
      <c r="J5605" t="str">
        <f>VLOOKUP(Table3[[#This Row],[Faction ID]],Table4[],2)</f>
        <v>Rachrohir (Wainriders)</v>
      </c>
    </row>
    <row r="5606" spans="1:10" x14ac:dyDescent="0.25">
      <c r="A5606">
        <v>145</v>
      </c>
      <c r="B5606" t="s">
        <v>27</v>
      </c>
      <c r="C5606">
        <v>6</v>
      </c>
      <c r="D5606">
        <v>4</v>
      </c>
      <c r="E5606">
        <v>73.099999999999994</v>
      </c>
      <c r="F5606">
        <v>37880</v>
      </c>
      <c r="G5606">
        <v>17467</v>
      </c>
      <c r="H5606">
        <v>1213</v>
      </c>
      <c r="J5606" t="str">
        <f>VLOOKUP(Table3[[#This Row],[Faction ID]],Table4[],2)</f>
        <v>Blacklock-Stonefoot League</v>
      </c>
    </row>
    <row r="5607" spans="1:10" x14ac:dyDescent="0.25">
      <c r="A5607">
        <v>145</v>
      </c>
      <c r="B5607" t="s">
        <v>28</v>
      </c>
      <c r="C5607">
        <v>5</v>
      </c>
      <c r="D5607">
        <v>2</v>
      </c>
      <c r="E5607">
        <v>48.6</v>
      </c>
      <c r="F5607">
        <v>21927</v>
      </c>
      <c r="G5607">
        <v>13693</v>
      </c>
      <c r="H5607">
        <v>1028</v>
      </c>
      <c r="J5607" t="str">
        <f>VLOOKUP(Table3[[#This Row],[Faction ID]],Table4[],2)</f>
        <v>Ironfist-Stiffbeard Union</v>
      </c>
    </row>
    <row r="5608" spans="1:10" x14ac:dyDescent="0.25">
      <c r="A5608">
        <v>145</v>
      </c>
      <c r="B5608" t="s">
        <v>20</v>
      </c>
      <c r="C5608">
        <v>245</v>
      </c>
      <c r="D5608">
        <v>0</v>
      </c>
      <c r="E5608">
        <v>0</v>
      </c>
      <c r="F5608">
        <v>9750</v>
      </c>
      <c r="G5608">
        <v>2500</v>
      </c>
      <c r="H5608">
        <v>0</v>
      </c>
      <c r="J5608" t="str">
        <f>VLOOKUP(Table3[[#This Row],[Faction ID]],Table4[],2)</f>
        <v>Gundabad</v>
      </c>
    </row>
    <row r="5609" spans="1:10" x14ac:dyDescent="0.25">
      <c r="A5609">
        <v>145</v>
      </c>
      <c r="B5609" t="s">
        <v>34</v>
      </c>
      <c r="C5609">
        <v>0</v>
      </c>
      <c r="D5609">
        <v>0</v>
      </c>
      <c r="E5609">
        <v>3</v>
      </c>
      <c r="F5609">
        <v>166549</v>
      </c>
      <c r="G5609">
        <v>2354</v>
      </c>
      <c r="H5609">
        <v>0</v>
      </c>
      <c r="J5609" t="str">
        <f>VLOOKUP(Table3[[#This Row],[Faction ID]],Table4[],2)</f>
        <v>Scouts of Rohan</v>
      </c>
    </row>
    <row r="5610" spans="1:10" x14ac:dyDescent="0.25">
      <c r="A5610">
        <v>145</v>
      </c>
      <c r="B5610" t="s">
        <v>33</v>
      </c>
      <c r="C5610">
        <v>0</v>
      </c>
      <c r="D5610">
        <v>0</v>
      </c>
      <c r="E5610">
        <v>0</v>
      </c>
      <c r="F5610">
        <v>23466</v>
      </c>
      <c r="G5610">
        <v>1750</v>
      </c>
      <c r="H5610">
        <v>0</v>
      </c>
      <c r="J5610" t="str">
        <f>VLOOKUP(Table3[[#This Row],[Faction ID]],Table4[],2)</f>
        <v>Northern Enedwaith</v>
      </c>
    </row>
    <row r="5611" spans="1:10" x14ac:dyDescent="0.25">
      <c r="A5611">
        <v>145</v>
      </c>
      <c r="B5611" t="s">
        <v>29</v>
      </c>
      <c r="C5611">
        <v>0</v>
      </c>
      <c r="D5611">
        <v>0</v>
      </c>
      <c r="E5611">
        <v>0</v>
      </c>
      <c r="F5611">
        <v>54023</v>
      </c>
      <c r="G5611">
        <v>1750</v>
      </c>
      <c r="H5611">
        <v>0</v>
      </c>
      <c r="J5611" t="str">
        <f>VLOOKUP(Table3[[#This Row],[Faction ID]],Table4[],2)</f>
        <v>Southern Enedwaith</v>
      </c>
    </row>
    <row r="5612" spans="1:10" x14ac:dyDescent="0.25">
      <c r="A5612">
        <v>145</v>
      </c>
      <c r="B5612" t="s">
        <v>30</v>
      </c>
      <c r="C5612">
        <v>0</v>
      </c>
      <c r="D5612">
        <v>0</v>
      </c>
      <c r="E5612">
        <v>0</v>
      </c>
      <c r="F5612">
        <v>32146</v>
      </c>
      <c r="G5612">
        <v>1750</v>
      </c>
      <c r="H5612">
        <v>0</v>
      </c>
      <c r="J5612" t="str">
        <f>VLOOKUP(Table3[[#This Row],[Faction ID]],Table4[],2)</f>
        <v>Druedain</v>
      </c>
    </row>
    <row r="5613" spans="1:10" x14ac:dyDescent="0.25">
      <c r="A5613">
        <v>145</v>
      </c>
      <c r="B5613" t="s">
        <v>31</v>
      </c>
      <c r="C5613">
        <v>0</v>
      </c>
      <c r="D5613">
        <v>0</v>
      </c>
      <c r="E5613">
        <v>0</v>
      </c>
      <c r="F5613">
        <v>15146</v>
      </c>
      <c r="G5613">
        <v>1750</v>
      </c>
      <c r="H5613">
        <v>0</v>
      </c>
      <c r="J5613" t="str">
        <f>VLOOKUP(Table3[[#This Row],[Faction ID]],Table4[],2)</f>
        <v>Harondor</v>
      </c>
    </row>
    <row r="5614" spans="1:10" x14ac:dyDescent="0.25">
      <c r="A5614">
        <v>145</v>
      </c>
      <c r="B5614" t="s">
        <v>35</v>
      </c>
      <c r="C5614">
        <v>0</v>
      </c>
      <c r="D5614">
        <v>0</v>
      </c>
      <c r="E5614">
        <v>0</v>
      </c>
      <c r="F5614">
        <v>4000</v>
      </c>
      <c r="G5614">
        <v>1750</v>
      </c>
      <c r="H5614">
        <v>0</v>
      </c>
      <c r="J5614" t="str">
        <f>VLOOKUP(Table3[[#This Row],[Faction ID]],Table4[],2)</f>
        <v>Southron Nomads</v>
      </c>
    </row>
    <row r="5615" spans="1:10" x14ac:dyDescent="0.25">
      <c r="A5615">
        <v>145</v>
      </c>
      <c r="B5615" t="s">
        <v>36</v>
      </c>
      <c r="C5615">
        <v>0</v>
      </c>
      <c r="D5615">
        <v>0</v>
      </c>
      <c r="E5615">
        <v>0</v>
      </c>
      <c r="F5615">
        <v>4000</v>
      </c>
      <c r="G5615">
        <v>1750</v>
      </c>
      <c r="H5615">
        <v>0</v>
      </c>
      <c r="J5615" t="str">
        <f>VLOOKUP(Table3[[#This Row],[Faction ID]],Table4[],2)</f>
        <v>_</v>
      </c>
    </row>
    <row r="5616" spans="1:10" x14ac:dyDescent="0.25">
      <c r="A5616">
        <v>145</v>
      </c>
      <c r="B5616" t="s">
        <v>37</v>
      </c>
      <c r="C5616">
        <v>0</v>
      </c>
      <c r="D5616">
        <v>0</v>
      </c>
      <c r="E5616">
        <v>0</v>
      </c>
      <c r="F5616">
        <v>4000</v>
      </c>
      <c r="G5616">
        <v>1750</v>
      </c>
      <c r="H5616">
        <v>0</v>
      </c>
      <c r="J5616" t="str">
        <f>VLOOKUP(Table3[[#This Row],[Faction ID]],Table4[],2)</f>
        <v>_</v>
      </c>
    </row>
    <row r="5617" spans="1:10" x14ac:dyDescent="0.25">
      <c r="A5617">
        <v>145</v>
      </c>
      <c r="B5617" t="s">
        <v>38</v>
      </c>
      <c r="C5617">
        <v>0</v>
      </c>
      <c r="D5617">
        <v>0</v>
      </c>
      <c r="E5617">
        <v>0</v>
      </c>
      <c r="F5617">
        <v>4000</v>
      </c>
      <c r="G5617">
        <v>1750</v>
      </c>
      <c r="H5617">
        <v>0</v>
      </c>
      <c r="J5617" t="str">
        <f>VLOOKUP(Table3[[#This Row],[Faction ID]],Table4[],2)</f>
        <v>_</v>
      </c>
    </row>
    <row r="5618" spans="1:10" x14ac:dyDescent="0.25">
      <c r="A5618">
        <v>145</v>
      </c>
      <c r="B5618" t="s">
        <v>39</v>
      </c>
      <c r="C5618">
        <v>0</v>
      </c>
      <c r="D5618">
        <v>0</v>
      </c>
      <c r="E5618">
        <v>0</v>
      </c>
      <c r="F5618">
        <v>4000</v>
      </c>
      <c r="G5618">
        <v>1750</v>
      </c>
      <c r="H5618">
        <v>0</v>
      </c>
      <c r="J5618" t="str">
        <f>VLOOKUP(Table3[[#This Row],[Faction ID]],Table4[],2)</f>
        <v>_</v>
      </c>
    </row>
    <row r="5619" spans="1:10" x14ac:dyDescent="0.25">
      <c r="A5619">
        <v>145</v>
      </c>
      <c r="B5619" t="s">
        <v>40</v>
      </c>
      <c r="C5619">
        <v>0</v>
      </c>
      <c r="D5619">
        <v>0</v>
      </c>
      <c r="E5619">
        <v>0</v>
      </c>
      <c r="F5619">
        <v>4000</v>
      </c>
      <c r="G5619">
        <v>1750</v>
      </c>
      <c r="H5619">
        <v>0</v>
      </c>
      <c r="J5619" t="str">
        <f>VLOOKUP(Table3[[#This Row],[Faction ID]],Table4[],2)</f>
        <v>_</v>
      </c>
    </row>
    <row r="5620" spans="1:10" x14ac:dyDescent="0.25">
      <c r="A5620">
        <v>145</v>
      </c>
      <c r="B5620" t="s">
        <v>41</v>
      </c>
      <c r="C5620">
        <v>0</v>
      </c>
      <c r="D5620">
        <v>0</v>
      </c>
      <c r="E5620">
        <v>0</v>
      </c>
      <c r="F5620">
        <v>4000</v>
      </c>
      <c r="G5620">
        <v>1750</v>
      </c>
      <c r="H5620">
        <v>0</v>
      </c>
      <c r="J5620" t="str">
        <f>VLOOKUP(Table3[[#This Row],[Faction ID]],Table4[],2)</f>
        <v>_</v>
      </c>
    </row>
    <row r="5621" spans="1:10" x14ac:dyDescent="0.25">
      <c r="A5621">
        <v>145</v>
      </c>
      <c r="B5621" t="s">
        <v>42</v>
      </c>
      <c r="C5621">
        <v>0</v>
      </c>
      <c r="D5621">
        <v>0</v>
      </c>
      <c r="E5621">
        <v>0</v>
      </c>
      <c r="F5621">
        <v>4000</v>
      </c>
      <c r="G5621">
        <v>1750</v>
      </c>
      <c r="H5621">
        <v>0</v>
      </c>
      <c r="J5621" t="str">
        <f>VLOOKUP(Table3[[#This Row],[Faction ID]],Table4[],2)</f>
        <v>_</v>
      </c>
    </row>
    <row r="5622" spans="1:10" x14ac:dyDescent="0.25">
      <c r="A5622">
        <v>145</v>
      </c>
      <c r="B5622" t="s">
        <v>43</v>
      </c>
      <c r="C5622">
        <v>0</v>
      </c>
      <c r="D5622">
        <v>0</v>
      </c>
      <c r="E5622">
        <v>0</v>
      </c>
      <c r="F5622">
        <v>4000</v>
      </c>
      <c r="G5622">
        <v>1750</v>
      </c>
      <c r="H5622">
        <v>0</v>
      </c>
      <c r="J5622" t="str">
        <f>VLOOKUP(Table3[[#This Row],[Faction ID]],Table4[],2)</f>
        <v>_</v>
      </c>
    </row>
    <row r="5623" spans="1:10" x14ac:dyDescent="0.25">
      <c r="A5623">
        <v>145</v>
      </c>
      <c r="B5623" t="s">
        <v>44</v>
      </c>
      <c r="C5623">
        <v>0</v>
      </c>
      <c r="D5623">
        <v>0</v>
      </c>
      <c r="E5623">
        <v>0</v>
      </c>
      <c r="F5623">
        <v>4000</v>
      </c>
      <c r="G5623">
        <v>1750</v>
      </c>
      <c r="H5623">
        <v>0</v>
      </c>
      <c r="J5623" t="str">
        <f>VLOOKUP(Table3[[#This Row],[Faction ID]],Table4[],2)</f>
        <v>_</v>
      </c>
    </row>
    <row r="5624" spans="1:10" x14ac:dyDescent="0.25">
      <c r="A5624">
        <v>146</v>
      </c>
      <c r="B5624" t="s">
        <v>9</v>
      </c>
      <c r="C5624">
        <v>818</v>
      </c>
      <c r="D5624">
        <v>64</v>
      </c>
      <c r="E5624">
        <v>818.6</v>
      </c>
      <c r="F5624">
        <v>27154</v>
      </c>
      <c r="G5624">
        <v>121617</v>
      </c>
      <c r="H5624">
        <v>11305</v>
      </c>
      <c r="J5624" t="str">
        <f>VLOOKUP(Table3[[#This Row],[Faction ID]],Table4[],2)</f>
        <v>Mordor</v>
      </c>
    </row>
    <row r="5625" spans="1:10" x14ac:dyDescent="0.25">
      <c r="A5625">
        <v>146</v>
      </c>
      <c r="B5625" t="s">
        <v>4</v>
      </c>
      <c r="C5625">
        <v>146</v>
      </c>
      <c r="D5625">
        <v>0</v>
      </c>
      <c r="E5625">
        <v>0</v>
      </c>
      <c r="F5625">
        <v>55420</v>
      </c>
      <c r="G5625">
        <v>2500</v>
      </c>
      <c r="H5625">
        <v>0</v>
      </c>
      <c r="J5625" t="str">
        <f>VLOOKUP(Table3[[#This Row],[Faction ID]],Table4[],2)</f>
        <v>Gondor</v>
      </c>
    </row>
    <row r="5626" spans="1:10" x14ac:dyDescent="0.25">
      <c r="A5626">
        <v>146</v>
      </c>
      <c r="B5626" t="s">
        <v>6</v>
      </c>
      <c r="C5626">
        <v>199</v>
      </c>
      <c r="D5626">
        <v>0</v>
      </c>
      <c r="E5626">
        <v>0</v>
      </c>
      <c r="F5626">
        <v>10343</v>
      </c>
      <c r="G5626">
        <v>2500</v>
      </c>
      <c r="H5626">
        <v>0</v>
      </c>
      <c r="J5626" t="str">
        <f>VLOOKUP(Table3[[#This Row],[Faction ID]],Table4[],2)</f>
        <v>Dale</v>
      </c>
    </row>
    <row r="5627" spans="1:10" x14ac:dyDescent="0.25">
      <c r="A5627">
        <v>146</v>
      </c>
      <c r="B5627" t="s">
        <v>21</v>
      </c>
      <c r="C5627">
        <v>200</v>
      </c>
      <c r="D5627">
        <v>0</v>
      </c>
      <c r="E5627">
        <v>0</v>
      </c>
      <c r="F5627">
        <v>10040</v>
      </c>
      <c r="G5627">
        <v>2500</v>
      </c>
      <c r="H5627">
        <v>0</v>
      </c>
      <c r="J5627" t="str">
        <f>VLOOKUP(Table3[[#This Row],[Faction ID]],Table4[],2)</f>
        <v>Erebor</v>
      </c>
    </row>
    <row r="5628" spans="1:10" x14ac:dyDescent="0.25">
      <c r="A5628">
        <v>146</v>
      </c>
      <c r="B5628" t="s">
        <v>5</v>
      </c>
      <c r="C5628">
        <v>157</v>
      </c>
      <c r="D5628">
        <v>0</v>
      </c>
      <c r="E5628">
        <v>0</v>
      </c>
      <c r="F5628">
        <v>6638</v>
      </c>
      <c r="G5628">
        <v>2500</v>
      </c>
      <c r="H5628">
        <v>0</v>
      </c>
      <c r="J5628" t="str">
        <f>VLOOKUP(Table3[[#This Row],[Faction ID]],Table4[],2)</f>
        <v>Rohan</v>
      </c>
    </row>
    <row r="5629" spans="1:10" x14ac:dyDescent="0.25">
      <c r="A5629">
        <v>146</v>
      </c>
      <c r="B5629" t="s">
        <v>12</v>
      </c>
      <c r="C5629">
        <v>548</v>
      </c>
      <c r="D5629">
        <v>25</v>
      </c>
      <c r="E5629">
        <v>452.8</v>
      </c>
      <c r="F5629">
        <v>530648</v>
      </c>
      <c r="G5629">
        <v>82369</v>
      </c>
      <c r="H5629">
        <v>6654</v>
      </c>
      <c r="J5629" t="str">
        <f>VLOOKUP(Table3[[#This Row],[Faction ID]],Table4[],2)</f>
        <v>Dol Guldur</v>
      </c>
    </row>
    <row r="5630" spans="1:10" x14ac:dyDescent="0.25">
      <c r="A5630">
        <v>146</v>
      </c>
      <c r="B5630" t="s">
        <v>10</v>
      </c>
      <c r="C5630">
        <v>58</v>
      </c>
      <c r="D5630">
        <v>0</v>
      </c>
      <c r="E5630">
        <v>0</v>
      </c>
      <c r="F5630">
        <v>4515</v>
      </c>
      <c r="G5630">
        <v>2500</v>
      </c>
      <c r="H5630">
        <v>0</v>
      </c>
      <c r="J5630" t="str">
        <f>VLOOKUP(Table3[[#This Row],[Faction ID]],Table4[],2)</f>
        <v>Anduin Vale</v>
      </c>
    </row>
    <row r="5631" spans="1:10" x14ac:dyDescent="0.25">
      <c r="A5631">
        <v>146</v>
      </c>
      <c r="B5631" t="s">
        <v>32</v>
      </c>
      <c r="C5631">
        <v>329</v>
      </c>
      <c r="D5631">
        <v>0</v>
      </c>
      <c r="E5631">
        <v>0</v>
      </c>
      <c r="F5631">
        <v>23007</v>
      </c>
      <c r="G5631">
        <v>2500</v>
      </c>
      <c r="H5631">
        <v>0</v>
      </c>
      <c r="J5631" t="str">
        <f>VLOOKUP(Table3[[#This Row],[Faction ID]],Table4[],2)</f>
        <v>Isengard</v>
      </c>
    </row>
    <row r="5632" spans="1:10" x14ac:dyDescent="0.25">
      <c r="A5632">
        <v>146</v>
      </c>
      <c r="B5632" t="s">
        <v>22</v>
      </c>
      <c r="C5632">
        <v>30</v>
      </c>
      <c r="D5632">
        <v>0</v>
      </c>
      <c r="E5632">
        <v>0</v>
      </c>
      <c r="F5632">
        <v>8475</v>
      </c>
      <c r="G5632">
        <v>2500</v>
      </c>
      <c r="H5632">
        <v>0</v>
      </c>
      <c r="J5632" t="str">
        <f>VLOOKUP(Table3[[#This Row],[Faction ID]],Table4[],2)</f>
        <v>Woodland Realm</v>
      </c>
    </row>
    <row r="5633" spans="1:10" x14ac:dyDescent="0.25">
      <c r="A5633">
        <v>146</v>
      </c>
      <c r="B5633" t="s">
        <v>23</v>
      </c>
      <c r="C5633">
        <v>64</v>
      </c>
      <c r="D5633">
        <v>0</v>
      </c>
      <c r="E5633">
        <v>0</v>
      </c>
      <c r="F5633">
        <v>4721</v>
      </c>
      <c r="G5633">
        <v>2500</v>
      </c>
      <c r="H5633">
        <v>0</v>
      </c>
      <c r="J5633" t="str">
        <f>VLOOKUP(Table3[[#This Row],[Faction ID]],Table4[],2)</f>
        <v>Lothlorien</v>
      </c>
    </row>
    <row r="5634" spans="1:10" x14ac:dyDescent="0.25">
      <c r="A5634">
        <v>146</v>
      </c>
      <c r="B5634" t="s">
        <v>24</v>
      </c>
      <c r="C5634">
        <v>0</v>
      </c>
      <c r="D5634">
        <v>0</v>
      </c>
      <c r="E5634">
        <v>0</v>
      </c>
      <c r="F5634">
        <v>4919</v>
      </c>
      <c r="G5634">
        <v>1750</v>
      </c>
      <c r="H5634">
        <v>0</v>
      </c>
      <c r="J5634" t="str">
        <f>VLOOKUP(Table3[[#This Row],[Faction ID]],Table4[],2)</f>
        <v>Variags (Khand)</v>
      </c>
    </row>
    <row r="5635" spans="1:10" x14ac:dyDescent="0.25">
      <c r="A5635">
        <v>146</v>
      </c>
      <c r="B5635" t="s">
        <v>14</v>
      </c>
      <c r="C5635">
        <v>21</v>
      </c>
      <c r="D5635">
        <v>15</v>
      </c>
      <c r="E5635">
        <v>233.2</v>
      </c>
      <c r="F5635">
        <v>585481</v>
      </c>
      <c r="G5635">
        <v>53028</v>
      </c>
      <c r="H5635">
        <v>6048</v>
      </c>
      <c r="J5635" t="str">
        <f>VLOOKUP(Table3[[#This Row],[Faction ID]],Table4[],2)</f>
        <v>Corsairs of Umbar</v>
      </c>
    </row>
    <row r="5636" spans="1:10" x14ac:dyDescent="0.25">
      <c r="A5636">
        <v>146</v>
      </c>
      <c r="B5636" t="s">
        <v>25</v>
      </c>
      <c r="C5636">
        <v>0</v>
      </c>
      <c r="D5636">
        <v>0</v>
      </c>
      <c r="E5636">
        <v>0</v>
      </c>
      <c r="F5636">
        <v>9228</v>
      </c>
      <c r="G5636">
        <v>1750</v>
      </c>
      <c r="H5636">
        <v>0</v>
      </c>
      <c r="J5636" t="str">
        <f>VLOOKUP(Table3[[#This Row],[Faction ID]],Table4[],2)</f>
        <v>Mahud</v>
      </c>
    </row>
    <row r="5637" spans="1:10" x14ac:dyDescent="0.25">
      <c r="A5637">
        <v>146</v>
      </c>
      <c r="B5637" t="s">
        <v>11</v>
      </c>
      <c r="C5637">
        <v>418</v>
      </c>
      <c r="D5637">
        <v>18</v>
      </c>
      <c r="E5637">
        <v>292.3</v>
      </c>
      <c r="F5637">
        <v>309337</v>
      </c>
      <c r="G5637">
        <v>45472</v>
      </c>
      <c r="H5637">
        <v>3700</v>
      </c>
      <c r="J5637" t="str">
        <f>VLOOKUP(Table3[[#This Row],[Faction ID]],Table4[],2)</f>
        <v>Haradrim</v>
      </c>
    </row>
    <row r="5638" spans="1:10" x14ac:dyDescent="0.25">
      <c r="A5638">
        <v>146</v>
      </c>
      <c r="B5638" t="s">
        <v>15</v>
      </c>
      <c r="C5638">
        <v>375</v>
      </c>
      <c r="D5638">
        <v>11</v>
      </c>
      <c r="E5638">
        <v>234.5</v>
      </c>
      <c r="F5638">
        <v>352929</v>
      </c>
      <c r="G5638">
        <v>52879</v>
      </c>
      <c r="H5638">
        <v>0</v>
      </c>
      <c r="J5638" t="str">
        <f>VLOOKUP(Table3[[#This Row],[Faction ID]],Table4[],2)</f>
        <v>Dunlendings</v>
      </c>
    </row>
    <row r="5639" spans="1:10" x14ac:dyDescent="0.25">
      <c r="A5639">
        <v>146</v>
      </c>
      <c r="B5639" t="s">
        <v>16</v>
      </c>
      <c r="C5639">
        <v>0</v>
      </c>
      <c r="D5639">
        <v>0</v>
      </c>
      <c r="E5639">
        <v>0</v>
      </c>
      <c r="F5639">
        <v>5352</v>
      </c>
      <c r="G5639">
        <v>1750</v>
      </c>
      <c r="H5639">
        <v>0</v>
      </c>
      <c r="J5639" t="str">
        <f>VLOOKUP(Table3[[#This Row],[Faction ID]],Table4[],2)</f>
        <v>Haerrim</v>
      </c>
    </row>
    <row r="5640" spans="1:10" x14ac:dyDescent="0.25">
      <c r="A5640">
        <v>146</v>
      </c>
      <c r="B5640" t="s">
        <v>13</v>
      </c>
      <c r="C5640">
        <v>666</v>
      </c>
      <c r="D5640">
        <v>0</v>
      </c>
      <c r="E5640">
        <v>0</v>
      </c>
      <c r="F5640">
        <v>128480</v>
      </c>
      <c r="G5640">
        <v>2500</v>
      </c>
      <c r="H5640">
        <v>0</v>
      </c>
      <c r="J5640" t="str">
        <f>VLOOKUP(Table3[[#This Row],[Faction ID]],Table4[],2)</f>
        <v>Goblins</v>
      </c>
    </row>
    <row r="5641" spans="1:10" x14ac:dyDescent="0.25">
      <c r="A5641">
        <v>146</v>
      </c>
      <c r="B5641" t="s">
        <v>17</v>
      </c>
      <c r="C5641">
        <v>0</v>
      </c>
      <c r="D5641">
        <v>0</v>
      </c>
      <c r="E5641">
        <v>0</v>
      </c>
      <c r="F5641">
        <v>4872</v>
      </c>
      <c r="G5641">
        <v>1750</v>
      </c>
      <c r="H5641">
        <v>0</v>
      </c>
      <c r="J5641" t="str">
        <f>VLOOKUP(Table3[[#This Row],[Faction ID]],Table4[],2)</f>
        <v>Balchoth</v>
      </c>
    </row>
    <row r="5642" spans="1:10" x14ac:dyDescent="0.25">
      <c r="A5642">
        <v>146</v>
      </c>
      <c r="B5642" t="s">
        <v>18</v>
      </c>
      <c r="C5642">
        <v>698</v>
      </c>
      <c r="D5642">
        <v>15</v>
      </c>
      <c r="E5642">
        <v>251.5</v>
      </c>
      <c r="F5642">
        <v>480810</v>
      </c>
      <c r="G5642">
        <v>39318</v>
      </c>
      <c r="H5642">
        <v>2820</v>
      </c>
      <c r="J5642" t="str">
        <f>VLOOKUP(Table3[[#This Row],[Faction ID]],Table4[],2)</f>
        <v>Rhurim/Rhun</v>
      </c>
    </row>
    <row r="5643" spans="1:10" x14ac:dyDescent="0.25">
      <c r="A5643">
        <v>146</v>
      </c>
      <c r="B5643" t="s">
        <v>19</v>
      </c>
      <c r="C5643">
        <v>0</v>
      </c>
      <c r="D5643">
        <v>0</v>
      </c>
      <c r="E5643">
        <v>0</v>
      </c>
      <c r="F5643">
        <v>7360</v>
      </c>
      <c r="G5643">
        <v>1750</v>
      </c>
      <c r="H5643">
        <v>0</v>
      </c>
      <c r="J5643" t="str">
        <f>VLOOKUP(Table3[[#This Row],[Faction ID]],Table4[],2)</f>
        <v>Feredrim</v>
      </c>
    </row>
    <row r="5644" spans="1:10" x14ac:dyDescent="0.25">
      <c r="A5644">
        <v>146</v>
      </c>
      <c r="B5644" t="s">
        <v>26</v>
      </c>
      <c r="C5644">
        <v>0</v>
      </c>
      <c r="D5644">
        <v>0</v>
      </c>
      <c r="E5644">
        <v>0</v>
      </c>
      <c r="F5644">
        <v>6395</v>
      </c>
      <c r="G5644">
        <v>1750</v>
      </c>
      <c r="H5644">
        <v>0</v>
      </c>
      <c r="J5644" t="str">
        <f>VLOOKUP(Table3[[#This Row],[Faction ID]],Table4[],2)</f>
        <v>Rachrohir (Wainriders)</v>
      </c>
    </row>
    <row r="5645" spans="1:10" x14ac:dyDescent="0.25">
      <c r="A5645">
        <v>146</v>
      </c>
      <c r="B5645" t="s">
        <v>27</v>
      </c>
      <c r="C5645">
        <v>7</v>
      </c>
      <c r="D5645">
        <v>5</v>
      </c>
      <c r="E5645">
        <v>74.199999999999903</v>
      </c>
      <c r="F5645">
        <v>38382</v>
      </c>
      <c r="G5645">
        <v>18887</v>
      </c>
      <c r="H5645">
        <v>1944</v>
      </c>
      <c r="J5645" t="str">
        <f>VLOOKUP(Table3[[#This Row],[Faction ID]],Table4[],2)</f>
        <v>Blacklock-Stonefoot League</v>
      </c>
    </row>
    <row r="5646" spans="1:10" x14ac:dyDescent="0.25">
      <c r="A5646">
        <v>146</v>
      </c>
      <c r="B5646" t="s">
        <v>28</v>
      </c>
      <c r="C5646">
        <v>6</v>
      </c>
      <c r="D5646">
        <v>3</v>
      </c>
      <c r="E5646">
        <v>49.6</v>
      </c>
      <c r="F5646">
        <v>20050</v>
      </c>
      <c r="G5646">
        <v>16676</v>
      </c>
      <c r="H5646">
        <v>1276</v>
      </c>
      <c r="J5646" t="str">
        <f>VLOOKUP(Table3[[#This Row],[Faction ID]],Table4[],2)</f>
        <v>Ironfist-Stiffbeard Union</v>
      </c>
    </row>
    <row r="5647" spans="1:10" x14ac:dyDescent="0.25">
      <c r="A5647">
        <v>146</v>
      </c>
      <c r="B5647" t="s">
        <v>20</v>
      </c>
      <c r="C5647">
        <v>245</v>
      </c>
      <c r="D5647">
        <v>0</v>
      </c>
      <c r="E5647">
        <v>0</v>
      </c>
      <c r="F5647">
        <v>9750</v>
      </c>
      <c r="G5647">
        <v>2500</v>
      </c>
      <c r="H5647">
        <v>0</v>
      </c>
      <c r="J5647" t="str">
        <f>VLOOKUP(Table3[[#This Row],[Faction ID]],Table4[],2)</f>
        <v>Gundabad</v>
      </c>
    </row>
    <row r="5648" spans="1:10" x14ac:dyDescent="0.25">
      <c r="A5648">
        <v>146</v>
      </c>
      <c r="B5648" t="s">
        <v>34</v>
      </c>
      <c r="C5648">
        <v>0</v>
      </c>
      <c r="D5648">
        <v>0</v>
      </c>
      <c r="E5648">
        <v>3</v>
      </c>
      <c r="F5648">
        <v>167695</v>
      </c>
      <c r="G5648">
        <v>2354</v>
      </c>
      <c r="H5648">
        <v>0</v>
      </c>
      <c r="J5648" t="str">
        <f>VLOOKUP(Table3[[#This Row],[Faction ID]],Table4[],2)</f>
        <v>Scouts of Rohan</v>
      </c>
    </row>
    <row r="5649" spans="1:10" x14ac:dyDescent="0.25">
      <c r="A5649">
        <v>146</v>
      </c>
      <c r="B5649" t="s">
        <v>33</v>
      </c>
      <c r="C5649">
        <v>0</v>
      </c>
      <c r="D5649">
        <v>0</v>
      </c>
      <c r="E5649">
        <v>0</v>
      </c>
      <c r="F5649">
        <v>23466</v>
      </c>
      <c r="G5649">
        <v>1750</v>
      </c>
      <c r="H5649">
        <v>0</v>
      </c>
      <c r="J5649" t="str">
        <f>VLOOKUP(Table3[[#This Row],[Faction ID]],Table4[],2)</f>
        <v>Northern Enedwaith</v>
      </c>
    </row>
    <row r="5650" spans="1:10" x14ac:dyDescent="0.25">
      <c r="A5650">
        <v>146</v>
      </c>
      <c r="B5650" t="s">
        <v>29</v>
      </c>
      <c r="C5650">
        <v>0</v>
      </c>
      <c r="D5650">
        <v>0</v>
      </c>
      <c r="E5650">
        <v>0</v>
      </c>
      <c r="F5650">
        <v>54023</v>
      </c>
      <c r="G5650">
        <v>1750</v>
      </c>
      <c r="H5650">
        <v>0</v>
      </c>
      <c r="J5650" t="str">
        <f>VLOOKUP(Table3[[#This Row],[Faction ID]],Table4[],2)</f>
        <v>Southern Enedwaith</v>
      </c>
    </row>
    <row r="5651" spans="1:10" x14ac:dyDescent="0.25">
      <c r="A5651">
        <v>146</v>
      </c>
      <c r="B5651" t="s">
        <v>30</v>
      </c>
      <c r="C5651">
        <v>0</v>
      </c>
      <c r="D5651">
        <v>0</v>
      </c>
      <c r="E5651">
        <v>0</v>
      </c>
      <c r="F5651">
        <v>32146</v>
      </c>
      <c r="G5651">
        <v>1750</v>
      </c>
      <c r="H5651">
        <v>0</v>
      </c>
      <c r="J5651" t="str">
        <f>VLOOKUP(Table3[[#This Row],[Faction ID]],Table4[],2)</f>
        <v>Druedain</v>
      </c>
    </row>
    <row r="5652" spans="1:10" x14ac:dyDescent="0.25">
      <c r="A5652">
        <v>146</v>
      </c>
      <c r="B5652" t="s">
        <v>31</v>
      </c>
      <c r="C5652">
        <v>0</v>
      </c>
      <c r="D5652">
        <v>0</v>
      </c>
      <c r="E5652">
        <v>0</v>
      </c>
      <c r="F5652">
        <v>15146</v>
      </c>
      <c r="G5652">
        <v>1750</v>
      </c>
      <c r="H5652">
        <v>0</v>
      </c>
      <c r="J5652" t="str">
        <f>VLOOKUP(Table3[[#This Row],[Faction ID]],Table4[],2)</f>
        <v>Harondor</v>
      </c>
    </row>
    <row r="5653" spans="1:10" x14ac:dyDescent="0.25">
      <c r="A5653">
        <v>146</v>
      </c>
      <c r="B5653" t="s">
        <v>35</v>
      </c>
      <c r="C5653">
        <v>0</v>
      </c>
      <c r="D5653">
        <v>0</v>
      </c>
      <c r="E5653">
        <v>0</v>
      </c>
      <c r="F5653">
        <v>4000</v>
      </c>
      <c r="G5653">
        <v>1750</v>
      </c>
      <c r="H5653">
        <v>0</v>
      </c>
      <c r="J5653" t="str">
        <f>VLOOKUP(Table3[[#This Row],[Faction ID]],Table4[],2)</f>
        <v>Southron Nomads</v>
      </c>
    </row>
    <row r="5654" spans="1:10" x14ac:dyDescent="0.25">
      <c r="A5654">
        <v>146</v>
      </c>
      <c r="B5654" t="s">
        <v>36</v>
      </c>
      <c r="C5654">
        <v>0</v>
      </c>
      <c r="D5654">
        <v>0</v>
      </c>
      <c r="E5654">
        <v>0</v>
      </c>
      <c r="F5654">
        <v>4000</v>
      </c>
      <c r="G5654">
        <v>1750</v>
      </c>
      <c r="H5654">
        <v>0</v>
      </c>
      <c r="J5654" t="str">
        <f>VLOOKUP(Table3[[#This Row],[Faction ID]],Table4[],2)</f>
        <v>_</v>
      </c>
    </row>
    <row r="5655" spans="1:10" x14ac:dyDescent="0.25">
      <c r="A5655">
        <v>146</v>
      </c>
      <c r="B5655" t="s">
        <v>37</v>
      </c>
      <c r="C5655">
        <v>0</v>
      </c>
      <c r="D5655">
        <v>0</v>
      </c>
      <c r="E5655">
        <v>0</v>
      </c>
      <c r="F5655">
        <v>4000</v>
      </c>
      <c r="G5655">
        <v>1750</v>
      </c>
      <c r="H5655">
        <v>0</v>
      </c>
      <c r="J5655" t="str">
        <f>VLOOKUP(Table3[[#This Row],[Faction ID]],Table4[],2)</f>
        <v>_</v>
      </c>
    </row>
    <row r="5656" spans="1:10" x14ac:dyDescent="0.25">
      <c r="A5656">
        <v>146</v>
      </c>
      <c r="B5656" t="s">
        <v>38</v>
      </c>
      <c r="C5656">
        <v>0</v>
      </c>
      <c r="D5656">
        <v>0</v>
      </c>
      <c r="E5656">
        <v>0</v>
      </c>
      <c r="F5656">
        <v>4000</v>
      </c>
      <c r="G5656">
        <v>1750</v>
      </c>
      <c r="H5656">
        <v>0</v>
      </c>
      <c r="J5656" t="str">
        <f>VLOOKUP(Table3[[#This Row],[Faction ID]],Table4[],2)</f>
        <v>_</v>
      </c>
    </row>
    <row r="5657" spans="1:10" x14ac:dyDescent="0.25">
      <c r="A5657">
        <v>146</v>
      </c>
      <c r="B5657" t="s">
        <v>39</v>
      </c>
      <c r="C5657">
        <v>0</v>
      </c>
      <c r="D5657">
        <v>0</v>
      </c>
      <c r="E5657">
        <v>0</v>
      </c>
      <c r="F5657">
        <v>4000</v>
      </c>
      <c r="G5657">
        <v>1750</v>
      </c>
      <c r="H5657">
        <v>0</v>
      </c>
      <c r="J5657" t="str">
        <f>VLOOKUP(Table3[[#This Row],[Faction ID]],Table4[],2)</f>
        <v>_</v>
      </c>
    </row>
    <row r="5658" spans="1:10" x14ac:dyDescent="0.25">
      <c r="A5658">
        <v>146</v>
      </c>
      <c r="B5658" t="s">
        <v>40</v>
      </c>
      <c r="C5658">
        <v>0</v>
      </c>
      <c r="D5658">
        <v>0</v>
      </c>
      <c r="E5658">
        <v>0</v>
      </c>
      <c r="F5658">
        <v>4000</v>
      </c>
      <c r="G5658">
        <v>1750</v>
      </c>
      <c r="H5658">
        <v>0</v>
      </c>
      <c r="J5658" t="str">
        <f>VLOOKUP(Table3[[#This Row],[Faction ID]],Table4[],2)</f>
        <v>_</v>
      </c>
    </row>
    <row r="5659" spans="1:10" x14ac:dyDescent="0.25">
      <c r="A5659">
        <v>146</v>
      </c>
      <c r="B5659" t="s">
        <v>41</v>
      </c>
      <c r="C5659">
        <v>0</v>
      </c>
      <c r="D5659">
        <v>0</v>
      </c>
      <c r="E5659">
        <v>0</v>
      </c>
      <c r="F5659">
        <v>4000</v>
      </c>
      <c r="G5659">
        <v>1750</v>
      </c>
      <c r="H5659">
        <v>0</v>
      </c>
      <c r="J5659" t="str">
        <f>VLOOKUP(Table3[[#This Row],[Faction ID]],Table4[],2)</f>
        <v>_</v>
      </c>
    </row>
    <row r="5660" spans="1:10" x14ac:dyDescent="0.25">
      <c r="A5660">
        <v>146</v>
      </c>
      <c r="B5660" t="s">
        <v>42</v>
      </c>
      <c r="C5660">
        <v>0</v>
      </c>
      <c r="D5660">
        <v>0</v>
      </c>
      <c r="E5660">
        <v>0</v>
      </c>
      <c r="F5660">
        <v>4000</v>
      </c>
      <c r="G5660">
        <v>1750</v>
      </c>
      <c r="H5660">
        <v>0</v>
      </c>
      <c r="J5660" t="str">
        <f>VLOOKUP(Table3[[#This Row],[Faction ID]],Table4[],2)</f>
        <v>_</v>
      </c>
    </row>
    <row r="5661" spans="1:10" x14ac:dyDescent="0.25">
      <c r="A5661">
        <v>146</v>
      </c>
      <c r="B5661" t="s">
        <v>43</v>
      </c>
      <c r="C5661">
        <v>0</v>
      </c>
      <c r="D5661">
        <v>0</v>
      </c>
      <c r="E5661">
        <v>0</v>
      </c>
      <c r="F5661">
        <v>4000</v>
      </c>
      <c r="G5661">
        <v>1750</v>
      </c>
      <c r="H5661">
        <v>0</v>
      </c>
      <c r="J5661" t="str">
        <f>VLOOKUP(Table3[[#This Row],[Faction ID]],Table4[],2)</f>
        <v>_</v>
      </c>
    </row>
    <row r="5662" spans="1:10" x14ac:dyDescent="0.25">
      <c r="A5662">
        <v>146</v>
      </c>
      <c r="B5662" t="s">
        <v>44</v>
      </c>
      <c r="C5662">
        <v>0</v>
      </c>
      <c r="D5662">
        <v>0</v>
      </c>
      <c r="E5662">
        <v>0</v>
      </c>
      <c r="F5662">
        <v>4000</v>
      </c>
      <c r="G5662">
        <v>1750</v>
      </c>
      <c r="H5662">
        <v>0</v>
      </c>
      <c r="J5662" t="str">
        <f>VLOOKUP(Table3[[#This Row],[Faction ID]],Table4[],2)</f>
        <v>_</v>
      </c>
    </row>
    <row r="5663" spans="1:10" x14ac:dyDescent="0.25">
      <c r="A5663">
        <v>147</v>
      </c>
      <c r="B5663" t="s">
        <v>9</v>
      </c>
      <c r="C5663">
        <v>823</v>
      </c>
      <c r="D5663">
        <v>65</v>
      </c>
      <c r="E5663">
        <v>820.2</v>
      </c>
      <c r="F5663">
        <v>26682</v>
      </c>
      <c r="G5663">
        <v>123785</v>
      </c>
      <c r="H5663">
        <v>11627</v>
      </c>
      <c r="J5663" t="str">
        <f>VLOOKUP(Table3[[#This Row],[Faction ID]],Table4[],2)</f>
        <v>Mordor</v>
      </c>
    </row>
    <row r="5664" spans="1:10" x14ac:dyDescent="0.25">
      <c r="A5664">
        <v>147</v>
      </c>
      <c r="B5664" t="s">
        <v>4</v>
      </c>
      <c r="C5664">
        <v>146</v>
      </c>
      <c r="D5664">
        <v>0</v>
      </c>
      <c r="E5664">
        <v>0</v>
      </c>
      <c r="F5664">
        <v>55420</v>
      </c>
      <c r="G5664">
        <v>2500</v>
      </c>
      <c r="H5664">
        <v>0</v>
      </c>
      <c r="J5664" t="str">
        <f>VLOOKUP(Table3[[#This Row],[Faction ID]],Table4[],2)</f>
        <v>Gondor</v>
      </c>
    </row>
    <row r="5665" spans="1:10" x14ac:dyDescent="0.25">
      <c r="A5665">
        <v>147</v>
      </c>
      <c r="B5665" t="s">
        <v>6</v>
      </c>
      <c r="C5665">
        <v>199</v>
      </c>
      <c r="D5665">
        <v>0</v>
      </c>
      <c r="E5665">
        <v>0</v>
      </c>
      <c r="F5665">
        <v>10343</v>
      </c>
      <c r="G5665">
        <v>2500</v>
      </c>
      <c r="H5665">
        <v>0</v>
      </c>
      <c r="J5665" t="str">
        <f>VLOOKUP(Table3[[#This Row],[Faction ID]],Table4[],2)</f>
        <v>Dale</v>
      </c>
    </row>
    <row r="5666" spans="1:10" x14ac:dyDescent="0.25">
      <c r="A5666">
        <v>147</v>
      </c>
      <c r="B5666" t="s">
        <v>21</v>
      </c>
      <c r="C5666">
        <v>200</v>
      </c>
      <c r="D5666">
        <v>0</v>
      </c>
      <c r="E5666">
        <v>0</v>
      </c>
      <c r="F5666">
        <v>10040</v>
      </c>
      <c r="G5666">
        <v>2500</v>
      </c>
      <c r="H5666">
        <v>0</v>
      </c>
      <c r="J5666" t="str">
        <f>VLOOKUP(Table3[[#This Row],[Faction ID]],Table4[],2)</f>
        <v>Erebor</v>
      </c>
    </row>
    <row r="5667" spans="1:10" x14ac:dyDescent="0.25">
      <c r="A5667">
        <v>147</v>
      </c>
      <c r="B5667" t="s">
        <v>5</v>
      </c>
      <c r="C5667">
        <v>157</v>
      </c>
      <c r="D5667">
        <v>0</v>
      </c>
      <c r="E5667">
        <v>0</v>
      </c>
      <c r="F5667">
        <v>6638</v>
      </c>
      <c r="G5667">
        <v>2500</v>
      </c>
      <c r="H5667">
        <v>0</v>
      </c>
      <c r="J5667" t="str">
        <f>VLOOKUP(Table3[[#This Row],[Faction ID]],Table4[],2)</f>
        <v>Rohan</v>
      </c>
    </row>
    <row r="5668" spans="1:10" x14ac:dyDescent="0.25">
      <c r="A5668">
        <v>147</v>
      </c>
      <c r="B5668" t="s">
        <v>12</v>
      </c>
      <c r="C5668">
        <v>565</v>
      </c>
      <c r="D5668">
        <v>25</v>
      </c>
      <c r="E5668">
        <v>453.8</v>
      </c>
      <c r="F5668">
        <v>550057</v>
      </c>
      <c r="G5668">
        <v>81607</v>
      </c>
      <c r="H5668">
        <v>6665</v>
      </c>
      <c r="J5668" t="str">
        <f>VLOOKUP(Table3[[#This Row],[Faction ID]],Table4[],2)</f>
        <v>Dol Guldur</v>
      </c>
    </row>
    <row r="5669" spans="1:10" x14ac:dyDescent="0.25">
      <c r="A5669">
        <v>147</v>
      </c>
      <c r="B5669" t="s">
        <v>10</v>
      </c>
      <c r="C5669">
        <v>58</v>
      </c>
      <c r="D5669">
        <v>0</v>
      </c>
      <c r="E5669">
        <v>0</v>
      </c>
      <c r="F5669">
        <v>4515</v>
      </c>
      <c r="G5669">
        <v>2500</v>
      </c>
      <c r="H5669">
        <v>0</v>
      </c>
      <c r="J5669" t="str">
        <f>VLOOKUP(Table3[[#This Row],[Faction ID]],Table4[],2)</f>
        <v>Anduin Vale</v>
      </c>
    </row>
    <row r="5670" spans="1:10" x14ac:dyDescent="0.25">
      <c r="A5670">
        <v>147</v>
      </c>
      <c r="B5670" t="s">
        <v>32</v>
      </c>
      <c r="C5670">
        <v>329</v>
      </c>
      <c r="D5670">
        <v>0</v>
      </c>
      <c r="E5670">
        <v>0</v>
      </c>
      <c r="F5670">
        <v>23007</v>
      </c>
      <c r="G5670">
        <v>2500</v>
      </c>
      <c r="H5670">
        <v>0</v>
      </c>
      <c r="J5670" t="str">
        <f>VLOOKUP(Table3[[#This Row],[Faction ID]],Table4[],2)</f>
        <v>Isengard</v>
      </c>
    </row>
    <row r="5671" spans="1:10" x14ac:dyDescent="0.25">
      <c r="A5671">
        <v>147</v>
      </c>
      <c r="B5671" t="s">
        <v>22</v>
      </c>
      <c r="C5671">
        <v>30</v>
      </c>
      <c r="D5671">
        <v>0</v>
      </c>
      <c r="E5671">
        <v>0</v>
      </c>
      <c r="F5671">
        <v>8475</v>
      </c>
      <c r="G5671">
        <v>2500</v>
      </c>
      <c r="H5671">
        <v>0</v>
      </c>
      <c r="J5671" t="str">
        <f>VLOOKUP(Table3[[#This Row],[Faction ID]],Table4[],2)</f>
        <v>Woodland Realm</v>
      </c>
    </row>
    <row r="5672" spans="1:10" x14ac:dyDescent="0.25">
      <c r="A5672">
        <v>147</v>
      </c>
      <c r="B5672" t="s">
        <v>23</v>
      </c>
      <c r="C5672">
        <v>64</v>
      </c>
      <c r="D5672">
        <v>0</v>
      </c>
      <c r="E5672">
        <v>0</v>
      </c>
      <c r="F5672">
        <v>4721</v>
      </c>
      <c r="G5672">
        <v>2500</v>
      </c>
      <c r="H5672">
        <v>0</v>
      </c>
      <c r="J5672" t="str">
        <f>VLOOKUP(Table3[[#This Row],[Faction ID]],Table4[],2)</f>
        <v>Lothlorien</v>
      </c>
    </row>
    <row r="5673" spans="1:10" x14ac:dyDescent="0.25">
      <c r="A5673">
        <v>147</v>
      </c>
      <c r="B5673" t="s">
        <v>24</v>
      </c>
      <c r="C5673">
        <v>0</v>
      </c>
      <c r="D5673">
        <v>0</v>
      </c>
      <c r="E5673">
        <v>0</v>
      </c>
      <c r="F5673">
        <v>4919</v>
      </c>
      <c r="G5673">
        <v>1750</v>
      </c>
      <c r="H5673">
        <v>0</v>
      </c>
      <c r="J5673" t="str">
        <f>VLOOKUP(Table3[[#This Row],[Faction ID]],Table4[],2)</f>
        <v>Variags (Khand)</v>
      </c>
    </row>
    <row r="5674" spans="1:10" x14ac:dyDescent="0.25">
      <c r="A5674">
        <v>147</v>
      </c>
      <c r="B5674" t="s">
        <v>14</v>
      </c>
      <c r="C5674">
        <v>21</v>
      </c>
      <c r="D5674">
        <v>15</v>
      </c>
      <c r="E5674">
        <v>242.6</v>
      </c>
      <c r="F5674">
        <v>606450</v>
      </c>
      <c r="G5674">
        <v>53882</v>
      </c>
      <c r="H5674">
        <v>6066</v>
      </c>
      <c r="J5674" t="str">
        <f>VLOOKUP(Table3[[#This Row],[Faction ID]],Table4[],2)</f>
        <v>Corsairs of Umbar</v>
      </c>
    </row>
    <row r="5675" spans="1:10" x14ac:dyDescent="0.25">
      <c r="A5675">
        <v>147</v>
      </c>
      <c r="B5675" t="s">
        <v>25</v>
      </c>
      <c r="C5675">
        <v>0</v>
      </c>
      <c r="D5675">
        <v>0</v>
      </c>
      <c r="E5675">
        <v>0</v>
      </c>
      <c r="F5675">
        <v>9228</v>
      </c>
      <c r="G5675">
        <v>1750</v>
      </c>
      <c r="H5675">
        <v>0</v>
      </c>
      <c r="J5675" t="str">
        <f>VLOOKUP(Table3[[#This Row],[Faction ID]],Table4[],2)</f>
        <v>Mahud</v>
      </c>
    </row>
    <row r="5676" spans="1:10" x14ac:dyDescent="0.25">
      <c r="A5676">
        <v>147</v>
      </c>
      <c r="B5676" t="s">
        <v>11</v>
      </c>
      <c r="C5676">
        <v>423</v>
      </c>
      <c r="D5676">
        <v>18</v>
      </c>
      <c r="E5676">
        <v>314.8</v>
      </c>
      <c r="F5676">
        <v>279134</v>
      </c>
      <c r="G5676">
        <v>51394</v>
      </c>
      <c r="H5676">
        <v>3730</v>
      </c>
      <c r="J5676" t="str">
        <f>VLOOKUP(Table3[[#This Row],[Faction ID]],Table4[],2)</f>
        <v>Haradrim</v>
      </c>
    </row>
    <row r="5677" spans="1:10" x14ac:dyDescent="0.25">
      <c r="A5677">
        <v>147</v>
      </c>
      <c r="B5677" t="s">
        <v>15</v>
      </c>
      <c r="C5677">
        <v>374</v>
      </c>
      <c r="D5677">
        <v>10</v>
      </c>
      <c r="E5677">
        <v>233.89999999999901</v>
      </c>
      <c r="F5677">
        <v>341019</v>
      </c>
      <c r="G5677">
        <v>51165</v>
      </c>
      <c r="H5677">
        <v>0</v>
      </c>
      <c r="J5677" t="str">
        <f>VLOOKUP(Table3[[#This Row],[Faction ID]],Table4[],2)</f>
        <v>Dunlendings</v>
      </c>
    </row>
    <row r="5678" spans="1:10" x14ac:dyDescent="0.25">
      <c r="A5678">
        <v>147</v>
      </c>
      <c r="B5678" t="s">
        <v>16</v>
      </c>
      <c r="C5678">
        <v>0</v>
      </c>
      <c r="D5678">
        <v>0</v>
      </c>
      <c r="E5678">
        <v>0</v>
      </c>
      <c r="F5678">
        <v>5352</v>
      </c>
      <c r="G5678">
        <v>1750</v>
      </c>
      <c r="H5678">
        <v>0</v>
      </c>
      <c r="J5678" t="str">
        <f>VLOOKUP(Table3[[#This Row],[Faction ID]],Table4[],2)</f>
        <v>Haerrim</v>
      </c>
    </row>
    <row r="5679" spans="1:10" x14ac:dyDescent="0.25">
      <c r="A5679">
        <v>147</v>
      </c>
      <c r="B5679" t="s">
        <v>13</v>
      </c>
      <c r="C5679">
        <v>666</v>
      </c>
      <c r="D5679">
        <v>0</v>
      </c>
      <c r="E5679">
        <v>0</v>
      </c>
      <c r="F5679">
        <v>128480</v>
      </c>
      <c r="G5679">
        <v>2500</v>
      </c>
      <c r="H5679">
        <v>0</v>
      </c>
      <c r="J5679" t="str">
        <f>VLOOKUP(Table3[[#This Row],[Faction ID]],Table4[],2)</f>
        <v>Goblins</v>
      </c>
    </row>
    <row r="5680" spans="1:10" x14ac:dyDescent="0.25">
      <c r="A5680">
        <v>147</v>
      </c>
      <c r="B5680" t="s">
        <v>17</v>
      </c>
      <c r="C5680">
        <v>0</v>
      </c>
      <c r="D5680">
        <v>0</v>
      </c>
      <c r="E5680">
        <v>0</v>
      </c>
      <c r="F5680">
        <v>4872</v>
      </c>
      <c r="G5680">
        <v>1750</v>
      </c>
      <c r="H5680">
        <v>0</v>
      </c>
      <c r="J5680" t="str">
        <f>VLOOKUP(Table3[[#This Row],[Faction ID]],Table4[],2)</f>
        <v>Balchoth</v>
      </c>
    </row>
    <row r="5681" spans="1:10" x14ac:dyDescent="0.25">
      <c r="A5681">
        <v>147</v>
      </c>
      <c r="B5681" t="s">
        <v>18</v>
      </c>
      <c r="C5681">
        <v>698</v>
      </c>
      <c r="D5681">
        <v>15</v>
      </c>
      <c r="E5681">
        <v>263</v>
      </c>
      <c r="F5681">
        <v>460525</v>
      </c>
      <c r="G5681">
        <v>42741</v>
      </c>
      <c r="H5681">
        <v>2833</v>
      </c>
      <c r="J5681" t="str">
        <f>VLOOKUP(Table3[[#This Row],[Faction ID]],Table4[],2)</f>
        <v>Rhurim/Rhun</v>
      </c>
    </row>
    <row r="5682" spans="1:10" x14ac:dyDescent="0.25">
      <c r="A5682">
        <v>147</v>
      </c>
      <c r="B5682" t="s">
        <v>19</v>
      </c>
      <c r="C5682">
        <v>0</v>
      </c>
      <c r="D5682">
        <v>0</v>
      </c>
      <c r="E5682">
        <v>0</v>
      </c>
      <c r="F5682">
        <v>7360</v>
      </c>
      <c r="G5682">
        <v>1750</v>
      </c>
      <c r="H5682">
        <v>0</v>
      </c>
      <c r="J5682" t="str">
        <f>VLOOKUP(Table3[[#This Row],[Faction ID]],Table4[],2)</f>
        <v>Feredrim</v>
      </c>
    </row>
    <row r="5683" spans="1:10" x14ac:dyDescent="0.25">
      <c r="A5683">
        <v>147</v>
      </c>
      <c r="B5683" t="s">
        <v>26</v>
      </c>
      <c r="C5683">
        <v>0</v>
      </c>
      <c r="D5683">
        <v>0</v>
      </c>
      <c r="E5683">
        <v>0</v>
      </c>
      <c r="F5683">
        <v>6395</v>
      </c>
      <c r="G5683">
        <v>1750</v>
      </c>
      <c r="H5683">
        <v>0</v>
      </c>
      <c r="J5683" t="str">
        <f>VLOOKUP(Table3[[#This Row],[Faction ID]],Table4[],2)</f>
        <v>Rachrohir (Wainriders)</v>
      </c>
    </row>
    <row r="5684" spans="1:10" x14ac:dyDescent="0.25">
      <c r="A5684">
        <v>147</v>
      </c>
      <c r="B5684" t="s">
        <v>27</v>
      </c>
      <c r="C5684">
        <v>7</v>
      </c>
      <c r="D5684">
        <v>5</v>
      </c>
      <c r="E5684">
        <v>79.7</v>
      </c>
      <c r="F5684">
        <v>30736</v>
      </c>
      <c r="G5684">
        <v>19032</v>
      </c>
      <c r="H5684">
        <v>1956</v>
      </c>
      <c r="J5684" t="str">
        <f>VLOOKUP(Table3[[#This Row],[Faction ID]],Table4[],2)</f>
        <v>Blacklock-Stonefoot League</v>
      </c>
    </row>
    <row r="5685" spans="1:10" x14ac:dyDescent="0.25">
      <c r="A5685">
        <v>147</v>
      </c>
      <c r="B5685" t="s">
        <v>28</v>
      </c>
      <c r="C5685">
        <v>6</v>
      </c>
      <c r="D5685">
        <v>3</v>
      </c>
      <c r="E5685">
        <v>51.9</v>
      </c>
      <c r="F5685">
        <v>26409</v>
      </c>
      <c r="G5685">
        <v>19945</v>
      </c>
      <c r="H5685">
        <v>1579</v>
      </c>
      <c r="J5685" t="str">
        <f>VLOOKUP(Table3[[#This Row],[Faction ID]],Table4[],2)</f>
        <v>Ironfist-Stiffbeard Union</v>
      </c>
    </row>
    <row r="5686" spans="1:10" x14ac:dyDescent="0.25">
      <c r="A5686">
        <v>147</v>
      </c>
      <c r="B5686" t="s">
        <v>20</v>
      </c>
      <c r="C5686">
        <v>245</v>
      </c>
      <c r="D5686">
        <v>0</v>
      </c>
      <c r="E5686">
        <v>0</v>
      </c>
      <c r="F5686">
        <v>9750</v>
      </c>
      <c r="G5686">
        <v>2500</v>
      </c>
      <c r="H5686">
        <v>0</v>
      </c>
      <c r="J5686" t="str">
        <f>VLOOKUP(Table3[[#This Row],[Faction ID]],Table4[],2)</f>
        <v>Gundabad</v>
      </c>
    </row>
    <row r="5687" spans="1:10" x14ac:dyDescent="0.25">
      <c r="A5687">
        <v>147</v>
      </c>
      <c r="B5687" t="s">
        <v>34</v>
      </c>
      <c r="C5687">
        <v>0</v>
      </c>
      <c r="D5687">
        <v>0</v>
      </c>
      <c r="E5687">
        <v>3</v>
      </c>
      <c r="F5687">
        <v>168841</v>
      </c>
      <c r="G5687">
        <v>2354</v>
      </c>
      <c r="H5687">
        <v>0</v>
      </c>
      <c r="J5687" t="str">
        <f>VLOOKUP(Table3[[#This Row],[Faction ID]],Table4[],2)</f>
        <v>Scouts of Rohan</v>
      </c>
    </row>
    <row r="5688" spans="1:10" x14ac:dyDescent="0.25">
      <c r="A5688">
        <v>147</v>
      </c>
      <c r="B5688" t="s">
        <v>33</v>
      </c>
      <c r="C5688">
        <v>0</v>
      </c>
      <c r="D5688">
        <v>0</v>
      </c>
      <c r="E5688">
        <v>0</v>
      </c>
      <c r="F5688">
        <v>23466</v>
      </c>
      <c r="G5688">
        <v>1750</v>
      </c>
      <c r="H5688">
        <v>0</v>
      </c>
      <c r="J5688" t="str">
        <f>VLOOKUP(Table3[[#This Row],[Faction ID]],Table4[],2)</f>
        <v>Northern Enedwaith</v>
      </c>
    </row>
    <row r="5689" spans="1:10" x14ac:dyDescent="0.25">
      <c r="A5689">
        <v>147</v>
      </c>
      <c r="B5689" t="s">
        <v>29</v>
      </c>
      <c r="C5689">
        <v>0</v>
      </c>
      <c r="D5689">
        <v>0</v>
      </c>
      <c r="E5689">
        <v>0</v>
      </c>
      <c r="F5689">
        <v>54023</v>
      </c>
      <c r="G5689">
        <v>1750</v>
      </c>
      <c r="H5689">
        <v>0</v>
      </c>
      <c r="J5689" t="str">
        <f>VLOOKUP(Table3[[#This Row],[Faction ID]],Table4[],2)</f>
        <v>Southern Enedwaith</v>
      </c>
    </row>
    <row r="5690" spans="1:10" x14ac:dyDescent="0.25">
      <c r="A5690">
        <v>147</v>
      </c>
      <c r="B5690" t="s">
        <v>30</v>
      </c>
      <c r="C5690">
        <v>0</v>
      </c>
      <c r="D5690">
        <v>0</v>
      </c>
      <c r="E5690">
        <v>0</v>
      </c>
      <c r="F5690">
        <v>32146</v>
      </c>
      <c r="G5690">
        <v>1750</v>
      </c>
      <c r="H5690">
        <v>0</v>
      </c>
      <c r="J5690" t="str">
        <f>VLOOKUP(Table3[[#This Row],[Faction ID]],Table4[],2)</f>
        <v>Druedain</v>
      </c>
    </row>
    <row r="5691" spans="1:10" x14ac:dyDescent="0.25">
      <c r="A5691">
        <v>147</v>
      </c>
      <c r="B5691" t="s">
        <v>31</v>
      </c>
      <c r="C5691">
        <v>0</v>
      </c>
      <c r="D5691">
        <v>0</v>
      </c>
      <c r="E5691">
        <v>0</v>
      </c>
      <c r="F5691">
        <v>15146</v>
      </c>
      <c r="G5691">
        <v>1750</v>
      </c>
      <c r="H5691">
        <v>0</v>
      </c>
      <c r="J5691" t="str">
        <f>VLOOKUP(Table3[[#This Row],[Faction ID]],Table4[],2)</f>
        <v>Harondor</v>
      </c>
    </row>
    <row r="5692" spans="1:10" x14ac:dyDescent="0.25">
      <c r="A5692">
        <v>147</v>
      </c>
      <c r="B5692" t="s">
        <v>35</v>
      </c>
      <c r="C5692">
        <v>0</v>
      </c>
      <c r="D5692">
        <v>0</v>
      </c>
      <c r="E5692">
        <v>0</v>
      </c>
      <c r="F5692">
        <v>4000</v>
      </c>
      <c r="G5692">
        <v>1750</v>
      </c>
      <c r="H5692">
        <v>0</v>
      </c>
      <c r="J5692" t="str">
        <f>VLOOKUP(Table3[[#This Row],[Faction ID]],Table4[],2)</f>
        <v>Southron Nomads</v>
      </c>
    </row>
    <row r="5693" spans="1:10" x14ac:dyDescent="0.25">
      <c r="A5693">
        <v>147</v>
      </c>
      <c r="B5693" t="s">
        <v>36</v>
      </c>
      <c r="C5693">
        <v>0</v>
      </c>
      <c r="D5693">
        <v>0</v>
      </c>
      <c r="E5693">
        <v>0</v>
      </c>
      <c r="F5693">
        <v>4000</v>
      </c>
      <c r="G5693">
        <v>1750</v>
      </c>
      <c r="H5693">
        <v>0</v>
      </c>
      <c r="J5693" t="str">
        <f>VLOOKUP(Table3[[#This Row],[Faction ID]],Table4[],2)</f>
        <v>_</v>
      </c>
    </row>
    <row r="5694" spans="1:10" x14ac:dyDescent="0.25">
      <c r="A5694">
        <v>147</v>
      </c>
      <c r="B5694" t="s">
        <v>37</v>
      </c>
      <c r="C5694">
        <v>0</v>
      </c>
      <c r="D5694">
        <v>0</v>
      </c>
      <c r="E5694">
        <v>0</v>
      </c>
      <c r="F5694">
        <v>4000</v>
      </c>
      <c r="G5694">
        <v>1750</v>
      </c>
      <c r="H5694">
        <v>0</v>
      </c>
      <c r="J5694" t="str">
        <f>VLOOKUP(Table3[[#This Row],[Faction ID]],Table4[],2)</f>
        <v>_</v>
      </c>
    </row>
    <row r="5695" spans="1:10" x14ac:dyDescent="0.25">
      <c r="A5695">
        <v>147</v>
      </c>
      <c r="B5695" t="s">
        <v>38</v>
      </c>
      <c r="C5695">
        <v>0</v>
      </c>
      <c r="D5695">
        <v>0</v>
      </c>
      <c r="E5695">
        <v>0</v>
      </c>
      <c r="F5695">
        <v>4000</v>
      </c>
      <c r="G5695">
        <v>1750</v>
      </c>
      <c r="H5695">
        <v>0</v>
      </c>
      <c r="J5695" t="str">
        <f>VLOOKUP(Table3[[#This Row],[Faction ID]],Table4[],2)</f>
        <v>_</v>
      </c>
    </row>
    <row r="5696" spans="1:10" x14ac:dyDescent="0.25">
      <c r="A5696">
        <v>147</v>
      </c>
      <c r="B5696" t="s">
        <v>39</v>
      </c>
      <c r="C5696">
        <v>0</v>
      </c>
      <c r="D5696">
        <v>0</v>
      </c>
      <c r="E5696">
        <v>0</v>
      </c>
      <c r="F5696">
        <v>4000</v>
      </c>
      <c r="G5696">
        <v>1750</v>
      </c>
      <c r="H5696">
        <v>0</v>
      </c>
      <c r="J5696" t="str">
        <f>VLOOKUP(Table3[[#This Row],[Faction ID]],Table4[],2)</f>
        <v>_</v>
      </c>
    </row>
    <row r="5697" spans="1:10" x14ac:dyDescent="0.25">
      <c r="A5697">
        <v>147</v>
      </c>
      <c r="B5697" t="s">
        <v>40</v>
      </c>
      <c r="C5697">
        <v>0</v>
      </c>
      <c r="D5697">
        <v>0</v>
      </c>
      <c r="E5697">
        <v>0</v>
      </c>
      <c r="F5697">
        <v>4000</v>
      </c>
      <c r="G5697">
        <v>1750</v>
      </c>
      <c r="H5697">
        <v>0</v>
      </c>
      <c r="J5697" t="str">
        <f>VLOOKUP(Table3[[#This Row],[Faction ID]],Table4[],2)</f>
        <v>_</v>
      </c>
    </row>
    <row r="5698" spans="1:10" x14ac:dyDescent="0.25">
      <c r="A5698">
        <v>147</v>
      </c>
      <c r="B5698" t="s">
        <v>41</v>
      </c>
      <c r="C5698">
        <v>0</v>
      </c>
      <c r="D5698">
        <v>0</v>
      </c>
      <c r="E5698">
        <v>0</v>
      </c>
      <c r="F5698">
        <v>4000</v>
      </c>
      <c r="G5698">
        <v>1750</v>
      </c>
      <c r="H5698">
        <v>0</v>
      </c>
      <c r="J5698" t="str">
        <f>VLOOKUP(Table3[[#This Row],[Faction ID]],Table4[],2)</f>
        <v>_</v>
      </c>
    </row>
    <row r="5699" spans="1:10" x14ac:dyDescent="0.25">
      <c r="A5699">
        <v>147</v>
      </c>
      <c r="B5699" t="s">
        <v>42</v>
      </c>
      <c r="C5699">
        <v>0</v>
      </c>
      <c r="D5699">
        <v>0</v>
      </c>
      <c r="E5699">
        <v>0</v>
      </c>
      <c r="F5699">
        <v>4000</v>
      </c>
      <c r="G5699">
        <v>1750</v>
      </c>
      <c r="H5699">
        <v>0</v>
      </c>
      <c r="J5699" t="str">
        <f>VLOOKUP(Table3[[#This Row],[Faction ID]],Table4[],2)</f>
        <v>_</v>
      </c>
    </row>
    <row r="5700" spans="1:10" x14ac:dyDescent="0.25">
      <c r="A5700">
        <v>147</v>
      </c>
      <c r="B5700" t="s">
        <v>43</v>
      </c>
      <c r="C5700">
        <v>0</v>
      </c>
      <c r="D5700">
        <v>0</v>
      </c>
      <c r="E5700">
        <v>0</v>
      </c>
      <c r="F5700">
        <v>4000</v>
      </c>
      <c r="G5700">
        <v>1750</v>
      </c>
      <c r="H5700">
        <v>0</v>
      </c>
      <c r="J5700" t="str">
        <f>VLOOKUP(Table3[[#This Row],[Faction ID]],Table4[],2)</f>
        <v>_</v>
      </c>
    </row>
    <row r="5701" spans="1:10" x14ac:dyDescent="0.25">
      <c r="A5701">
        <v>147</v>
      </c>
      <c r="B5701" t="s">
        <v>44</v>
      </c>
      <c r="C5701">
        <v>0</v>
      </c>
      <c r="D5701">
        <v>0</v>
      </c>
      <c r="E5701">
        <v>0</v>
      </c>
      <c r="F5701">
        <v>4000</v>
      </c>
      <c r="G5701">
        <v>1750</v>
      </c>
      <c r="H5701">
        <v>0</v>
      </c>
      <c r="J5701" t="str">
        <f>VLOOKUP(Table3[[#This Row],[Faction ID]],Table4[],2)</f>
        <v>_</v>
      </c>
    </row>
    <row r="5702" spans="1:10" x14ac:dyDescent="0.25">
      <c r="A5702">
        <v>148</v>
      </c>
      <c r="B5702" t="s">
        <v>9</v>
      </c>
      <c r="C5702">
        <v>839</v>
      </c>
      <c r="D5702">
        <v>65</v>
      </c>
      <c r="E5702">
        <v>833.6</v>
      </c>
      <c r="F5702">
        <v>26605</v>
      </c>
      <c r="G5702">
        <v>124577</v>
      </c>
      <c r="H5702">
        <v>11635</v>
      </c>
      <c r="J5702" t="str">
        <f>VLOOKUP(Table3[[#This Row],[Faction ID]],Table4[],2)</f>
        <v>Mordor</v>
      </c>
    </row>
    <row r="5703" spans="1:10" x14ac:dyDescent="0.25">
      <c r="A5703">
        <v>148</v>
      </c>
      <c r="B5703" t="s">
        <v>4</v>
      </c>
      <c r="C5703">
        <v>146</v>
      </c>
      <c r="D5703">
        <v>0</v>
      </c>
      <c r="E5703">
        <v>0</v>
      </c>
      <c r="F5703">
        <v>55420</v>
      </c>
      <c r="G5703">
        <v>2500</v>
      </c>
      <c r="H5703">
        <v>0</v>
      </c>
      <c r="J5703" t="str">
        <f>VLOOKUP(Table3[[#This Row],[Faction ID]],Table4[],2)</f>
        <v>Gondor</v>
      </c>
    </row>
    <row r="5704" spans="1:10" x14ac:dyDescent="0.25">
      <c r="A5704">
        <v>148</v>
      </c>
      <c r="B5704" t="s">
        <v>6</v>
      </c>
      <c r="C5704">
        <v>199</v>
      </c>
      <c r="D5704">
        <v>0</v>
      </c>
      <c r="E5704">
        <v>0</v>
      </c>
      <c r="F5704">
        <v>10343</v>
      </c>
      <c r="G5704">
        <v>2500</v>
      </c>
      <c r="H5704">
        <v>0</v>
      </c>
      <c r="J5704" t="str">
        <f>VLOOKUP(Table3[[#This Row],[Faction ID]],Table4[],2)</f>
        <v>Dale</v>
      </c>
    </row>
    <row r="5705" spans="1:10" x14ac:dyDescent="0.25">
      <c r="A5705">
        <v>148</v>
      </c>
      <c r="B5705" t="s">
        <v>21</v>
      </c>
      <c r="C5705">
        <v>200</v>
      </c>
      <c r="D5705">
        <v>0</v>
      </c>
      <c r="E5705">
        <v>0</v>
      </c>
      <c r="F5705">
        <v>10040</v>
      </c>
      <c r="G5705">
        <v>2500</v>
      </c>
      <c r="H5705">
        <v>0</v>
      </c>
      <c r="J5705" t="str">
        <f>VLOOKUP(Table3[[#This Row],[Faction ID]],Table4[],2)</f>
        <v>Erebor</v>
      </c>
    </row>
    <row r="5706" spans="1:10" x14ac:dyDescent="0.25">
      <c r="A5706">
        <v>148</v>
      </c>
      <c r="B5706" t="s">
        <v>5</v>
      </c>
      <c r="C5706">
        <v>157</v>
      </c>
      <c r="D5706">
        <v>0</v>
      </c>
      <c r="E5706">
        <v>0</v>
      </c>
      <c r="F5706">
        <v>6638</v>
      </c>
      <c r="G5706">
        <v>2500</v>
      </c>
      <c r="H5706">
        <v>0</v>
      </c>
      <c r="J5706" t="str">
        <f>VLOOKUP(Table3[[#This Row],[Faction ID]],Table4[],2)</f>
        <v>Rohan</v>
      </c>
    </row>
    <row r="5707" spans="1:10" x14ac:dyDescent="0.25">
      <c r="A5707">
        <v>148</v>
      </c>
      <c r="B5707" t="s">
        <v>12</v>
      </c>
      <c r="C5707">
        <v>573</v>
      </c>
      <c r="D5707">
        <v>25</v>
      </c>
      <c r="E5707">
        <v>454.9</v>
      </c>
      <c r="F5707">
        <v>574860</v>
      </c>
      <c r="G5707">
        <v>84126</v>
      </c>
      <c r="H5707">
        <v>7126</v>
      </c>
      <c r="J5707" t="str">
        <f>VLOOKUP(Table3[[#This Row],[Faction ID]],Table4[],2)</f>
        <v>Dol Guldur</v>
      </c>
    </row>
    <row r="5708" spans="1:10" x14ac:dyDescent="0.25">
      <c r="A5708">
        <v>148</v>
      </c>
      <c r="B5708" t="s">
        <v>10</v>
      </c>
      <c r="C5708">
        <v>58</v>
      </c>
      <c r="D5708">
        <v>0</v>
      </c>
      <c r="E5708">
        <v>0</v>
      </c>
      <c r="F5708">
        <v>4515</v>
      </c>
      <c r="G5708">
        <v>2500</v>
      </c>
      <c r="H5708">
        <v>0</v>
      </c>
      <c r="J5708" t="str">
        <f>VLOOKUP(Table3[[#This Row],[Faction ID]],Table4[],2)</f>
        <v>Anduin Vale</v>
      </c>
    </row>
    <row r="5709" spans="1:10" x14ac:dyDescent="0.25">
      <c r="A5709">
        <v>148</v>
      </c>
      <c r="B5709" t="s">
        <v>32</v>
      </c>
      <c r="C5709">
        <v>329</v>
      </c>
      <c r="D5709">
        <v>0</v>
      </c>
      <c r="E5709">
        <v>0</v>
      </c>
      <c r="F5709">
        <v>23007</v>
      </c>
      <c r="G5709">
        <v>2500</v>
      </c>
      <c r="H5709">
        <v>0</v>
      </c>
      <c r="J5709" t="str">
        <f>VLOOKUP(Table3[[#This Row],[Faction ID]],Table4[],2)</f>
        <v>Isengard</v>
      </c>
    </row>
    <row r="5710" spans="1:10" x14ac:dyDescent="0.25">
      <c r="A5710">
        <v>148</v>
      </c>
      <c r="B5710" t="s">
        <v>22</v>
      </c>
      <c r="C5710">
        <v>30</v>
      </c>
      <c r="D5710">
        <v>0</v>
      </c>
      <c r="E5710">
        <v>0</v>
      </c>
      <c r="F5710">
        <v>8475</v>
      </c>
      <c r="G5710">
        <v>2500</v>
      </c>
      <c r="H5710">
        <v>0</v>
      </c>
      <c r="J5710" t="str">
        <f>VLOOKUP(Table3[[#This Row],[Faction ID]],Table4[],2)</f>
        <v>Woodland Realm</v>
      </c>
    </row>
    <row r="5711" spans="1:10" x14ac:dyDescent="0.25">
      <c r="A5711">
        <v>148</v>
      </c>
      <c r="B5711" t="s">
        <v>23</v>
      </c>
      <c r="C5711">
        <v>64</v>
      </c>
      <c r="D5711">
        <v>0</v>
      </c>
      <c r="E5711">
        <v>0</v>
      </c>
      <c r="F5711">
        <v>4721</v>
      </c>
      <c r="G5711">
        <v>2500</v>
      </c>
      <c r="H5711">
        <v>0</v>
      </c>
      <c r="J5711" t="str">
        <f>VLOOKUP(Table3[[#This Row],[Faction ID]],Table4[],2)</f>
        <v>Lothlorien</v>
      </c>
    </row>
    <row r="5712" spans="1:10" x14ac:dyDescent="0.25">
      <c r="A5712">
        <v>148</v>
      </c>
      <c r="B5712" t="s">
        <v>24</v>
      </c>
      <c r="C5712">
        <v>0</v>
      </c>
      <c r="D5712">
        <v>0</v>
      </c>
      <c r="E5712">
        <v>0</v>
      </c>
      <c r="F5712">
        <v>4919</v>
      </c>
      <c r="G5712">
        <v>1750</v>
      </c>
      <c r="H5712">
        <v>0</v>
      </c>
      <c r="J5712" t="str">
        <f>VLOOKUP(Table3[[#This Row],[Faction ID]],Table4[],2)</f>
        <v>Variags (Khand)</v>
      </c>
    </row>
    <row r="5713" spans="1:10" x14ac:dyDescent="0.25">
      <c r="A5713">
        <v>148</v>
      </c>
      <c r="B5713" t="s">
        <v>14</v>
      </c>
      <c r="C5713">
        <v>21</v>
      </c>
      <c r="D5713">
        <v>15</v>
      </c>
      <c r="E5713">
        <v>249.6</v>
      </c>
      <c r="F5713">
        <v>631318</v>
      </c>
      <c r="G5713">
        <v>55024</v>
      </c>
      <c r="H5713">
        <v>6074</v>
      </c>
      <c r="J5713" t="str">
        <f>VLOOKUP(Table3[[#This Row],[Faction ID]],Table4[],2)</f>
        <v>Corsairs of Umbar</v>
      </c>
    </row>
    <row r="5714" spans="1:10" x14ac:dyDescent="0.25">
      <c r="A5714">
        <v>148</v>
      </c>
      <c r="B5714" t="s">
        <v>25</v>
      </c>
      <c r="C5714">
        <v>0</v>
      </c>
      <c r="D5714">
        <v>0</v>
      </c>
      <c r="E5714">
        <v>0</v>
      </c>
      <c r="F5714">
        <v>9228</v>
      </c>
      <c r="G5714">
        <v>1750</v>
      </c>
      <c r="H5714">
        <v>0</v>
      </c>
      <c r="J5714" t="str">
        <f>VLOOKUP(Table3[[#This Row],[Faction ID]],Table4[],2)</f>
        <v>Mahud</v>
      </c>
    </row>
    <row r="5715" spans="1:10" x14ac:dyDescent="0.25">
      <c r="A5715">
        <v>148</v>
      </c>
      <c r="B5715" t="s">
        <v>11</v>
      </c>
      <c r="C5715">
        <v>435</v>
      </c>
      <c r="D5715">
        <v>18</v>
      </c>
      <c r="E5715">
        <v>329.3</v>
      </c>
      <c r="F5715">
        <v>306072</v>
      </c>
      <c r="G5715">
        <v>53216</v>
      </c>
      <c r="H5715">
        <v>4114</v>
      </c>
      <c r="J5715" t="str">
        <f>VLOOKUP(Table3[[#This Row],[Faction ID]],Table4[],2)</f>
        <v>Haradrim</v>
      </c>
    </row>
    <row r="5716" spans="1:10" x14ac:dyDescent="0.25">
      <c r="A5716">
        <v>148</v>
      </c>
      <c r="B5716" t="s">
        <v>15</v>
      </c>
      <c r="C5716">
        <v>382</v>
      </c>
      <c r="D5716">
        <v>10</v>
      </c>
      <c r="E5716">
        <v>198.6</v>
      </c>
      <c r="F5716">
        <v>335064</v>
      </c>
      <c r="G5716">
        <v>40823</v>
      </c>
      <c r="H5716">
        <v>0</v>
      </c>
      <c r="J5716" t="str">
        <f>VLOOKUP(Table3[[#This Row],[Faction ID]],Table4[],2)</f>
        <v>Dunlendings</v>
      </c>
    </row>
    <row r="5717" spans="1:10" x14ac:dyDescent="0.25">
      <c r="A5717">
        <v>148</v>
      </c>
      <c r="B5717" t="s">
        <v>16</v>
      </c>
      <c r="C5717">
        <v>0</v>
      </c>
      <c r="D5717">
        <v>0</v>
      </c>
      <c r="E5717">
        <v>0</v>
      </c>
      <c r="F5717">
        <v>5352</v>
      </c>
      <c r="G5717">
        <v>1750</v>
      </c>
      <c r="H5717">
        <v>0</v>
      </c>
      <c r="J5717" t="str">
        <f>VLOOKUP(Table3[[#This Row],[Faction ID]],Table4[],2)</f>
        <v>Haerrim</v>
      </c>
    </row>
    <row r="5718" spans="1:10" x14ac:dyDescent="0.25">
      <c r="A5718">
        <v>148</v>
      </c>
      <c r="B5718" t="s">
        <v>13</v>
      </c>
      <c r="C5718">
        <v>666</v>
      </c>
      <c r="D5718">
        <v>0</v>
      </c>
      <c r="E5718">
        <v>0</v>
      </c>
      <c r="F5718">
        <v>128480</v>
      </c>
      <c r="G5718">
        <v>2500</v>
      </c>
      <c r="H5718">
        <v>0</v>
      </c>
      <c r="J5718" t="str">
        <f>VLOOKUP(Table3[[#This Row],[Faction ID]],Table4[],2)</f>
        <v>Goblins</v>
      </c>
    </row>
    <row r="5719" spans="1:10" x14ac:dyDescent="0.25">
      <c r="A5719">
        <v>148</v>
      </c>
      <c r="B5719" t="s">
        <v>17</v>
      </c>
      <c r="C5719">
        <v>0</v>
      </c>
      <c r="D5719">
        <v>0</v>
      </c>
      <c r="E5719">
        <v>0</v>
      </c>
      <c r="F5719">
        <v>4872</v>
      </c>
      <c r="G5719">
        <v>1750</v>
      </c>
      <c r="H5719">
        <v>0</v>
      </c>
      <c r="J5719" t="str">
        <f>VLOOKUP(Table3[[#This Row],[Faction ID]],Table4[],2)</f>
        <v>Balchoth</v>
      </c>
    </row>
    <row r="5720" spans="1:10" x14ac:dyDescent="0.25">
      <c r="A5720">
        <v>148</v>
      </c>
      <c r="B5720" t="s">
        <v>18</v>
      </c>
      <c r="C5720">
        <v>698</v>
      </c>
      <c r="D5720">
        <v>15</v>
      </c>
      <c r="E5720">
        <v>285.39999999999998</v>
      </c>
      <c r="F5720">
        <v>449269</v>
      </c>
      <c r="G5720">
        <v>45007</v>
      </c>
      <c r="H5720">
        <v>2850</v>
      </c>
      <c r="J5720" t="str">
        <f>VLOOKUP(Table3[[#This Row],[Faction ID]],Table4[],2)</f>
        <v>Rhurim/Rhun</v>
      </c>
    </row>
    <row r="5721" spans="1:10" x14ac:dyDescent="0.25">
      <c r="A5721">
        <v>148</v>
      </c>
      <c r="B5721" t="s">
        <v>19</v>
      </c>
      <c r="C5721">
        <v>0</v>
      </c>
      <c r="D5721">
        <v>0</v>
      </c>
      <c r="E5721">
        <v>0</v>
      </c>
      <c r="F5721">
        <v>7360</v>
      </c>
      <c r="G5721">
        <v>1750</v>
      </c>
      <c r="H5721">
        <v>0</v>
      </c>
      <c r="J5721" t="str">
        <f>VLOOKUP(Table3[[#This Row],[Faction ID]],Table4[],2)</f>
        <v>Feredrim</v>
      </c>
    </row>
    <row r="5722" spans="1:10" x14ac:dyDescent="0.25">
      <c r="A5722">
        <v>148</v>
      </c>
      <c r="B5722" t="s">
        <v>26</v>
      </c>
      <c r="C5722">
        <v>0</v>
      </c>
      <c r="D5722">
        <v>0</v>
      </c>
      <c r="E5722">
        <v>0</v>
      </c>
      <c r="F5722">
        <v>6395</v>
      </c>
      <c r="G5722">
        <v>1750</v>
      </c>
      <c r="H5722">
        <v>0</v>
      </c>
      <c r="J5722" t="str">
        <f>VLOOKUP(Table3[[#This Row],[Faction ID]],Table4[],2)</f>
        <v>Rachrohir (Wainriders)</v>
      </c>
    </row>
    <row r="5723" spans="1:10" x14ac:dyDescent="0.25">
      <c r="A5723">
        <v>148</v>
      </c>
      <c r="B5723" t="s">
        <v>27</v>
      </c>
      <c r="C5723">
        <v>7</v>
      </c>
      <c r="D5723">
        <v>5</v>
      </c>
      <c r="E5723">
        <v>82</v>
      </c>
      <c r="F5723">
        <v>29973</v>
      </c>
      <c r="G5723">
        <v>21464</v>
      </c>
      <c r="H5723">
        <v>2010</v>
      </c>
      <c r="J5723" t="str">
        <f>VLOOKUP(Table3[[#This Row],[Faction ID]],Table4[],2)</f>
        <v>Blacklock-Stonefoot League</v>
      </c>
    </row>
    <row r="5724" spans="1:10" x14ac:dyDescent="0.25">
      <c r="A5724">
        <v>148</v>
      </c>
      <c r="B5724" t="s">
        <v>28</v>
      </c>
      <c r="C5724">
        <v>6</v>
      </c>
      <c r="D5724">
        <v>3</v>
      </c>
      <c r="E5724">
        <v>52.9</v>
      </c>
      <c r="F5724">
        <v>24303</v>
      </c>
      <c r="G5724">
        <v>17878</v>
      </c>
      <c r="H5724">
        <v>1696</v>
      </c>
      <c r="J5724" t="str">
        <f>VLOOKUP(Table3[[#This Row],[Faction ID]],Table4[],2)</f>
        <v>Ironfist-Stiffbeard Union</v>
      </c>
    </row>
    <row r="5725" spans="1:10" x14ac:dyDescent="0.25">
      <c r="A5725">
        <v>148</v>
      </c>
      <c r="B5725" t="s">
        <v>20</v>
      </c>
      <c r="C5725">
        <v>245</v>
      </c>
      <c r="D5725">
        <v>0</v>
      </c>
      <c r="E5725">
        <v>0</v>
      </c>
      <c r="F5725">
        <v>9750</v>
      </c>
      <c r="G5725">
        <v>2500</v>
      </c>
      <c r="H5725">
        <v>0</v>
      </c>
      <c r="J5725" t="str">
        <f>VLOOKUP(Table3[[#This Row],[Faction ID]],Table4[],2)</f>
        <v>Gundabad</v>
      </c>
    </row>
    <row r="5726" spans="1:10" x14ac:dyDescent="0.25">
      <c r="A5726">
        <v>148</v>
      </c>
      <c r="B5726" t="s">
        <v>34</v>
      </c>
      <c r="C5726">
        <v>0</v>
      </c>
      <c r="D5726">
        <v>0</v>
      </c>
      <c r="E5726">
        <v>3</v>
      </c>
      <c r="F5726">
        <v>169987</v>
      </c>
      <c r="G5726">
        <v>2354</v>
      </c>
      <c r="H5726">
        <v>0</v>
      </c>
      <c r="J5726" t="str">
        <f>VLOOKUP(Table3[[#This Row],[Faction ID]],Table4[],2)</f>
        <v>Scouts of Rohan</v>
      </c>
    </row>
    <row r="5727" spans="1:10" x14ac:dyDescent="0.25">
      <c r="A5727">
        <v>148</v>
      </c>
      <c r="B5727" t="s">
        <v>33</v>
      </c>
      <c r="C5727">
        <v>0</v>
      </c>
      <c r="D5727">
        <v>0</v>
      </c>
      <c r="E5727">
        <v>0</v>
      </c>
      <c r="F5727">
        <v>23466</v>
      </c>
      <c r="G5727">
        <v>1750</v>
      </c>
      <c r="H5727">
        <v>0</v>
      </c>
      <c r="J5727" t="str">
        <f>VLOOKUP(Table3[[#This Row],[Faction ID]],Table4[],2)</f>
        <v>Northern Enedwaith</v>
      </c>
    </row>
    <row r="5728" spans="1:10" x14ac:dyDescent="0.25">
      <c r="A5728">
        <v>148</v>
      </c>
      <c r="B5728" t="s">
        <v>29</v>
      </c>
      <c r="C5728">
        <v>0</v>
      </c>
      <c r="D5728">
        <v>0</v>
      </c>
      <c r="E5728">
        <v>0</v>
      </c>
      <c r="F5728">
        <v>54023</v>
      </c>
      <c r="G5728">
        <v>1750</v>
      </c>
      <c r="H5728">
        <v>0</v>
      </c>
      <c r="J5728" t="str">
        <f>VLOOKUP(Table3[[#This Row],[Faction ID]],Table4[],2)</f>
        <v>Southern Enedwaith</v>
      </c>
    </row>
    <row r="5729" spans="1:10" x14ac:dyDescent="0.25">
      <c r="A5729">
        <v>148</v>
      </c>
      <c r="B5729" t="s">
        <v>30</v>
      </c>
      <c r="C5729">
        <v>0</v>
      </c>
      <c r="D5729">
        <v>0</v>
      </c>
      <c r="E5729">
        <v>0</v>
      </c>
      <c r="F5729">
        <v>32146</v>
      </c>
      <c r="G5729">
        <v>1750</v>
      </c>
      <c r="H5729">
        <v>0</v>
      </c>
      <c r="J5729" t="str">
        <f>VLOOKUP(Table3[[#This Row],[Faction ID]],Table4[],2)</f>
        <v>Druedain</v>
      </c>
    </row>
    <row r="5730" spans="1:10" x14ac:dyDescent="0.25">
      <c r="A5730">
        <v>148</v>
      </c>
      <c r="B5730" t="s">
        <v>31</v>
      </c>
      <c r="C5730">
        <v>0</v>
      </c>
      <c r="D5730">
        <v>0</v>
      </c>
      <c r="E5730">
        <v>0</v>
      </c>
      <c r="F5730">
        <v>15146</v>
      </c>
      <c r="G5730">
        <v>1750</v>
      </c>
      <c r="H5730">
        <v>0</v>
      </c>
      <c r="J5730" t="str">
        <f>VLOOKUP(Table3[[#This Row],[Faction ID]],Table4[],2)</f>
        <v>Harondor</v>
      </c>
    </row>
    <row r="5731" spans="1:10" x14ac:dyDescent="0.25">
      <c r="A5731">
        <v>148</v>
      </c>
      <c r="B5731" t="s">
        <v>35</v>
      </c>
      <c r="C5731">
        <v>0</v>
      </c>
      <c r="D5731">
        <v>0</v>
      </c>
      <c r="E5731">
        <v>0</v>
      </c>
      <c r="F5731">
        <v>4000</v>
      </c>
      <c r="G5731">
        <v>1750</v>
      </c>
      <c r="H5731">
        <v>0</v>
      </c>
      <c r="J5731" t="str">
        <f>VLOOKUP(Table3[[#This Row],[Faction ID]],Table4[],2)</f>
        <v>Southron Nomads</v>
      </c>
    </row>
    <row r="5732" spans="1:10" x14ac:dyDescent="0.25">
      <c r="A5732">
        <v>148</v>
      </c>
      <c r="B5732" t="s">
        <v>36</v>
      </c>
      <c r="C5732">
        <v>0</v>
      </c>
      <c r="D5732">
        <v>0</v>
      </c>
      <c r="E5732">
        <v>0</v>
      </c>
      <c r="F5732">
        <v>4000</v>
      </c>
      <c r="G5732">
        <v>1750</v>
      </c>
      <c r="H5732">
        <v>0</v>
      </c>
      <c r="J5732" t="str">
        <f>VLOOKUP(Table3[[#This Row],[Faction ID]],Table4[],2)</f>
        <v>_</v>
      </c>
    </row>
    <row r="5733" spans="1:10" x14ac:dyDescent="0.25">
      <c r="A5733">
        <v>148</v>
      </c>
      <c r="B5733" t="s">
        <v>37</v>
      </c>
      <c r="C5733">
        <v>0</v>
      </c>
      <c r="D5733">
        <v>0</v>
      </c>
      <c r="E5733">
        <v>0</v>
      </c>
      <c r="F5733">
        <v>4000</v>
      </c>
      <c r="G5733">
        <v>1750</v>
      </c>
      <c r="H5733">
        <v>0</v>
      </c>
      <c r="J5733" t="str">
        <f>VLOOKUP(Table3[[#This Row],[Faction ID]],Table4[],2)</f>
        <v>_</v>
      </c>
    </row>
    <row r="5734" spans="1:10" x14ac:dyDescent="0.25">
      <c r="A5734">
        <v>148</v>
      </c>
      <c r="B5734" t="s">
        <v>38</v>
      </c>
      <c r="C5734">
        <v>0</v>
      </c>
      <c r="D5734">
        <v>0</v>
      </c>
      <c r="E5734">
        <v>0</v>
      </c>
      <c r="F5734">
        <v>4000</v>
      </c>
      <c r="G5734">
        <v>1750</v>
      </c>
      <c r="H5734">
        <v>0</v>
      </c>
      <c r="J5734" t="str">
        <f>VLOOKUP(Table3[[#This Row],[Faction ID]],Table4[],2)</f>
        <v>_</v>
      </c>
    </row>
    <row r="5735" spans="1:10" x14ac:dyDescent="0.25">
      <c r="A5735">
        <v>148</v>
      </c>
      <c r="B5735" t="s">
        <v>39</v>
      </c>
      <c r="C5735">
        <v>0</v>
      </c>
      <c r="D5735">
        <v>0</v>
      </c>
      <c r="E5735">
        <v>0</v>
      </c>
      <c r="F5735">
        <v>4000</v>
      </c>
      <c r="G5735">
        <v>1750</v>
      </c>
      <c r="H5735">
        <v>0</v>
      </c>
      <c r="J5735" t="str">
        <f>VLOOKUP(Table3[[#This Row],[Faction ID]],Table4[],2)</f>
        <v>_</v>
      </c>
    </row>
    <row r="5736" spans="1:10" x14ac:dyDescent="0.25">
      <c r="A5736">
        <v>148</v>
      </c>
      <c r="B5736" t="s">
        <v>40</v>
      </c>
      <c r="C5736">
        <v>0</v>
      </c>
      <c r="D5736">
        <v>0</v>
      </c>
      <c r="E5736">
        <v>0</v>
      </c>
      <c r="F5736">
        <v>4000</v>
      </c>
      <c r="G5736">
        <v>1750</v>
      </c>
      <c r="H5736">
        <v>0</v>
      </c>
      <c r="J5736" t="str">
        <f>VLOOKUP(Table3[[#This Row],[Faction ID]],Table4[],2)</f>
        <v>_</v>
      </c>
    </row>
    <row r="5737" spans="1:10" x14ac:dyDescent="0.25">
      <c r="A5737">
        <v>148</v>
      </c>
      <c r="B5737" t="s">
        <v>41</v>
      </c>
      <c r="C5737">
        <v>0</v>
      </c>
      <c r="D5737">
        <v>0</v>
      </c>
      <c r="E5737">
        <v>0</v>
      </c>
      <c r="F5737">
        <v>4000</v>
      </c>
      <c r="G5737">
        <v>1750</v>
      </c>
      <c r="H5737">
        <v>0</v>
      </c>
      <c r="J5737" t="str">
        <f>VLOOKUP(Table3[[#This Row],[Faction ID]],Table4[],2)</f>
        <v>_</v>
      </c>
    </row>
    <row r="5738" spans="1:10" x14ac:dyDescent="0.25">
      <c r="A5738">
        <v>148</v>
      </c>
      <c r="B5738" t="s">
        <v>42</v>
      </c>
      <c r="C5738">
        <v>0</v>
      </c>
      <c r="D5738">
        <v>0</v>
      </c>
      <c r="E5738">
        <v>0</v>
      </c>
      <c r="F5738">
        <v>4000</v>
      </c>
      <c r="G5738">
        <v>1750</v>
      </c>
      <c r="H5738">
        <v>0</v>
      </c>
      <c r="J5738" t="str">
        <f>VLOOKUP(Table3[[#This Row],[Faction ID]],Table4[],2)</f>
        <v>_</v>
      </c>
    </row>
    <row r="5739" spans="1:10" x14ac:dyDescent="0.25">
      <c r="A5739">
        <v>148</v>
      </c>
      <c r="B5739" t="s">
        <v>43</v>
      </c>
      <c r="C5739">
        <v>0</v>
      </c>
      <c r="D5739">
        <v>0</v>
      </c>
      <c r="E5739">
        <v>0</v>
      </c>
      <c r="F5739">
        <v>4000</v>
      </c>
      <c r="G5739">
        <v>1750</v>
      </c>
      <c r="H5739">
        <v>0</v>
      </c>
      <c r="J5739" t="str">
        <f>VLOOKUP(Table3[[#This Row],[Faction ID]],Table4[],2)</f>
        <v>_</v>
      </c>
    </row>
    <row r="5740" spans="1:10" x14ac:dyDescent="0.25">
      <c r="A5740">
        <v>148</v>
      </c>
      <c r="B5740" t="s">
        <v>44</v>
      </c>
      <c r="C5740">
        <v>0</v>
      </c>
      <c r="D5740">
        <v>0</v>
      </c>
      <c r="E5740">
        <v>0</v>
      </c>
      <c r="F5740">
        <v>4000</v>
      </c>
      <c r="G5740">
        <v>1750</v>
      </c>
      <c r="H5740">
        <v>0</v>
      </c>
      <c r="J5740" t="str">
        <f>VLOOKUP(Table3[[#This Row],[Faction ID]],Table4[],2)</f>
        <v>_</v>
      </c>
    </row>
    <row r="5741" spans="1:10" x14ac:dyDescent="0.25">
      <c r="A5741">
        <v>149</v>
      </c>
      <c r="B5741" t="s">
        <v>9</v>
      </c>
      <c r="C5741">
        <v>881</v>
      </c>
      <c r="D5741">
        <v>68</v>
      </c>
      <c r="E5741">
        <v>843.6</v>
      </c>
      <c r="F5741">
        <v>28991</v>
      </c>
      <c r="G5741">
        <v>127629</v>
      </c>
      <c r="H5741">
        <v>12441</v>
      </c>
      <c r="J5741" t="str">
        <f>VLOOKUP(Table3[[#This Row],[Faction ID]],Table4[],2)</f>
        <v>Mordor</v>
      </c>
    </row>
    <row r="5742" spans="1:10" x14ac:dyDescent="0.25">
      <c r="A5742">
        <v>149</v>
      </c>
      <c r="B5742" t="s">
        <v>4</v>
      </c>
      <c r="C5742">
        <v>146</v>
      </c>
      <c r="D5742">
        <v>0</v>
      </c>
      <c r="E5742">
        <v>0</v>
      </c>
      <c r="F5742">
        <v>55420</v>
      </c>
      <c r="G5742">
        <v>2500</v>
      </c>
      <c r="H5742">
        <v>0</v>
      </c>
      <c r="J5742" t="str">
        <f>VLOOKUP(Table3[[#This Row],[Faction ID]],Table4[],2)</f>
        <v>Gondor</v>
      </c>
    </row>
    <row r="5743" spans="1:10" x14ac:dyDescent="0.25">
      <c r="A5743">
        <v>149</v>
      </c>
      <c r="B5743" t="s">
        <v>6</v>
      </c>
      <c r="C5743">
        <v>199</v>
      </c>
      <c r="D5743">
        <v>0</v>
      </c>
      <c r="E5743">
        <v>0</v>
      </c>
      <c r="F5743">
        <v>10343</v>
      </c>
      <c r="G5743">
        <v>2500</v>
      </c>
      <c r="H5743">
        <v>0</v>
      </c>
      <c r="J5743" t="str">
        <f>VLOOKUP(Table3[[#This Row],[Faction ID]],Table4[],2)</f>
        <v>Dale</v>
      </c>
    </row>
    <row r="5744" spans="1:10" x14ac:dyDescent="0.25">
      <c r="A5744">
        <v>149</v>
      </c>
      <c r="B5744" t="s">
        <v>21</v>
      </c>
      <c r="C5744">
        <v>200</v>
      </c>
      <c r="D5744">
        <v>0</v>
      </c>
      <c r="E5744">
        <v>0</v>
      </c>
      <c r="F5744">
        <v>10040</v>
      </c>
      <c r="G5744">
        <v>2500</v>
      </c>
      <c r="H5744">
        <v>0</v>
      </c>
      <c r="J5744" t="str">
        <f>VLOOKUP(Table3[[#This Row],[Faction ID]],Table4[],2)</f>
        <v>Erebor</v>
      </c>
    </row>
    <row r="5745" spans="1:10" x14ac:dyDescent="0.25">
      <c r="A5745">
        <v>149</v>
      </c>
      <c r="B5745" t="s">
        <v>5</v>
      </c>
      <c r="C5745">
        <v>157</v>
      </c>
      <c r="D5745">
        <v>0</v>
      </c>
      <c r="E5745">
        <v>0</v>
      </c>
      <c r="F5745">
        <v>6638</v>
      </c>
      <c r="G5745">
        <v>2500</v>
      </c>
      <c r="H5745">
        <v>0</v>
      </c>
      <c r="J5745" t="str">
        <f>VLOOKUP(Table3[[#This Row],[Faction ID]],Table4[],2)</f>
        <v>Rohan</v>
      </c>
    </row>
    <row r="5746" spans="1:10" x14ac:dyDescent="0.25">
      <c r="A5746">
        <v>149</v>
      </c>
      <c r="B5746" t="s">
        <v>12</v>
      </c>
      <c r="C5746">
        <v>573</v>
      </c>
      <c r="D5746">
        <v>25</v>
      </c>
      <c r="E5746">
        <v>457.9</v>
      </c>
      <c r="F5746">
        <v>602805</v>
      </c>
      <c r="G5746">
        <v>83799</v>
      </c>
      <c r="H5746">
        <v>7241</v>
      </c>
      <c r="J5746" t="str">
        <f>VLOOKUP(Table3[[#This Row],[Faction ID]],Table4[],2)</f>
        <v>Dol Guldur</v>
      </c>
    </row>
    <row r="5747" spans="1:10" x14ac:dyDescent="0.25">
      <c r="A5747">
        <v>149</v>
      </c>
      <c r="B5747" t="s">
        <v>10</v>
      </c>
      <c r="C5747">
        <v>58</v>
      </c>
      <c r="D5747">
        <v>0</v>
      </c>
      <c r="E5747">
        <v>0</v>
      </c>
      <c r="F5747">
        <v>4515</v>
      </c>
      <c r="G5747">
        <v>2500</v>
      </c>
      <c r="H5747">
        <v>0</v>
      </c>
      <c r="J5747" t="str">
        <f>VLOOKUP(Table3[[#This Row],[Faction ID]],Table4[],2)</f>
        <v>Anduin Vale</v>
      </c>
    </row>
    <row r="5748" spans="1:10" x14ac:dyDescent="0.25">
      <c r="A5748">
        <v>149</v>
      </c>
      <c r="B5748" t="s">
        <v>32</v>
      </c>
      <c r="C5748">
        <v>329</v>
      </c>
      <c r="D5748">
        <v>0</v>
      </c>
      <c r="E5748">
        <v>0</v>
      </c>
      <c r="F5748">
        <v>23007</v>
      </c>
      <c r="G5748">
        <v>2500</v>
      </c>
      <c r="H5748">
        <v>0</v>
      </c>
      <c r="J5748" t="str">
        <f>VLOOKUP(Table3[[#This Row],[Faction ID]],Table4[],2)</f>
        <v>Isengard</v>
      </c>
    </row>
    <row r="5749" spans="1:10" x14ac:dyDescent="0.25">
      <c r="A5749">
        <v>149</v>
      </c>
      <c r="B5749" t="s">
        <v>22</v>
      </c>
      <c r="C5749">
        <v>30</v>
      </c>
      <c r="D5749">
        <v>0</v>
      </c>
      <c r="E5749">
        <v>0</v>
      </c>
      <c r="F5749">
        <v>8475</v>
      </c>
      <c r="G5749">
        <v>2500</v>
      </c>
      <c r="H5749">
        <v>0</v>
      </c>
      <c r="J5749" t="str">
        <f>VLOOKUP(Table3[[#This Row],[Faction ID]],Table4[],2)</f>
        <v>Woodland Realm</v>
      </c>
    </row>
    <row r="5750" spans="1:10" x14ac:dyDescent="0.25">
      <c r="A5750">
        <v>149</v>
      </c>
      <c r="B5750" t="s">
        <v>23</v>
      </c>
      <c r="C5750">
        <v>64</v>
      </c>
      <c r="D5750">
        <v>0</v>
      </c>
      <c r="E5750">
        <v>0</v>
      </c>
      <c r="F5750">
        <v>4721</v>
      </c>
      <c r="G5750">
        <v>2500</v>
      </c>
      <c r="H5750">
        <v>0</v>
      </c>
      <c r="J5750" t="str">
        <f>VLOOKUP(Table3[[#This Row],[Faction ID]],Table4[],2)</f>
        <v>Lothlorien</v>
      </c>
    </row>
    <row r="5751" spans="1:10" x14ac:dyDescent="0.25">
      <c r="A5751">
        <v>149</v>
      </c>
      <c r="B5751" t="s">
        <v>24</v>
      </c>
      <c r="C5751">
        <v>0</v>
      </c>
      <c r="D5751">
        <v>0</v>
      </c>
      <c r="E5751">
        <v>0</v>
      </c>
      <c r="F5751">
        <v>4919</v>
      </c>
      <c r="G5751">
        <v>1750</v>
      </c>
      <c r="H5751">
        <v>0</v>
      </c>
      <c r="J5751" t="str">
        <f>VLOOKUP(Table3[[#This Row],[Faction ID]],Table4[],2)</f>
        <v>Variags (Khand)</v>
      </c>
    </row>
    <row r="5752" spans="1:10" x14ac:dyDescent="0.25">
      <c r="A5752">
        <v>149</v>
      </c>
      <c r="B5752" t="s">
        <v>14</v>
      </c>
      <c r="C5752">
        <v>21</v>
      </c>
      <c r="D5752">
        <v>15</v>
      </c>
      <c r="E5752">
        <v>239.4</v>
      </c>
      <c r="F5752">
        <v>655890</v>
      </c>
      <c r="G5752">
        <v>58630</v>
      </c>
      <c r="H5752">
        <v>6112</v>
      </c>
      <c r="J5752" t="str">
        <f>VLOOKUP(Table3[[#This Row],[Faction ID]],Table4[],2)</f>
        <v>Corsairs of Umbar</v>
      </c>
    </row>
    <row r="5753" spans="1:10" x14ac:dyDescent="0.25">
      <c r="A5753">
        <v>149</v>
      </c>
      <c r="B5753" t="s">
        <v>25</v>
      </c>
      <c r="C5753">
        <v>0</v>
      </c>
      <c r="D5753">
        <v>0</v>
      </c>
      <c r="E5753">
        <v>0</v>
      </c>
      <c r="F5753">
        <v>9228</v>
      </c>
      <c r="G5753">
        <v>1750</v>
      </c>
      <c r="H5753">
        <v>0</v>
      </c>
      <c r="J5753" t="str">
        <f>VLOOKUP(Table3[[#This Row],[Faction ID]],Table4[],2)</f>
        <v>Mahud</v>
      </c>
    </row>
    <row r="5754" spans="1:10" x14ac:dyDescent="0.25">
      <c r="A5754">
        <v>149</v>
      </c>
      <c r="B5754" t="s">
        <v>11</v>
      </c>
      <c r="C5754">
        <v>435</v>
      </c>
      <c r="D5754">
        <v>18</v>
      </c>
      <c r="E5754">
        <v>335.5</v>
      </c>
      <c r="F5754">
        <v>302915</v>
      </c>
      <c r="G5754">
        <v>55368</v>
      </c>
      <c r="H5754">
        <v>4183</v>
      </c>
      <c r="J5754" t="str">
        <f>VLOOKUP(Table3[[#This Row],[Faction ID]],Table4[],2)</f>
        <v>Haradrim</v>
      </c>
    </row>
    <row r="5755" spans="1:10" x14ac:dyDescent="0.25">
      <c r="A5755">
        <v>149</v>
      </c>
      <c r="B5755" t="s">
        <v>15</v>
      </c>
      <c r="C5755">
        <v>390</v>
      </c>
      <c r="D5755">
        <v>7</v>
      </c>
      <c r="E5755">
        <v>177.5</v>
      </c>
      <c r="F5755">
        <v>287063</v>
      </c>
      <c r="G5755">
        <v>39744</v>
      </c>
      <c r="H5755">
        <v>0</v>
      </c>
      <c r="J5755" t="str">
        <f>VLOOKUP(Table3[[#This Row],[Faction ID]],Table4[],2)</f>
        <v>Dunlendings</v>
      </c>
    </row>
    <row r="5756" spans="1:10" x14ac:dyDescent="0.25">
      <c r="A5756">
        <v>149</v>
      </c>
      <c r="B5756" t="s">
        <v>16</v>
      </c>
      <c r="C5756">
        <v>0</v>
      </c>
      <c r="D5756">
        <v>0</v>
      </c>
      <c r="E5756">
        <v>0</v>
      </c>
      <c r="F5756">
        <v>5352</v>
      </c>
      <c r="G5756">
        <v>1750</v>
      </c>
      <c r="H5756">
        <v>0</v>
      </c>
      <c r="J5756" t="str">
        <f>VLOOKUP(Table3[[#This Row],[Faction ID]],Table4[],2)</f>
        <v>Haerrim</v>
      </c>
    </row>
    <row r="5757" spans="1:10" x14ac:dyDescent="0.25">
      <c r="A5757">
        <v>149</v>
      </c>
      <c r="B5757" t="s">
        <v>13</v>
      </c>
      <c r="C5757">
        <v>666</v>
      </c>
      <c r="D5757">
        <v>0</v>
      </c>
      <c r="E5757">
        <v>0</v>
      </c>
      <c r="F5757">
        <v>128480</v>
      </c>
      <c r="G5757">
        <v>2500</v>
      </c>
      <c r="H5757">
        <v>0</v>
      </c>
      <c r="J5757" t="str">
        <f>VLOOKUP(Table3[[#This Row],[Faction ID]],Table4[],2)</f>
        <v>Goblins</v>
      </c>
    </row>
    <row r="5758" spans="1:10" x14ac:dyDescent="0.25">
      <c r="A5758">
        <v>149</v>
      </c>
      <c r="B5758" t="s">
        <v>17</v>
      </c>
      <c r="C5758">
        <v>0</v>
      </c>
      <c r="D5758">
        <v>0</v>
      </c>
      <c r="E5758">
        <v>0</v>
      </c>
      <c r="F5758">
        <v>4872</v>
      </c>
      <c r="G5758">
        <v>1750</v>
      </c>
      <c r="H5758">
        <v>0</v>
      </c>
      <c r="J5758" t="str">
        <f>VLOOKUP(Table3[[#This Row],[Faction ID]],Table4[],2)</f>
        <v>Balchoth</v>
      </c>
    </row>
    <row r="5759" spans="1:10" x14ac:dyDescent="0.25">
      <c r="A5759">
        <v>149</v>
      </c>
      <c r="B5759" t="s">
        <v>18</v>
      </c>
      <c r="C5759">
        <v>705</v>
      </c>
      <c r="D5759">
        <v>14</v>
      </c>
      <c r="E5759">
        <v>275.3</v>
      </c>
      <c r="F5759">
        <v>461431</v>
      </c>
      <c r="G5759">
        <v>42959</v>
      </c>
      <c r="H5759">
        <v>2851</v>
      </c>
      <c r="J5759" t="str">
        <f>VLOOKUP(Table3[[#This Row],[Faction ID]],Table4[],2)</f>
        <v>Rhurim/Rhun</v>
      </c>
    </row>
    <row r="5760" spans="1:10" x14ac:dyDescent="0.25">
      <c r="A5760">
        <v>149</v>
      </c>
      <c r="B5760" t="s">
        <v>19</v>
      </c>
      <c r="C5760">
        <v>0</v>
      </c>
      <c r="D5760">
        <v>0</v>
      </c>
      <c r="E5760">
        <v>0</v>
      </c>
      <c r="F5760">
        <v>7360</v>
      </c>
      <c r="G5760">
        <v>1750</v>
      </c>
      <c r="H5760">
        <v>0</v>
      </c>
      <c r="J5760" t="str">
        <f>VLOOKUP(Table3[[#This Row],[Faction ID]],Table4[],2)</f>
        <v>Feredrim</v>
      </c>
    </row>
    <row r="5761" spans="1:10" x14ac:dyDescent="0.25">
      <c r="A5761">
        <v>149</v>
      </c>
      <c r="B5761" t="s">
        <v>26</v>
      </c>
      <c r="C5761">
        <v>0</v>
      </c>
      <c r="D5761">
        <v>0</v>
      </c>
      <c r="E5761">
        <v>0</v>
      </c>
      <c r="F5761">
        <v>6395</v>
      </c>
      <c r="G5761">
        <v>1750</v>
      </c>
      <c r="H5761">
        <v>0</v>
      </c>
      <c r="J5761" t="str">
        <f>VLOOKUP(Table3[[#This Row],[Faction ID]],Table4[],2)</f>
        <v>Rachrohir (Wainriders)</v>
      </c>
    </row>
    <row r="5762" spans="1:10" x14ac:dyDescent="0.25">
      <c r="A5762">
        <v>149</v>
      </c>
      <c r="B5762" t="s">
        <v>27</v>
      </c>
      <c r="C5762">
        <v>7</v>
      </c>
      <c r="D5762">
        <v>5</v>
      </c>
      <c r="E5762">
        <v>84.2</v>
      </c>
      <c r="F5762">
        <v>37616</v>
      </c>
      <c r="G5762">
        <v>20512</v>
      </c>
      <c r="H5762">
        <v>2075</v>
      </c>
      <c r="J5762" t="str">
        <f>VLOOKUP(Table3[[#This Row],[Faction ID]],Table4[],2)</f>
        <v>Blacklock-Stonefoot League</v>
      </c>
    </row>
    <row r="5763" spans="1:10" x14ac:dyDescent="0.25">
      <c r="A5763">
        <v>149</v>
      </c>
      <c r="B5763" t="s">
        <v>28</v>
      </c>
      <c r="C5763">
        <v>7</v>
      </c>
      <c r="D5763">
        <v>4</v>
      </c>
      <c r="E5763">
        <v>54</v>
      </c>
      <c r="F5763">
        <v>26926</v>
      </c>
      <c r="G5763">
        <v>22344</v>
      </c>
      <c r="H5763">
        <v>1806</v>
      </c>
      <c r="J5763" t="str">
        <f>VLOOKUP(Table3[[#This Row],[Faction ID]],Table4[],2)</f>
        <v>Ironfist-Stiffbeard Union</v>
      </c>
    </row>
    <row r="5764" spans="1:10" x14ac:dyDescent="0.25">
      <c r="A5764">
        <v>149</v>
      </c>
      <c r="B5764" t="s">
        <v>20</v>
      </c>
      <c r="C5764">
        <v>245</v>
      </c>
      <c r="D5764">
        <v>0</v>
      </c>
      <c r="E5764">
        <v>0</v>
      </c>
      <c r="F5764">
        <v>9750</v>
      </c>
      <c r="G5764">
        <v>2500</v>
      </c>
      <c r="H5764">
        <v>0</v>
      </c>
      <c r="J5764" t="str">
        <f>VLOOKUP(Table3[[#This Row],[Faction ID]],Table4[],2)</f>
        <v>Gundabad</v>
      </c>
    </row>
    <row r="5765" spans="1:10" x14ac:dyDescent="0.25">
      <c r="A5765">
        <v>149</v>
      </c>
      <c r="B5765" t="s">
        <v>34</v>
      </c>
      <c r="C5765">
        <v>0</v>
      </c>
      <c r="D5765">
        <v>0</v>
      </c>
      <c r="E5765">
        <v>3</v>
      </c>
      <c r="F5765">
        <v>171133</v>
      </c>
      <c r="G5765">
        <v>2354</v>
      </c>
      <c r="H5765">
        <v>0</v>
      </c>
      <c r="J5765" t="str">
        <f>VLOOKUP(Table3[[#This Row],[Faction ID]],Table4[],2)</f>
        <v>Scouts of Rohan</v>
      </c>
    </row>
    <row r="5766" spans="1:10" x14ac:dyDescent="0.25">
      <c r="A5766">
        <v>149</v>
      </c>
      <c r="B5766" t="s">
        <v>33</v>
      </c>
      <c r="C5766">
        <v>0</v>
      </c>
      <c r="D5766">
        <v>0</v>
      </c>
      <c r="E5766">
        <v>0</v>
      </c>
      <c r="F5766">
        <v>23466</v>
      </c>
      <c r="G5766">
        <v>1750</v>
      </c>
      <c r="H5766">
        <v>0</v>
      </c>
      <c r="J5766" t="str">
        <f>VLOOKUP(Table3[[#This Row],[Faction ID]],Table4[],2)</f>
        <v>Northern Enedwaith</v>
      </c>
    </row>
    <row r="5767" spans="1:10" x14ac:dyDescent="0.25">
      <c r="A5767">
        <v>149</v>
      </c>
      <c r="B5767" t="s">
        <v>29</v>
      </c>
      <c r="C5767">
        <v>0</v>
      </c>
      <c r="D5767">
        <v>0</v>
      </c>
      <c r="E5767">
        <v>0</v>
      </c>
      <c r="F5767">
        <v>54023</v>
      </c>
      <c r="G5767">
        <v>1750</v>
      </c>
      <c r="H5767">
        <v>0</v>
      </c>
      <c r="J5767" t="str">
        <f>VLOOKUP(Table3[[#This Row],[Faction ID]],Table4[],2)</f>
        <v>Southern Enedwaith</v>
      </c>
    </row>
    <row r="5768" spans="1:10" x14ac:dyDescent="0.25">
      <c r="A5768">
        <v>149</v>
      </c>
      <c r="B5768" t="s">
        <v>30</v>
      </c>
      <c r="C5768">
        <v>0</v>
      </c>
      <c r="D5768">
        <v>0</v>
      </c>
      <c r="E5768">
        <v>0</v>
      </c>
      <c r="F5768">
        <v>32146</v>
      </c>
      <c r="G5768">
        <v>1750</v>
      </c>
      <c r="H5768">
        <v>0</v>
      </c>
      <c r="J5768" t="str">
        <f>VLOOKUP(Table3[[#This Row],[Faction ID]],Table4[],2)</f>
        <v>Druedain</v>
      </c>
    </row>
    <row r="5769" spans="1:10" x14ac:dyDescent="0.25">
      <c r="A5769">
        <v>149</v>
      </c>
      <c r="B5769" t="s">
        <v>31</v>
      </c>
      <c r="C5769">
        <v>0</v>
      </c>
      <c r="D5769">
        <v>0</v>
      </c>
      <c r="E5769">
        <v>0</v>
      </c>
      <c r="F5769">
        <v>15146</v>
      </c>
      <c r="G5769">
        <v>1750</v>
      </c>
      <c r="H5769">
        <v>0</v>
      </c>
      <c r="J5769" t="str">
        <f>VLOOKUP(Table3[[#This Row],[Faction ID]],Table4[],2)</f>
        <v>Harondor</v>
      </c>
    </row>
    <row r="5770" spans="1:10" x14ac:dyDescent="0.25">
      <c r="A5770">
        <v>149</v>
      </c>
      <c r="B5770" t="s">
        <v>35</v>
      </c>
      <c r="C5770">
        <v>0</v>
      </c>
      <c r="D5770">
        <v>0</v>
      </c>
      <c r="E5770">
        <v>0</v>
      </c>
      <c r="F5770">
        <v>4000</v>
      </c>
      <c r="G5770">
        <v>1750</v>
      </c>
      <c r="H5770">
        <v>0</v>
      </c>
      <c r="J5770" t="str">
        <f>VLOOKUP(Table3[[#This Row],[Faction ID]],Table4[],2)</f>
        <v>Southron Nomads</v>
      </c>
    </row>
    <row r="5771" spans="1:10" x14ac:dyDescent="0.25">
      <c r="A5771">
        <v>149</v>
      </c>
      <c r="B5771" t="s">
        <v>36</v>
      </c>
      <c r="C5771">
        <v>0</v>
      </c>
      <c r="D5771">
        <v>0</v>
      </c>
      <c r="E5771">
        <v>0</v>
      </c>
      <c r="F5771">
        <v>4000</v>
      </c>
      <c r="G5771">
        <v>1750</v>
      </c>
      <c r="H5771">
        <v>0</v>
      </c>
      <c r="J5771" t="str">
        <f>VLOOKUP(Table3[[#This Row],[Faction ID]],Table4[],2)</f>
        <v>_</v>
      </c>
    </row>
    <row r="5772" spans="1:10" x14ac:dyDescent="0.25">
      <c r="A5772">
        <v>149</v>
      </c>
      <c r="B5772" t="s">
        <v>37</v>
      </c>
      <c r="C5772">
        <v>0</v>
      </c>
      <c r="D5772">
        <v>0</v>
      </c>
      <c r="E5772">
        <v>0</v>
      </c>
      <c r="F5772">
        <v>4000</v>
      </c>
      <c r="G5772">
        <v>1750</v>
      </c>
      <c r="H5772">
        <v>0</v>
      </c>
      <c r="J5772" t="str">
        <f>VLOOKUP(Table3[[#This Row],[Faction ID]],Table4[],2)</f>
        <v>_</v>
      </c>
    </row>
    <row r="5773" spans="1:10" x14ac:dyDescent="0.25">
      <c r="A5773">
        <v>149</v>
      </c>
      <c r="B5773" t="s">
        <v>38</v>
      </c>
      <c r="C5773">
        <v>0</v>
      </c>
      <c r="D5773">
        <v>0</v>
      </c>
      <c r="E5773">
        <v>0</v>
      </c>
      <c r="F5773">
        <v>4000</v>
      </c>
      <c r="G5773">
        <v>1750</v>
      </c>
      <c r="H5773">
        <v>0</v>
      </c>
      <c r="J5773" t="str">
        <f>VLOOKUP(Table3[[#This Row],[Faction ID]],Table4[],2)</f>
        <v>_</v>
      </c>
    </row>
    <row r="5774" spans="1:10" x14ac:dyDescent="0.25">
      <c r="A5774">
        <v>149</v>
      </c>
      <c r="B5774" t="s">
        <v>39</v>
      </c>
      <c r="C5774">
        <v>0</v>
      </c>
      <c r="D5774">
        <v>0</v>
      </c>
      <c r="E5774">
        <v>0</v>
      </c>
      <c r="F5774">
        <v>4000</v>
      </c>
      <c r="G5774">
        <v>1750</v>
      </c>
      <c r="H5774">
        <v>0</v>
      </c>
      <c r="J5774" t="str">
        <f>VLOOKUP(Table3[[#This Row],[Faction ID]],Table4[],2)</f>
        <v>_</v>
      </c>
    </row>
    <row r="5775" spans="1:10" x14ac:dyDescent="0.25">
      <c r="A5775">
        <v>149</v>
      </c>
      <c r="B5775" t="s">
        <v>40</v>
      </c>
      <c r="C5775">
        <v>0</v>
      </c>
      <c r="D5775">
        <v>0</v>
      </c>
      <c r="E5775">
        <v>0</v>
      </c>
      <c r="F5775">
        <v>4000</v>
      </c>
      <c r="G5775">
        <v>1750</v>
      </c>
      <c r="H5775">
        <v>0</v>
      </c>
      <c r="J5775" t="str">
        <f>VLOOKUP(Table3[[#This Row],[Faction ID]],Table4[],2)</f>
        <v>_</v>
      </c>
    </row>
    <row r="5776" spans="1:10" x14ac:dyDescent="0.25">
      <c r="A5776">
        <v>149</v>
      </c>
      <c r="B5776" t="s">
        <v>41</v>
      </c>
      <c r="C5776">
        <v>0</v>
      </c>
      <c r="D5776">
        <v>0</v>
      </c>
      <c r="E5776">
        <v>0</v>
      </c>
      <c r="F5776">
        <v>4000</v>
      </c>
      <c r="G5776">
        <v>1750</v>
      </c>
      <c r="H5776">
        <v>0</v>
      </c>
      <c r="J5776" t="str">
        <f>VLOOKUP(Table3[[#This Row],[Faction ID]],Table4[],2)</f>
        <v>_</v>
      </c>
    </row>
    <row r="5777" spans="1:10" x14ac:dyDescent="0.25">
      <c r="A5777">
        <v>149</v>
      </c>
      <c r="B5777" t="s">
        <v>42</v>
      </c>
      <c r="C5777">
        <v>0</v>
      </c>
      <c r="D5777">
        <v>0</v>
      </c>
      <c r="E5777">
        <v>0</v>
      </c>
      <c r="F5777">
        <v>4000</v>
      </c>
      <c r="G5777">
        <v>1750</v>
      </c>
      <c r="H5777">
        <v>0</v>
      </c>
      <c r="J5777" t="str">
        <f>VLOOKUP(Table3[[#This Row],[Faction ID]],Table4[],2)</f>
        <v>_</v>
      </c>
    </row>
    <row r="5778" spans="1:10" x14ac:dyDescent="0.25">
      <c r="A5778">
        <v>149</v>
      </c>
      <c r="B5778" t="s">
        <v>43</v>
      </c>
      <c r="C5778">
        <v>0</v>
      </c>
      <c r="D5778">
        <v>0</v>
      </c>
      <c r="E5778">
        <v>0</v>
      </c>
      <c r="F5778">
        <v>4000</v>
      </c>
      <c r="G5778">
        <v>1750</v>
      </c>
      <c r="H5778">
        <v>0</v>
      </c>
      <c r="J5778" t="str">
        <f>VLOOKUP(Table3[[#This Row],[Faction ID]],Table4[],2)</f>
        <v>_</v>
      </c>
    </row>
    <row r="5779" spans="1:10" x14ac:dyDescent="0.25">
      <c r="A5779">
        <v>149</v>
      </c>
      <c r="B5779" t="s">
        <v>44</v>
      </c>
      <c r="C5779">
        <v>0</v>
      </c>
      <c r="D5779">
        <v>0</v>
      </c>
      <c r="E5779">
        <v>0</v>
      </c>
      <c r="F5779">
        <v>4000</v>
      </c>
      <c r="G5779">
        <v>1750</v>
      </c>
      <c r="H5779">
        <v>0</v>
      </c>
      <c r="J5779" t="str">
        <f>VLOOKUP(Table3[[#This Row],[Faction ID]],Table4[],2)</f>
        <v>_</v>
      </c>
    </row>
    <row r="5780" spans="1:10" x14ac:dyDescent="0.25">
      <c r="A5780">
        <v>150</v>
      </c>
      <c r="B5780" t="s">
        <v>9</v>
      </c>
      <c r="C5780">
        <v>939</v>
      </c>
      <c r="D5780">
        <v>68</v>
      </c>
      <c r="E5780">
        <v>860.6</v>
      </c>
      <c r="F5780">
        <v>1532</v>
      </c>
      <c r="G5780">
        <v>127308</v>
      </c>
      <c r="H5780">
        <v>12427</v>
      </c>
      <c r="J5780" t="str">
        <f>VLOOKUP(Table3[[#This Row],[Faction ID]],Table4[],2)</f>
        <v>Mordor</v>
      </c>
    </row>
    <row r="5781" spans="1:10" x14ac:dyDescent="0.25">
      <c r="A5781">
        <v>150</v>
      </c>
      <c r="B5781" t="s">
        <v>4</v>
      </c>
      <c r="C5781">
        <v>146</v>
      </c>
      <c r="D5781">
        <v>0</v>
      </c>
      <c r="E5781">
        <v>0</v>
      </c>
      <c r="F5781">
        <v>55420</v>
      </c>
      <c r="G5781">
        <v>2500</v>
      </c>
      <c r="H5781">
        <v>0</v>
      </c>
      <c r="J5781" t="str">
        <f>VLOOKUP(Table3[[#This Row],[Faction ID]],Table4[],2)</f>
        <v>Gondor</v>
      </c>
    </row>
    <row r="5782" spans="1:10" x14ac:dyDescent="0.25">
      <c r="A5782">
        <v>150</v>
      </c>
      <c r="B5782" t="s">
        <v>6</v>
      </c>
      <c r="C5782">
        <v>199</v>
      </c>
      <c r="D5782">
        <v>0</v>
      </c>
      <c r="E5782">
        <v>0</v>
      </c>
      <c r="F5782">
        <v>10343</v>
      </c>
      <c r="G5782">
        <v>2500</v>
      </c>
      <c r="H5782">
        <v>0</v>
      </c>
      <c r="J5782" t="str">
        <f>VLOOKUP(Table3[[#This Row],[Faction ID]],Table4[],2)</f>
        <v>Dale</v>
      </c>
    </row>
    <row r="5783" spans="1:10" x14ac:dyDescent="0.25">
      <c r="A5783">
        <v>150</v>
      </c>
      <c r="B5783" t="s">
        <v>21</v>
      </c>
      <c r="C5783">
        <v>200</v>
      </c>
      <c r="D5783">
        <v>0</v>
      </c>
      <c r="E5783">
        <v>0</v>
      </c>
      <c r="F5783">
        <v>10040</v>
      </c>
      <c r="G5783">
        <v>2500</v>
      </c>
      <c r="H5783">
        <v>0</v>
      </c>
      <c r="J5783" t="str">
        <f>VLOOKUP(Table3[[#This Row],[Faction ID]],Table4[],2)</f>
        <v>Erebor</v>
      </c>
    </row>
    <row r="5784" spans="1:10" x14ac:dyDescent="0.25">
      <c r="A5784">
        <v>150</v>
      </c>
      <c r="B5784" t="s">
        <v>5</v>
      </c>
      <c r="C5784">
        <v>157</v>
      </c>
      <c r="D5784">
        <v>0</v>
      </c>
      <c r="E5784">
        <v>0</v>
      </c>
      <c r="F5784">
        <v>6638</v>
      </c>
      <c r="G5784">
        <v>2500</v>
      </c>
      <c r="H5784">
        <v>0</v>
      </c>
      <c r="J5784" t="str">
        <f>VLOOKUP(Table3[[#This Row],[Faction ID]],Table4[],2)</f>
        <v>Rohan</v>
      </c>
    </row>
    <row r="5785" spans="1:10" x14ac:dyDescent="0.25">
      <c r="A5785">
        <v>150</v>
      </c>
      <c r="B5785" t="s">
        <v>12</v>
      </c>
      <c r="C5785">
        <v>573</v>
      </c>
      <c r="D5785">
        <v>25</v>
      </c>
      <c r="E5785">
        <v>454.2</v>
      </c>
      <c r="F5785">
        <v>640974</v>
      </c>
      <c r="G5785">
        <v>78176</v>
      </c>
      <c r="H5785">
        <v>7483</v>
      </c>
      <c r="J5785" t="str">
        <f>VLOOKUP(Table3[[#This Row],[Faction ID]],Table4[],2)</f>
        <v>Dol Guldur</v>
      </c>
    </row>
    <row r="5786" spans="1:10" x14ac:dyDescent="0.25">
      <c r="A5786">
        <v>150</v>
      </c>
      <c r="B5786" t="s">
        <v>10</v>
      </c>
      <c r="C5786">
        <v>58</v>
      </c>
      <c r="D5786">
        <v>0</v>
      </c>
      <c r="E5786">
        <v>0</v>
      </c>
      <c r="F5786">
        <v>4515</v>
      </c>
      <c r="G5786">
        <v>2500</v>
      </c>
      <c r="H5786">
        <v>0</v>
      </c>
      <c r="J5786" t="str">
        <f>VLOOKUP(Table3[[#This Row],[Faction ID]],Table4[],2)</f>
        <v>Anduin Vale</v>
      </c>
    </row>
    <row r="5787" spans="1:10" x14ac:dyDescent="0.25">
      <c r="A5787">
        <v>150</v>
      </c>
      <c r="B5787" t="s">
        <v>32</v>
      </c>
      <c r="C5787">
        <v>329</v>
      </c>
      <c r="D5787">
        <v>0</v>
      </c>
      <c r="E5787">
        <v>0</v>
      </c>
      <c r="F5787">
        <v>23007</v>
      </c>
      <c r="G5787">
        <v>2500</v>
      </c>
      <c r="H5787">
        <v>0</v>
      </c>
      <c r="J5787" t="str">
        <f>VLOOKUP(Table3[[#This Row],[Faction ID]],Table4[],2)</f>
        <v>Isengard</v>
      </c>
    </row>
    <row r="5788" spans="1:10" x14ac:dyDescent="0.25">
      <c r="A5788">
        <v>150</v>
      </c>
      <c r="B5788" t="s">
        <v>22</v>
      </c>
      <c r="C5788">
        <v>30</v>
      </c>
      <c r="D5788">
        <v>0</v>
      </c>
      <c r="E5788">
        <v>0</v>
      </c>
      <c r="F5788">
        <v>8475</v>
      </c>
      <c r="G5788">
        <v>2500</v>
      </c>
      <c r="H5788">
        <v>0</v>
      </c>
      <c r="J5788" t="str">
        <f>VLOOKUP(Table3[[#This Row],[Faction ID]],Table4[],2)</f>
        <v>Woodland Realm</v>
      </c>
    </row>
    <row r="5789" spans="1:10" x14ac:dyDescent="0.25">
      <c r="A5789">
        <v>150</v>
      </c>
      <c r="B5789" t="s">
        <v>23</v>
      </c>
      <c r="C5789">
        <v>64</v>
      </c>
      <c r="D5789">
        <v>0</v>
      </c>
      <c r="E5789">
        <v>0</v>
      </c>
      <c r="F5789">
        <v>4721</v>
      </c>
      <c r="G5789">
        <v>2500</v>
      </c>
      <c r="H5789">
        <v>0</v>
      </c>
      <c r="J5789" t="str">
        <f>VLOOKUP(Table3[[#This Row],[Faction ID]],Table4[],2)</f>
        <v>Lothlorien</v>
      </c>
    </row>
    <row r="5790" spans="1:10" x14ac:dyDescent="0.25">
      <c r="A5790">
        <v>150</v>
      </c>
      <c r="B5790" t="s">
        <v>24</v>
      </c>
      <c r="C5790">
        <v>0</v>
      </c>
      <c r="D5790">
        <v>0</v>
      </c>
      <c r="E5790">
        <v>0</v>
      </c>
      <c r="F5790">
        <v>4919</v>
      </c>
      <c r="G5790">
        <v>1750</v>
      </c>
      <c r="H5790">
        <v>0</v>
      </c>
      <c r="J5790" t="str">
        <f>VLOOKUP(Table3[[#This Row],[Faction ID]],Table4[],2)</f>
        <v>Variags (Khand)</v>
      </c>
    </row>
    <row r="5791" spans="1:10" x14ac:dyDescent="0.25">
      <c r="A5791">
        <v>150</v>
      </c>
      <c r="B5791" t="s">
        <v>14</v>
      </c>
      <c r="C5791">
        <v>21</v>
      </c>
      <c r="D5791">
        <v>15</v>
      </c>
      <c r="E5791">
        <v>240.2</v>
      </c>
      <c r="F5791">
        <v>673547</v>
      </c>
      <c r="G5791">
        <v>54899</v>
      </c>
      <c r="H5791">
        <v>6102</v>
      </c>
      <c r="J5791" t="str">
        <f>VLOOKUP(Table3[[#This Row],[Faction ID]],Table4[],2)</f>
        <v>Corsairs of Umbar</v>
      </c>
    </row>
    <row r="5792" spans="1:10" x14ac:dyDescent="0.25">
      <c r="A5792">
        <v>150</v>
      </c>
      <c r="B5792" t="s">
        <v>25</v>
      </c>
      <c r="C5792">
        <v>0</v>
      </c>
      <c r="D5792">
        <v>0</v>
      </c>
      <c r="E5792">
        <v>0</v>
      </c>
      <c r="F5792">
        <v>9228</v>
      </c>
      <c r="G5792">
        <v>1750</v>
      </c>
      <c r="H5792">
        <v>0</v>
      </c>
      <c r="J5792" t="str">
        <f>VLOOKUP(Table3[[#This Row],[Faction ID]],Table4[],2)</f>
        <v>Mahud</v>
      </c>
    </row>
    <row r="5793" spans="1:10" x14ac:dyDescent="0.25">
      <c r="A5793">
        <v>150</v>
      </c>
      <c r="B5793" t="s">
        <v>11</v>
      </c>
      <c r="C5793">
        <v>435</v>
      </c>
      <c r="D5793">
        <v>18</v>
      </c>
      <c r="E5793">
        <v>339.5</v>
      </c>
      <c r="F5793">
        <v>282114</v>
      </c>
      <c r="G5793">
        <v>56300</v>
      </c>
      <c r="H5793">
        <v>4169</v>
      </c>
      <c r="J5793" t="str">
        <f>VLOOKUP(Table3[[#This Row],[Faction ID]],Table4[],2)</f>
        <v>Haradrim</v>
      </c>
    </row>
    <row r="5794" spans="1:10" x14ac:dyDescent="0.25">
      <c r="A5794">
        <v>150</v>
      </c>
      <c r="B5794" t="s">
        <v>15</v>
      </c>
      <c r="C5794">
        <v>390</v>
      </c>
      <c r="D5794">
        <v>7</v>
      </c>
      <c r="E5794">
        <v>167.6</v>
      </c>
      <c r="F5794">
        <v>279182</v>
      </c>
      <c r="G5794">
        <v>37326</v>
      </c>
      <c r="H5794">
        <v>0</v>
      </c>
      <c r="J5794" t="str">
        <f>VLOOKUP(Table3[[#This Row],[Faction ID]],Table4[],2)</f>
        <v>Dunlendings</v>
      </c>
    </row>
    <row r="5795" spans="1:10" x14ac:dyDescent="0.25">
      <c r="A5795">
        <v>150</v>
      </c>
      <c r="B5795" t="s">
        <v>16</v>
      </c>
      <c r="C5795">
        <v>0</v>
      </c>
      <c r="D5795">
        <v>0</v>
      </c>
      <c r="E5795">
        <v>0</v>
      </c>
      <c r="F5795">
        <v>5352</v>
      </c>
      <c r="G5795">
        <v>1750</v>
      </c>
      <c r="H5795">
        <v>0</v>
      </c>
      <c r="J5795" t="str">
        <f>VLOOKUP(Table3[[#This Row],[Faction ID]],Table4[],2)</f>
        <v>Haerrim</v>
      </c>
    </row>
    <row r="5796" spans="1:10" x14ac:dyDescent="0.25">
      <c r="A5796">
        <v>150</v>
      </c>
      <c r="B5796" t="s">
        <v>13</v>
      </c>
      <c r="C5796">
        <v>666</v>
      </c>
      <c r="D5796">
        <v>0</v>
      </c>
      <c r="E5796">
        <v>0</v>
      </c>
      <c r="F5796">
        <v>128480</v>
      </c>
      <c r="G5796">
        <v>2500</v>
      </c>
      <c r="H5796">
        <v>0</v>
      </c>
      <c r="J5796" t="str">
        <f>VLOOKUP(Table3[[#This Row],[Faction ID]],Table4[],2)</f>
        <v>Goblins</v>
      </c>
    </row>
    <row r="5797" spans="1:10" x14ac:dyDescent="0.25">
      <c r="A5797">
        <v>150</v>
      </c>
      <c r="B5797" t="s">
        <v>17</v>
      </c>
      <c r="C5797">
        <v>0</v>
      </c>
      <c r="D5797">
        <v>0</v>
      </c>
      <c r="E5797">
        <v>0</v>
      </c>
      <c r="F5797">
        <v>4872</v>
      </c>
      <c r="G5797">
        <v>1750</v>
      </c>
      <c r="H5797">
        <v>0</v>
      </c>
      <c r="J5797" t="str">
        <f>VLOOKUP(Table3[[#This Row],[Faction ID]],Table4[],2)</f>
        <v>Balchoth</v>
      </c>
    </row>
    <row r="5798" spans="1:10" x14ac:dyDescent="0.25">
      <c r="A5798">
        <v>150</v>
      </c>
      <c r="B5798" t="s">
        <v>18</v>
      </c>
      <c r="C5798">
        <v>705</v>
      </c>
      <c r="D5798">
        <v>14</v>
      </c>
      <c r="E5798">
        <v>255.6</v>
      </c>
      <c r="F5798">
        <v>469796</v>
      </c>
      <c r="G5798">
        <v>41571</v>
      </c>
      <c r="H5798">
        <v>2949</v>
      </c>
      <c r="J5798" t="str">
        <f>VLOOKUP(Table3[[#This Row],[Faction ID]],Table4[],2)</f>
        <v>Rhurim/Rhun</v>
      </c>
    </row>
    <row r="5799" spans="1:10" x14ac:dyDescent="0.25">
      <c r="A5799">
        <v>150</v>
      </c>
      <c r="B5799" t="s">
        <v>19</v>
      </c>
      <c r="C5799">
        <v>0</v>
      </c>
      <c r="D5799">
        <v>0</v>
      </c>
      <c r="E5799">
        <v>0</v>
      </c>
      <c r="F5799">
        <v>7360</v>
      </c>
      <c r="G5799">
        <v>1750</v>
      </c>
      <c r="H5799">
        <v>0</v>
      </c>
      <c r="J5799" t="str">
        <f>VLOOKUP(Table3[[#This Row],[Faction ID]],Table4[],2)</f>
        <v>Feredrim</v>
      </c>
    </row>
    <row r="5800" spans="1:10" x14ac:dyDescent="0.25">
      <c r="A5800">
        <v>150</v>
      </c>
      <c r="B5800" t="s">
        <v>26</v>
      </c>
      <c r="C5800">
        <v>0</v>
      </c>
      <c r="D5800">
        <v>0</v>
      </c>
      <c r="E5800">
        <v>0</v>
      </c>
      <c r="F5800">
        <v>6395</v>
      </c>
      <c r="G5800">
        <v>1750</v>
      </c>
      <c r="H5800">
        <v>0</v>
      </c>
      <c r="J5800" t="str">
        <f>VLOOKUP(Table3[[#This Row],[Faction ID]],Table4[],2)</f>
        <v>Rachrohir (Wainriders)</v>
      </c>
    </row>
    <row r="5801" spans="1:10" x14ac:dyDescent="0.25">
      <c r="A5801">
        <v>150</v>
      </c>
      <c r="B5801" t="s">
        <v>27</v>
      </c>
      <c r="C5801">
        <v>7</v>
      </c>
      <c r="D5801">
        <v>5</v>
      </c>
      <c r="E5801">
        <v>87.8</v>
      </c>
      <c r="F5801">
        <v>30698</v>
      </c>
      <c r="G5801">
        <v>20804</v>
      </c>
      <c r="H5801">
        <v>2070</v>
      </c>
      <c r="J5801" t="str">
        <f>VLOOKUP(Table3[[#This Row],[Faction ID]],Table4[],2)</f>
        <v>Blacklock-Stonefoot League</v>
      </c>
    </row>
    <row r="5802" spans="1:10" x14ac:dyDescent="0.25">
      <c r="A5802">
        <v>150</v>
      </c>
      <c r="B5802" t="s">
        <v>28</v>
      </c>
      <c r="C5802">
        <v>7</v>
      </c>
      <c r="D5802">
        <v>4</v>
      </c>
      <c r="E5802">
        <v>58</v>
      </c>
      <c r="F5802">
        <v>25118</v>
      </c>
      <c r="G5802">
        <v>21570</v>
      </c>
      <c r="H5802">
        <v>1878</v>
      </c>
      <c r="J5802" t="str">
        <f>VLOOKUP(Table3[[#This Row],[Faction ID]],Table4[],2)</f>
        <v>Ironfist-Stiffbeard Union</v>
      </c>
    </row>
    <row r="5803" spans="1:10" x14ac:dyDescent="0.25">
      <c r="A5803">
        <v>150</v>
      </c>
      <c r="B5803" t="s">
        <v>20</v>
      </c>
      <c r="C5803">
        <v>245</v>
      </c>
      <c r="D5803">
        <v>0</v>
      </c>
      <c r="E5803">
        <v>0</v>
      </c>
      <c r="F5803">
        <v>9750</v>
      </c>
      <c r="G5803">
        <v>2500</v>
      </c>
      <c r="H5803">
        <v>0</v>
      </c>
      <c r="J5803" t="str">
        <f>VLOOKUP(Table3[[#This Row],[Faction ID]],Table4[],2)</f>
        <v>Gundabad</v>
      </c>
    </row>
    <row r="5804" spans="1:10" x14ac:dyDescent="0.25">
      <c r="A5804">
        <v>150</v>
      </c>
      <c r="B5804" t="s">
        <v>34</v>
      </c>
      <c r="C5804">
        <v>0</v>
      </c>
      <c r="D5804">
        <v>0</v>
      </c>
      <c r="E5804">
        <v>3</v>
      </c>
      <c r="F5804">
        <v>172279</v>
      </c>
      <c r="G5804">
        <v>2354</v>
      </c>
      <c r="H5804">
        <v>0</v>
      </c>
      <c r="J5804" t="str">
        <f>VLOOKUP(Table3[[#This Row],[Faction ID]],Table4[],2)</f>
        <v>Scouts of Rohan</v>
      </c>
    </row>
    <row r="5805" spans="1:10" x14ac:dyDescent="0.25">
      <c r="A5805">
        <v>150</v>
      </c>
      <c r="B5805" t="s">
        <v>33</v>
      </c>
      <c r="C5805">
        <v>0</v>
      </c>
      <c r="D5805">
        <v>0</v>
      </c>
      <c r="E5805">
        <v>0</v>
      </c>
      <c r="F5805">
        <v>23466</v>
      </c>
      <c r="G5805">
        <v>1750</v>
      </c>
      <c r="H5805">
        <v>0</v>
      </c>
      <c r="J5805" t="str">
        <f>VLOOKUP(Table3[[#This Row],[Faction ID]],Table4[],2)</f>
        <v>Northern Enedwaith</v>
      </c>
    </row>
    <row r="5806" spans="1:10" x14ac:dyDescent="0.25">
      <c r="A5806">
        <v>150</v>
      </c>
      <c r="B5806" t="s">
        <v>29</v>
      </c>
      <c r="C5806">
        <v>0</v>
      </c>
      <c r="D5806">
        <v>0</v>
      </c>
      <c r="E5806">
        <v>0</v>
      </c>
      <c r="F5806">
        <v>54023</v>
      </c>
      <c r="G5806">
        <v>1750</v>
      </c>
      <c r="H5806">
        <v>0</v>
      </c>
      <c r="J5806" t="str">
        <f>VLOOKUP(Table3[[#This Row],[Faction ID]],Table4[],2)</f>
        <v>Southern Enedwaith</v>
      </c>
    </row>
    <row r="5807" spans="1:10" x14ac:dyDescent="0.25">
      <c r="A5807">
        <v>150</v>
      </c>
      <c r="B5807" t="s">
        <v>30</v>
      </c>
      <c r="C5807">
        <v>0</v>
      </c>
      <c r="D5807">
        <v>0</v>
      </c>
      <c r="E5807">
        <v>0</v>
      </c>
      <c r="F5807">
        <v>32146</v>
      </c>
      <c r="G5807">
        <v>1750</v>
      </c>
      <c r="H5807">
        <v>0</v>
      </c>
      <c r="J5807" t="str">
        <f>VLOOKUP(Table3[[#This Row],[Faction ID]],Table4[],2)</f>
        <v>Druedain</v>
      </c>
    </row>
    <row r="5808" spans="1:10" x14ac:dyDescent="0.25">
      <c r="A5808">
        <v>150</v>
      </c>
      <c r="B5808" t="s">
        <v>31</v>
      </c>
      <c r="C5808">
        <v>0</v>
      </c>
      <c r="D5808">
        <v>0</v>
      </c>
      <c r="E5808">
        <v>0</v>
      </c>
      <c r="F5808">
        <v>15146</v>
      </c>
      <c r="G5808">
        <v>1750</v>
      </c>
      <c r="H5808">
        <v>0</v>
      </c>
      <c r="J5808" t="str">
        <f>VLOOKUP(Table3[[#This Row],[Faction ID]],Table4[],2)</f>
        <v>Harondor</v>
      </c>
    </row>
    <row r="5809" spans="1:10" x14ac:dyDescent="0.25">
      <c r="A5809">
        <v>150</v>
      </c>
      <c r="B5809" t="s">
        <v>35</v>
      </c>
      <c r="C5809">
        <v>0</v>
      </c>
      <c r="D5809">
        <v>0</v>
      </c>
      <c r="E5809">
        <v>0</v>
      </c>
      <c r="F5809">
        <v>4000</v>
      </c>
      <c r="G5809">
        <v>1750</v>
      </c>
      <c r="H5809">
        <v>0</v>
      </c>
      <c r="J5809" t="str">
        <f>VLOOKUP(Table3[[#This Row],[Faction ID]],Table4[],2)</f>
        <v>Southron Nomads</v>
      </c>
    </row>
    <row r="5810" spans="1:10" x14ac:dyDescent="0.25">
      <c r="A5810">
        <v>150</v>
      </c>
      <c r="B5810" t="s">
        <v>36</v>
      </c>
      <c r="C5810">
        <v>0</v>
      </c>
      <c r="D5810">
        <v>0</v>
      </c>
      <c r="E5810">
        <v>0</v>
      </c>
      <c r="F5810">
        <v>4000</v>
      </c>
      <c r="G5810">
        <v>1750</v>
      </c>
      <c r="H5810">
        <v>0</v>
      </c>
      <c r="J5810" t="str">
        <f>VLOOKUP(Table3[[#This Row],[Faction ID]],Table4[],2)</f>
        <v>_</v>
      </c>
    </row>
    <row r="5811" spans="1:10" x14ac:dyDescent="0.25">
      <c r="A5811">
        <v>150</v>
      </c>
      <c r="B5811" t="s">
        <v>37</v>
      </c>
      <c r="C5811">
        <v>0</v>
      </c>
      <c r="D5811">
        <v>0</v>
      </c>
      <c r="E5811">
        <v>0</v>
      </c>
      <c r="F5811">
        <v>4000</v>
      </c>
      <c r="G5811">
        <v>1750</v>
      </c>
      <c r="H5811">
        <v>0</v>
      </c>
      <c r="J5811" t="str">
        <f>VLOOKUP(Table3[[#This Row],[Faction ID]],Table4[],2)</f>
        <v>_</v>
      </c>
    </row>
    <row r="5812" spans="1:10" x14ac:dyDescent="0.25">
      <c r="A5812">
        <v>150</v>
      </c>
      <c r="B5812" t="s">
        <v>38</v>
      </c>
      <c r="C5812">
        <v>0</v>
      </c>
      <c r="D5812">
        <v>0</v>
      </c>
      <c r="E5812">
        <v>0</v>
      </c>
      <c r="F5812">
        <v>4000</v>
      </c>
      <c r="G5812">
        <v>1750</v>
      </c>
      <c r="H5812">
        <v>0</v>
      </c>
      <c r="J5812" t="str">
        <f>VLOOKUP(Table3[[#This Row],[Faction ID]],Table4[],2)</f>
        <v>_</v>
      </c>
    </row>
    <row r="5813" spans="1:10" x14ac:dyDescent="0.25">
      <c r="A5813">
        <v>150</v>
      </c>
      <c r="B5813" t="s">
        <v>39</v>
      </c>
      <c r="C5813">
        <v>0</v>
      </c>
      <c r="D5813">
        <v>0</v>
      </c>
      <c r="E5813">
        <v>0</v>
      </c>
      <c r="F5813">
        <v>4000</v>
      </c>
      <c r="G5813">
        <v>1750</v>
      </c>
      <c r="H5813">
        <v>0</v>
      </c>
      <c r="J5813" t="str">
        <f>VLOOKUP(Table3[[#This Row],[Faction ID]],Table4[],2)</f>
        <v>_</v>
      </c>
    </row>
    <row r="5814" spans="1:10" x14ac:dyDescent="0.25">
      <c r="A5814">
        <v>150</v>
      </c>
      <c r="B5814" t="s">
        <v>40</v>
      </c>
      <c r="C5814">
        <v>0</v>
      </c>
      <c r="D5814">
        <v>0</v>
      </c>
      <c r="E5814">
        <v>0</v>
      </c>
      <c r="F5814">
        <v>4000</v>
      </c>
      <c r="G5814">
        <v>1750</v>
      </c>
      <c r="H5814">
        <v>0</v>
      </c>
      <c r="J5814" t="str">
        <f>VLOOKUP(Table3[[#This Row],[Faction ID]],Table4[],2)</f>
        <v>_</v>
      </c>
    </row>
    <row r="5815" spans="1:10" x14ac:dyDescent="0.25">
      <c r="A5815">
        <v>150</v>
      </c>
      <c r="B5815" t="s">
        <v>41</v>
      </c>
      <c r="C5815">
        <v>0</v>
      </c>
      <c r="D5815">
        <v>0</v>
      </c>
      <c r="E5815">
        <v>0</v>
      </c>
      <c r="F5815">
        <v>4000</v>
      </c>
      <c r="G5815">
        <v>1750</v>
      </c>
      <c r="H5815">
        <v>0</v>
      </c>
      <c r="J5815" t="str">
        <f>VLOOKUP(Table3[[#This Row],[Faction ID]],Table4[],2)</f>
        <v>_</v>
      </c>
    </row>
    <row r="5816" spans="1:10" x14ac:dyDescent="0.25">
      <c r="A5816">
        <v>150</v>
      </c>
      <c r="B5816" t="s">
        <v>42</v>
      </c>
      <c r="C5816">
        <v>0</v>
      </c>
      <c r="D5816">
        <v>0</v>
      </c>
      <c r="E5816">
        <v>0</v>
      </c>
      <c r="F5816">
        <v>4000</v>
      </c>
      <c r="G5816">
        <v>1750</v>
      </c>
      <c r="H5816">
        <v>0</v>
      </c>
      <c r="J5816" t="str">
        <f>VLOOKUP(Table3[[#This Row],[Faction ID]],Table4[],2)</f>
        <v>_</v>
      </c>
    </row>
    <row r="5817" spans="1:10" x14ac:dyDescent="0.25">
      <c r="A5817">
        <v>150</v>
      </c>
      <c r="B5817" t="s">
        <v>43</v>
      </c>
      <c r="C5817">
        <v>0</v>
      </c>
      <c r="D5817">
        <v>0</v>
      </c>
      <c r="E5817">
        <v>0</v>
      </c>
      <c r="F5817">
        <v>4000</v>
      </c>
      <c r="G5817">
        <v>1750</v>
      </c>
      <c r="H5817">
        <v>0</v>
      </c>
      <c r="J5817" t="str">
        <f>VLOOKUP(Table3[[#This Row],[Faction ID]],Table4[],2)</f>
        <v>_</v>
      </c>
    </row>
    <row r="5818" spans="1:10" x14ac:dyDescent="0.25">
      <c r="A5818">
        <v>150</v>
      </c>
      <c r="B5818" t="s">
        <v>44</v>
      </c>
      <c r="C5818">
        <v>0</v>
      </c>
      <c r="D5818">
        <v>0</v>
      </c>
      <c r="E5818">
        <v>0</v>
      </c>
      <c r="F5818">
        <v>4000</v>
      </c>
      <c r="G5818">
        <v>1750</v>
      </c>
      <c r="H5818">
        <v>0</v>
      </c>
      <c r="J5818" t="str">
        <f>VLOOKUP(Table3[[#This Row],[Faction ID]],Table4[],2)</f>
        <v>_</v>
      </c>
    </row>
    <row r="5819" spans="1:10" x14ac:dyDescent="0.25">
      <c r="A5819">
        <v>151</v>
      </c>
      <c r="B5819" t="s">
        <v>9</v>
      </c>
      <c r="C5819">
        <v>1034</v>
      </c>
      <c r="D5819">
        <v>68</v>
      </c>
      <c r="E5819">
        <v>880.6</v>
      </c>
      <c r="F5819">
        <v>28280</v>
      </c>
      <c r="G5819">
        <v>128985</v>
      </c>
      <c r="H5819">
        <v>12454</v>
      </c>
      <c r="J5819" t="str">
        <f>VLOOKUP(Table3[[#This Row],[Faction ID]],Table4[],2)</f>
        <v>Mordor</v>
      </c>
    </row>
    <row r="5820" spans="1:10" x14ac:dyDescent="0.25">
      <c r="A5820">
        <v>151</v>
      </c>
      <c r="B5820" t="s">
        <v>4</v>
      </c>
      <c r="C5820">
        <v>146</v>
      </c>
      <c r="D5820">
        <v>0</v>
      </c>
      <c r="E5820">
        <v>0</v>
      </c>
      <c r="F5820">
        <v>55420</v>
      </c>
      <c r="G5820">
        <v>2500</v>
      </c>
      <c r="H5820">
        <v>0</v>
      </c>
      <c r="J5820" t="str">
        <f>VLOOKUP(Table3[[#This Row],[Faction ID]],Table4[],2)</f>
        <v>Gondor</v>
      </c>
    </row>
    <row r="5821" spans="1:10" x14ac:dyDescent="0.25">
      <c r="A5821">
        <v>151</v>
      </c>
      <c r="B5821" t="s">
        <v>6</v>
      </c>
      <c r="C5821">
        <v>199</v>
      </c>
      <c r="D5821">
        <v>0</v>
      </c>
      <c r="E5821">
        <v>0</v>
      </c>
      <c r="F5821">
        <v>10343</v>
      </c>
      <c r="G5821">
        <v>2500</v>
      </c>
      <c r="H5821">
        <v>0</v>
      </c>
      <c r="J5821" t="str">
        <f>VLOOKUP(Table3[[#This Row],[Faction ID]],Table4[],2)</f>
        <v>Dale</v>
      </c>
    </row>
    <row r="5822" spans="1:10" x14ac:dyDescent="0.25">
      <c r="A5822">
        <v>151</v>
      </c>
      <c r="B5822" t="s">
        <v>21</v>
      </c>
      <c r="C5822">
        <v>200</v>
      </c>
      <c r="D5822">
        <v>0</v>
      </c>
      <c r="E5822">
        <v>0</v>
      </c>
      <c r="F5822">
        <v>10040</v>
      </c>
      <c r="G5822">
        <v>2500</v>
      </c>
      <c r="H5822">
        <v>0</v>
      </c>
      <c r="J5822" t="str">
        <f>VLOOKUP(Table3[[#This Row],[Faction ID]],Table4[],2)</f>
        <v>Erebor</v>
      </c>
    </row>
    <row r="5823" spans="1:10" x14ac:dyDescent="0.25">
      <c r="A5823">
        <v>151</v>
      </c>
      <c r="B5823" t="s">
        <v>5</v>
      </c>
      <c r="C5823">
        <v>157</v>
      </c>
      <c r="D5823">
        <v>0</v>
      </c>
      <c r="E5823">
        <v>0</v>
      </c>
      <c r="F5823">
        <v>6638</v>
      </c>
      <c r="G5823">
        <v>2500</v>
      </c>
      <c r="H5823">
        <v>0</v>
      </c>
      <c r="J5823" t="str">
        <f>VLOOKUP(Table3[[#This Row],[Faction ID]],Table4[],2)</f>
        <v>Rohan</v>
      </c>
    </row>
    <row r="5824" spans="1:10" x14ac:dyDescent="0.25">
      <c r="A5824">
        <v>151</v>
      </c>
      <c r="B5824" t="s">
        <v>12</v>
      </c>
      <c r="C5824">
        <v>573</v>
      </c>
      <c r="D5824">
        <v>25</v>
      </c>
      <c r="E5824">
        <v>428.79999999999899</v>
      </c>
      <c r="F5824">
        <v>679104</v>
      </c>
      <c r="G5824">
        <v>78656</v>
      </c>
      <c r="H5824">
        <v>6405</v>
      </c>
      <c r="J5824" t="str">
        <f>VLOOKUP(Table3[[#This Row],[Faction ID]],Table4[],2)</f>
        <v>Dol Guldur</v>
      </c>
    </row>
    <row r="5825" spans="1:10" x14ac:dyDescent="0.25">
      <c r="A5825">
        <v>151</v>
      </c>
      <c r="B5825" t="s">
        <v>10</v>
      </c>
      <c r="C5825">
        <v>58</v>
      </c>
      <c r="D5825">
        <v>0</v>
      </c>
      <c r="E5825">
        <v>0</v>
      </c>
      <c r="F5825">
        <v>4515</v>
      </c>
      <c r="G5825">
        <v>2500</v>
      </c>
      <c r="H5825">
        <v>0</v>
      </c>
      <c r="J5825" t="str">
        <f>VLOOKUP(Table3[[#This Row],[Faction ID]],Table4[],2)</f>
        <v>Anduin Vale</v>
      </c>
    </row>
    <row r="5826" spans="1:10" x14ac:dyDescent="0.25">
      <c r="A5826">
        <v>151</v>
      </c>
      <c r="B5826" t="s">
        <v>32</v>
      </c>
      <c r="C5826">
        <v>329</v>
      </c>
      <c r="D5826">
        <v>0</v>
      </c>
      <c r="E5826">
        <v>0</v>
      </c>
      <c r="F5826">
        <v>23007</v>
      </c>
      <c r="G5826">
        <v>2500</v>
      </c>
      <c r="H5826">
        <v>0</v>
      </c>
      <c r="J5826" t="str">
        <f>VLOOKUP(Table3[[#This Row],[Faction ID]],Table4[],2)</f>
        <v>Isengard</v>
      </c>
    </row>
    <row r="5827" spans="1:10" x14ac:dyDescent="0.25">
      <c r="A5827">
        <v>151</v>
      </c>
      <c r="B5827" t="s">
        <v>22</v>
      </c>
      <c r="C5827">
        <v>30</v>
      </c>
      <c r="D5827">
        <v>0</v>
      </c>
      <c r="E5827">
        <v>0</v>
      </c>
      <c r="F5827">
        <v>8475</v>
      </c>
      <c r="G5827">
        <v>2500</v>
      </c>
      <c r="H5827">
        <v>0</v>
      </c>
      <c r="J5827" t="str">
        <f>VLOOKUP(Table3[[#This Row],[Faction ID]],Table4[],2)</f>
        <v>Woodland Realm</v>
      </c>
    </row>
    <row r="5828" spans="1:10" x14ac:dyDescent="0.25">
      <c r="A5828">
        <v>151</v>
      </c>
      <c r="B5828" t="s">
        <v>23</v>
      </c>
      <c r="C5828">
        <v>64</v>
      </c>
      <c r="D5828">
        <v>0</v>
      </c>
      <c r="E5828">
        <v>0</v>
      </c>
      <c r="F5828">
        <v>4721</v>
      </c>
      <c r="G5828">
        <v>2500</v>
      </c>
      <c r="H5828">
        <v>0</v>
      </c>
      <c r="J5828" t="str">
        <f>VLOOKUP(Table3[[#This Row],[Faction ID]],Table4[],2)</f>
        <v>Lothlorien</v>
      </c>
    </row>
    <row r="5829" spans="1:10" x14ac:dyDescent="0.25">
      <c r="A5829">
        <v>151</v>
      </c>
      <c r="B5829" t="s">
        <v>24</v>
      </c>
      <c r="C5829">
        <v>0</v>
      </c>
      <c r="D5829">
        <v>0</v>
      </c>
      <c r="E5829">
        <v>0</v>
      </c>
      <c r="F5829">
        <v>4919</v>
      </c>
      <c r="G5829">
        <v>1750</v>
      </c>
      <c r="H5829">
        <v>0</v>
      </c>
      <c r="J5829" t="str">
        <f>VLOOKUP(Table3[[#This Row],[Faction ID]],Table4[],2)</f>
        <v>Variags (Khand)</v>
      </c>
    </row>
    <row r="5830" spans="1:10" x14ac:dyDescent="0.25">
      <c r="A5830">
        <v>151</v>
      </c>
      <c r="B5830" t="s">
        <v>14</v>
      </c>
      <c r="C5830">
        <v>21</v>
      </c>
      <c r="D5830">
        <v>15</v>
      </c>
      <c r="E5830">
        <v>245.8</v>
      </c>
      <c r="F5830">
        <v>689089</v>
      </c>
      <c r="G5830">
        <v>55038</v>
      </c>
      <c r="H5830">
        <v>6125</v>
      </c>
      <c r="J5830" t="str">
        <f>VLOOKUP(Table3[[#This Row],[Faction ID]],Table4[],2)</f>
        <v>Corsairs of Umbar</v>
      </c>
    </row>
    <row r="5831" spans="1:10" x14ac:dyDescent="0.25">
      <c r="A5831">
        <v>151</v>
      </c>
      <c r="B5831" t="s">
        <v>25</v>
      </c>
      <c r="C5831">
        <v>0</v>
      </c>
      <c r="D5831">
        <v>0</v>
      </c>
      <c r="E5831">
        <v>0</v>
      </c>
      <c r="F5831">
        <v>9228</v>
      </c>
      <c r="G5831">
        <v>1750</v>
      </c>
      <c r="H5831">
        <v>0</v>
      </c>
      <c r="J5831" t="str">
        <f>VLOOKUP(Table3[[#This Row],[Faction ID]],Table4[],2)</f>
        <v>Mahud</v>
      </c>
    </row>
    <row r="5832" spans="1:10" x14ac:dyDescent="0.25">
      <c r="A5832">
        <v>151</v>
      </c>
      <c r="B5832" t="s">
        <v>11</v>
      </c>
      <c r="C5832">
        <v>439</v>
      </c>
      <c r="D5832">
        <v>18</v>
      </c>
      <c r="E5832">
        <v>346.5</v>
      </c>
      <c r="F5832">
        <v>279931</v>
      </c>
      <c r="G5832">
        <v>57860</v>
      </c>
      <c r="H5832">
        <v>4060</v>
      </c>
      <c r="J5832" t="str">
        <f>VLOOKUP(Table3[[#This Row],[Faction ID]],Table4[],2)</f>
        <v>Haradrim</v>
      </c>
    </row>
    <row r="5833" spans="1:10" x14ac:dyDescent="0.25">
      <c r="A5833">
        <v>151</v>
      </c>
      <c r="B5833" t="s">
        <v>15</v>
      </c>
      <c r="C5833">
        <v>399</v>
      </c>
      <c r="D5833">
        <v>7</v>
      </c>
      <c r="E5833">
        <v>174.2</v>
      </c>
      <c r="F5833">
        <v>240635</v>
      </c>
      <c r="G5833">
        <v>39717</v>
      </c>
      <c r="H5833">
        <v>0</v>
      </c>
      <c r="J5833" t="str">
        <f>VLOOKUP(Table3[[#This Row],[Faction ID]],Table4[],2)</f>
        <v>Dunlendings</v>
      </c>
    </row>
    <row r="5834" spans="1:10" x14ac:dyDescent="0.25">
      <c r="A5834">
        <v>151</v>
      </c>
      <c r="B5834" t="s">
        <v>16</v>
      </c>
      <c r="C5834">
        <v>0</v>
      </c>
      <c r="D5834">
        <v>0</v>
      </c>
      <c r="E5834">
        <v>0</v>
      </c>
      <c r="F5834">
        <v>5352</v>
      </c>
      <c r="G5834">
        <v>1750</v>
      </c>
      <c r="H5834">
        <v>0</v>
      </c>
      <c r="J5834" t="str">
        <f>VLOOKUP(Table3[[#This Row],[Faction ID]],Table4[],2)</f>
        <v>Haerrim</v>
      </c>
    </row>
    <row r="5835" spans="1:10" x14ac:dyDescent="0.25">
      <c r="A5835">
        <v>151</v>
      </c>
      <c r="B5835" t="s">
        <v>13</v>
      </c>
      <c r="C5835">
        <v>666</v>
      </c>
      <c r="D5835">
        <v>0</v>
      </c>
      <c r="E5835">
        <v>0</v>
      </c>
      <c r="F5835">
        <v>128480</v>
      </c>
      <c r="G5835">
        <v>2500</v>
      </c>
      <c r="H5835">
        <v>0</v>
      </c>
      <c r="J5835" t="str">
        <f>VLOOKUP(Table3[[#This Row],[Faction ID]],Table4[],2)</f>
        <v>Goblins</v>
      </c>
    </row>
    <row r="5836" spans="1:10" x14ac:dyDescent="0.25">
      <c r="A5836">
        <v>151</v>
      </c>
      <c r="B5836" t="s">
        <v>17</v>
      </c>
      <c r="C5836">
        <v>0</v>
      </c>
      <c r="D5836">
        <v>0</v>
      </c>
      <c r="E5836">
        <v>0</v>
      </c>
      <c r="F5836">
        <v>4872</v>
      </c>
      <c r="G5836">
        <v>1750</v>
      </c>
      <c r="H5836">
        <v>0</v>
      </c>
      <c r="J5836" t="str">
        <f>VLOOKUP(Table3[[#This Row],[Faction ID]],Table4[],2)</f>
        <v>Balchoth</v>
      </c>
    </row>
    <row r="5837" spans="1:10" x14ac:dyDescent="0.25">
      <c r="A5837">
        <v>151</v>
      </c>
      <c r="B5837" t="s">
        <v>18</v>
      </c>
      <c r="C5837">
        <v>718</v>
      </c>
      <c r="D5837">
        <v>14</v>
      </c>
      <c r="E5837">
        <v>218.5</v>
      </c>
      <c r="F5837">
        <v>439653</v>
      </c>
      <c r="G5837">
        <v>37265</v>
      </c>
      <c r="H5837">
        <v>0</v>
      </c>
      <c r="J5837" t="str">
        <f>VLOOKUP(Table3[[#This Row],[Faction ID]],Table4[],2)</f>
        <v>Rhurim/Rhun</v>
      </c>
    </row>
    <row r="5838" spans="1:10" x14ac:dyDescent="0.25">
      <c r="A5838">
        <v>151</v>
      </c>
      <c r="B5838" t="s">
        <v>19</v>
      </c>
      <c r="C5838">
        <v>0</v>
      </c>
      <c r="D5838">
        <v>0</v>
      </c>
      <c r="E5838">
        <v>0</v>
      </c>
      <c r="F5838">
        <v>7360</v>
      </c>
      <c r="G5838">
        <v>1750</v>
      </c>
      <c r="H5838">
        <v>0</v>
      </c>
      <c r="J5838" t="str">
        <f>VLOOKUP(Table3[[#This Row],[Faction ID]],Table4[],2)</f>
        <v>Feredrim</v>
      </c>
    </row>
    <row r="5839" spans="1:10" x14ac:dyDescent="0.25">
      <c r="A5839">
        <v>151</v>
      </c>
      <c r="B5839" t="s">
        <v>26</v>
      </c>
      <c r="C5839">
        <v>0</v>
      </c>
      <c r="D5839">
        <v>0</v>
      </c>
      <c r="E5839">
        <v>0</v>
      </c>
      <c r="F5839">
        <v>6395</v>
      </c>
      <c r="G5839">
        <v>1750</v>
      </c>
      <c r="H5839">
        <v>0</v>
      </c>
      <c r="J5839" t="str">
        <f>VLOOKUP(Table3[[#This Row],[Faction ID]],Table4[],2)</f>
        <v>Rachrohir (Wainriders)</v>
      </c>
    </row>
    <row r="5840" spans="1:10" x14ac:dyDescent="0.25">
      <c r="A5840">
        <v>151</v>
      </c>
      <c r="B5840" t="s">
        <v>27</v>
      </c>
      <c r="C5840">
        <v>7</v>
      </c>
      <c r="D5840">
        <v>5</v>
      </c>
      <c r="E5840">
        <v>92.499999999999901</v>
      </c>
      <c r="F5840">
        <v>40270</v>
      </c>
      <c r="G5840">
        <v>22663</v>
      </c>
      <c r="H5840">
        <v>2094</v>
      </c>
      <c r="J5840" t="str">
        <f>VLOOKUP(Table3[[#This Row],[Faction ID]],Table4[],2)</f>
        <v>Blacklock-Stonefoot League</v>
      </c>
    </row>
    <row r="5841" spans="1:10" x14ac:dyDescent="0.25">
      <c r="A5841">
        <v>151</v>
      </c>
      <c r="B5841" t="s">
        <v>28</v>
      </c>
      <c r="C5841">
        <v>7</v>
      </c>
      <c r="D5841">
        <v>4</v>
      </c>
      <c r="E5841">
        <v>64</v>
      </c>
      <c r="F5841">
        <v>29881</v>
      </c>
      <c r="G5841">
        <v>25756</v>
      </c>
      <c r="H5841">
        <v>1908</v>
      </c>
      <c r="J5841" t="str">
        <f>VLOOKUP(Table3[[#This Row],[Faction ID]],Table4[],2)</f>
        <v>Ironfist-Stiffbeard Union</v>
      </c>
    </row>
    <row r="5842" spans="1:10" x14ac:dyDescent="0.25">
      <c r="A5842">
        <v>151</v>
      </c>
      <c r="B5842" t="s">
        <v>20</v>
      </c>
      <c r="C5842">
        <v>245</v>
      </c>
      <c r="D5842">
        <v>0</v>
      </c>
      <c r="E5842">
        <v>0</v>
      </c>
      <c r="F5842">
        <v>9750</v>
      </c>
      <c r="G5842">
        <v>2500</v>
      </c>
      <c r="H5842">
        <v>0</v>
      </c>
      <c r="J5842" t="str">
        <f>VLOOKUP(Table3[[#This Row],[Faction ID]],Table4[],2)</f>
        <v>Gundabad</v>
      </c>
    </row>
    <row r="5843" spans="1:10" x14ac:dyDescent="0.25">
      <c r="A5843">
        <v>151</v>
      </c>
      <c r="B5843" t="s">
        <v>34</v>
      </c>
      <c r="C5843">
        <v>0</v>
      </c>
      <c r="D5843">
        <v>0</v>
      </c>
      <c r="E5843">
        <v>3</v>
      </c>
      <c r="F5843">
        <v>173425</v>
      </c>
      <c r="G5843">
        <v>2354</v>
      </c>
      <c r="H5843">
        <v>0</v>
      </c>
      <c r="J5843" t="str">
        <f>VLOOKUP(Table3[[#This Row],[Faction ID]],Table4[],2)</f>
        <v>Scouts of Rohan</v>
      </c>
    </row>
    <row r="5844" spans="1:10" x14ac:dyDescent="0.25">
      <c r="A5844">
        <v>151</v>
      </c>
      <c r="B5844" t="s">
        <v>33</v>
      </c>
      <c r="C5844">
        <v>0</v>
      </c>
      <c r="D5844">
        <v>0</v>
      </c>
      <c r="E5844">
        <v>0</v>
      </c>
      <c r="F5844">
        <v>23466</v>
      </c>
      <c r="G5844">
        <v>1750</v>
      </c>
      <c r="H5844">
        <v>0</v>
      </c>
      <c r="J5844" t="str">
        <f>VLOOKUP(Table3[[#This Row],[Faction ID]],Table4[],2)</f>
        <v>Northern Enedwaith</v>
      </c>
    </row>
    <row r="5845" spans="1:10" x14ac:dyDescent="0.25">
      <c r="A5845">
        <v>151</v>
      </c>
      <c r="B5845" t="s">
        <v>29</v>
      </c>
      <c r="C5845">
        <v>0</v>
      </c>
      <c r="D5845">
        <v>0</v>
      </c>
      <c r="E5845">
        <v>0</v>
      </c>
      <c r="F5845">
        <v>54023</v>
      </c>
      <c r="G5845">
        <v>1750</v>
      </c>
      <c r="H5845">
        <v>0</v>
      </c>
      <c r="J5845" t="str">
        <f>VLOOKUP(Table3[[#This Row],[Faction ID]],Table4[],2)</f>
        <v>Southern Enedwaith</v>
      </c>
    </row>
    <row r="5846" spans="1:10" x14ac:dyDescent="0.25">
      <c r="A5846">
        <v>151</v>
      </c>
      <c r="B5846" t="s">
        <v>30</v>
      </c>
      <c r="C5846">
        <v>0</v>
      </c>
      <c r="D5846">
        <v>0</v>
      </c>
      <c r="E5846">
        <v>0</v>
      </c>
      <c r="F5846">
        <v>32146</v>
      </c>
      <c r="G5846">
        <v>1750</v>
      </c>
      <c r="H5846">
        <v>0</v>
      </c>
      <c r="J5846" t="str">
        <f>VLOOKUP(Table3[[#This Row],[Faction ID]],Table4[],2)</f>
        <v>Druedain</v>
      </c>
    </row>
    <row r="5847" spans="1:10" x14ac:dyDescent="0.25">
      <c r="A5847">
        <v>151</v>
      </c>
      <c r="B5847" t="s">
        <v>31</v>
      </c>
      <c r="C5847">
        <v>0</v>
      </c>
      <c r="D5847">
        <v>0</v>
      </c>
      <c r="E5847">
        <v>0</v>
      </c>
      <c r="F5847">
        <v>15146</v>
      </c>
      <c r="G5847">
        <v>1750</v>
      </c>
      <c r="H5847">
        <v>0</v>
      </c>
      <c r="J5847" t="str">
        <f>VLOOKUP(Table3[[#This Row],[Faction ID]],Table4[],2)</f>
        <v>Harondor</v>
      </c>
    </row>
    <row r="5848" spans="1:10" x14ac:dyDescent="0.25">
      <c r="A5848">
        <v>151</v>
      </c>
      <c r="B5848" t="s">
        <v>35</v>
      </c>
      <c r="C5848">
        <v>0</v>
      </c>
      <c r="D5848">
        <v>0</v>
      </c>
      <c r="E5848">
        <v>0</v>
      </c>
      <c r="F5848">
        <v>4000</v>
      </c>
      <c r="G5848">
        <v>1750</v>
      </c>
      <c r="H5848">
        <v>0</v>
      </c>
      <c r="J5848" t="str">
        <f>VLOOKUP(Table3[[#This Row],[Faction ID]],Table4[],2)</f>
        <v>Southron Nomads</v>
      </c>
    </row>
    <row r="5849" spans="1:10" x14ac:dyDescent="0.25">
      <c r="A5849">
        <v>151</v>
      </c>
      <c r="B5849" t="s">
        <v>36</v>
      </c>
      <c r="C5849">
        <v>0</v>
      </c>
      <c r="D5849">
        <v>0</v>
      </c>
      <c r="E5849">
        <v>0</v>
      </c>
      <c r="F5849">
        <v>4000</v>
      </c>
      <c r="G5849">
        <v>1750</v>
      </c>
      <c r="H5849">
        <v>0</v>
      </c>
      <c r="J5849" t="str">
        <f>VLOOKUP(Table3[[#This Row],[Faction ID]],Table4[],2)</f>
        <v>_</v>
      </c>
    </row>
    <row r="5850" spans="1:10" x14ac:dyDescent="0.25">
      <c r="A5850">
        <v>151</v>
      </c>
      <c r="B5850" t="s">
        <v>37</v>
      </c>
      <c r="C5850">
        <v>0</v>
      </c>
      <c r="D5850">
        <v>0</v>
      </c>
      <c r="E5850">
        <v>0</v>
      </c>
      <c r="F5850">
        <v>4000</v>
      </c>
      <c r="G5850">
        <v>1750</v>
      </c>
      <c r="H5850">
        <v>0</v>
      </c>
      <c r="J5850" t="str">
        <f>VLOOKUP(Table3[[#This Row],[Faction ID]],Table4[],2)</f>
        <v>_</v>
      </c>
    </row>
    <row r="5851" spans="1:10" x14ac:dyDescent="0.25">
      <c r="A5851">
        <v>151</v>
      </c>
      <c r="B5851" t="s">
        <v>38</v>
      </c>
      <c r="C5851">
        <v>0</v>
      </c>
      <c r="D5851">
        <v>0</v>
      </c>
      <c r="E5851">
        <v>0</v>
      </c>
      <c r="F5851">
        <v>4000</v>
      </c>
      <c r="G5851">
        <v>1750</v>
      </c>
      <c r="H5851">
        <v>0</v>
      </c>
      <c r="J5851" t="str">
        <f>VLOOKUP(Table3[[#This Row],[Faction ID]],Table4[],2)</f>
        <v>_</v>
      </c>
    </row>
    <row r="5852" spans="1:10" x14ac:dyDescent="0.25">
      <c r="A5852">
        <v>151</v>
      </c>
      <c r="B5852" t="s">
        <v>39</v>
      </c>
      <c r="C5852">
        <v>0</v>
      </c>
      <c r="D5852">
        <v>0</v>
      </c>
      <c r="E5852">
        <v>0</v>
      </c>
      <c r="F5852">
        <v>4000</v>
      </c>
      <c r="G5852">
        <v>1750</v>
      </c>
      <c r="H5852">
        <v>0</v>
      </c>
      <c r="J5852" t="str">
        <f>VLOOKUP(Table3[[#This Row],[Faction ID]],Table4[],2)</f>
        <v>_</v>
      </c>
    </row>
    <row r="5853" spans="1:10" x14ac:dyDescent="0.25">
      <c r="A5853">
        <v>151</v>
      </c>
      <c r="B5853" t="s">
        <v>40</v>
      </c>
      <c r="C5853">
        <v>0</v>
      </c>
      <c r="D5853">
        <v>0</v>
      </c>
      <c r="E5853">
        <v>0</v>
      </c>
      <c r="F5853">
        <v>4000</v>
      </c>
      <c r="G5853">
        <v>1750</v>
      </c>
      <c r="H5853">
        <v>0</v>
      </c>
      <c r="J5853" t="str">
        <f>VLOOKUP(Table3[[#This Row],[Faction ID]],Table4[],2)</f>
        <v>_</v>
      </c>
    </row>
    <row r="5854" spans="1:10" x14ac:dyDescent="0.25">
      <c r="A5854">
        <v>151</v>
      </c>
      <c r="B5854" t="s">
        <v>41</v>
      </c>
      <c r="C5854">
        <v>0</v>
      </c>
      <c r="D5854">
        <v>0</v>
      </c>
      <c r="E5854">
        <v>0</v>
      </c>
      <c r="F5854">
        <v>4000</v>
      </c>
      <c r="G5854">
        <v>1750</v>
      </c>
      <c r="H5854">
        <v>0</v>
      </c>
      <c r="J5854" t="str">
        <f>VLOOKUP(Table3[[#This Row],[Faction ID]],Table4[],2)</f>
        <v>_</v>
      </c>
    </row>
    <row r="5855" spans="1:10" x14ac:dyDescent="0.25">
      <c r="A5855">
        <v>151</v>
      </c>
      <c r="B5855" t="s">
        <v>42</v>
      </c>
      <c r="C5855">
        <v>0</v>
      </c>
      <c r="D5855">
        <v>0</v>
      </c>
      <c r="E5855">
        <v>0</v>
      </c>
      <c r="F5855">
        <v>4000</v>
      </c>
      <c r="G5855">
        <v>1750</v>
      </c>
      <c r="H5855">
        <v>0</v>
      </c>
      <c r="J5855" t="str">
        <f>VLOOKUP(Table3[[#This Row],[Faction ID]],Table4[],2)</f>
        <v>_</v>
      </c>
    </row>
    <row r="5856" spans="1:10" x14ac:dyDescent="0.25">
      <c r="A5856">
        <v>151</v>
      </c>
      <c r="B5856" t="s">
        <v>43</v>
      </c>
      <c r="C5856">
        <v>0</v>
      </c>
      <c r="D5856">
        <v>0</v>
      </c>
      <c r="E5856">
        <v>0</v>
      </c>
      <c r="F5856">
        <v>4000</v>
      </c>
      <c r="G5856">
        <v>1750</v>
      </c>
      <c r="H5856">
        <v>0</v>
      </c>
      <c r="J5856" t="str">
        <f>VLOOKUP(Table3[[#This Row],[Faction ID]],Table4[],2)</f>
        <v>_</v>
      </c>
    </row>
    <row r="5857" spans="1:10" x14ac:dyDescent="0.25">
      <c r="A5857">
        <v>151</v>
      </c>
      <c r="B5857" t="s">
        <v>44</v>
      </c>
      <c r="C5857">
        <v>0</v>
      </c>
      <c r="D5857">
        <v>0</v>
      </c>
      <c r="E5857">
        <v>0</v>
      </c>
      <c r="F5857">
        <v>4000</v>
      </c>
      <c r="G5857">
        <v>1750</v>
      </c>
      <c r="H5857">
        <v>0</v>
      </c>
      <c r="J5857" t="str">
        <f>VLOOKUP(Table3[[#This Row],[Faction ID]],Table4[],2)</f>
        <v>_</v>
      </c>
    </row>
    <row r="5858" spans="1:10" x14ac:dyDescent="0.25">
      <c r="A5858">
        <v>152</v>
      </c>
      <c r="B5858" t="s">
        <v>9</v>
      </c>
      <c r="C5858">
        <v>1037</v>
      </c>
      <c r="D5858">
        <v>70</v>
      </c>
      <c r="E5858">
        <v>881.6</v>
      </c>
      <c r="F5858">
        <v>125</v>
      </c>
      <c r="G5858">
        <v>133481</v>
      </c>
      <c r="H5858">
        <v>12643</v>
      </c>
      <c r="J5858" t="str">
        <f>VLOOKUP(Table3[[#This Row],[Faction ID]],Table4[],2)</f>
        <v>Mordor</v>
      </c>
    </row>
    <row r="5859" spans="1:10" x14ac:dyDescent="0.25">
      <c r="A5859">
        <v>152</v>
      </c>
      <c r="B5859" t="s">
        <v>4</v>
      </c>
      <c r="C5859">
        <v>146</v>
      </c>
      <c r="D5859">
        <v>0</v>
      </c>
      <c r="E5859">
        <v>0</v>
      </c>
      <c r="F5859">
        <v>55420</v>
      </c>
      <c r="G5859">
        <v>2500</v>
      </c>
      <c r="H5859">
        <v>0</v>
      </c>
      <c r="J5859" t="str">
        <f>VLOOKUP(Table3[[#This Row],[Faction ID]],Table4[],2)</f>
        <v>Gondor</v>
      </c>
    </row>
    <row r="5860" spans="1:10" x14ac:dyDescent="0.25">
      <c r="A5860">
        <v>152</v>
      </c>
      <c r="B5860" t="s">
        <v>6</v>
      </c>
      <c r="C5860">
        <v>199</v>
      </c>
      <c r="D5860">
        <v>0</v>
      </c>
      <c r="E5860">
        <v>0</v>
      </c>
      <c r="F5860">
        <v>10343</v>
      </c>
      <c r="G5860">
        <v>2500</v>
      </c>
      <c r="H5860">
        <v>0</v>
      </c>
      <c r="J5860" t="str">
        <f>VLOOKUP(Table3[[#This Row],[Faction ID]],Table4[],2)</f>
        <v>Dale</v>
      </c>
    </row>
    <row r="5861" spans="1:10" x14ac:dyDescent="0.25">
      <c r="A5861">
        <v>152</v>
      </c>
      <c r="B5861" t="s">
        <v>21</v>
      </c>
      <c r="C5861">
        <v>200</v>
      </c>
      <c r="D5861">
        <v>0</v>
      </c>
      <c r="E5861">
        <v>0</v>
      </c>
      <c r="F5861">
        <v>10040</v>
      </c>
      <c r="G5861">
        <v>2500</v>
      </c>
      <c r="H5861">
        <v>0</v>
      </c>
      <c r="J5861" t="str">
        <f>VLOOKUP(Table3[[#This Row],[Faction ID]],Table4[],2)</f>
        <v>Erebor</v>
      </c>
    </row>
    <row r="5862" spans="1:10" x14ac:dyDescent="0.25">
      <c r="A5862">
        <v>152</v>
      </c>
      <c r="B5862" t="s">
        <v>5</v>
      </c>
      <c r="C5862">
        <v>157</v>
      </c>
      <c r="D5862">
        <v>0</v>
      </c>
      <c r="E5862">
        <v>0</v>
      </c>
      <c r="F5862">
        <v>6638</v>
      </c>
      <c r="G5862">
        <v>2500</v>
      </c>
      <c r="H5862">
        <v>0</v>
      </c>
      <c r="J5862" t="str">
        <f>VLOOKUP(Table3[[#This Row],[Faction ID]],Table4[],2)</f>
        <v>Rohan</v>
      </c>
    </row>
    <row r="5863" spans="1:10" x14ac:dyDescent="0.25">
      <c r="A5863">
        <v>152</v>
      </c>
      <c r="B5863" t="s">
        <v>12</v>
      </c>
      <c r="C5863">
        <v>573</v>
      </c>
      <c r="D5863">
        <v>25</v>
      </c>
      <c r="E5863">
        <v>402.8</v>
      </c>
      <c r="F5863">
        <v>710508</v>
      </c>
      <c r="G5863">
        <v>77167</v>
      </c>
      <c r="H5863">
        <v>7640</v>
      </c>
      <c r="J5863" t="str">
        <f>VLOOKUP(Table3[[#This Row],[Faction ID]],Table4[],2)</f>
        <v>Dol Guldur</v>
      </c>
    </row>
    <row r="5864" spans="1:10" x14ac:dyDescent="0.25">
      <c r="A5864">
        <v>152</v>
      </c>
      <c r="B5864" t="s">
        <v>10</v>
      </c>
      <c r="C5864">
        <v>58</v>
      </c>
      <c r="D5864">
        <v>0</v>
      </c>
      <c r="E5864">
        <v>0</v>
      </c>
      <c r="F5864">
        <v>4515</v>
      </c>
      <c r="G5864">
        <v>2500</v>
      </c>
      <c r="H5864">
        <v>0</v>
      </c>
      <c r="J5864" t="str">
        <f>VLOOKUP(Table3[[#This Row],[Faction ID]],Table4[],2)</f>
        <v>Anduin Vale</v>
      </c>
    </row>
    <row r="5865" spans="1:10" x14ac:dyDescent="0.25">
      <c r="A5865">
        <v>152</v>
      </c>
      <c r="B5865" t="s">
        <v>32</v>
      </c>
      <c r="C5865">
        <v>329</v>
      </c>
      <c r="D5865">
        <v>0</v>
      </c>
      <c r="E5865">
        <v>0</v>
      </c>
      <c r="F5865">
        <v>23007</v>
      </c>
      <c r="G5865">
        <v>2500</v>
      </c>
      <c r="H5865">
        <v>0</v>
      </c>
      <c r="J5865" t="str">
        <f>VLOOKUP(Table3[[#This Row],[Faction ID]],Table4[],2)</f>
        <v>Isengard</v>
      </c>
    </row>
    <row r="5866" spans="1:10" x14ac:dyDescent="0.25">
      <c r="A5866">
        <v>152</v>
      </c>
      <c r="B5866" t="s">
        <v>22</v>
      </c>
      <c r="C5866">
        <v>30</v>
      </c>
      <c r="D5866">
        <v>0</v>
      </c>
      <c r="E5866">
        <v>0</v>
      </c>
      <c r="F5866">
        <v>8475</v>
      </c>
      <c r="G5866">
        <v>2500</v>
      </c>
      <c r="H5866">
        <v>0</v>
      </c>
      <c r="J5866" t="str">
        <f>VLOOKUP(Table3[[#This Row],[Faction ID]],Table4[],2)</f>
        <v>Woodland Realm</v>
      </c>
    </row>
    <row r="5867" spans="1:10" x14ac:dyDescent="0.25">
      <c r="A5867">
        <v>152</v>
      </c>
      <c r="B5867" t="s">
        <v>23</v>
      </c>
      <c r="C5867">
        <v>64</v>
      </c>
      <c r="D5867">
        <v>0</v>
      </c>
      <c r="E5867">
        <v>0</v>
      </c>
      <c r="F5867">
        <v>4721</v>
      </c>
      <c r="G5867">
        <v>2500</v>
      </c>
      <c r="H5867">
        <v>0</v>
      </c>
      <c r="J5867" t="str">
        <f>VLOOKUP(Table3[[#This Row],[Faction ID]],Table4[],2)</f>
        <v>Lothlorien</v>
      </c>
    </row>
    <row r="5868" spans="1:10" x14ac:dyDescent="0.25">
      <c r="A5868">
        <v>152</v>
      </c>
      <c r="B5868" t="s">
        <v>24</v>
      </c>
      <c r="C5868">
        <v>0</v>
      </c>
      <c r="D5868">
        <v>0</v>
      </c>
      <c r="E5868">
        <v>0</v>
      </c>
      <c r="F5868">
        <v>4919</v>
      </c>
      <c r="G5868">
        <v>1750</v>
      </c>
      <c r="H5868">
        <v>0</v>
      </c>
      <c r="J5868" t="str">
        <f>VLOOKUP(Table3[[#This Row],[Faction ID]],Table4[],2)</f>
        <v>Variags (Khand)</v>
      </c>
    </row>
    <row r="5869" spans="1:10" x14ac:dyDescent="0.25">
      <c r="A5869">
        <v>152</v>
      </c>
      <c r="B5869" t="s">
        <v>14</v>
      </c>
      <c r="C5869">
        <v>21</v>
      </c>
      <c r="D5869">
        <v>15</v>
      </c>
      <c r="E5869">
        <v>254.6</v>
      </c>
      <c r="F5869">
        <v>684946</v>
      </c>
      <c r="G5869">
        <v>59259</v>
      </c>
      <c r="H5869">
        <v>6166</v>
      </c>
      <c r="J5869" t="str">
        <f>VLOOKUP(Table3[[#This Row],[Faction ID]],Table4[],2)</f>
        <v>Corsairs of Umbar</v>
      </c>
    </row>
    <row r="5870" spans="1:10" x14ac:dyDescent="0.25">
      <c r="A5870">
        <v>152</v>
      </c>
      <c r="B5870" t="s">
        <v>25</v>
      </c>
      <c r="C5870">
        <v>0</v>
      </c>
      <c r="D5870">
        <v>0</v>
      </c>
      <c r="E5870">
        <v>0</v>
      </c>
      <c r="F5870">
        <v>9228</v>
      </c>
      <c r="G5870">
        <v>1750</v>
      </c>
      <c r="H5870">
        <v>0</v>
      </c>
      <c r="J5870" t="str">
        <f>VLOOKUP(Table3[[#This Row],[Faction ID]],Table4[],2)</f>
        <v>Mahud</v>
      </c>
    </row>
    <row r="5871" spans="1:10" x14ac:dyDescent="0.25">
      <c r="A5871">
        <v>152</v>
      </c>
      <c r="B5871" t="s">
        <v>11</v>
      </c>
      <c r="C5871">
        <v>447</v>
      </c>
      <c r="D5871">
        <v>18</v>
      </c>
      <c r="E5871">
        <v>354.5</v>
      </c>
      <c r="F5871">
        <v>276526</v>
      </c>
      <c r="G5871">
        <v>58958</v>
      </c>
      <c r="H5871">
        <v>4082</v>
      </c>
      <c r="J5871" t="str">
        <f>VLOOKUP(Table3[[#This Row],[Faction ID]],Table4[],2)</f>
        <v>Haradrim</v>
      </c>
    </row>
    <row r="5872" spans="1:10" x14ac:dyDescent="0.25">
      <c r="A5872">
        <v>152</v>
      </c>
      <c r="B5872" t="s">
        <v>15</v>
      </c>
      <c r="C5872">
        <v>401</v>
      </c>
      <c r="D5872">
        <v>5</v>
      </c>
      <c r="E5872">
        <v>144.6</v>
      </c>
      <c r="F5872">
        <v>244094</v>
      </c>
      <c r="G5872">
        <v>29224</v>
      </c>
      <c r="H5872">
        <v>0</v>
      </c>
      <c r="J5872" t="str">
        <f>VLOOKUP(Table3[[#This Row],[Faction ID]],Table4[],2)</f>
        <v>Dunlendings</v>
      </c>
    </row>
    <row r="5873" spans="1:10" x14ac:dyDescent="0.25">
      <c r="A5873">
        <v>152</v>
      </c>
      <c r="B5873" t="s">
        <v>16</v>
      </c>
      <c r="C5873">
        <v>0</v>
      </c>
      <c r="D5873">
        <v>0</v>
      </c>
      <c r="E5873">
        <v>0</v>
      </c>
      <c r="F5873">
        <v>5352</v>
      </c>
      <c r="G5873">
        <v>1750</v>
      </c>
      <c r="H5873">
        <v>0</v>
      </c>
      <c r="J5873" t="str">
        <f>VLOOKUP(Table3[[#This Row],[Faction ID]],Table4[],2)</f>
        <v>Haerrim</v>
      </c>
    </row>
    <row r="5874" spans="1:10" x14ac:dyDescent="0.25">
      <c r="A5874">
        <v>152</v>
      </c>
      <c r="B5874" t="s">
        <v>13</v>
      </c>
      <c r="C5874">
        <v>666</v>
      </c>
      <c r="D5874">
        <v>0</v>
      </c>
      <c r="E5874">
        <v>0</v>
      </c>
      <c r="F5874">
        <v>128480</v>
      </c>
      <c r="G5874">
        <v>2500</v>
      </c>
      <c r="H5874">
        <v>0</v>
      </c>
      <c r="J5874" t="str">
        <f>VLOOKUP(Table3[[#This Row],[Faction ID]],Table4[],2)</f>
        <v>Goblins</v>
      </c>
    </row>
    <row r="5875" spans="1:10" x14ac:dyDescent="0.25">
      <c r="A5875">
        <v>152</v>
      </c>
      <c r="B5875" t="s">
        <v>17</v>
      </c>
      <c r="C5875">
        <v>0</v>
      </c>
      <c r="D5875">
        <v>0</v>
      </c>
      <c r="E5875">
        <v>0</v>
      </c>
      <c r="F5875">
        <v>4872</v>
      </c>
      <c r="G5875">
        <v>1750</v>
      </c>
      <c r="H5875">
        <v>0</v>
      </c>
      <c r="J5875" t="str">
        <f>VLOOKUP(Table3[[#This Row],[Faction ID]],Table4[],2)</f>
        <v>Balchoth</v>
      </c>
    </row>
    <row r="5876" spans="1:10" x14ac:dyDescent="0.25">
      <c r="A5876">
        <v>152</v>
      </c>
      <c r="B5876" t="s">
        <v>18</v>
      </c>
      <c r="C5876">
        <v>726</v>
      </c>
      <c r="D5876">
        <v>14</v>
      </c>
      <c r="E5876">
        <v>192.4</v>
      </c>
      <c r="F5876">
        <v>457874</v>
      </c>
      <c r="G5876">
        <v>31956</v>
      </c>
      <c r="H5876">
        <v>2960</v>
      </c>
      <c r="J5876" t="str">
        <f>VLOOKUP(Table3[[#This Row],[Faction ID]],Table4[],2)</f>
        <v>Rhurim/Rhun</v>
      </c>
    </row>
    <row r="5877" spans="1:10" x14ac:dyDescent="0.25">
      <c r="A5877">
        <v>152</v>
      </c>
      <c r="B5877" t="s">
        <v>19</v>
      </c>
      <c r="C5877">
        <v>0</v>
      </c>
      <c r="D5877">
        <v>0</v>
      </c>
      <c r="E5877">
        <v>0</v>
      </c>
      <c r="F5877">
        <v>7360</v>
      </c>
      <c r="G5877">
        <v>1750</v>
      </c>
      <c r="H5877">
        <v>0</v>
      </c>
      <c r="J5877" t="str">
        <f>VLOOKUP(Table3[[#This Row],[Faction ID]],Table4[],2)</f>
        <v>Feredrim</v>
      </c>
    </row>
    <row r="5878" spans="1:10" x14ac:dyDescent="0.25">
      <c r="A5878">
        <v>152</v>
      </c>
      <c r="B5878" t="s">
        <v>26</v>
      </c>
      <c r="C5878">
        <v>0</v>
      </c>
      <c r="D5878">
        <v>0</v>
      </c>
      <c r="E5878">
        <v>0</v>
      </c>
      <c r="F5878">
        <v>6395</v>
      </c>
      <c r="G5878">
        <v>1750</v>
      </c>
      <c r="H5878">
        <v>0</v>
      </c>
      <c r="J5878" t="str">
        <f>VLOOKUP(Table3[[#This Row],[Faction ID]],Table4[],2)</f>
        <v>Rachrohir (Wainriders)</v>
      </c>
    </row>
    <row r="5879" spans="1:10" x14ac:dyDescent="0.25">
      <c r="A5879">
        <v>152</v>
      </c>
      <c r="B5879" t="s">
        <v>27</v>
      </c>
      <c r="C5879">
        <v>7</v>
      </c>
      <c r="D5879">
        <v>5</v>
      </c>
      <c r="E5879">
        <v>90.3</v>
      </c>
      <c r="F5879">
        <v>49550</v>
      </c>
      <c r="G5879">
        <v>22367</v>
      </c>
      <c r="H5879">
        <v>2245</v>
      </c>
      <c r="J5879" t="str">
        <f>VLOOKUP(Table3[[#This Row],[Faction ID]],Table4[],2)</f>
        <v>Blacklock-Stonefoot League</v>
      </c>
    </row>
    <row r="5880" spans="1:10" x14ac:dyDescent="0.25">
      <c r="A5880">
        <v>152</v>
      </c>
      <c r="B5880" t="s">
        <v>28</v>
      </c>
      <c r="C5880">
        <v>7</v>
      </c>
      <c r="D5880">
        <v>4</v>
      </c>
      <c r="E5880">
        <v>69</v>
      </c>
      <c r="F5880">
        <v>30858</v>
      </c>
      <c r="G5880">
        <v>24344</v>
      </c>
      <c r="H5880">
        <v>1896</v>
      </c>
      <c r="J5880" t="str">
        <f>VLOOKUP(Table3[[#This Row],[Faction ID]],Table4[],2)</f>
        <v>Ironfist-Stiffbeard Union</v>
      </c>
    </row>
    <row r="5881" spans="1:10" x14ac:dyDescent="0.25">
      <c r="A5881">
        <v>152</v>
      </c>
      <c r="B5881" t="s">
        <v>20</v>
      </c>
      <c r="C5881">
        <v>245</v>
      </c>
      <c r="D5881">
        <v>0</v>
      </c>
      <c r="E5881">
        <v>0</v>
      </c>
      <c r="F5881">
        <v>9750</v>
      </c>
      <c r="G5881">
        <v>2500</v>
      </c>
      <c r="H5881">
        <v>0</v>
      </c>
      <c r="J5881" t="str">
        <f>VLOOKUP(Table3[[#This Row],[Faction ID]],Table4[],2)</f>
        <v>Gundabad</v>
      </c>
    </row>
    <row r="5882" spans="1:10" x14ac:dyDescent="0.25">
      <c r="A5882">
        <v>152</v>
      </c>
      <c r="B5882" t="s">
        <v>34</v>
      </c>
      <c r="C5882">
        <v>0</v>
      </c>
      <c r="D5882">
        <v>0</v>
      </c>
      <c r="E5882">
        <v>3</v>
      </c>
      <c r="F5882">
        <v>174571</v>
      </c>
      <c r="G5882">
        <v>2354</v>
      </c>
      <c r="H5882">
        <v>0</v>
      </c>
      <c r="J5882" t="str">
        <f>VLOOKUP(Table3[[#This Row],[Faction ID]],Table4[],2)</f>
        <v>Scouts of Rohan</v>
      </c>
    </row>
    <row r="5883" spans="1:10" x14ac:dyDescent="0.25">
      <c r="A5883">
        <v>152</v>
      </c>
      <c r="B5883" t="s">
        <v>33</v>
      </c>
      <c r="C5883">
        <v>0</v>
      </c>
      <c r="D5883">
        <v>0</v>
      </c>
      <c r="E5883">
        <v>0</v>
      </c>
      <c r="F5883">
        <v>23466</v>
      </c>
      <c r="G5883">
        <v>1750</v>
      </c>
      <c r="H5883">
        <v>0</v>
      </c>
      <c r="J5883" t="str">
        <f>VLOOKUP(Table3[[#This Row],[Faction ID]],Table4[],2)</f>
        <v>Northern Enedwaith</v>
      </c>
    </row>
    <row r="5884" spans="1:10" x14ac:dyDescent="0.25">
      <c r="A5884">
        <v>152</v>
      </c>
      <c r="B5884" t="s">
        <v>29</v>
      </c>
      <c r="C5884">
        <v>0</v>
      </c>
      <c r="D5884">
        <v>0</v>
      </c>
      <c r="E5884">
        <v>0</v>
      </c>
      <c r="F5884">
        <v>54023</v>
      </c>
      <c r="G5884">
        <v>1750</v>
      </c>
      <c r="H5884">
        <v>0</v>
      </c>
      <c r="J5884" t="str">
        <f>VLOOKUP(Table3[[#This Row],[Faction ID]],Table4[],2)</f>
        <v>Southern Enedwaith</v>
      </c>
    </row>
    <row r="5885" spans="1:10" x14ac:dyDescent="0.25">
      <c r="A5885">
        <v>152</v>
      </c>
      <c r="B5885" t="s">
        <v>30</v>
      </c>
      <c r="C5885">
        <v>0</v>
      </c>
      <c r="D5885">
        <v>0</v>
      </c>
      <c r="E5885">
        <v>0</v>
      </c>
      <c r="F5885">
        <v>32146</v>
      </c>
      <c r="G5885">
        <v>1750</v>
      </c>
      <c r="H5885">
        <v>0</v>
      </c>
      <c r="J5885" t="str">
        <f>VLOOKUP(Table3[[#This Row],[Faction ID]],Table4[],2)</f>
        <v>Druedain</v>
      </c>
    </row>
    <row r="5886" spans="1:10" x14ac:dyDescent="0.25">
      <c r="A5886">
        <v>152</v>
      </c>
      <c r="B5886" t="s">
        <v>31</v>
      </c>
      <c r="C5886">
        <v>0</v>
      </c>
      <c r="D5886">
        <v>0</v>
      </c>
      <c r="E5886">
        <v>0</v>
      </c>
      <c r="F5886">
        <v>15146</v>
      </c>
      <c r="G5886">
        <v>1750</v>
      </c>
      <c r="H5886">
        <v>0</v>
      </c>
      <c r="J5886" t="str">
        <f>VLOOKUP(Table3[[#This Row],[Faction ID]],Table4[],2)</f>
        <v>Harondor</v>
      </c>
    </row>
    <row r="5887" spans="1:10" x14ac:dyDescent="0.25">
      <c r="A5887">
        <v>152</v>
      </c>
      <c r="B5887" t="s">
        <v>35</v>
      </c>
      <c r="C5887">
        <v>0</v>
      </c>
      <c r="D5887">
        <v>0</v>
      </c>
      <c r="E5887">
        <v>0</v>
      </c>
      <c r="F5887">
        <v>4000</v>
      </c>
      <c r="G5887">
        <v>1750</v>
      </c>
      <c r="H5887">
        <v>0</v>
      </c>
      <c r="J5887" t="str">
        <f>VLOOKUP(Table3[[#This Row],[Faction ID]],Table4[],2)</f>
        <v>Southron Nomads</v>
      </c>
    </row>
    <row r="5888" spans="1:10" x14ac:dyDescent="0.25">
      <c r="A5888">
        <v>152</v>
      </c>
      <c r="B5888" t="s">
        <v>36</v>
      </c>
      <c r="C5888">
        <v>0</v>
      </c>
      <c r="D5888">
        <v>0</v>
      </c>
      <c r="E5888">
        <v>0</v>
      </c>
      <c r="F5888">
        <v>4000</v>
      </c>
      <c r="G5888">
        <v>1750</v>
      </c>
      <c r="H5888">
        <v>0</v>
      </c>
      <c r="J5888" t="str">
        <f>VLOOKUP(Table3[[#This Row],[Faction ID]],Table4[],2)</f>
        <v>_</v>
      </c>
    </row>
    <row r="5889" spans="1:10" x14ac:dyDescent="0.25">
      <c r="A5889">
        <v>152</v>
      </c>
      <c r="B5889" t="s">
        <v>37</v>
      </c>
      <c r="C5889">
        <v>0</v>
      </c>
      <c r="D5889">
        <v>0</v>
      </c>
      <c r="E5889">
        <v>0</v>
      </c>
      <c r="F5889">
        <v>4000</v>
      </c>
      <c r="G5889">
        <v>1750</v>
      </c>
      <c r="H5889">
        <v>0</v>
      </c>
      <c r="J5889" t="str">
        <f>VLOOKUP(Table3[[#This Row],[Faction ID]],Table4[],2)</f>
        <v>_</v>
      </c>
    </row>
    <row r="5890" spans="1:10" x14ac:dyDescent="0.25">
      <c r="A5890">
        <v>152</v>
      </c>
      <c r="B5890" t="s">
        <v>38</v>
      </c>
      <c r="C5890">
        <v>0</v>
      </c>
      <c r="D5890">
        <v>0</v>
      </c>
      <c r="E5890">
        <v>0</v>
      </c>
      <c r="F5890">
        <v>4000</v>
      </c>
      <c r="G5890">
        <v>1750</v>
      </c>
      <c r="H5890">
        <v>0</v>
      </c>
      <c r="J5890" t="str">
        <f>VLOOKUP(Table3[[#This Row],[Faction ID]],Table4[],2)</f>
        <v>_</v>
      </c>
    </row>
    <row r="5891" spans="1:10" x14ac:dyDescent="0.25">
      <c r="A5891">
        <v>152</v>
      </c>
      <c r="B5891" t="s">
        <v>39</v>
      </c>
      <c r="C5891">
        <v>0</v>
      </c>
      <c r="D5891">
        <v>0</v>
      </c>
      <c r="E5891">
        <v>0</v>
      </c>
      <c r="F5891">
        <v>4000</v>
      </c>
      <c r="G5891">
        <v>1750</v>
      </c>
      <c r="H5891">
        <v>0</v>
      </c>
      <c r="J5891" t="str">
        <f>VLOOKUP(Table3[[#This Row],[Faction ID]],Table4[],2)</f>
        <v>_</v>
      </c>
    </row>
    <row r="5892" spans="1:10" x14ac:dyDescent="0.25">
      <c r="A5892">
        <v>152</v>
      </c>
      <c r="B5892" t="s">
        <v>40</v>
      </c>
      <c r="C5892">
        <v>0</v>
      </c>
      <c r="D5892">
        <v>0</v>
      </c>
      <c r="E5892">
        <v>0</v>
      </c>
      <c r="F5892">
        <v>4000</v>
      </c>
      <c r="G5892">
        <v>1750</v>
      </c>
      <c r="H5892">
        <v>0</v>
      </c>
      <c r="J5892" t="str">
        <f>VLOOKUP(Table3[[#This Row],[Faction ID]],Table4[],2)</f>
        <v>_</v>
      </c>
    </row>
    <row r="5893" spans="1:10" x14ac:dyDescent="0.25">
      <c r="A5893">
        <v>152</v>
      </c>
      <c r="B5893" t="s">
        <v>41</v>
      </c>
      <c r="C5893">
        <v>0</v>
      </c>
      <c r="D5893">
        <v>0</v>
      </c>
      <c r="E5893">
        <v>0</v>
      </c>
      <c r="F5893">
        <v>4000</v>
      </c>
      <c r="G5893">
        <v>1750</v>
      </c>
      <c r="H5893">
        <v>0</v>
      </c>
      <c r="J5893" t="str">
        <f>VLOOKUP(Table3[[#This Row],[Faction ID]],Table4[],2)</f>
        <v>_</v>
      </c>
    </row>
    <row r="5894" spans="1:10" x14ac:dyDescent="0.25">
      <c r="A5894">
        <v>152</v>
      </c>
      <c r="B5894" t="s">
        <v>42</v>
      </c>
      <c r="C5894">
        <v>0</v>
      </c>
      <c r="D5894">
        <v>0</v>
      </c>
      <c r="E5894">
        <v>0</v>
      </c>
      <c r="F5894">
        <v>4000</v>
      </c>
      <c r="G5894">
        <v>1750</v>
      </c>
      <c r="H5894">
        <v>0</v>
      </c>
      <c r="J5894" t="str">
        <f>VLOOKUP(Table3[[#This Row],[Faction ID]],Table4[],2)</f>
        <v>_</v>
      </c>
    </row>
    <row r="5895" spans="1:10" x14ac:dyDescent="0.25">
      <c r="A5895">
        <v>152</v>
      </c>
      <c r="B5895" t="s">
        <v>43</v>
      </c>
      <c r="C5895">
        <v>0</v>
      </c>
      <c r="D5895">
        <v>0</v>
      </c>
      <c r="E5895">
        <v>0</v>
      </c>
      <c r="F5895">
        <v>4000</v>
      </c>
      <c r="G5895">
        <v>1750</v>
      </c>
      <c r="H5895">
        <v>0</v>
      </c>
      <c r="J5895" t="str">
        <f>VLOOKUP(Table3[[#This Row],[Faction ID]],Table4[],2)</f>
        <v>_</v>
      </c>
    </row>
    <row r="5896" spans="1:10" x14ac:dyDescent="0.25">
      <c r="A5896">
        <v>152</v>
      </c>
      <c r="B5896" t="s">
        <v>44</v>
      </c>
      <c r="C5896">
        <v>0</v>
      </c>
      <c r="D5896">
        <v>0</v>
      </c>
      <c r="E5896">
        <v>0</v>
      </c>
      <c r="F5896">
        <v>4000</v>
      </c>
      <c r="G5896">
        <v>1750</v>
      </c>
      <c r="H5896">
        <v>0</v>
      </c>
      <c r="J5896" t="str">
        <f>VLOOKUP(Table3[[#This Row],[Faction ID]],Table4[],2)</f>
        <v>_</v>
      </c>
    </row>
    <row r="5897" spans="1:10" x14ac:dyDescent="0.25">
      <c r="A5897">
        <v>153</v>
      </c>
      <c r="B5897" t="s">
        <v>9</v>
      </c>
      <c r="C5897">
        <v>1101</v>
      </c>
      <c r="D5897">
        <v>70</v>
      </c>
      <c r="E5897">
        <v>905.6</v>
      </c>
      <c r="F5897">
        <v>1776</v>
      </c>
      <c r="G5897">
        <v>134634</v>
      </c>
      <c r="H5897">
        <v>12657</v>
      </c>
      <c r="J5897" t="str">
        <f>VLOOKUP(Table3[[#This Row],[Faction ID]],Table4[],2)</f>
        <v>Mordor</v>
      </c>
    </row>
    <row r="5898" spans="1:10" x14ac:dyDescent="0.25">
      <c r="A5898">
        <v>153</v>
      </c>
      <c r="B5898" t="s">
        <v>4</v>
      </c>
      <c r="C5898">
        <v>146</v>
      </c>
      <c r="D5898">
        <v>0</v>
      </c>
      <c r="E5898">
        <v>0</v>
      </c>
      <c r="F5898">
        <v>55420</v>
      </c>
      <c r="G5898">
        <v>2500</v>
      </c>
      <c r="H5898">
        <v>0</v>
      </c>
      <c r="J5898" t="str">
        <f>VLOOKUP(Table3[[#This Row],[Faction ID]],Table4[],2)</f>
        <v>Gondor</v>
      </c>
    </row>
    <row r="5899" spans="1:10" x14ac:dyDescent="0.25">
      <c r="A5899">
        <v>153</v>
      </c>
      <c r="B5899" t="s">
        <v>6</v>
      </c>
      <c r="C5899">
        <v>199</v>
      </c>
      <c r="D5899">
        <v>0</v>
      </c>
      <c r="E5899">
        <v>0</v>
      </c>
      <c r="F5899">
        <v>10343</v>
      </c>
      <c r="G5899">
        <v>2500</v>
      </c>
      <c r="H5899">
        <v>0</v>
      </c>
      <c r="J5899" t="str">
        <f>VLOOKUP(Table3[[#This Row],[Faction ID]],Table4[],2)</f>
        <v>Dale</v>
      </c>
    </row>
    <row r="5900" spans="1:10" x14ac:dyDescent="0.25">
      <c r="A5900">
        <v>153</v>
      </c>
      <c r="B5900" t="s">
        <v>21</v>
      </c>
      <c r="C5900">
        <v>200</v>
      </c>
      <c r="D5900">
        <v>0</v>
      </c>
      <c r="E5900">
        <v>0</v>
      </c>
      <c r="F5900">
        <v>10040</v>
      </c>
      <c r="G5900">
        <v>2500</v>
      </c>
      <c r="H5900">
        <v>0</v>
      </c>
      <c r="J5900" t="str">
        <f>VLOOKUP(Table3[[#This Row],[Faction ID]],Table4[],2)</f>
        <v>Erebor</v>
      </c>
    </row>
    <row r="5901" spans="1:10" x14ac:dyDescent="0.25">
      <c r="A5901">
        <v>153</v>
      </c>
      <c r="B5901" t="s">
        <v>5</v>
      </c>
      <c r="C5901">
        <v>157</v>
      </c>
      <c r="D5901">
        <v>0</v>
      </c>
      <c r="E5901">
        <v>0</v>
      </c>
      <c r="F5901">
        <v>6638</v>
      </c>
      <c r="G5901">
        <v>2500</v>
      </c>
      <c r="H5901">
        <v>0</v>
      </c>
      <c r="J5901" t="str">
        <f>VLOOKUP(Table3[[#This Row],[Faction ID]],Table4[],2)</f>
        <v>Rohan</v>
      </c>
    </row>
    <row r="5902" spans="1:10" x14ac:dyDescent="0.25">
      <c r="A5902">
        <v>153</v>
      </c>
      <c r="B5902" t="s">
        <v>12</v>
      </c>
      <c r="C5902">
        <v>573</v>
      </c>
      <c r="D5902">
        <v>25</v>
      </c>
      <c r="E5902">
        <v>414.6</v>
      </c>
      <c r="F5902">
        <v>739801</v>
      </c>
      <c r="G5902">
        <v>75997</v>
      </c>
      <c r="H5902">
        <v>7645</v>
      </c>
      <c r="J5902" t="str">
        <f>VLOOKUP(Table3[[#This Row],[Faction ID]],Table4[],2)</f>
        <v>Dol Guldur</v>
      </c>
    </row>
    <row r="5903" spans="1:10" x14ac:dyDescent="0.25">
      <c r="A5903">
        <v>153</v>
      </c>
      <c r="B5903" t="s">
        <v>10</v>
      </c>
      <c r="C5903">
        <v>58</v>
      </c>
      <c r="D5903">
        <v>0</v>
      </c>
      <c r="E5903">
        <v>0</v>
      </c>
      <c r="F5903">
        <v>4515</v>
      </c>
      <c r="G5903">
        <v>2500</v>
      </c>
      <c r="H5903">
        <v>0</v>
      </c>
      <c r="J5903" t="str">
        <f>VLOOKUP(Table3[[#This Row],[Faction ID]],Table4[],2)</f>
        <v>Anduin Vale</v>
      </c>
    </row>
    <row r="5904" spans="1:10" x14ac:dyDescent="0.25">
      <c r="A5904">
        <v>153</v>
      </c>
      <c r="B5904" t="s">
        <v>32</v>
      </c>
      <c r="C5904">
        <v>329</v>
      </c>
      <c r="D5904">
        <v>0</v>
      </c>
      <c r="E5904">
        <v>0</v>
      </c>
      <c r="F5904">
        <v>23007</v>
      </c>
      <c r="G5904">
        <v>2500</v>
      </c>
      <c r="H5904">
        <v>0</v>
      </c>
      <c r="J5904" t="str">
        <f>VLOOKUP(Table3[[#This Row],[Faction ID]],Table4[],2)</f>
        <v>Isengard</v>
      </c>
    </row>
    <row r="5905" spans="1:10" x14ac:dyDescent="0.25">
      <c r="A5905">
        <v>153</v>
      </c>
      <c r="B5905" t="s">
        <v>22</v>
      </c>
      <c r="C5905">
        <v>30</v>
      </c>
      <c r="D5905">
        <v>0</v>
      </c>
      <c r="E5905">
        <v>0</v>
      </c>
      <c r="F5905">
        <v>8475</v>
      </c>
      <c r="G5905">
        <v>2500</v>
      </c>
      <c r="H5905">
        <v>0</v>
      </c>
      <c r="J5905" t="str">
        <f>VLOOKUP(Table3[[#This Row],[Faction ID]],Table4[],2)</f>
        <v>Woodland Realm</v>
      </c>
    </row>
    <row r="5906" spans="1:10" x14ac:dyDescent="0.25">
      <c r="A5906">
        <v>153</v>
      </c>
      <c r="B5906" t="s">
        <v>23</v>
      </c>
      <c r="C5906">
        <v>64</v>
      </c>
      <c r="D5906">
        <v>0</v>
      </c>
      <c r="E5906">
        <v>0</v>
      </c>
      <c r="F5906">
        <v>4721</v>
      </c>
      <c r="G5906">
        <v>2500</v>
      </c>
      <c r="H5906">
        <v>0</v>
      </c>
      <c r="J5906" t="str">
        <f>VLOOKUP(Table3[[#This Row],[Faction ID]],Table4[],2)</f>
        <v>Lothlorien</v>
      </c>
    </row>
    <row r="5907" spans="1:10" x14ac:dyDescent="0.25">
      <c r="A5907">
        <v>153</v>
      </c>
      <c r="B5907" t="s">
        <v>24</v>
      </c>
      <c r="C5907">
        <v>0</v>
      </c>
      <c r="D5907">
        <v>0</v>
      </c>
      <c r="E5907">
        <v>0</v>
      </c>
      <c r="F5907">
        <v>4919</v>
      </c>
      <c r="G5907">
        <v>1750</v>
      </c>
      <c r="H5907">
        <v>0</v>
      </c>
      <c r="J5907" t="str">
        <f>VLOOKUP(Table3[[#This Row],[Faction ID]],Table4[],2)</f>
        <v>Variags (Khand)</v>
      </c>
    </row>
    <row r="5908" spans="1:10" x14ac:dyDescent="0.25">
      <c r="A5908">
        <v>153</v>
      </c>
      <c r="B5908" t="s">
        <v>14</v>
      </c>
      <c r="C5908">
        <v>21</v>
      </c>
      <c r="D5908">
        <v>15</v>
      </c>
      <c r="E5908">
        <v>264.10000000000002</v>
      </c>
      <c r="F5908">
        <v>703561</v>
      </c>
      <c r="G5908">
        <v>60767</v>
      </c>
      <c r="H5908">
        <v>6186</v>
      </c>
      <c r="J5908" t="str">
        <f>VLOOKUP(Table3[[#This Row],[Faction ID]],Table4[],2)</f>
        <v>Corsairs of Umbar</v>
      </c>
    </row>
    <row r="5909" spans="1:10" x14ac:dyDescent="0.25">
      <c r="A5909">
        <v>153</v>
      </c>
      <c r="B5909" t="s">
        <v>25</v>
      </c>
      <c r="C5909">
        <v>0</v>
      </c>
      <c r="D5909">
        <v>0</v>
      </c>
      <c r="E5909">
        <v>0</v>
      </c>
      <c r="F5909">
        <v>9228</v>
      </c>
      <c r="G5909">
        <v>1750</v>
      </c>
      <c r="H5909">
        <v>0</v>
      </c>
      <c r="J5909" t="str">
        <f>VLOOKUP(Table3[[#This Row],[Faction ID]],Table4[],2)</f>
        <v>Mahud</v>
      </c>
    </row>
    <row r="5910" spans="1:10" x14ac:dyDescent="0.25">
      <c r="A5910">
        <v>153</v>
      </c>
      <c r="B5910" t="s">
        <v>11</v>
      </c>
      <c r="C5910">
        <v>476</v>
      </c>
      <c r="D5910">
        <v>18</v>
      </c>
      <c r="E5910">
        <v>329.4</v>
      </c>
      <c r="F5910">
        <v>296292</v>
      </c>
      <c r="G5910">
        <v>57352</v>
      </c>
      <c r="H5910">
        <v>4110</v>
      </c>
      <c r="J5910" t="str">
        <f>VLOOKUP(Table3[[#This Row],[Faction ID]],Table4[],2)</f>
        <v>Haradrim</v>
      </c>
    </row>
    <row r="5911" spans="1:10" x14ac:dyDescent="0.25">
      <c r="A5911">
        <v>153</v>
      </c>
      <c r="B5911" t="s">
        <v>15</v>
      </c>
      <c r="C5911">
        <v>401</v>
      </c>
      <c r="D5911">
        <v>5</v>
      </c>
      <c r="E5911">
        <v>149.6</v>
      </c>
      <c r="F5911">
        <v>247552</v>
      </c>
      <c r="G5911">
        <v>30582</v>
      </c>
      <c r="H5911">
        <v>0</v>
      </c>
      <c r="J5911" t="str">
        <f>VLOOKUP(Table3[[#This Row],[Faction ID]],Table4[],2)</f>
        <v>Dunlendings</v>
      </c>
    </row>
    <row r="5912" spans="1:10" x14ac:dyDescent="0.25">
      <c r="A5912">
        <v>153</v>
      </c>
      <c r="B5912" t="s">
        <v>16</v>
      </c>
      <c r="C5912">
        <v>0</v>
      </c>
      <c r="D5912">
        <v>0</v>
      </c>
      <c r="E5912">
        <v>0</v>
      </c>
      <c r="F5912">
        <v>5352</v>
      </c>
      <c r="G5912">
        <v>1750</v>
      </c>
      <c r="H5912">
        <v>0</v>
      </c>
      <c r="J5912" t="str">
        <f>VLOOKUP(Table3[[#This Row],[Faction ID]],Table4[],2)</f>
        <v>Haerrim</v>
      </c>
    </row>
    <row r="5913" spans="1:10" x14ac:dyDescent="0.25">
      <c r="A5913">
        <v>153</v>
      </c>
      <c r="B5913" t="s">
        <v>13</v>
      </c>
      <c r="C5913">
        <v>666</v>
      </c>
      <c r="D5913">
        <v>0</v>
      </c>
      <c r="E5913">
        <v>0</v>
      </c>
      <c r="F5913">
        <v>128480</v>
      </c>
      <c r="G5913">
        <v>2500</v>
      </c>
      <c r="H5913">
        <v>0</v>
      </c>
      <c r="J5913" t="str">
        <f>VLOOKUP(Table3[[#This Row],[Faction ID]],Table4[],2)</f>
        <v>Goblins</v>
      </c>
    </row>
    <row r="5914" spans="1:10" x14ac:dyDescent="0.25">
      <c r="A5914">
        <v>153</v>
      </c>
      <c r="B5914" t="s">
        <v>17</v>
      </c>
      <c r="C5914">
        <v>0</v>
      </c>
      <c r="D5914">
        <v>0</v>
      </c>
      <c r="E5914">
        <v>0</v>
      </c>
      <c r="F5914">
        <v>4872</v>
      </c>
      <c r="G5914">
        <v>1750</v>
      </c>
      <c r="H5914">
        <v>0</v>
      </c>
      <c r="J5914" t="str">
        <f>VLOOKUP(Table3[[#This Row],[Faction ID]],Table4[],2)</f>
        <v>Balchoth</v>
      </c>
    </row>
    <row r="5915" spans="1:10" x14ac:dyDescent="0.25">
      <c r="A5915">
        <v>153</v>
      </c>
      <c r="B5915" t="s">
        <v>18</v>
      </c>
      <c r="C5915">
        <v>726</v>
      </c>
      <c r="D5915">
        <v>14</v>
      </c>
      <c r="E5915">
        <v>178.1</v>
      </c>
      <c r="F5915">
        <v>467802</v>
      </c>
      <c r="G5915">
        <v>30080</v>
      </c>
      <c r="H5915">
        <v>2783</v>
      </c>
      <c r="J5915" t="str">
        <f>VLOOKUP(Table3[[#This Row],[Faction ID]],Table4[],2)</f>
        <v>Rhurim/Rhun</v>
      </c>
    </row>
    <row r="5916" spans="1:10" x14ac:dyDescent="0.25">
      <c r="A5916">
        <v>153</v>
      </c>
      <c r="B5916" t="s">
        <v>19</v>
      </c>
      <c r="C5916">
        <v>0</v>
      </c>
      <c r="D5916">
        <v>0</v>
      </c>
      <c r="E5916">
        <v>0</v>
      </c>
      <c r="F5916">
        <v>7360</v>
      </c>
      <c r="G5916">
        <v>1750</v>
      </c>
      <c r="H5916">
        <v>0</v>
      </c>
      <c r="J5916" t="str">
        <f>VLOOKUP(Table3[[#This Row],[Faction ID]],Table4[],2)</f>
        <v>Feredrim</v>
      </c>
    </row>
    <row r="5917" spans="1:10" x14ac:dyDescent="0.25">
      <c r="A5917">
        <v>153</v>
      </c>
      <c r="B5917" t="s">
        <v>26</v>
      </c>
      <c r="C5917">
        <v>0</v>
      </c>
      <c r="D5917">
        <v>0</v>
      </c>
      <c r="E5917">
        <v>0</v>
      </c>
      <c r="F5917">
        <v>6395</v>
      </c>
      <c r="G5917">
        <v>1750</v>
      </c>
      <c r="H5917">
        <v>0</v>
      </c>
      <c r="J5917" t="str">
        <f>VLOOKUP(Table3[[#This Row],[Faction ID]],Table4[],2)</f>
        <v>Rachrohir (Wainriders)</v>
      </c>
    </row>
    <row r="5918" spans="1:10" x14ac:dyDescent="0.25">
      <c r="A5918">
        <v>153</v>
      </c>
      <c r="B5918" t="s">
        <v>27</v>
      </c>
      <c r="C5918">
        <v>7</v>
      </c>
      <c r="D5918">
        <v>5</v>
      </c>
      <c r="E5918">
        <v>91.3</v>
      </c>
      <c r="F5918">
        <v>59545</v>
      </c>
      <c r="G5918">
        <v>20681</v>
      </c>
      <c r="H5918">
        <v>2250</v>
      </c>
      <c r="J5918" t="str">
        <f>VLOOKUP(Table3[[#This Row],[Faction ID]],Table4[],2)</f>
        <v>Blacklock-Stonefoot League</v>
      </c>
    </row>
    <row r="5919" spans="1:10" x14ac:dyDescent="0.25">
      <c r="A5919">
        <v>153</v>
      </c>
      <c r="B5919" t="s">
        <v>28</v>
      </c>
      <c r="C5919">
        <v>7</v>
      </c>
      <c r="D5919">
        <v>4</v>
      </c>
      <c r="E5919">
        <v>72</v>
      </c>
      <c r="F5919">
        <v>33650</v>
      </c>
      <c r="G5919">
        <v>28122</v>
      </c>
      <c r="H5919">
        <v>1754</v>
      </c>
      <c r="J5919" t="str">
        <f>VLOOKUP(Table3[[#This Row],[Faction ID]],Table4[],2)</f>
        <v>Ironfist-Stiffbeard Union</v>
      </c>
    </row>
    <row r="5920" spans="1:10" x14ac:dyDescent="0.25">
      <c r="A5920">
        <v>153</v>
      </c>
      <c r="B5920" t="s">
        <v>20</v>
      </c>
      <c r="C5920">
        <v>245</v>
      </c>
      <c r="D5920">
        <v>0</v>
      </c>
      <c r="E5920">
        <v>0</v>
      </c>
      <c r="F5920">
        <v>9750</v>
      </c>
      <c r="G5920">
        <v>2500</v>
      </c>
      <c r="H5920">
        <v>0</v>
      </c>
      <c r="J5920" t="str">
        <f>VLOOKUP(Table3[[#This Row],[Faction ID]],Table4[],2)</f>
        <v>Gundabad</v>
      </c>
    </row>
    <row r="5921" spans="1:10" x14ac:dyDescent="0.25">
      <c r="A5921">
        <v>153</v>
      </c>
      <c r="B5921" t="s">
        <v>34</v>
      </c>
      <c r="C5921">
        <v>0</v>
      </c>
      <c r="D5921">
        <v>0</v>
      </c>
      <c r="E5921">
        <v>3</v>
      </c>
      <c r="F5921">
        <v>175717</v>
      </c>
      <c r="G5921">
        <v>2354</v>
      </c>
      <c r="H5921">
        <v>0</v>
      </c>
      <c r="J5921" t="str">
        <f>VLOOKUP(Table3[[#This Row],[Faction ID]],Table4[],2)</f>
        <v>Scouts of Rohan</v>
      </c>
    </row>
    <row r="5922" spans="1:10" x14ac:dyDescent="0.25">
      <c r="A5922">
        <v>153</v>
      </c>
      <c r="B5922" t="s">
        <v>33</v>
      </c>
      <c r="C5922">
        <v>0</v>
      </c>
      <c r="D5922">
        <v>0</v>
      </c>
      <c r="E5922">
        <v>0</v>
      </c>
      <c r="F5922">
        <v>23466</v>
      </c>
      <c r="G5922">
        <v>1750</v>
      </c>
      <c r="H5922">
        <v>0</v>
      </c>
      <c r="J5922" t="str">
        <f>VLOOKUP(Table3[[#This Row],[Faction ID]],Table4[],2)</f>
        <v>Northern Enedwaith</v>
      </c>
    </row>
    <row r="5923" spans="1:10" x14ac:dyDescent="0.25">
      <c r="A5923">
        <v>153</v>
      </c>
      <c r="B5923" t="s">
        <v>29</v>
      </c>
      <c r="C5923">
        <v>0</v>
      </c>
      <c r="D5923">
        <v>0</v>
      </c>
      <c r="E5923">
        <v>0</v>
      </c>
      <c r="F5923">
        <v>54023</v>
      </c>
      <c r="G5923">
        <v>1750</v>
      </c>
      <c r="H5923">
        <v>0</v>
      </c>
      <c r="J5923" t="str">
        <f>VLOOKUP(Table3[[#This Row],[Faction ID]],Table4[],2)</f>
        <v>Southern Enedwaith</v>
      </c>
    </row>
    <row r="5924" spans="1:10" x14ac:dyDescent="0.25">
      <c r="A5924">
        <v>153</v>
      </c>
      <c r="B5924" t="s">
        <v>30</v>
      </c>
      <c r="C5924">
        <v>0</v>
      </c>
      <c r="D5924">
        <v>0</v>
      </c>
      <c r="E5924">
        <v>0</v>
      </c>
      <c r="F5924">
        <v>32146</v>
      </c>
      <c r="G5924">
        <v>1750</v>
      </c>
      <c r="H5924">
        <v>0</v>
      </c>
      <c r="J5924" t="str">
        <f>VLOOKUP(Table3[[#This Row],[Faction ID]],Table4[],2)</f>
        <v>Druedain</v>
      </c>
    </row>
    <row r="5925" spans="1:10" x14ac:dyDescent="0.25">
      <c r="A5925">
        <v>153</v>
      </c>
      <c r="B5925" t="s">
        <v>31</v>
      </c>
      <c r="C5925">
        <v>0</v>
      </c>
      <c r="D5925">
        <v>0</v>
      </c>
      <c r="E5925">
        <v>0</v>
      </c>
      <c r="F5925">
        <v>15146</v>
      </c>
      <c r="G5925">
        <v>1750</v>
      </c>
      <c r="H5925">
        <v>0</v>
      </c>
      <c r="J5925" t="str">
        <f>VLOOKUP(Table3[[#This Row],[Faction ID]],Table4[],2)</f>
        <v>Harondor</v>
      </c>
    </row>
    <row r="5926" spans="1:10" x14ac:dyDescent="0.25">
      <c r="A5926">
        <v>153</v>
      </c>
      <c r="B5926" t="s">
        <v>35</v>
      </c>
      <c r="C5926">
        <v>0</v>
      </c>
      <c r="D5926">
        <v>0</v>
      </c>
      <c r="E5926">
        <v>0</v>
      </c>
      <c r="F5926">
        <v>4000</v>
      </c>
      <c r="G5926">
        <v>1750</v>
      </c>
      <c r="H5926">
        <v>0</v>
      </c>
      <c r="J5926" t="str">
        <f>VLOOKUP(Table3[[#This Row],[Faction ID]],Table4[],2)</f>
        <v>Southron Nomads</v>
      </c>
    </row>
    <row r="5927" spans="1:10" x14ac:dyDescent="0.25">
      <c r="A5927">
        <v>153</v>
      </c>
      <c r="B5927" t="s">
        <v>36</v>
      </c>
      <c r="C5927">
        <v>0</v>
      </c>
      <c r="D5927">
        <v>0</v>
      </c>
      <c r="E5927">
        <v>0</v>
      </c>
      <c r="F5927">
        <v>4000</v>
      </c>
      <c r="G5927">
        <v>1750</v>
      </c>
      <c r="H5927">
        <v>0</v>
      </c>
      <c r="J5927" t="str">
        <f>VLOOKUP(Table3[[#This Row],[Faction ID]],Table4[],2)</f>
        <v>_</v>
      </c>
    </row>
    <row r="5928" spans="1:10" x14ac:dyDescent="0.25">
      <c r="A5928">
        <v>153</v>
      </c>
      <c r="B5928" t="s">
        <v>37</v>
      </c>
      <c r="C5928">
        <v>0</v>
      </c>
      <c r="D5928">
        <v>0</v>
      </c>
      <c r="E5928">
        <v>0</v>
      </c>
      <c r="F5928">
        <v>4000</v>
      </c>
      <c r="G5928">
        <v>1750</v>
      </c>
      <c r="H5928">
        <v>0</v>
      </c>
      <c r="J5928" t="str">
        <f>VLOOKUP(Table3[[#This Row],[Faction ID]],Table4[],2)</f>
        <v>_</v>
      </c>
    </row>
    <row r="5929" spans="1:10" x14ac:dyDescent="0.25">
      <c r="A5929">
        <v>153</v>
      </c>
      <c r="B5929" t="s">
        <v>38</v>
      </c>
      <c r="C5929">
        <v>0</v>
      </c>
      <c r="D5929">
        <v>0</v>
      </c>
      <c r="E5929">
        <v>0</v>
      </c>
      <c r="F5929">
        <v>4000</v>
      </c>
      <c r="G5929">
        <v>1750</v>
      </c>
      <c r="H5929">
        <v>0</v>
      </c>
      <c r="J5929" t="str">
        <f>VLOOKUP(Table3[[#This Row],[Faction ID]],Table4[],2)</f>
        <v>_</v>
      </c>
    </row>
    <row r="5930" spans="1:10" x14ac:dyDescent="0.25">
      <c r="A5930">
        <v>153</v>
      </c>
      <c r="B5930" t="s">
        <v>39</v>
      </c>
      <c r="C5930">
        <v>0</v>
      </c>
      <c r="D5930">
        <v>0</v>
      </c>
      <c r="E5930">
        <v>0</v>
      </c>
      <c r="F5930">
        <v>4000</v>
      </c>
      <c r="G5930">
        <v>1750</v>
      </c>
      <c r="H5930">
        <v>0</v>
      </c>
      <c r="J5930" t="str">
        <f>VLOOKUP(Table3[[#This Row],[Faction ID]],Table4[],2)</f>
        <v>_</v>
      </c>
    </row>
    <row r="5931" spans="1:10" x14ac:dyDescent="0.25">
      <c r="A5931">
        <v>153</v>
      </c>
      <c r="B5931" t="s">
        <v>40</v>
      </c>
      <c r="C5931">
        <v>0</v>
      </c>
      <c r="D5931">
        <v>0</v>
      </c>
      <c r="E5931">
        <v>0</v>
      </c>
      <c r="F5931">
        <v>4000</v>
      </c>
      <c r="G5931">
        <v>1750</v>
      </c>
      <c r="H5931">
        <v>0</v>
      </c>
      <c r="J5931" t="str">
        <f>VLOOKUP(Table3[[#This Row],[Faction ID]],Table4[],2)</f>
        <v>_</v>
      </c>
    </row>
    <row r="5932" spans="1:10" x14ac:dyDescent="0.25">
      <c r="A5932">
        <v>153</v>
      </c>
      <c r="B5932" t="s">
        <v>41</v>
      </c>
      <c r="C5932">
        <v>0</v>
      </c>
      <c r="D5932">
        <v>0</v>
      </c>
      <c r="E5932">
        <v>0</v>
      </c>
      <c r="F5932">
        <v>4000</v>
      </c>
      <c r="G5932">
        <v>1750</v>
      </c>
      <c r="H5932">
        <v>0</v>
      </c>
      <c r="J5932" t="str">
        <f>VLOOKUP(Table3[[#This Row],[Faction ID]],Table4[],2)</f>
        <v>_</v>
      </c>
    </row>
    <row r="5933" spans="1:10" x14ac:dyDescent="0.25">
      <c r="A5933">
        <v>153</v>
      </c>
      <c r="B5933" t="s">
        <v>42</v>
      </c>
      <c r="C5933">
        <v>0</v>
      </c>
      <c r="D5933">
        <v>0</v>
      </c>
      <c r="E5933">
        <v>0</v>
      </c>
      <c r="F5933">
        <v>4000</v>
      </c>
      <c r="G5933">
        <v>1750</v>
      </c>
      <c r="H5933">
        <v>0</v>
      </c>
      <c r="J5933" t="str">
        <f>VLOOKUP(Table3[[#This Row],[Faction ID]],Table4[],2)</f>
        <v>_</v>
      </c>
    </row>
    <row r="5934" spans="1:10" x14ac:dyDescent="0.25">
      <c r="A5934">
        <v>153</v>
      </c>
      <c r="B5934" t="s">
        <v>43</v>
      </c>
      <c r="C5934">
        <v>0</v>
      </c>
      <c r="D5934">
        <v>0</v>
      </c>
      <c r="E5934">
        <v>0</v>
      </c>
      <c r="F5934">
        <v>4000</v>
      </c>
      <c r="G5934">
        <v>1750</v>
      </c>
      <c r="H5934">
        <v>0</v>
      </c>
      <c r="J5934" t="str">
        <f>VLOOKUP(Table3[[#This Row],[Faction ID]],Table4[],2)</f>
        <v>_</v>
      </c>
    </row>
    <row r="5935" spans="1:10" x14ac:dyDescent="0.25">
      <c r="A5935">
        <v>153</v>
      </c>
      <c r="B5935" t="s">
        <v>44</v>
      </c>
      <c r="C5935">
        <v>0</v>
      </c>
      <c r="D5935">
        <v>0</v>
      </c>
      <c r="E5935">
        <v>0</v>
      </c>
      <c r="F5935">
        <v>4000</v>
      </c>
      <c r="G5935">
        <v>1750</v>
      </c>
      <c r="H5935">
        <v>0</v>
      </c>
      <c r="J5935" t="str">
        <f>VLOOKUP(Table3[[#This Row],[Faction ID]],Table4[],2)</f>
        <v>_</v>
      </c>
    </row>
    <row r="5936" spans="1:10" x14ac:dyDescent="0.25">
      <c r="A5936">
        <v>154</v>
      </c>
      <c r="B5936" t="s">
        <v>9</v>
      </c>
      <c r="C5936">
        <v>1121</v>
      </c>
      <c r="D5936">
        <v>70</v>
      </c>
      <c r="E5936">
        <v>907.6</v>
      </c>
      <c r="F5936">
        <v>638</v>
      </c>
      <c r="G5936">
        <v>135506</v>
      </c>
      <c r="H5936">
        <v>12770</v>
      </c>
      <c r="J5936" t="str">
        <f>VLOOKUP(Table3[[#This Row],[Faction ID]],Table4[],2)</f>
        <v>Mordor</v>
      </c>
    </row>
    <row r="5937" spans="1:10" x14ac:dyDescent="0.25">
      <c r="A5937">
        <v>154</v>
      </c>
      <c r="B5937" t="s">
        <v>4</v>
      </c>
      <c r="C5937">
        <v>146</v>
      </c>
      <c r="D5937">
        <v>0</v>
      </c>
      <c r="E5937">
        <v>0</v>
      </c>
      <c r="F5937">
        <v>55420</v>
      </c>
      <c r="G5937">
        <v>2500</v>
      </c>
      <c r="H5937">
        <v>0</v>
      </c>
      <c r="J5937" t="str">
        <f>VLOOKUP(Table3[[#This Row],[Faction ID]],Table4[],2)</f>
        <v>Gondor</v>
      </c>
    </row>
    <row r="5938" spans="1:10" x14ac:dyDescent="0.25">
      <c r="A5938">
        <v>154</v>
      </c>
      <c r="B5938" t="s">
        <v>6</v>
      </c>
      <c r="C5938">
        <v>199</v>
      </c>
      <c r="D5938">
        <v>0</v>
      </c>
      <c r="E5938">
        <v>0</v>
      </c>
      <c r="F5938">
        <v>10343</v>
      </c>
      <c r="G5938">
        <v>2500</v>
      </c>
      <c r="H5938">
        <v>0</v>
      </c>
      <c r="J5938" t="str">
        <f>VLOOKUP(Table3[[#This Row],[Faction ID]],Table4[],2)</f>
        <v>Dale</v>
      </c>
    </row>
    <row r="5939" spans="1:10" x14ac:dyDescent="0.25">
      <c r="A5939">
        <v>154</v>
      </c>
      <c r="B5939" t="s">
        <v>21</v>
      </c>
      <c r="C5939">
        <v>200</v>
      </c>
      <c r="D5939">
        <v>0</v>
      </c>
      <c r="E5939">
        <v>0</v>
      </c>
      <c r="F5939">
        <v>10040</v>
      </c>
      <c r="G5939">
        <v>2500</v>
      </c>
      <c r="H5939">
        <v>0</v>
      </c>
      <c r="J5939" t="str">
        <f>VLOOKUP(Table3[[#This Row],[Faction ID]],Table4[],2)</f>
        <v>Erebor</v>
      </c>
    </row>
    <row r="5940" spans="1:10" x14ac:dyDescent="0.25">
      <c r="A5940">
        <v>154</v>
      </c>
      <c r="B5940" t="s">
        <v>5</v>
      </c>
      <c r="C5940">
        <v>157</v>
      </c>
      <c r="D5940">
        <v>0</v>
      </c>
      <c r="E5940">
        <v>0</v>
      </c>
      <c r="F5940">
        <v>6638</v>
      </c>
      <c r="G5940">
        <v>2500</v>
      </c>
      <c r="H5940">
        <v>0</v>
      </c>
      <c r="J5940" t="str">
        <f>VLOOKUP(Table3[[#This Row],[Faction ID]],Table4[],2)</f>
        <v>Rohan</v>
      </c>
    </row>
    <row r="5941" spans="1:10" x14ac:dyDescent="0.25">
      <c r="A5941">
        <v>154</v>
      </c>
      <c r="B5941" t="s">
        <v>12</v>
      </c>
      <c r="C5941">
        <v>573</v>
      </c>
      <c r="D5941">
        <v>25</v>
      </c>
      <c r="E5941">
        <v>386.6</v>
      </c>
      <c r="F5941">
        <v>769863</v>
      </c>
      <c r="G5941">
        <v>73789</v>
      </c>
      <c r="H5941">
        <v>6540</v>
      </c>
      <c r="J5941" t="str">
        <f>VLOOKUP(Table3[[#This Row],[Faction ID]],Table4[],2)</f>
        <v>Dol Guldur</v>
      </c>
    </row>
    <row r="5942" spans="1:10" x14ac:dyDescent="0.25">
      <c r="A5942">
        <v>154</v>
      </c>
      <c r="B5942" t="s">
        <v>10</v>
      </c>
      <c r="C5942">
        <v>58</v>
      </c>
      <c r="D5942">
        <v>0</v>
      </c>
      <c r="E5942">
        <v>0</v>
      </c>
      <c r="F5942">
        <v>4515</v>
      </c>
      <c r="G5942">
        <v>2500</v>
      </c>
      <c r="H5942">
        <v>0</v>
      </c>
      <c r="J5942" t="str">
        <f>VLOOKUP(Table3[[#This Row],[Faction ID]],Table4[],2)</f>
        <v>Anduin Vale</v>
      </c>
    </row>
    <row r="5943" spans="1:10" x14ac:dyDescent="0.25">
      <c r="A5943">
        <v>154</v>
      </c>
      <c r="B5943" t="s">
        <v>32</v>
      </c>
      <c r="C5943">
        <v>329</v>
      </c>
      <c r="D5943">
        <v>0</v>
      </c>
      <c r="E5943">
        <v>0</v>
      </c>
      <c r="F5943">
        <v>23007</v>
      </c>
      <c r="G5943">
        <v>2500</v>
      </c>
      <c r="H5943">
        <v>0</v>
      </c>
      <c r="J5943" t="str">
        <f>VLOOKUP(Table3[[#This Row],[Faction ID]],Table4[],2)</f>
        <v>Isengard</v>
      </c>
    </row>
    <row r="5944" spans="1:10" x14ac:dyDescent="0.25">
      <c r="A5944">
        <v>154</v>
      </c>
      <c r="B5944" t="s">
        <v>22</v>
      </c>
      <c r="C5944">
        <v>30</v>
      </c>
      <c r="D5944">
        <v>0</v>
      </c>
      <c r="E5944">
        <v>0</v>
      </c>
      <c r="F5944">
        <v>8475</v>
      </c>
      <c r="G5944">
        <v>2500</v>
      </c>
      <c r="H5944">
        <v>0</v>
      </c>
      <c r="J5944" t="str">
        <f>VLOOKUP(Table3[[#This Row],[Faction ID]],Table4[],2)</f>
        <v>Woodland Realm</v>
      </c>
    </row>
    <row r="5945" spans="1:10" x14ac:dyDescent="0.25">
      <c r="A5945">
        <v>154</v>
      </c>
      <c r="B5945" t="s">
        <v>23</v>
      </c>
      <c r="C5945">
        <v>64</v>
      </c>
      <c r="D5945">
        <v>0</v>
      </c>
      <c r="E5945">
        <v>0</v>
      </c>
      <c r="F5945">
        <v>4721</v>
      </c>
      <c r="G5945">
        <v>2500</v>
      </c>
      <c r="H5945">
        <v>0</v>
      </c>
      <c r="J5945" t="str">
        <f>VLOOKUP(Table3[[#This Row],[Faction ID]],Table4[],2)</f>
        <v>Lothlorien</v>
      </c>
    </row>
    <row r="5946" spans="1:10" x14ac:dyDescent="0.25">
      <c r="A5946">
        <v>154</v>
      </c>
      <c r="B5946" t="s">
        <v>24</v>
      </c>
      <c r="C5946">
        <v>0</v>
      </c>
      <c r="D5946">
        <v>0</v>
      </c>
      <c r="E5946">
        <v>0</v>
      </c>
      <c r="F5946">
        <v>4919</v>
      </c>
      <c r="G5946">
        <v>1750</v>
      </c>
      <c r="H5946">
        <v>0</v>
      </c>
      <c r="J5946" t="str">
        <f>VLOOKUP(Table3[[#This Row],[Faction ID]],Table4[],2)</f>
        <v>Variags (Khand)</v>
      </c>
    </row>
    <row r="5947" spans="1:10" x14ac:dyDescent="0.25">
      <c r="A5947">
        <v>154</v>
      </c>
      <c r="B5947" t="s">
        <v>14</v>
      </c>
      <c r="C5947">
        <v>21</v>
      </c>
      <c r="D5947">
        <v>15</v>
      </c>
      <c r="E5947">
        <v>275.2</v>
      </c>
      <c r="F5947">
        <v>699077</v>
      </c>
      <c r="G5947">
        <v>62650</v>
      </c>
      <c r="H5947">
        <v>6198</v>
      </c>
      <c r="J5947" t="str">
        <f>VLOOKUP(Table3[[#This Row],[Faction ID]],Table4[],2)</f>
        <v>Corsairs of Umbar</v>
      </c>
    </row>
    <row r="5948" spans="1:10" x14ac:dyDescent="0.25">
      <c r="A5948">
        <v>154</v>
      </c>
      <c r="B5948" t="s">
        <v>25</v>
      </c>
      <c r="C5948">
        <v>0</v>
      </c>
      <c r="D5948">
        <v>0</v>
      </c>
      <c r="E5948">
        <v>0</v>
      </c>
      <c r="F5948">
        <v>9228</v>
      </c>
      <c r="G5948">
        <v>1750</v>
      </c>
      <c r="H5948">
        <v>0</v>
      </c>
      <c r="J5948" t="str">
        <f>VLOOKUP(Table3[[#This Row],[Faction ID]],Table4[],2)</f>
        <v>Mahud</v>
      </c>
    </row>
    <row r="5949" spans="1:10" x14ac:dyDescent="0.25">
      <c r="A5949">
        <v>154</v>
      </c>
      <c r="B5949" t="s">
        <v>11</v>
      </c>
      <c r="C5949">
        <v>476</v>
      </c>
      <c r="D5949">
        <v>18</v>
      </c>
      <c r="E5949">
        <v>332.4</v>
      </c>
      <c r="F5949">
        <v>313740</v>
      </c>
      <c r="G5949">
        <v>56243</v>
      </c>
      <c r="H5949">
        <v>4428</v>
      </c>
      <c r="J5949" t="str">
        <f>VLOOKUP(Table3[[#This Row],[Faction ID]],Table4[],2)</f>
        <v>Haradrim</v>
      </c>
    </row>
    <row r="5950" spans="1:10" x14ac:dyDescent="0.25">
      <c r="A5950">
        <v>154</v>
      </c>
      <c r="B5950" t="s">
        <v>15</v>
      </c>
      <c r="C5950">
        <v>401</v>
      </c>
      <c r="D5950">
        <v>5</v>
      </c>
      <c r="E5950">
        <v>151.69999999999999</v>
      </c>
      <c r="F5950">
        <v>246245</v>
      </c>
      <c r="G5950">
        <v>30439</v>
      </c>
      <c r="H5950">
        <v>0</v>
      </c>
      <c r="J5950" t="str">
        <f>VLOOKUP(Table3[[#This Row],[Faction ID]],Table4[],2)</f>
        <v>Dunlendings</v>
      </c>
    </row>
    <row r="5951" spans="1:10" x14ac:dyDescent="0.25">
      <c r="A5951">
        <v>154</v>
      </c>
      <c r="B5951" t="s">
        <v>16</v>
      </c>
      <c r="C5951">
        <v>0</v>
      </c>
      <c r="D5951">
        <v>0</v>
      </c>
      <c r="E5951">
        <v>0</v>
      </c>
      <c r="F5951">
        <v>5352</v>
      </c>
      <c r="G5951">
        <v>1750</v>
      </c>
      <c r="H5951">
        <v>0</v>
      </c>
      <c r="J5951" t="str">
        <f>VLOOKUP(Table3[[#This Row],[Faction ID]],Table4[],2)</f>
        <v>Haerrim</v>
      </c>
    </row>
    <row r="5952" spans="1:10" x14ac:dyDescent="0.25">
      <c r="A5952">
        <v>154</v>
      </c>
      <c r="B5952" t="s">
        <v>13</v>
      </c>
      <c r="C5952">
        <v>666</v>
      </c>
      <c r="D5952">
        <v>0</v>
      </c>
      <c r="E5952">
        <v>0</v>
      </c>
      <c r="F5952">
        <v>128480</v>
      </c>
      <c r="G5952">
        <v>2500</v>
      </c>
      <c r="H5952">
        <v>0</v>
      </c>
      <c r="J5952" t="str">
        <f>VLOOKUP(Table3[[#This Row],[Faction ID]],Table4[],2)</f>
        <v>Goblins</v>
      </c>
    </row>
    <row r="5953" spans="1:10" x14ac:dyDescent="0.25">
      <c r="A5953">
        <v>154</v>
      </c>
      <c r="B5953" t="s">
        <v>17</v>
      </c>
      <c r="C5953">
        <v>0</v>
      </c>
      <c r="D5953">
        <v>0</v>
      </c>
      <c r="E5953">
        <v>0</v>
      </c>
      <c r="F5953">
        <v>4872</v>
      </c>
      <c r="G5953">
        <v>1750</v>
      </c>
      <c r="H5953">
        <v>0</v>
      </c>
      <c r="J5953" t="str">
        <f>VLOOKUP(Table3[[#This Row],[Faction ID]],Table4[],2)</f>
        <v>Balchoth</v>
      </c>
    </row>
    <row r="5954" spans="1:10" x14ac:dyDescent="0.25">
      <c r="A5954">
        <v>154</v>
      </c>
      <c r="B5954" t="s">
        <v>18</v>
      </c>
      <c r="C5954">
        <v>742</v>
      </c>
      <c r="D5954">
        <v>14</v>
      </c>
      <c r="E5954">
        <v>177.1</v>
      </c>
      <c r="F5954">
        <v>500573</v>
      </c>
      <c r="G5954">
        <v>24846</v>
      </c>
      <c r="H5954">
        <v>0</v>
      </c>
      <c r="J5954" t="str">
        <f>VLOOKUP(Table3[[#This Row],[Faction ID]],Table4[],2)</f>
        <v>Rhurim/Rhun</v>
      </c>
    </row>
    <row r="5955" spans="1:10" x14ac:dyDescent="0.25">
      <c r="A5955">
        <v>154</v>
      </c>
      <c r="B5955" t="s">
        <v>19</v>
      </c>
      <c r="C5955">
        <v>0</v>
      </c>
      <c r="D5955">
        <v>0</v>
      </c>
      <c r="E5955">
        <v>0</v>
      </c>
      <c r="F5955">
        <v>7360</v>
      </c>
      <c r="G5955">
        <v>1750</v>
      </c>
      <c r="H5955">
        <v>0</v>
      </c>
      <c r="J5955" t="str">
        <f>VLOOKUP(Table3[[#This Row],[Faction ID]],Table4[],2)</f>
        <v>Feredrim</v>
      </c>
    </row>
    <row r="5956" spans="1:10" x14ac:dyDescent="0.25">
      <c r="A5956">
        <v>154</v>
      </c>
      <c r="B5956" t="s">
        <v>26</v>
      </c>
      <c r="C5956">
        <v>0</v>
      </c>
      <c r="D5956">
        <v>0</v>
      </c>
      <c r="E5956">
        <v>0</v>
      </c>
      <c r="F5956">
        <v>6395</v>
      </c>
      <c r="G5956">
        <v>1750</v>
      </c>
      <c r="H5956">
        <v>0</v>
      </c>
      <c r="J5956" t="str">
        <f>VLOOKUP(Table3[[#This Row],[Faction ID]],Table4[],2)</f>
        <v>Rachrohir (Wainriders)</v>
      </c>
    </row>
    <row r="5957" spans="1:10" x14ac:dyDescent="0.25">
      <c r="A5957">
        <v>154</v>
      </c>
      <c r="B5957" t="s">
        <v>27</v>
      </c>
      <c r="C5957">
        <v>7</v>
      </c>
      <c r="D5957">
        <v>5</v>
      </c>
      <c r="E5957">
        <v>91.3</v>
      </c>
      <c r="F5957">
        <v>69803</v>
      </c>
      <c r="G5957">
        <v>22446</v>
      </c>
      <c r="H5957">
        <v>2256</v>
      </c>
      <c r="J5957" t="str">
        <f>VLOOKUP(Table3[[#This Row],[Faction ID]],Table4[],2)</f>
        <v>Blacklock-Stonefoot League</v>
      </c>
    </row>
    <row r="5958" spans="1:10" x14ac:dyDescent="0.25">
      <c r="A5958">
        <v>154</v>
      </c>
      <c r="B5958" t="s">
        <v>28</v>
      </c>
      <c r="C5958">
        <v>7</v>
      </c>
      <c r="D5958">
        <v>4</v>
      </c>
      <c r="E5958">
        <v>78</v>
      </c>
      <c r="F5958">
        <v>34907</v>
      </c>
      <c r="G5958">
        <v>28673</v>
      </c>
      <c r="H5958">
        <v>1757</v>
      </c>
      <c r="J5958" t="str">
        <f>VLOOKUP(Table3[[#This Row],[Faction ID]],Table4[],2)</f>
        <v>Ironfist-Stiffbeard Union</v>
      </c>
    </row>
    <row r="5959" spans="1:10" x14ac:dyDescent="0.25">
      <c r="A5959">
        <v>154</v>
      </c>
      <c r="B5959" t="s">
        <v>20</v>
      </c>
      <c r="C5959">
        <v>245</v>
      </c>
      <c r="D5959">
        <v>0</v>
      </c>
      <c r="E5959">
        <v>0</v>
      </c>
      <c r="F5959">
        <v>9750</v>
      </c>
      <c r="G5959">
        <v>2500</v>
      </c>
      <c r="H5959">
        <v>0</v>
      </c>
      <c r="J5959" t="str">
        <f>VLOOKUP(Table3[[#This Row],[Faction ID]],Table4[],2)</f>
        <v>Gundabad</v>
      </c>
    </row>
    <row r="5960" spans="1:10" x14ac:dyDescent="0.25">
      <c r="A5960">
        <v>154</v>
      </c>
      <c r="B5960" t="s">
        <v>34</v>
      </c>
      <c r="C5960">
        <v>0</v>
      </c>
      <c r="D5960">
        <v>0</v>
      </c>
      <c r="E5960">
        <v>3</v>
      </c>
      <c r="F5960">
        <v>176863</v>
      </c>
      <c r="G5960">
        <v>2354</v>
      </c>
      <c r="H5960">
        <v>0</v>
      </c>
      <c r="J5960" t="str">
        <f>VLOOKUP(Table3[[#This Row],[Faction ID]],Table4[],2)</f>
        <v>Scouts of Rohan</v>
      </c>
    </row>
    <row r="5961" spans="1:10" x14ac:dyDescent="0.25">
      <c r="A5961">
        <v>154</v>
      </c>
      <c r="B5961" t="s">
        <v>33</v>
      </c>
      <c r="C5961">
        <v>0</v>
      </c>
      <c r="D5961">
        <v>0</v>
      </c>
      <c r="E5961">
        <v>0</v>
      </c>
      <c r="F5961">
        <v>23466</v>
      </c>
      <c r="G5961">
        <v>1750</v>
      </c>
      <c r="H5961">
        <v>0</v>
      </c>
      <c r="J5961" t="str">
        <f>VLOOKUP(Table3[[#This Row],[Faction ID]],Table4[],2)</f>
        <v>Northern Enedwaith</v>
      </c>
    </row>
    <row r="5962" spans="1:10" x14ac:dyDescent="0.25">
      <c r="A5962">
        <v>154</v>
      </c>
      <c r="B5962" t="s">
        <v>29</v>
      </c>
      <c r="C5962">
        <v>0</v>
      </c>
      <c r="D5962">
        <v>0</v>
      </c>
      <c r="E5962">
        <v>0</v>
      </c>
      <c r="F5962">
        <v>54023</v>
      </c>
      <c r="G5962">
        <v>1750</v>
      </c>
      <c r="H5962">
        <v>0</v>
      </c>
      <c r="J5962" t="str">
        <f>VLOOKUP(Table3[[#This Row],[Faction ID]],Table4[],2)</f>
        <v>Southern Enedwaith</v>
      </c>
    </row>
    <row r="5963" spans="1:10" x14ac:dyDescent="0.25">
      <c r="A5963">
        <v>154</v>
      </c>
      <c r="B5963" t="s">
        <v>30</v>
      </c>
      <c r="C5963">
        <v>0</v>
      </c>
      <c r="D5963">
        <v>0</v>
      </c>
      <c r="E5963">
        <v>0</v>
      </c>
      <c r="F5963">
        <v>32146</v>
      </c>
      <c r="G5963">
        <v>1750</v>
      </c>
      <c r="H5963">
        <v>0</v>
      </c>
      <c r="J5963" t="str">
        <f>VLOOKUP(Table3[[#This Row],[Faction ID]],Table4[],2)</f>
        <v>Druedain</v>
      </c>
    </row>
    <row r="5964" spans="1:10" x14ac:dyDescent="0.25">
      <c r="A5964">
        <v>154</v>
      </c>
      <c r="B5964" t="s">
        <v>31</v>
      </c>
      <c r="C5964">
        <v>0</v>
      </c>
      <c r="D5964">
        <v>0</v>
      </c>
      <c r="E5964">
        <v>0</v>
      </c>
      <c r="F5964">
        <v>15146</v>
      </c>
      <c r="G5964">
        <v>1750</v>
      </c>
      <c r="H5964">
        <v>0</v>
      </c>
      <c r="J5964" t="str">
        <f>VLOOKUP(Table3[[#This Row],[Faction ID]],Table4[],2)</f>
        <v>Harondor</v>
      </c>
    </row>
    <row r="5965" spans="1:10" x14ac:dyDescent="0.25">
      <c r="A5965">
        <v>154</v>
      </c>
      <c r="B5965" t="s">
        <v>35</v>
      </c>
      <c r="C5965">
        <v>0</v>
      </c>
      <c r="D5965">
        <v>0</v>
      </c>
      <c r="E5965">
        <v>0</v>
      </c>
      <c r="F5965">
        <v>4000</v>
      </c>
      <c r="G5965">
        <v>1750</v>
      </c>
      <c r="H5965">
        <v>0</v>
      </c>
      <c r="J5965" t="str">
        <f>VLOOKUP(Table3[[#This Row],[Faction ID]],Table4[],2)</f>
        <v>Southron Nomads</v>
      </c>
    </row>
    <row r="5966" spans="1:10" x14ac:dyDescent="0.25">
      <c r="A5966">
        <v>154</v>
      </c>
      <c r="B5966" t="s">
        <v>36</v>
      </c>
      <c r="C5966">
        <v>0</v>
      </c>
      <c r="D5966">
        <v>0</v>
      </c>
      <c r="E5966">
        <v>0</v>
      </c>
      <c r="F5966">
        <v>4000</v>
      </c>
      <c r="G5966">
        <v>1750</v>
      </c>
      <c r="H5966">
        <v>0</v>
      </c>
      <c r="J5966" t="str">
        <f>VLOOKUP(Table3[[#This Row],[Faction ID]],Table4[],2)</f>
        <v>_</v>
      </c>
    </row>
    <row r="5967" spans="1:10" x14ac:dyDescent="0.25">
      <c r="A5967">
        <v>154</v>
      </c>
      <c r="B5967" t="s">
        <v>37</v>
      </c>
      <c r="C5967">
        <v>0</v>
      </c>
      <c r="D5967">
        <v>0</v>
      </c>
      <c r="E5967">
        <v>0</v>
      </c>
      <c r="F5967">
        <v>4000</v>
      </c>
      <c r="G5967">
        <v>1750</v>
      </c>
      <c r="H5967">
        <v>0</v>
      </c>
      <c r="J5967" t="str">
        <f>VLOOKUP(Table3[[#This Row],[Faction ID]],Table4[],2)</f>
        <v>_</v>
      </c>
    </row>
    <row r="5968" spans="1:10" x14ac:dyDescent="0.25">
      <c r="A5968">
        <v>154</v>
      </c>
      <c r="B5968" t="s">
        <v>38</v>
      </c>
      <c r="C5968">
        <v>0</v>
      </c>
      <c r="D5968">
        <v>0</v>
      </c>
      <c r="E5968">
        <v>0</v>
      </c>
      <c r="F5968">
        <v>4000</v>
      </c>
      <c r="G5968">
        <v>1750</v>
      </c>
      <c r="H5968">
        <v>0</v>
      </c>
      <c r="J5968" t="str">
        <f>VLOOKUP(Table3[[#This Row],[Faction ID]],Table4[],2)</f>
        <v>_</v>
      </c>
    </row>
    <row r="5969" spans="1:10" x14ac:dyDescent="0.25">
      <c r="A5969">
        <v>154</v>
      </c>
      <c r="B5969" t="s">
        <v>39</v>
      </c>
      <c r="C5969">
        <v>0</v>
      </c>
      <c r="D5969">
        <v>0</v>
      </c>
      <c r="E5969">
        <v>0</v>
      </c>
      <c r="F5969">
        <v>4000</v>
      </c>
      <c r="G5969">
        <v>1750</v>
      </c>
      <c r="H5969">
        <v>0</v>
      </c>
      <c r="J5969" t="str">
        <f>VLOOKUP(Table3[[#This Row],[Faction ID]],Table4[],2)</f>
        <v>_</v>
      </c>
    </row>
    <row r="5970" spans="1:10" x14ac:dyDescent="0.25">
      <c r="A5970">
        <v>154</v>
      </c>
      <c r="B5970" t="s">
        <v>40</v>
      </c>
      <c r="C5970">
        <v>0</v>
      </c>
      <c r="D5970">
        <v>0</v>
      </c>
      <c r="E5970">
        <v>0</v>
      </c>
      <c r="F5970">
        <v>4000</v>
      </c>
      <c r="G5970">
        <v>1750</v>
      </c>
      <c r="H5970">
        <v>0</v>
      </c>
      <c r="J5970" t="str">
        <f>VLOOKUP(Table3[[#This Row],[Faction ID]],Table4[],2)</f>
        <v>_</v>
      </c>
    </row>
    <row r="5971" spans="1:10" x14ac:dyDescent="0.25">
      <c r="A5971">
        <v>154</v>
      </c>
      <c r="B5971" t="s">
        <v>41</v>
      </c>
      <c r="C5971">
        <v>0</v>
      </c>
      <c r="D5971">
        <v>0</v>
      </c>
      <c r="E5971">
        <v>0</v>
      </c>
      <c r="F5971">
        <v>4000</v>
      </c>
      <c r="G5971">
        <v>1750</v>
      </c>
      <c r="H5971">
        <v>0</v>
      </c>
      <c r="J5971" t="str">
        <f>VLOOKUP(Table3[[#This Row],[Faction ID]],Table4[],2)</f>
        <v>_</v>
      </c>
    </row>
    <row r="5972" spans="1:10" x14ac:dyDescent="0.25">
      <c r="A5972">
        <v>154</v>
      </c>
      <c r="B5972" t="s">
        <v>42</v>
      </c>
      <c r="C5972">
        <v>0</v>
      </c>
      <c r="D5972">
        <v>0</v>
      </c>
      <c r="E5972">
        <v>0</v>
      </c>
      <c r="F5972">
        <v>4000</v>
      </c>
      <c r="G5972">
        <v>1750</v>
      </c>
      <c r="H5972">
        <v>0</v>
      </c>
      <c r="J5972" t="str">
        <f>VLOOKUP(Table3[[#This Row],[Faction ID]],Table4[],2)</f>
        <v>_</v>
      </c>
    </row>
    <row r="5973" spans="1:10" x14ac:dyDescent="0.25">
      <c r="A5973">
        <v>154</v>
      </c>
      <c r="B5973" t="s">
        <v>43</v>
      </c>
      <c r="C5973">
        <v>0</v>
      </c>
      <c r="D5973">
        <v>0</v>
      </c>
      <c r="E5973">
        <v>0</v>
      </c>
      <c r="F5973">
        <v>4000</v>
      </c>
      <c r="G5973">
        <v>1750</v>
      </c>
      <c r="H5973">
        <v>0</v>
      </c>
      <c r="J5973" t="str">
        <f>VLOOKUP(Table3[[#This Row],[Faction ID]],Table4[],2)</f>
        <v>_</v>
      </c>
    </row>
    <row r="5974" spans="1:10" x14ac:dyDescent="0.25">
      <c r="A5974">
        <v>154</v>
      </c>
      <c r="B5974" t="s">
        <v>44</v>
      </c>
      <c r="C5974">
        <v>0</v>
      </c>
      <c r="D5974">
        <v>0</v>
      </c>
      <c r="E5974">
        <v>0</v>
      </c>
      <c r="F5974">
        <v>4000</v>
      </c>
      <c r="G5974">
        <v>1750</v>
      </c>
      <c r="H5974">
        <v>0</v>
      </c>
      <c r="J5974" t="str">
        <f>VLOOKUP(Table3[[#This Row],[Faction ID]],Table4[],2)</f>
        <v>_</v>
      </c>
    </row>
    <row r="5975" spans="1:10" x14ac:dyDescent="0.25">
      <c r="A5975">
        <v>155</v>
      </c>
      <c r="B5975" t="s">
        <v>9</v>
      </c>
      <c r="C5975">
        <v>1161</v>
      </c>
      <c r="D5975">
        <v>70</v>
      </c>
      <c r="E5975">
        <v>912.6</v>
      </c>
      <c r="F5975">
        <v>38912</v>
      </c>
      <c r="G5975">
        <v>136884</v>
      </c>
      <c r="H5975">
        <v>12791</v>
      </c>
      <c r="J5975" t="str">
        <f>VLOOKUP(Table3[[#This Row],[Faction ID]],Table4[],2)</f>
        <v>Mordor</v>
      </c>
    </row>
    <row r="5976" spans="1:10" x14ac:dyDescent="0.25">
      <c r="A5976">
        <v>155</v>
      </c>
      <c r="B5976" t="s">
        <v>4</v>
      </c>
      <c r="C5976">
        <v>146</v>
      </c>
      <c r="D5976">
        <v>0</v>
      </c>
      <c r="E5976">
        <v>0</v>
      </c>
      <c r="F5976">
        <v>55420</v>
      </c>
      <c r="G5976">
        <v>2500</v>
      </c>
      <c r="H5976">
        <v>0</v>
      </c>
      <c r="J5976" t="str">
        <f>VLOOKUP(Table3[[#This Row],[Faction ID]],Table4[],2)</f>
        <v>Gondor</v>
      </c>
    </row>
    <row r="5977" spans="1:10" x14ac:dyDescent="0.25">
      <c r="A5977">
        <v>155</v>
      </c>
      <c r="B5977" t="s">
        <v>6</v>
      </c>
      <c r="C5977">
        <v>199</v>
      </c>
      <c r="D5977">
        <v>0</v>
      </c>
      <c r="E5977">
        <v>0</v>
      </c>
      <c r="F5977">
        <v>10343</v>
      </c>
      <c r="G5977">
        <v>2500</v>
      </c>
      <c r="H5977">
        <v>0</v>
      </c>
      <c r="J5977" t="str">
        <f>VLOOKUP(Table3[[#This Row],[Faction ID]],Table4[],2)</f>
        <v>Dale</v>
      </c>
    </row>
    <row r="5978" spans="1:10" x14ac:dyDescent="0.25">
      <c r="A5978">
        <v>155</v>
      </c>
      <c r="B5978" t="s">
        <v>21</v>
      </c>
      <c r="C5978">
        <v>200</v>
      </c>
      <c r="D5978">
        <v>0</v>
      </c>
      <c r="E5978">
        <v>0</v>
      </c>
      <c r="F5978">
        <v>10040</v>
      </c>
      <c r="G5978">
        <v>2500</v>
      </c>
      <c r="H5978">
        <v>0</v>
      </c>
      <c r="J5978" t="str">
        <f>VLOOKUP(Table3[[#This Row],[Faction ID]],Table4[],2)</f>
        <v>Erebor</v>
      </c>
    </row>
    <row r="5979" spans="1:10" x14ac:dyDescent="0.25">
      <c r="A5979">
        <v>155</v>
      </c>
      <c r="B5979" t="s">
        <v>5</v>
      </c>
      <c r="C5979">
        <v>157</v>
      </c>
      <c r="D5979">
        <v>0</v>
      </c>
      <c r="E5979">
        <v>0</v>
      </c>
      <c r="F5979">
        <v>6638</v>
      </c>
      <c r="G5979">
        <v>2500</v>
      </c>
      <c r="H5979">
        <v>0</v>
      </c>
      <c r="J5979" t="str">
        <f>VLOOKUP(Table3[[#This Row],[Faction ID]],Table4[],2)</f>
        <v>Rohan</v>
      </c>
    </row>
    <row r="5980" spans="1:10" x14ac:dyDescent="0.25">
      <c r="A5980">
        <v>155</v>
      </c>
      <c r="B5980" t="s">
        <v>12</v>
      </c>
      <c r="C5980">
        <v>573</v>
      </c>
      <c r="D5980">
        <v>25</v>
      </c>
      <c r="E5980">
        <v>387.6</v>
      </c>
      <c r="F5980">
        <v>805221</v>
      </c>
      <c r="G5980">
        <v>74690</v>
      </c>
      <c r="H5980">
        <v>7155</v>
      </c>
      <c r="J5980" t="str">
        <f>VLOOKUP(Table3[[#This Row],[Faction ID]],Table4[],2)</f>
        <v>Dol Guldur</v>
      </c>
    </row>
    <row r="5981" spans="1:10" x14ac:dyDescent="0.25">
      <c r="A5981">
        <v>155</v>
      </c>
      <c r="B5981" t="s">
        <v>10</v>
      </c>
      <c r="C5981">
        <v>58</v>
      </c>
      <c r="D5981">
        <v>0</v>
      </c>
      <c r="E5981">
        <v>0</v>
      </c>
      <c r="F5981">
        <v>4515</v>
      </c>
      <c r="G5981">
        <v>2500</v>
      </c>
      <c r="H5981">
        <v>0</v>
      </c>
      <c r="J5981" t="str">
        <f>VLOOKUP(Table3[[#This Row],[Faction ID]],Table4[],2)</f>
        <v>Anduin Vale</v>
      </c>
    </row>
    <row r="5982" spans="1:10" x14ac:dyDescent="0.25">
      <c r="A5982">
        <v>155</v>
      </c>
      <c r="B5982" t="s">
        <v>32</v>
      </c>
      <c r="C5982">
        <v>329</v>
      </c>
      <c r="D5982">
        <v>0</v>
      </c>
      <c r="E5982">
        <v>0</v>
      </c>
      <c r="F5982">
        <v>23007</v>
      </c>
      <c r="G5982">
        <v>2500</v>
      </c>
      <c r="H5982">
        <v>0</v>
      </c>
      <c r="J5982" t="str">
        <f>VLOOKUP(Table3[[#This Row],[Faction ID]],Table4[],2)</f>
        <v>Isengard</v>
      </c>
    </row>
    <row r="5983" spans="1:10" x14ac:dyDescent="0.25">
      <c r="A5983">
        <v>155</v>
      </c>
      <c r="B5983" t="s">
        <v>22</v>
      </c>
      <c r="C5983">
        <v>30</v>
      </c>
      <c r="D5983">
        <v>0</v>
      </c>
      <c r="E5983">
        <v>0</v>
      </c>
      <c r="F5983">
        <v>8475</v>
      </c>
      <c r="G5983">
        <v>2500</v>
      </c>
      <c r="H5983">
        <v>0</v>
      </c>
      <c r="J5983" t="str">
        <f>VLOOKUP(Table3[[#This Row],[Faction ID]],Table4[],2)</f>
        <v>Woodland Realm</v>
      </c>
    </row>
    <row r="5984" spans="1:10" x14ac:dyDescent="0.25">
      <c r="A5984">
        <v>155</v>
      </c>
      <c r="B5984" t="s">
        <v>23</v>
      </c>
      <c r="C5984">
        <v>64</v>
      </c>
      <c r="D5984">
        <v>0</v>
      </c>
      <c r="E5984">
        <v>0</v>
      </c>
      <c r="F5984">
        <v>4721</v>
      </c>
      <c r="G5984">
        <v>2500</v>
      </c>
      <c r="H5984">
        <v>0</v>
      </c>
      <c r="J5984" t="str">
        <f>VLOOKUP(Table3[[#This Row],[Faction ID]],Table4[],2)</f>
        <v>Lothlorien</v>
      </c>
    </row>
    <row r="5985" spans="1:10" x14ac:dyDescent="0.25">
      <c r="A5985">
        <v>155</v>
      </c>
      <c r="B5985" t="s">
        <v>24</v>
      </c>
      <c r="C5985">
        <v>0</v>
      </c>
      <c r="D5985">
        <v>0</v>
      </c>
      <c r="E5985">
        <v>0</v>
      </c>
      <c r="F5985">
        <v>4919</v>
      </c>
      <c r="G5985">
        <v>1750</v>
      </c>
      <c r="H5985">
        <v>0</v>
      </c>
      <c r="J5985" t="str">
        <f>VLOOKUP(Table3[[#This Row],[Faction ID]],Table4[],2)</f>
        <v>Variags (Khand)</v>
      </c>
    </row>
    <row r="5986" spans="1:10" x14ac:dyDescent="0.25">
      <c r="A5986">
        <v>155</v>
      </c>
      <c r="B5986" t="s">
        <v>14</v>
      </c>
      <c r="C5986">
        <v>21</v>
      </c>
      <c r="D5986">
        <v>15</v>
      </c>
      <c r="E5986">
        <v>274.2</v>
      </c>
      <c r="F5986">
        <v>679898</v>
      </c>
      <c r="G5986">
        <v>61574</v>
      </c>
      <c r="H5986">
        <v>6224</v>
      </c>
      <c r="J5986" t="str">
        <f>VLOOKUP(Table3[[#This Row],[Faction ID]],Table4[],2)</f>
        <v>Corsairs of Umbar</v>
      </c>
    </row>
    <row r="5987" spans="1:10" x14ac:dyDescent="0.25">
      <c r="A5987">
        <v>155</v>
      </c>
      <c r="B5987" t="s">
        <v>25</v>
      </c>
      <c r="C5987">
        <v>0</v>
      </c>
      <c r="D5987">
        <v>0</v>
      </c>
      <c r="E5987">
        <v>0</v>
      </c>
      <c r="F5987">
        <v>9228</v>
      </c>
      <c r="G5987">
        <v>1750</v>
      </c>
      <c r="H5987">
        <v>0</v>
      </c>
      <c r="J5987" t="str">
        <f>VLOOKUP(Table3[[#This Row],[Faction ID]],Table4[],2)</f>
        <v>Mahud</v>
      </c>
    </row>
    <row r="5988" spans="1:10" x14ac:dyDescent="0.25">
      <c r="A5988">
        <v>155</v>
      </c>
      <c r="B5988" t="s">
        <v>11</v>
      </c>
      <c r="C5988">
        <v>485</v>
      </c>
      <c r="D5988">
        <v>19</v>
      </c>
      <c r="E5988">
        <v>334.4</v>
      </c>
      <c r="F5988">
        <v>331553</v>
      </c>
      <c r="G5988">
        <v>60955</v>
      </c>
      <c r="H5988">
        <v>5008</v>
      </c>
      <c r="J5988" t="str">
        <f>VLOOKUP(Table3[[#This Row],[Faction ID]],Table4[],2)</f>
        <v>Haradrim</v>
      </c>
    </row>
    <row r="5989" spans="1:10" x14ac:dyDescent="0.25">
      <c r="A5989">
        <v>155</v>
      </c>
      <c r="B5989" t="s">
        <v>15</v>
      </c>
      <c r="C5989">
        <v>413</v>
      </c>
      <c r="D5989">
        <v>5</v>
      </c>
      <c r="E5989">
        <v>159.6</v>
      </c>
      <c r="F5989">
        <v>251704</v>
      </c>
      <c r="G5989">
        <v>32799</v>
      </c>
      <c r="H5989">
        <v>0</v>
      </c>
      <c r="J5989" t="str">
        <f>VLOOKUP(Table3[[#This Row],[Faction ID]],Table4[],2)</f>
        <v>Dunlendings</v>
      </c>
    </row>
    <row r="5990" spans="1:10" x14ac:dyDescent="0.25">
      <c r="A5990">
        <v>155</v>
      </c>
      <c r="B5990" t="s">
        <v>16</v>
      </c>
      <c r="C5990">
        <v>0</v>
      </c>
      <c r="D5990">
        <v>0</v>
      </c>
      <c r="E5990">
        <v>0</v>
      </c>
      <c r="F5990">
        <v>5352</v>
      </c>
      <c r="G5990">
        <v>1750</v>
      </c>
      <c r="H5990">
        <v>0</v>
      </c>
      <c r="J5990" t="str">
        <f>VLOOKUP(Table3[[#This Row],[Faction ID]],Table4[],2)</f>
        <v>Haerrim</v>
      </c>
    </row>
    <row r="5991" spans="1:10" x14ac:dyDescent="0.25">
      <c r="A5991">
        <v>155</v>
      </c>
      <c r="B5991" t="s">
        <v>13</v>
      </c>
      <c r="C5991">
        <v>666</v>
      </c>
      <c r="D5991">
        <v>0</v>
      </c>
      <c r="E5991">
        <v>0</v>
      </c>
      <c r="F5991">
        <v>128480</v>
      </c>
      <c r="G5991">
        <v>2500</v>
      </c>
      <c r="H5991">
        <v>0</v>
      </c>
      <c r="J5991" t="str">
        <f>VLOOKUP(Table3[[#This Row],[Faction ID]],Table4[],2)</f>
        <v>Goblins</v>
      </c>
    </row>
    <row r="5992" spans="1:10" x14ac:dyDescent="0.25">
      <c r="A5992">
        <v>155</v>
      </c>
      <c r="B5992" t="s">
        <v>17</v>
      </c>
      <c r="C5992">
        <v>0</v>
      </c>
      <c r="D5992">
        <v>0</v>
      </c>
      <c r="E5992">
        <v>0</v>
      </c>
      <c r="F5992">
        <v>4872</v>
      </c>
      <c r="G5992">
        <v>1750</v>
      </c>
      <c r="H5992">
        <v>0</v>
      </c>
      <c r="J5992" t="str">
        <f>VLOOKUP(Table3[[#This Row],[Faction ID]],Table4[],2)</f>
        <v>Balchoth</v>
      </c>
    </row>
    <row r="5993" spans="1:10" x14ac:dyDescent="0.25">
      <c r="A5993">
        <v>155</v>
      </c>
      <c r="B5993" t="s">
        <v>18</v>
      </c>
      <c r="C5993">
        <v>740</v>
      </c>
      <c r="D5993">
        <v>12</v>
      </c>
      <c r="E5993">
        <v>155.5</v>
      </c>
      <c r="F5993">
        <v>534333</v>
      </c>
      <c r="G5993">
        <v>23145</v>
      </c>
      <c r="H5993">
        <v>0</v>
      </c>
      <c r="J5993" t="str">
        <f>VLOOKUP(Table3[[#This Row],[Faction ID]],Table4[],2)</f>
        <v>Rhurim/Rhun</v>
      </c>
    </row>
    <row r="5994" spans="1:10" x14ac:dyDescent="0.25">
      <c r="A5994">
        <v>155</v>
      </c>
      <c r="B5994" t="s">
        <v>19</v>
      </c>
      <c r="C5994">
        <v>0</v>
      </c>
      <c r="D5994">
        <v>0</v>
      </c>
      <c r="E5994">
        <v>0</v>
      </c>
      <c r="F5994">
        <v>7360</v>
      </c>
      <c r="G5994">
        <v>1750</v>
      </c>
      <c r="H5994">
        <v>0</v>
      </c>
      <c r="J5994" t="str">
        <f>VLOOKUP(Table3[[#This Row],[Faction ID]],Table4[],2)</f>
        <v>Feredrim</v>
      </c>
    </row>
    <row r="5995" spans="1:10" x14ac:dyDescent="0.25">
      <c r="A5995">
        <v>155</v>
      </c>
      <c r="B5995" t="s">
        <v>26</v>
      </c>
      <c r="C5995">
        <v>0</v>
      </c>
      <c r="D5995">
        <v>0</v>
      </c>
      <c r="E5995">
        <v>0</v>
      </c>
      <c r="F5995">
        <v>6395</v>
      </c>
      <c r="G5995">
        <v>1750</v>
      </c>
      <c r="H5995">
        <v>0</v>
      </c>
      <c r="J5995" t="str">
        <f>VLOOKUP(Table3[[#This Row],[Faction ID]],Table4[],2)</f>
        <v>Rachrohir (Wainriders)</v>
      </c>
    </row>
    <row r="5996" spans="1:10" x14ac:dyDescent="0.25">
      <c r="A5996">
        <v>155</v>
      </c>
      <c r="B5996" t="s">
        <v>27</v>
      </c>
      <c r="C5996">
        <v>7</v>
      </c>
      <c r="D5996">
        <v>5</v>
      </c>
      <c r="E5996">
        <v>95.6</v>
      </c>
      <c r="F5996">
        <v>79461</v>
      </c>
      <c r="G5996">
        <v>21069</v>
      </c>
      <c r="H5996">
        <v>2262</v>
      </c>
      <c r="J5996" t="str">
        <f>VLOOKUP(Table3[[#This Row],[Faction ID]],Table4[],2)</f>
        <v>Blacklock-Stonefoot League</v>
      </c>
    </row>
    <row r="5997" spans="1:10" x14ac:dyDescent="0.25">
      <c r="A5997">
        <v>155</v>
      </c>
      <c r="B5997" t="s">
        <v>28</v>
      </c>
      <c r="C5997">
        <v>8</v>
      </c>
      <c r="D5997">
        <v>5</v>
      </c>
      <c r="E5997">
        <v>95</v>
      </c>
      <c r="F5997">
        <v>37122</v>
      </c>
      <c r="G5997">
        <v>29776</v>
      </c>
      <c r="H5997">
        <v>1770</v>
      </c>
      <c r="J5997" t="str">
        <f>VLOOKUP(Table3[[#This Row],[Faction ID]],Table4[],2)</f>
        <v>Ironfist-Stiffbeard Union</v>
      </c>
    </row>
    <row r="5998" spans="1:10" x14ac:dyDescent="0.25">
      <c r="A5998">
        <v>155</v>
      </c>
      <c r="B5998" t="s">
        <v>20</v>
      </c>
      <c r="C5998">
        <v>245</v>
      </c>
      <c r="D5998">
        <v>0</v>
      </c>
      <c r="E5998">
        <v>0</v>
      </c>
      <c r="F5998">
        <v>9750</v>
      </c>
      <c r="G5998">
        <v>2500</v>
      </c>
      <c r="H5998">
        <v>0</v>
      </c>
      <c r="J5998" t="str">
        <f>VLOOKUP(Table3[[#This Row],[Faction ID]],Table4[],2)</f>
        <v>Gundabad</v>
      </c>
    </row>
    <row r="5999" spans="1:10" x14ac:dyDescent="0.25">
      <c r="A5999">
        <v>155</v>
      </c>
      <c r="B5999" t="s">
        <v>34</v>
      </c>
      <c r="C5999">
        <v>0</v>
      </c>
      <c r="D5999">
        <v>0</v>
      </c>
      <c r="E5999">
        <v>3</v>
      </c>
      <c r="F5999">
        <v>178009</v>
      </c>
      <c r="G5999">
        <v>2354</v>
      </c>
      <c r="H5999">
        <v>0</v>
      </c>
      <c r="J5999" t="str">
        <f>VLOOKUP(Table3[[#This Row],[Faction ID]],Table4[],2)</f>
        <v>Scouts of Rohan</v>
      </c>
    </row>
    <row r="6000" spans="1:10" x14ac:dyDescent="0.25">
      <c r="A6000">
        <v>155</v>
      </c>
      <c r="B6000" t="s">
        <v>33</v>
      </c>
      <c r="C6000">
        <v>0</v>
      </c>
      <c r="D6000">
        <v>0</v>
      </c>
      <c r="E6000">
        <v>0</v>
      </c>
      <c r="F6000">
        <v>23466</v>
      </c>
      <c r="G6000">
        <v>1750</v>
      </c>
      <c r="H6000">
        <v>0</v>
      </c>
      <c r="J6000" t="str">
        <f>VLOOKUP(Table3[[#This Row],[Faction ID]],Table4[],2)</f>
        <v>Northern Enedwaith</v>
      </c>
    </row>
    <row r="6001" spans="1:10" x14ac:dyDescent="0.25">
      <c r="A6001">
        <v>155</v>
      </c>
      <c r="B6001" t="s">
        <v>29</v>
      </c>
      <c r="C6001">
        <v>0</v>
      </c>
      <c r="D6001">
        <v>0</v>
      </c>
      <c r="E6001">
        <v>0</v>
      </c>
      <c r="F6001">
        <v>54023</v>
      </c>
      <c r="G6001">
        <v>1750</v>
      </c>
      <c r="H6001">
        <v>0</v>
      </c>
      <c r="J6001" t="str">
        <f>VLOOKUP(Table3[[#This Row],[Faction ID]],Table4[],2)</f>
        <v>Southern Enedwaith</v>
      </c>
    </row>
    <row r="6002" spans="1:10" x14ac:dyDescent="0.25">
      <c r="A6002">
        <v>155</v>
      </c>
      <c r="B6002" t="s">
        <v>30</v>
      </c>
      <c r="C6002">
        <v>0</v>
      </c>
      <c r="D6002">
        <v>0</v>
      </c>
      <c r="E6002">
        <v>0</v>
      </c>
      <c r="F6002">
        <v>32146</v>
      </c>
      <c r="G6002">
        <v>1750</v>
      </c>
      <c r="H6002">
        <v>0</v>
      </c>
      <c r="J6002" t="str">
        <f>VLOOKUP(Table3[[#This Row],[Faction ID]],Table4[],2)</f>
        <v>Druedain</v>
      </c>
    </row>
    <row r="6003" spans="1:10" x14ac:dyDescent="0.25">
      <c r="A6003">
        <v>155</v>
      </c>
      <c r="B6003" t="s">
        <v>31</v>
      </c>
      <c r="C6003">
        <v>0</v>
      </c>
      <c r="D6003">
        <v>0</v>
      </c>
      <c r="E6003">
        <v>0</v>
      </c>
      <c r="F6003">
        <v>15146</v>
      </c>
      <c r="G6003">
        <v>1750</v>
      </c>
      <c r="H6003">
        <v>0</v>
      </c>
      <c r="J6003" t="str">
        <f>VLOOKUP(Table3[[#This Row],[Faction ID]],Table4[],2)</f>
        <v>Harondor</v>
      </c>
    </row>
    <row r="6004" spans="1:10" x14ac:dyDescent="0.25">
      <c r="A6004">
        <v>155</v>
      </c>
      <c r="B6004" t="s">
        <v>35</v>
      </c>
      <c r="C6004">
        <v>0</v>
      </c>
      <c r="D6004">
        <v>0</v>
      </c>
      <c r="E6004">
        <v>0</v>
      </c>
      <c r="F6004">
        <v>4000</v>
      </c>
      <c r="G6004">
        <v>1750</v>
      </c>
      <c r="H6004">
        <v>0</v>
      </c>
      <c r="J6004" t="str">
        <f>VLOOKUP(Table3[[#This Row],[Faction ID]],Table4[],2)</f>
        <v>Southron Nomads</v>
      </c>
    </row>
    <row r="6005" spans="1:10" x14ac:dyDescent="0.25">
      <c r="A6005">
        <v>155</v>
      </c>
      <c r="B6005" t="s">
        <v>36</v>
      </c>
      <c r="C6005">
        <v>0</v>
      </c>
      <c r="D6005">
        <v>0</v>
      </c>
      <c r="E6005">
        <v>0</v>
      </c>
      <c r="F6005">
        <v>4000</v>
      </c>
      <c r="G6005">
        <v>1750</v>
      </c>
      <c r="H6005">
        <v>0</v>
      </c>
      <c r="J6005" t="str">
        <f>VLOOKUP(Table3[[#This Row],[Faction ID]],Table4[],2)</f>
        <v>_</v>
      </c>
    </row>
    <row r="6006" spans="1:10" x14ac:dyDescent="0.25">
      <c r="A6006">
        <v>155</v>
      </c>
      <c r="B6006" t="s">
        <v>37</v>
      </c>
      <c r="C6006">
        <v>0</v>
      </c>
      <c r="D6006">
        <v>0</v>
      </c>
      <c r="E6006">
        <v>0</v>
      </c>
      <c r="F6006">
        <v>4000</v>
      </c>
      <c r="G6006">
        <v>1750</v>
      </c>
      <c r="H6006">
        <v>0</v>
      </c>
      <c r="J6006" t="str">
        <f>VLOOKUP(Table3[[#This Row],[Faction ID]],Table4[],2)</f>
        <v>_</v>
      </c>
    </row>
    <row r="6007" spans="1:10" x14ac:dyDescent="0.25">
      <c r="A6007">
        <v>155</v>
      </c>
      <c r="B6007" t="s">
        <v>38</v>
      </c>
      <c r="C6007">
        <v>0</v>
      </c>
      <c r="D6007">
        <v>0</v>
      </c>
      <c r="E6007">
        <v>0</v>
      </c>
      <c r="F6007">
        <v>4000</v>
      </c>
      <c r="G6007">
        <v>1750</v>
      </c>
      <c r="H6007">
        <v>0</v>
      </c>
      <c r="J6007" t="str">
        <f>VLOOKUP(Table3[[#This Row],[Faction ID]],Table4[],2)</f>
        <v>_</v>
      </c>
    </row>
    <row r="6008" spans="1:10" x14ac:dyDescent="0.25">
      <c r="A6008">
        <v>155</v>
      </c>
      <c r="B6008" t="s">
        <v>39</v>
      </c>
      <c r="C6008">
        <v>0</v>
      </c>
      <c r="D6008">
        <v>0</v>
      </c>
      <c r="E6008">
        <v>0</v>
      </c>
      <c r="F6008">
        <v>4000</v>
      </c>
      <c r="G6008">
        <v>1750</v>
      </c>
      <c r="H6008">
        <v>0</v>
      </c>
      <c r="J6008" t="str">
        <f>VLOOKUP(Table3[[#This Row],[Faction ID]],Table4[],2)</f>
        <v>_</v>
      </c>
    </row>
    <row r="6009" spans="1:10" x14ac:dyDescent="0.25">
      <c r="A6009">
        <v>155</v>
      </c>
      <c r="B6009" t="s">
        <v>40</v>
      </c>
      <c r="C6009">
        <v>0</v>
      </c>
      <c r="D6009">
        <v>0</v>
      </c>
      <c r="E6009">
        <v>0</v>
      </c>
      <c r="F6009">
        <v>4000</v>
      </c>
      <c r="G6009">
        <v>1750</v>
      </c>
      <c r="H6009">
        <v>0</v>
      </c>
      <c r="J6009" t="str">
        <f>VLOOKUP(Table3[[#This Row],[Faction ID]],Table4[],2)</f>
        <v>_</v>
      </c>
    </row>
    <row r="6010" spans="1:10" x14ac:dyDescent="0.25">
      <c r="A6010">
        <v>155</v>
      </c>
      <c r="B6010" t="s">
        <v>41</v>
      </c>
      <c r="C6010">
        <v>0</v>
      </c>
      <c r="D6010">
        <v>0</v>
      </c>
      <c r="E6010">
        <v>0</v>
      </c>
      <c r="F6010">
        <v>4000</v>
      </c>
      <c r="G6010">
        <v>1750</v>
      </c>
      <c r="H6010">
        <v>0</v>
      </c>
      <c r="J6010" t="str">
        <f>VLOOKUP(Table3[[#This Row],[Faction ID]],Table4[],2)</f>
        <v>_</v>
      </c>
    </row>
    <row r="6011" spans="1:10" x14ac:dyDescent="0.25">
      <c r="A6011">
        <v>155</v>
      </c>
      <c r="B6011" t="s">
        <v>42</v>
      </c>
      <c r="C6011">
        <v>0</v>
      </c>
      <c r="D6011">
        <v>0</v>
      </c>
      <c r="E6011">
        <v>0</v>
      </c>
      <c r="F6011">
        <v>4000</v>
      </c>
      <c r="G6011">
        <v>1750</v>
      </c>
      <c r="H6011">
        <v>0</v>
      </c>
      <c r="J6011" t="str">
        <f>VLOOKUP(Table3[[#This Row],[Faction ID]],Table4[],2)</f>
        <v>_</v>
      </c>
    </row>
    <row r="6012" spans="1:10" x14ac:dyDescent="0.25">
      <c r="A6012">
        <v>155</v>
      </c>
      <c r="B6012" t="s">
        <v>43</v>
      </c>
      <c r="C6012">
        <v>0</v>
      </c>
      <c r="D6012">
        <v>0</v>
      </c>
      <c r="E6012">
        <v>0</v>
      </c>
      <c r="F6012">
        <v>4000</v>
      </c>
      <c r="G6012">
        <v>1750</v>
      </c>
      <c r="H6012">
        <v>0</v>
      </c>
      <c r="J6012" t="str">
        <f>VLOOKUP(Table3[[#This Row],[Faction ID]],Table4[],2)</f>
        <v>_</v>
      </c>
    </row>
    <row r="6013" spans="1:10" x14ac:dyDescent="0.25">
      <c r="A6013">
        <v>155</v>
      </c>
      <c r="B6013" t="s">
        <v>44</v>
      </c>
      <c r="C6013">
        <v>0</v>
      </c>
      <c r="D6013">
        <v>0</v>
      </c>
      <c r="E6013">
        <v>0</v>
      </c>
      <c r="F6013">
        <v>4000</v>
      </c>
      <c r="G6013">
        <v>1750</v>
      </c>
      <c r="H6013">
        <v>0</v>
      </c>
      <c r="J6013" t="str">
        <f>VLOOKUP(Table3[[#This Row],[Faction ID]],Table4[],2)</f>
        <v>_</v>
      </c>
    </row>
    <row r="6014" spans="1:10" x14ac:dyDescent="0.25">
      <c r="A6014">
        <v>156</v>
      </c>
      <c r="B6014" t="s">
        <v>9</v>
      </c>
      <c r="C6014">
        <v>1181</v>
      </c>
      <c r="D6014">
        <v>70</v>
      </c>
      <c r="E6014">
        <v>914.6</v>
      </c>
      <c r="F6014">
        <v>3075</v>
      </c>
      <c r="G6014">
        <v>139708</v>
      </c>
      <c r="H6014">
        <v>13950</v>
      </c>
      <c r="J6014" t="str">
        <f>VLOOKUP(Table3[[#This Row],[Faction ID]],Table4[],2)</f>
        <v>Mordor</v>
      </c>
    </row>
    <row r="6015" spans="1:10" x14ac:dyDescent="0.25">
      <c r="A6015">
        <v>156</v>
      </c>
      <c r="B6015" t="s">
        <v>4</v>
      </c>
      <c r="C6015">
        <v>146</v>
      </c>
      <c r="D6015">
        <v>0</v>
      </c>
      <c r="E6015">
        <v>0</v>
      </c>
      <c r="F6015">
        <v>55420</v>
      </c>
      <c r="G6015">
        <v>2500</v>
      </c>
      <c r="H6015">
        <v>0</v>
      </c>
      <c r="J6015" t="str">
        <f>VLOOKUP(Table3[[#This Row],[Faction ID]],Table4[],2)</f>
        <v>Gondor</v>
      </c>
    </row>
    <row r="6016" spans="1:10" x14ac:dyDescent="0.25">
      <c r="A6016">
        <v>156</v>
      </c>
      <c r="B6016" t="s">
        <v>6</v>
      </c>
      <c r="C6016">
        <v>199</v>
      </c>
      <c r="D6016">
        <v>0</v>
      </c>
      <c r="E6016">
        <v>0</v>
      </c>
      <c r="F6016">
        <v>10343</v>
      </c>
      <c r="G6016">
        <v>2500</v>
      </c>
      <c r="H6016">
        <v>0</v>
      </c>
      <c r="J6016" t="str">
        <f>VLOOKUP(Table3[[#This Row],[Faction ID]],Table4[],2)</f>
        <v>Dale</v>
      </c>
    </row>
    <row r="6017" spans="1:10" x14ac:dyDescent="0.25">
      <c r="A6017">
        <v>156</v>
      </c>
      <c r="B6017" t="s">
        <v>21</v>
      </c>
      <c r="C6017">
        <v>200</v>
      </c>
      <c r="D6017">
        <v>0</v>
      </c>
      <c r="E6017">
        <v>0</v>
      </c>
      <c r="F6017">
        <v>10040</v>
      </c>
      <c r="G6017">
        <v>2500</v>
      </c>
      <c r="H6017">
        <v>0</v>
      </c>
      <c r="J6017" t="str">
        <f>VLOOKUP(Table3[[#This Row],[Faction ID]],Table4[],2)</f>
        <v>Erebor</v>
      </c>
    </row>
    <row r="6018" spans="1:10" x14ac:dyDescent="0.25">
      <c r="A6018">
        <v>156</v>
      </c>
      <c r="B6018" t="s">
        <v>5</v>
      </c>
      <c r="C6018">
        <v>157</v>
      </c>
      <c r="D6018">
        <v>0</v>
      </c>
      <c r="E6018">
        <v>0</v>
      </c>
      <c r="F6018">
        <v>6638</v>
      </c>
      <c r="G6018">
        <v>2500</v>
      </c>
      <c r="H6018">
        <v>0</v>
      </c>
      <c r="J6018" t="str">
        <f>VLOOKUP(Table3[[#This Row],[Faction ID]],Table4[],2)</f>
        <v>Rohan</v>
      </c>
    </row>
    <row r="6019" spans="1:10" x14ac:dyDescent="0.25">
      <c r="A6019">
        <v>156</v>
      </c>
      <c r="B6019" t="s">
        <v>12</v>
      </c>
      <c r="C6019">
        <v>573</v>
      </c>
      <c r="D6019">
        <v>25</v>
      </c>
      <c r="E6019">
        <v>388.6</v>
      </c>
      <c r="F6019">
        <v>837718</v>
      </c>
      <c r="G6019">
        <v>68218</v>
      </c>
      <c r="H6019">
        <v>7139</v>
      </c>
      <c r="J6019" t="str">
        <f>VLOOKUP(Table3[[#This Row],[Faction ID]],Table4[],2)</f>
        <v>Dol Guldur</v>
      </c>
    </row>
    <row r="6020" spans="1:10" x14ac:dyDescent="0.25">
      <c r="A6020">
        <v>156</v>
      </c>
      <c r="B6020" t="s">
        <v>10</v>
      </c>
      <c r="C6020">
        <v>58</v>
      </c>
      <c r="D6020">
        <v>0</v>
      </c>
      <c r="E6020">
        <v>0</v>
      </c>
      <c r="F6020">
        <v>4515</v>
      </c>
      <c r="G6020">
        <v>2500</v>
      </c>
      <c r="H6020">
        <v>0</v>
      </c>
      <c r="J6020" t="str">
        <f>VLOOKUP(Table3[[#This Row],[Faction ID]],Table4[],2)</f>
        <v>Anduin Vale</v>
      </c>
    </row>
    <row r="6021" spans="1:10" x14ac:dyDescent="0.25">
      <c r="A6021">
        <v>156</v>
      </c>
      <c r="B6021" t="s">
        <v>32</v>
      </c>
      <c r="C6021">
        <v>329</v>
      </c>
      <c r="D6021">
        <v>0</v>
      </c>
      <c r="E6021">
        <v>0</v>
      </c>
      <c r="F6021">
        <v>23007</v>
      </c>
      <c r="G6021">
        <v>2500</v>
      </c>
      <c r="H6021">
        <v>0</v>
      </c>
      <c r="J6021" t="str">
        <f>VLOOKUP(Table3[[#This Row],[Faction ID]],Table4[],2)</f>
        <v>Isengard</v>
      </c>
    </row>
    <row r="6022" spans="1:10" x14ac:dyDescent="0.25">
      <c r="A6022">
        <v>156</v>
      </c>
      <c r="B6022" t="s">
        <v>22</v>
      </c>
      <c r="C6022">
        <v>30</v>
      </c>
      <c r="D6022">
        <v>0</v>
      </c>
      <c r="E6022">
        <v>0</v>
      </c>
      <c r="F6022">
        <v>8475</v>
      </c>
      <c r="G6022">
        <v>2500</v>
      </c>
      <c r="H6022">
        <v>0</v>
      </c>
      <c r="J6022" t="str">
        <f>VLOOKUP(Table3[[#This Row],[Faction ID]],Table4[],2)</f>
        <v>Woodland Realm</v>
      </c>
    </row>
    <row r="6023" spans="1:10" x14ac:dyDescent="0.25">
      <c r="A6023">
        <v>156</v>
      </c>
      <c r="B6023" t="s">
        <v>23</v>
      </c>
      <c r="C6023">
        <v>64</v>
      </c>
      <c r="D6023">
        <v>0</v>
      </c>
      <c r="E6023">
        <v>0</v>
      </c>
      <c r="F6023">
        <v>4721</v>
      </c>
      <c r="G6023">
        <v>2500</v>
      </c>
      <c r="H6023">
        <v>0</v>
      </c>
      <c r="J6023" t="str">
        <f>VLOOKUP(Table3[[#This Row],[Faction ID]],Table4[],2)</f>
        <v>Lothlorien</v>
      </c>
    </row>
    <row r="6024" spans="1:10" x14ac:dyDescent="0.25">
      <c r="A6024">
        <v>156</v>
      </c>
      <c r="B6024" t="s">
        <v>24</v>
      </c>
      <c r="C6024">
        <v>0</v>
      </c>
      <c r="D6024">
        <v>0</v>
      </c>
      <c r="E6024">
        <v>0</v>
      </c>
      <c r="F6024">
        <v>4919</v>
      </c>
      <c r="G6024">
        <v>1750</v>
      </c>
      <c r="H6024">
        <v>0</v>
      </c>
      <c r="J6024" t="str">
        <f>VLOOKUP(Table3[[#This Row],[Faction ID]],Table4[],2)</f>
        <v>Variags (Khand)</v>
      </c>
    </row>
    <row r="6025" spans="1:10" x14ac:dyDescent="0.25">
      <c r="A6025">
        <v>156</v>
      </c>
      <c r="B6025" t="s">
        <v>14</v>
      </c>
      <c r="C6025">
        <v>23</v>
      </c>
      <c r="D6025">
        <v>16</v>
      </c>
      <c r="E6025">
        <v>279.7</v>
      </c>
      <c r="F6025">
        <v>694023</v>
      </c>
      <c r="G6025">
        <v>66323</v>
      </c>
      <c r="H6025">
        <v>6250</v>
      </c>
      <c r="J6025" t="str">
        <f>VLOOKUP(Table3[[#This Row],[Faction ID]],Table4[],2)</f>
        <v>Corsairs of Umbar</v>
      </c>
    </row>
    <row r="6026" spans="1:10" x14ac:dyDescent="0.25">
      <c r="A6026">
        <v>156</v>
      </c>
      <c r="B6026" t="s">
        <v>25</v>
      </c>
      <c r="C6026">
        <v>0</v>
      </c>
      <c r="D6026">
        <v>0</v>
      </c>
      <c r="E6026">
        <v>0</v>
      </c>
      <c r="F6026">
        <v>9228</v>
      </c>
      <c r="G6026">
        <v>1750</v>
      </c>
      <c r="H6026">
        <v>0</v>
      </c>
      <c r="J6026" t="str">
        <f>VLOOKUP(Table3[[#This Row],[Faction ID]],Table4[],2)</f>
        <v>Mahud</v>
      </c>
    </row>
    <row r="6027" spans="1:10" x14ac:dyDescent="0.25">
      <c r="A6027">
        <v>156</v>
      </c>
      <c r="B6027" t="s">
        <v>11</v>
      </c>
      <c r="C6027">
        <v>485</v>
      </c>
      <c r="D6027">
        <v>19</v>
      </c>
      <c r="E6027">
        <v>331.7</v>
      </c>
      <c r="F6027">
        <v>347683</v>
      </c>
      <c r="G6027">
        <v>58288</v>
      </c>
      <c r="H6027">
        <v>5017</v>
      </c>
      <c r="J6027" t="str">
        <f>VLOOKUP(Table3[[#This Row],[Faction ID]],Table4[],2)</f>
        <v>Haradrim</v>
      </c>
    </row>
    <row r="6028" spans="1:10" x14ac:dyDescent="0.25">
      <c r="A6028">
        <v>156</v>
      </c>
      <c r="B6028" t="s">
        <v>15</v>
      </c>
      <c r="C6028">
        <v>413</v>
      </c>
      <c r="D6028">
        <v>5</v>
      </c>
      <c r="E6028">
        <v>165.8</v>
      </c>
      <c r="F6028">
        <v>253059</v>
      </c>
      <c r="G6028">
        <v>33796</v>
      </c>
      <c r="H6028">
        <v>0</v>
      </c>
      <c r="J6028" t="str">
        <f>VLOOKUP(Table3[[#This Row],[Faction ID]],Table4[],2)</f>
        <v>Dunlendings</v>
      </c>
    </row>
    <row r="6029" spans="1:10" x14ac:dyDescent="0.25">
      <c r="A6029">
        <v>156</v>
      </c>
      <c r="B6029" t="s">
        <v>16</v>
      </c>
      <c r="C6029">
        <v>0</v>
      </c>
      <c r="D6029">
        <v>0</v>
      </c>
      <c r="E6029">
        <v>0</v>
      </c>
      <c r="F6029">
        <v>5352</v>
      </c>
      <c r="G6029">
        <v>1750</v>
      </c>
      <c r="H6029">
        <v>0</v>
      </c>
      <c r="J6029" t="str">
        <f>VLOOKUP(Table3[[#This Row],[Faction ID]],Table4[],2)</f>
        <v>Haerrim</v>
      </c>
    </row>
    <row r="6030" spans="1:10" x14ac:dyDescent="0.25">
      <c r="A6030">
        <v>156</v>
      </c>
      <c r="B6030" t="s">
        <v>13</v>
      </c>
      <c r="C6030">
        <v>666</v>
      </c>
      <c r="D6030">
        <v>0</v>
      </c>
      <c r="E6030">
        <v>0</v>
      </c>
      <c r="F6030">
        <v>128480</v>
      </c>
      <c r="G6030">
        <v>2500</v>
      </c>
      <c r="H6030">
        <v>0</v>
      </c>
      <c r="J6030" t="str">
        <f>VLOOKUP(Table3[[#This Row],[Faction ID]],Table4[],2)</f>
        <v>Goblins</v>
      </c>
    </row>
    <row r="6031" spans="1:10" x14ac:dyDescent="0.25">
      <c r="A6031">
        <v>156</v>
      </c>
      <c r="B6031" t="s">
        <v>17</v>
      </c>
      <c r="C6031">
        <v>0</v>
      </c>
      <c r="D6031">
        <v>0</v>
      </c>
      <c r="E6031">
        <v>0</v>
      </c>
      <c r="F6031">
        <v>4872</v>
      </c>
      <c r="G6031">
        <v>1750</v>
      </c>
      <c r="H6031">
        <v>0</v>
      </c>
      <c r="J6031" t="str">
        <f>VLOOKUP(Table3[[#This Row],[Faction ID]],Table4[],2)</f>
        <v>Balchoth</v>
      </c>
    </row>
    <row r="6032" spans="1:10" x14ac:dyDescent="0.25">
      <c r="A6032">
        <v>156</v>
      </c>
      <c r="B6032" t="s">
        <v>18</v>
      </c>
      <c r="C6032">
        <v>736</v>
      </c>
      <c r="D6032">
        <v>9</v>
      </c>
      <c r="E6032">
        <v>110.1</v>
      </c>
      <c r="F6032">
        <v>494364</v>
      </c>
      <c r="G6032">
        <v>21037</v>
      </c>
      <c r="H6032">
        <v>0</v>
      </c>
      <c r="J6032" t="str">
        <f>VLOOKUP(Table3[[#This Row],[Faction ID]],Table4[],2)</f>
        <v>Rhurim/Rhun</v>
      </c>
    </row>
    <row r="6033" spans="1:10" x14ac:dyDescent="0.25">
      <c r="A6033">
        <v>156</v>
      </c>
      <c r="B6033" t="s">
        <v>19</v>
      </c>
      <c r="C6033">
        <v>0</v>
      </c>
      <c r="D6033">
        <v>0</v>
      </c>
      <c r="E6033">
        <v>0</v>
      </c>
      <c r="F6033">
        <v>7360</v>
      </c>
      <c r="G6033">
        <v>1750</v>
      </c>
      <c r="H6033">
        <v>0</v>
      </c>
      <c r="J6033" t="str">
        <f>VLOOKUP(Table3[[#This Row],[Faction ID]],Table4[],2)</f>
        <v>Feredrim</v>
      </c>
    </row>
    <row r="6034" spans="1:10" x14ac:dyDescent="0.25">
      <c r="A6034">
        <v>156</v>
      </c>
      <c r="B6034" t="s">
        <v>26</v>
      </c>
      <c r="C6034">
        <v>0</v>
      </c>
      <c r="D6034">
        <v>0</v>
      </c>
      <c r="E6034">
        <v>0</v>
      </c>
      <c r="F6034">
        <v>6395</v>
      </c>
      <c r="G6034">
        <v>1750</v>
      </c>
      <c r="H6034">
        <v>0</v>
      </c>
      <c r="J6034" t="str">
        <f>VLOOKUP(Table3[[#This Row],[Faction ID]],Table4[],2)</f>
        <v>Rachrohir (Wainriders)</v>
      </c>
    </row>
    <row r="6035" spans="1:10" x14ac:dyDescent="0.25">
      <c r="A6035">
        <v>156</v>
      </c>
      <c r="B6035" t="s">
        <v>27</v>
      </c>
      <c r="C6035">
        <v>8</v>
      </c>
      <c r="D6035">
        <v>6</v>
      </c>
      <c r="E6035">
        <v>98.6</v>
      </c>
      <c r="F6035">
        <v>83031</v>
      </c>
      <c r="G6035">
        <v>25205</v>
      </c>
      <c r="H6035">
        <v>2422</v>
      </c>
      <c r="J6035" t="str">
        <f>VLOOKUP(Table3[[#This Row],[Faction ID]],Table4[],2)</f>
        <v>Blacklock-Stonefoot League</v>
      </c>
    </row>
    <row r="6036" spans="1:10" x14ac:dyDescent="0.25">
      <c r="A6036">
        <v>156</v>
      </c>
      <c r="B6036" t="s">
        <v>28</v>
      </c>
      <c r="C6036">
        <v>9</v>
      </c>
      <c r="D6036">
        <v>6</v>
      </c>
      <c r="E6036">
        <v>105</v>
      </c>
      <c r="F6036">
        <v>45318</v>
      </c>
      <c r="G6036">
        <v>34950</v>
      </c>
      <c r="H6036">
        <v>1876</v>
      </c>
      <c r="J6036" t="str">
        <f>VLOOKUP(Table3[[#This Row],[Faction ID]],Table4[],2)</f>
        <v>Ironfist-Stiffbeard Union</v>
      </c>
    </row>
    <row r="6037" spans="1:10" x14ac:dyDescent="0.25">
      <c r="A6037">
        <v>156</v>
      </c>
      <c r="B6037" t="s">
        <v>20</v>
      </c>
      <c r="C6037">
        <v>245</v>
      </c>
      <c r="D6037">
        <v>0</v>
      </c>
      <c r="E6037">
        <v>0</v>
      </c>
      <c r="F6037">
        <v>9750</v>
      </c>
      <c r="G6037">
        <v>2500</v>
      </c>
      <c r="H6037">
        <v>0</v>
      </c>
      <c r="J6037" t="str">
        <f>VLOOKUP(Table3[[#This Row],[Faction ID]],Table4[],2)</f>
        <v>Gundabad</v>
      </c>
    </row>
    <row r="6038" spans="1:10" x14ac:dyDescent="0.25">
      <c r="A6038">
        <v>156</v>
      </c>
      <c r="B6038" t="s">
        <v>34</v>
      </c>
      <c r="C6038">
        <v>0</v>
      </c>
      <c r="D6038">
        <v>0</v>
      </c>
      <c r="E6038">
        <v>3</v>
      </c>
      <c r="F6038">
        <v>179155</v>
      </c>
      <c r="G6038">
        <v>2354</v>
      </c>
      <c r="H6038">
        <v>0</v>
      </c>
      <c r="J6038" t="str">
        <f>VLOOKUP(Table3[[#This Row],[Faction ID]],Table4[],2)</f>
        <v>Scouts of Rohan</v>
      </c>
    </row>
    <row r="6039" spans="1:10" x14ac:dyDescent="0.25">
      <c r="A6039">
        <v>156</v>
      </c>
      <c r="B6039" t="s">
        <v>33</v>
      </c>
      <c r="C6039">
        <v>0</v>
      </c>
      <c r="D6039">
        <v>0</v>
      </c>
      <c r="E6039">
        <v>0</v>
      </c>
      <c r="F6039">
        <v>23466</v>
      </c>
      <c r="G6039">
        <v>1750</v>
      </c>
      <c r="H6039">
        <v>0</v>
      </c>
      <c r="J6039" t="str">
        <f>VLOOKUP(Table3[[#This Row],[Faction ID]],Table4[],2)</f>
        <v>Northern Enedwaith</v>
      </c>
    </row>
    <row r="6040" spans="1:10" x14ac:dyDescent="0.25">
      <c r="A6040">
        <v>156</v>
      </c>
      <c r="B6040" t="s">
        <v>29</v>
      </c>
      <c r="C6040">
        <v>0</v>
      </c>
      <c r="D6040">
        <v>0</v>
      </c>
      <c r="E6040">
        <v>0</v>
      </c>
      <c r="F6040">
        <v>54023</v>
      </c>
      <c r="G6040">
        <v>1750</v>
      </c>
      <c r="H6040">
        <v>0</v>
      </c>
      <c r="J6040" t="str">
        <f>VLOOKUP(Table3[[#This Row],[Faction ID]],Table4[],2)</f>
        <v>Southern Enedwaith</v>
      </c>
    </row>
    <row r="6041" spans="1:10" x14ac:dyDescent="0.25">
      <c r="A6041">
        <v>156</v>
      </c>
      <c r="B6041" t="s">
        <v>30</v>
      </c>
      <c r="C6041">
        <v>0</v>
      </c>
      <c r="D6041">
        <v>0</v>
      </c>
      <c r="E6041">
        <v>0</v>
      </c>
      <c r="F6041">
        <v>32146</v>
      </c>
      <c r="G6041">
        <v>1750</v>
      </c>
      <c r="H6041">
        <v>0</v>
      </c>
      <c r="J6041" t="str">
        <f>VLOOKUP(Table3[[#This Row],[Faction ID]],Table4[],2)</f>
        <v>Druedain</v>
      </c>
    </row>
    <row r="6042" spans="1:10" x14ac:dyDescent="0.25">
      <c r="A6042">
        <v>156</v>
      </c>
      <c r="B6042" t="s">
        <v>31</v>
      </c>
      <c r="C6042">
        <v>0</v>
      </c>
      <c r="D6042">
        <v>0</v>
      </c>
      <c r="E6042">
        <v>0</v>
      </c>
      <c r="F6042">
        <v>15146</v>
      </c>
      <c r="G6042">
        <v>1750</v>
      </c>
      <c r="H6042">
        <v>0</v>
      </c>
      <c r="J6042" t="str">
        <f>VLOOKUP(Table3[[#This Row],[Faction ID]],Table4[],2)</f>
        <v>Harondor</v>
      </c>
    </row>
    <row r="6043" spans="1:10" x14ac:dyDescent="0.25">
      <c r="A6043">
        <v>156</v>
      </c>
      <c r="B6043" t="s">
        <v>35</v>
      </c>
      <c r="C6043">
        <v>0</v>
      </c>
      <c r="D6043">
        <v>0</v>
      </c>
      <c r="E6043">
        <v>0</v>
      </c>
      <c r="F6043">
        <v>4000</v>
      </c>
      <c r="G6043">
        <v>1750</v>
      </c>
      <c r="H6043">
        <v>0</v>
      </c>
      <c r="J6043" t="str">
        <f>VLOOKUP(Table3[[#This Row],[Faction ID]],Table4[],2)</f>
        <v>Southron Nomads</v>
      </c>
    </row>
    <row r="6044" spans="1:10" x14ac:dyDescent="0.25">
      <c r="A6044">
        <v>156</v>
      </c>
      <c r="B6044" t="s">
        <v>36</v>
      </c>
      <c r="C6044">
        <v>0</v>
      </c>
      <c r="D6044">
        <v>0</v>
      </c>
      <c r="E6044">
        <v>0</v>
      </c>
      <c r="F6044">
        <v>4000</v>
      </c>
      <c r="G6044">
        <v>1750</v>
      </c>
      <c r="H6044">
        <v>0</v>
      </c>
      <c r="J6044" t="str">
        <f>VLOOKUP(Table3[[#This Row],[Faction ID]],Table4[],2)</f>
        <v>_</v>
      </c>
    </row>
    <row r="6045" spans="1:10" x14ac:dyDescent="0.25">
      <c r="A6045">
        <v>156</v>
      </c>
      <c r="B6045" t="s">
        <v>37</v>
      </c>
      <c r="C6045">
        <v>0</v>
      </c>
      <c r="D6045">
        <v>0</v>
      </c>
      <c r="E6045">
        <v>0</v>
      </c>
      <c r="F6045">
        <v>4000</v>
      </c>
      <c r="G6045">
        <v>1750</v>
      </c>
      <c r="H6045">
        <v>0</v>
      </c>
      <c r="J6045" t="str">
        <f>VLOOKUP(Table3[[#This Row],[Faction ID]],Table4[],2)</f>
        <v>_</v>
      </c>
    </row>
    <row r="6046" spans="1:10" x14ac:dyDescent="0.25">
      <c r="A6046">
        <v>156</v>
      </c>
      <c r="B6046" t="s">
        <v>38</v>
      </c>
      <c r="C6046">
        <v>0</v>
      </c>
      <c r="D6046">
        <v>0</v>
      </c>
      <c r="E6046">
        <v>0</v>
      </c>
      <c r="F6046">
        <v>4000</v>
      </c>
      <c r="G6046">
        <v>1750</v>
      </c>
      <c r="H6046">
        <v>0</v>
      </c>
      <c r="J6046" t="str">
        <f>VLOOKUP(Table3[[#This Row],[Faction ID]],Table4[],2)</f>
        <v>_</v>
      </c>
    </row>
    <row r="6047" spans="1:10" x14ac:dyDescent="0.25">
      <c r="A6047">
        <v>156</v>
      </c>
      <c r="B6047" t="s">
        <v>39</v>
      </c>
      <c r="C6047">
        <v>0</v>
      </c>
      <c r="D6047">
        <v>0</v>
      </c>
      <c r="E6047">
        <v>0</v>
      </c>
      <c r="F6047">
        <v>4000</v>
      </c>
      <c r="G6047">
        <v>1750</v>
      </c>
      <c r="H6047">
        <v>0</v>
      </c>
      <c r="J6047" t="str">
        <f>VLOOKUP(Table3[[#This Row],[Faction ID]],Table4[],2)</f>
        <v>_</v>
      </c>
    </row>
    <row r="6048" spans="1:10" x14ac:dyDescent="0.25">
      <c r="A6048">
        <v>156</v>
      </c>
      <c r="B6048" t="s">
        <v>40</v>
      </c>
      <c r="C6048">
        <v>0</v>
      </c>
      <c r="D6048">
        <v>0</v>
      </c>
      <c r="E6048">
        <v>0</v>
      </c>
      <c r="F6048">
        <v>4000</v>
      </c>
      <c r="G6048">
        <v>1750</v>
      </c>
      <c r="H6048">
        <v>0</v>
      </c>
      <c r="J6048" t="str">
        <f>VLOOKUP(Table3[[#This Row],[Faction ID]],Table4[],2)</f>
        <v>_</v>
      </c>
    </row>
    <row r="6049" spans="1:10" x14ac:dyDescent="0.25">
      <c r="A6049">
        <v>156</v>
      </c>
      <c r="B6049" t="s">
        <v>41</v>
      </c>
      <c r="C6049">
        <v>0</v>
      </c>
      <c r="D6049">
        <v>0</v>
      </c>
      <c r="E6049">
        <v>0</v>
      </c>
      <c r="F6049">
        <v>4000</v>
      </c>
      <c r="G6049">
        <v>1750</v>
      </c>
      <c r="H6049">
        <v>0</v>
      </c>
      <c r="J6049" t="str">
        <f>VLOOKUP(Table3[[#This Row],[Faction ID]],Table4[],2)</f>
        <v>_</v>
      </c>
    </row>
    <row r="6050" spans="1:10" x14ac:dyDescent="0.25">
      <c r="A6050">
        <v>156</v>
      </c>
      <c r="B6050" t="s">
        <v>42</v>
      </c>
      <c r="C6050">
        <v>0</v>
      </c>
      <c r="D6050">
        <v>0</v>
      </c>
      <c r="E6050">
        <v>0</v>
      </c>
      <c r="F6050">
        <v>4000</v>
      </c>
      <c r="G6050">
        <v>1750</v>
      </c>
      <c r="H6050">
        <v>0</v>
      </c>
      <c r="J6050" t="str">
        <f>VLOOKUP(Table3[[#This Row],[Faction ID]],Table4[],2)</f>
        <v>_</v>
      </c>
    </row>
    <row r="6051" spans="1:10" x14ac:dyDescent="0.25">
      <c r="A6051">
        <v>156</v>
      </c>
      <c r="B6051" t="s">
        <v>43</v>
      </c>
      <c r="C6051">
        <v>0</v>
      </c>
      <c r="D6051">
        <v>0</v>
      </c>
      <c r="E6051">
        <v>0</v>
      </c>
      <c r="F6051">
        <v>4000</v>
      </c>
      <c r="G6051">
        <v>1750</v>
      </c>
      <c r="H6051">
        <v>0</v>
      </c>
      <c r="J6051" t="str">
        <f>VLOOKUP(Table3[[#This Row],[Faction ID]],Table4[],2)</f>
        <v>_</v>
      </c>
    </row>
    <row r="6052" spans="1:10" x14ac:dyDescent="0.25">
      <c r="A6052">
        <v>156</v>
      </c>
      <c r="B6052" t="s">
        <v>44</v>
      </c>
      <c r="C6052">
        <v>0</v>
      </c>
      <c r="D6052">
        <v>0</v>
      </c>
      <c r="E6052">
        <v>0</v>
      </c>
      <c r="F6052">
        <v>4000</v>
      </c>
      <c r="G6052">
        <v>1750</v>
      </c>
      <c r="H6052">
        <v>0</v>
      </c>
      <c r="J6052" t="str">
        <f>VLOOKUP(Table3[[#This Row],[Faction ID]],Table4[],2)</f>
        <v>_</v>
      </c>
    </row>
    <row r="6053" spans="1:10" x14ac:dyDescent="0.25">
      <c r="A6053">
        <v>157</v>
      </c>
      <c r="B6053" t="s">
        <v>9</v>
      </c>
      <c r="C6053">
        <v>1197</v>
      </c>
      <c r="D6053">
        <v>70</v>
      </c>
      <c r="E6053">
        <v>916.6</v>
      </c>
      <c r="F6053">
        <v>456</v>
      </c>
      <c r="G6053">
        <v>142174</v>
      </c>
      <c r="H6053">
        <v>14076</v>
      </c>
      <c r="J6053" t="str">
        <f>VLOOKUP(Table3[[#This Row],[Faction ID]],Table4[],2)</f>
        <v>Mordor</v>
      </c>
    </row>
    <row r="6054" spans="1:10" x14ac:dyDescent="0.25">
      <c r="A6054">
        <v>157</v>
      </c>
      <c r="B6054" t="s">
        <v>4</v>
      </c>
      <c r="C6054">
        <v>146</v>
      </c>
      <c r="D6054">
        <v>0</v>
      </c>
      <c r="E6054">
        <v>0</v>
      </c>
      <c r="F6054">
        <v>55420</v>
      </c>
      <c r="G6054">
        <v>2500</v>
      </c>
      <c r="H6054">
        <v>0</v>
      </c>
      <c r="J6054" t="str">
        <f>VLOOKUP(Table3[[#This Row],[Faction ID]],Table4[],2)</f>
        <v>Gondor</v>
      </c>
    </row>
    <row r="6055" spans="1:10" x14ac:dyDescent="0.25">
      <c r="A6055">
        <v>157</v>
      </c>
      <c r="B6055" t="s">
        <v>6</v>
      </c>
      <c r="C6055">
        <v>199</v>
      </c>
      <c r="D6055">
        <v>0</v>
      </c>
      <c r="E6055">
        <v>0</v>
      </c>
      <c r="F6055">
        <v>10343</v>
      </c>
      <c r="G6055">
        <v>2500</v>
      </c>
      <c r="H6055">
        <v>0</v>
      </c>
      <c r="J6055" t="str">
        <f>VLOOKUP(Table3[[#This Row],[Faction ID]],Table4[],2)</f>
        <v>Dale</v>
      </c>
    </row>
    <row r="6056" spans="1:10" x14ac:dyDescent="0.25">
      <c r="A6056">
        <v>157</v>
      </c>
      <c r="B6056" t="s">
        <v>21</v>
      </c>
      <c r="C6056">
        <v>200</v>
      </c>
      <c r="D6056">
        <v>0</v>
      </c>
      <c r="E6056">
        <v>0</v>
      </c>
      <c r="F6056">
        <v>10040</v>
      </c>
      <c r="G6056">
        <v>2500</v>
      </c>
      <c r="H6056">
        <v>0</v>
      </c>
      <c r="J6056" t="str">
        <f>VLOOKUP(Table3[[#This Row],[Faction ID]],Table4[],2)</f>
        <v>Erebor</v>
      </c>
    </row>
    <row r="6057" spans="1:10" x14ac:dyDescent="0.25">
      <c r="A6057">
        <v>157</v>
      </c>
      <c r="B6057" t="s">
        <v>5</v>
      </c>
      <c r="C6057">
        <v>157</v>
      </c>
      <c r="D6057">
        <v>0</v>
      </c>
      <c r="E6057">
        <v>0</v>
      </c>
      <c r="F6057">
        <v>6638</v>
      </c>
      <c r="G6057">
        <v>2500</v>
      </c>
      <c r="H6057">
        <v>0</v>
      </c>
      <c r="J6057" t="str">
        <f>VLOOKUP(Table3[[#This Row],[Faction ID]],Table4[],2)</f>
        <v>Rohan</v>
      </c>
    </row>
    <row r="6058" spans="1:10" x14ac:dyDescent="0.25">
      <c r="A6058">
        <v>157</v>
      </c>
      <c r="B6058" t="s">
        <v>12</v>
      </c>
      <c r="C6058">
        <v>573</v>
      </c>
      <c r="D6058">
        <v>25</v>
      </c>
      <c r="E6058">
        <v>387.6</v>
      </c>
      <c r="F6058">
        <v>869142</v>
      </c>
      <c r="G6058">
        <v>74484</v>
      </c>
      <c r="H6058">
        <v>7164</v>
      </c>
      <c r="J6058" t="str">
        <f>VLOOKUP(Table3[[#This Row],[Faction ID]],Table4[],2)</f>
        <v>Dol Guldur</v>
      </c>
    </row>
    <row r="6059" spans="1:10" x14ac:dyDescent="0.25">
      <c r="A6059">
        <v>157</v>
      </c>
      <c r="B6059" t="s">
        <v>10</v>
      </c>
      <c r="C6059">
        <v>58</v>
      </c>
      <c r="D6059">
        <v>0</v>
      </c>
      <c r="E6059">
        <v>0</v>
      </c>
      <c r="F6059">
        <v>4515</v>
      </c>
      <c r="G6059">
        <v>2500</v>
      </c>
      <c r="H6059">
        <v>0</v>
      </c>
      <c r="J6059" t="str">
        <f>VLOOKUP(Table3[[#This Row],[Faction ID]],Table4[],2)</f>
        <v>Anduin Vale</v>
      </c>
    </row>
    <row r="6060" spans="1:10" x14ac:dyDescent="0.25">
      <c r="A6060">
        <v>157</v>
      </c>
      <c r="B6060" t="s">
        <v>32</v>
      </c>
      <c r="C6060">
        <v>329</v>
      </c>
      <c r="D6060">
        <v>0</v>
      </c>
      <c r="E6060">
        <v>0</v>
      </c>
      <c r="F6060">
        <v>23007</v>
      </c>
      <c r="G6060">
        <v>2500</v>
      </c>
      <c r="H6060">
        <v>0</v>
      </c>
      <c r="J6060" t="str">
        <f>VLOOKUP(Table3[[#This Row],[Faction ID]],Table4[],2)</f>
        <v>Isengard</v>
      </c>
    </row>
    <row r="6061" spans="1:10" x14ac:dyDescent="0.25">
      <c r="A6061">
        <v>157</v>
      </c>
      <c r="B6061" t="s">
        <v>22</v>
      </c>
      <c r="C6061">
        <v>30</v>
      </c>
      <c r="D6061">
        <v>0</v>
      </c>
      <c r="E6061">
        <v>0</v>
      </c>
      <c r="F6061">
        <v>8475</v>
      </c>
      <c r="G6061">
        <v>2500</v>
      </c>
      <c r="H6061">
        <v>0</v>
      </c>
      <c r="J6061" t="str">
        <f>VLOOKUP(Table3[[#This Row],[Faction ID]],Table4[],2)</f>
        <v>Woodland Realm</v>
      </c>
    </row>
    <row r="6062" spans="1:10" x14ac:dyDescent="0.25">
      <c r="A6062">
        <v>157</v>
      </c>
      <c r="B6062" t="s">
        <v>23</v>
      </c>
      <c r="C6062">
        <v>64</v>
      </c>
      <c r="D6062">
        <v>0</v>
      </c>
      <c r="E6062">
        <v>0</v>
      </c>
      <c r="F6062">
        <v>4721</v>
      </c>
      <c r="G6062">
        <v>2500</v>
      </c>
      <c r="H6062">
        <v>0</v>
      </c>
      <c r="J6062" t="str">
        <f>VLOOKUP(Table3[[#This Row],[Faction ID]],Table4[],2)</f>
        <v>Lothlorien</v>
      </c>
    </row>
    <row r="6063" spans="1:10" x14ac:dyDescent="0.25">
      <c r="A6063">
        <v>157</v>
      </c>
      <c r="B6063" t="s">
        <v>24</v>
      </c>
      <c r="C6063">
        <v>0</v>
      </c>
      <c r="D6063">
        <v>0</v>
      </c>
      <c r="E6063">
        <v>0</v>
      </c>
      <c r="F6063">
        <v>4919</v>
      </c>
      <c r="G6063">
        <v>1750</v>
      </c>
      <c r="H6063">
        <v>0</v>
      </c>
      <c r="J6063" t="str">
        <f>VLOOKUP(Table3[[#This Row],[Faction ID]],Table4[],2)</f>
        <v>Variags (Khand)</v>
      </c>
    </row>
    <row r="6064" spans="1:10" x14ac:dyDescent="0.25">
      <c r="A6064">
        <v>157</v>
      </c>
      <c r="B6064" t="s">
        <v>14</v>
      </c>
      <c r="C6064">
        <v>24</v>
      </c>
      <c r="D6064">
        <v>17</v>
      </c>
      <c r="E6064">
        <v>287.5</v>
      </c>
      <c r="F6064">
        <v>714066</v>
      </c>
      <c r="G6064">
        <v>62694</v>
      </c>
      <c r="H6064">
        <v>6249</v>
      </c>
      <c r="J6064" t="str">
        <f>VLOOKUP(Table3[[#This Row],[Faction ID]],Table4[],2)</f>
        <v>Corsairs of Umbar</v>
      </c>
    </row>
    <row r="6065" spans="1:10" x14ac:dyDescent="0.25">
      <c r="A6065">
        <v>157</v>
      </c>
      <c r="B6065" t="s">
        <v>25</v>
      </c>
      <c r="C6065">
        <v>0</v>
      </c>
      <c r="D6065">
        <v>0</v>
      </c>
      <c r="E6065">
        <v>0</v>
      </c>
      <c r="F6065">
        <v>9228</v>
      </c>
      <c r="G6065">
        <v>1750</v>
      </c>
      <c r="H6065">
        <v>0</v>
      </c>
      <c r="J6065" t="str">
        <f>VLOOKUP(Table3[[#This Row],[Faction ID]],Table4[],2)</f>
        <v>Mahud</v>
      </c>
    </row>
    <row r="6066" spans="1:10" x14ac:dyDescent="0.25">
      <c r="A6066">
        <v>157</v>
      </c>
      <c r="B6066" t="s">
        <v>11</v>
      </c>
      <c r="C6066">
        <v>485</v>
      </c>
      <c r="D6066">
        <v>19</v>
      </c>
      <c r="E6066">
        <v>331.7</v>
      </c>
      <c r="F6066">
        <v>375616</v>
      </c>
      <c r="G6066">
        <v>58350</v>
      </c>
      <c r="H6066">
        <v>5026</v>
      </c>
      <c r="J6066" t="str">
        <f>VLOOKUP(Table3[[#This Row],[Faction ID]],Table4[],2)</f>
        <v>Haradrim</v>
      </c>
    </row>
    <row r="6067" spans="1:10" x14ac:dyDescent="0.25">
      <c r="A6067">
        <v>157</v>
      </c>
      <c r="B6067" t="s">
        <v>15</v>
      </c>
      <c r="C6067">
        <v>418</v>
      </c>
      <c r="D6067">
        <v>5</v>
      </c>
      <c r="E6067">
        <v>172.6</v>
      </c>
      <c r="F6067">
        <v>248777</v>
      </c>
      <c r="G6067">
        <v>34383</v>
      </c>
      <c r="H6067">
        <v>0</v>
      </c>
      <c r="J6067" t="str">
        <f>VLOOKUP(Table3[[#This Row],[Faction ID]],Table4[],2)</f>
        <v>Dunlendings</v>
      </c>
    </row>
    <row r="6068" spans="1:10" x14ac:dyDescent="0.25">
      <c r="A6068">
        <v>157</v>
      </c>
      <c r="B6068" t="s">
        <v>16</v>
      </c>
      <c r="C6068">
        <v>0</v>
      </c>
      <c r="D6068">
        <v>0</v>
      </c>
      <c r="E6068">
        <v>0</v>
      </c>
      <c r="F6068">
        <v>5352</v>
      </c>
      <c r="G6068">
        <v>1750</v>
      </c>
      <c r="H6068">
        <v>0</v>
      </c>
      <c r="J6068" t="str">
        <f>VLOOKUP(Table3[[#This Row],[Faction ID]],Table4[],2)</f>
        <v>Haerrim</v>
      </c>
    </row>
    <row r="6069" spans="1:10" x14ac:dyDescent="0.25">
      <c r="A6069">
        <v>157</v>
      </c>
      <c r="B6069" t="s">
        <v>13</v>
      </c>
      <c r="C6069">
        <v>666</v>
      </c>
      <c r="D6069">
        <v>0</v>
      </c>
      <c r="E6069">
        <v>0</v>
      </c>
      <c r="F6069">
        <v>128480</v>
      </c>
      <c r="G6069">
        <v>2500</v>
      </c>
      <c r="H6069">
        <v>0</v>
      </c>
      <c r="J6069" t="str">
        <f>VLOOKUP(Table3[[#This Row],[Faction ID]],Table4[],2)</f>
        <v>Goblins</v>
      </c>
    </row>
    <row r="6070" spans="1:10" x14ac:dyDescent="0.25">
      <c r="A6070">
        <v>157</v>
      </c>
      <c r="B6070" t="s">
        <v>17</v>
      </c>
      <c r="C6070">
        <v>0</v>
      </c>
      <c r="D6070">
        <v>0</v>
      </c>
      <c r="E6070">
        <v>0</v>
      </c>
      <c r="F6070">
        <v>4872</v>
      </c>
      <c r="G6070">
        <v>1750</v>
      </c>
      <c r="H6070">
        <v>0</v>
      </c>
      <c r="J6070" t="str">
        <f>VLOOKUP(Table3[[#This Row],[Faction ID]],Table4[],2)</f>
        <v>Balchoth</v>
      </c>
    </row>
    <row r="6071" spans="1:10" x14ac:dyDescent="0.25">
      <c r="A6071">
        <v>157</v>
      </c>
      <c r="B6071" t="s">
        <v>18</v>
      </c>
      <c r="C6071">
        <v>740</v>
      </c>
      <c r="D6071">
        <v>8</v>
      </c>
      <c r="E6071">
        <v>79.8</v>
      </c>
      <c r="F6071">
        <v>469397</v>
      </c>
      <c r="G6071">
        <v>19065</v>
      </c>
      <c r="H6071">
        <v>0</v>
      </c>
      <c r="J6071" t="str">
        <f>VLOOKUP(Table3[[#This Row],[Faction ID]],Table4[],2)</f>
        <v>Rhurim/Rhun</v>
      </c>
    </row>
    <row r="6072" spans="1:10" x14ac:dyDescent="0.25">
      <c r="A6072">
        <v>157</v>
      </c>
      <c r="B6072" t="s">
        <v>19</v>
      </c>
      <c r="C6072">
        <v>0</v>
      </c>
      <c r="D6072">
        <v>0</v>
      </c>
      <c r="E6072">
        <v>0</v>
      </c>
      <c r="F6072">
        <v>7360</v>
      </c>
      <c r="G6072">
        <v>1750</v>
      </c>
      <c r="H6072">
        <v>0</v>
      </c>
      <c r="J6072" t="str">
        <f>VLOOKUP(Table3[[#This Row],[Faction ID]],Table4[],2)</f>
        <v>Feredrim</v>
      </c>
    </row>
    <row r="6073" spans="1:10" x14ac:dyDescent="0.25">
      <c r="A6073">
        <v>157</v>
      </c>
      <c r="B6073" t="s">
        <v>26</v>
      </c>
      <c r="C6073">
        <v>0</v>
      </c>
      <c r="D6073">
        <v>0</v>
      </c>
      <c r="E6073">
        <v>0</v>
      </c>
      <c r="F6073">
        <v>6395</v>
      </c>
      <c r="G6073">
        <v>1750</v>
      </c>
      <c r="H6073">
        <v>0</v>
      </c>
      <c r="J6073" t="str">
        <f>VLOOKUP(Table3[[#This Row],[Faction ID]],Table4[],2)</f>
        <v>Rachrohir (Wainriders)</v>
      </c>
    </row>
    <row r="6074" spans="1:10" x14ac:dyDescent="0.25">
      <c r="A6074">
        <v>157</v>
      </c>
      <c r="B6074" t="s">
        <v>27</v>
      </c>
      <c r="C6074">
        <v>8</v>
      </c>
      <c r="D6074">
        <v>6</v>
      </c>
      <c r="E6074">
        <v>98</v>
      </c>
      <c r="F6074">
        <v>72379</v>
      </c>
      <c r="G6074">
        <v>25847</v>
      </c>
      <c r="H6074">
        <v>2418</v>
      </c>
      <c r="J6074" t="str">
        <f>VLOOKUP(Table3[[#This Row],[Faction ID]],Table4[],2)</f>
        <v>Blacklock-Stonefoot League</v>
      </c>
    </row>
    <row r="6075" spans="1:10" x14ac:dyDescent="0.25">
      <c r="A6075">
        <v>157</v>
      </c>
      <c r="B6075" t="s">
        <v>28</v>
      </c>
      <c r="C6075">
        <v>9</v>
      </c>
      <c r="D6075">
        <v>6</v>
      </c>
      <c r="E6075">
        <v>111</v>
      </c>
      <c r="F6075">
        <v>50244</v>
      </c>
      <c r="G6075">
        <v>34077</v>
      </c>
      <c r="H6075">
        <v>2110</v>
      </c>
      <c r="J6075" t="str">
        <f>VLOOKUP(Table3[[#This Row],[Faction ID]],Table4[],2)</f>
        <v>Ironfist-Stiffbeard Union</v>
      </c>
    </row>
    <row r="6076" spans="1:10" x14ac:dyDescent="0.25">
      <c r="A6076">
        <v>157</v>
      </c>
      <c r="B6076" t="s">
        <v>20</v>
      </c>
      <c r="C6076">
        <v>245</v>
      </c>
      <c r="D6076">
        <v>0</v>
      </c>
      <c r="E6076">
        <v>0</v>
      </c>
      <c r="F6076">
        <v>9750</v>
      </c>
      <c r="G6076">
        <v>2500</v>
      </c>
      <c r="H6076">
        <v>0</v>
      </c>
      <c r="J6076" t="str">
        <f>VLOOKUP(Table3[[#This Row],[Faction ID]],Table4[],2)</f>
        <v>Gundabad</v>
      </c>
    </row>
    <row r="6077" spans="1:10" x14ac:dyDescent="0.25">
      <c r="A6077">
        <v>157</v>
      </c>
      <c r="B6077" t="s">
        <v>34</v>
      </c>
      <c r="C6077">
        <v>0</v>
      </c>
      <c r="D6077">
        <v>0</v>
      </c>
      <c r="E6077">
        <v>3</v>
      </c>
      <c r="F6077">
        <v>180301</v>
      </c>
      <c r="G6077">
        <v>2354</v>
      </c>
      <c r="H6077">
        <v>0</v>
      </c>
      <c r="J6077" t="str">
        <f>VLOOKUP(Table3[[#This Row],[Faction ID]],Table4[],2)</f>
        <v>Scouts of Rohan</v>
      </c>
    </row>
    <row r="6078" spans="1:10" x14ac:dyDescent="0.25">
      <c r="A6078">
        <v>157</v>
      </c>
      <c r="B6078" t="s">
        <v>33</v>
      </c>
      <c r="C6078">
        <v>0</v>
      </c>
      <c r="D6078">
        <v>0</v>
      </c>
      <c r="E6078">
        <v>0</v>
      </c>
      <c r="F6078">
        <v>23466</v>
      </c>
      <c r="G6078">
        <v>1750</v>
      </c>
      <c r="H6078">
        <v>0</v>
      </c>
      <c r="J6078" t="str">
        <f>VLOOKUP(Table3[[#This Row],[Faction ID]],Table4[],2)</f>
        <v>Northern Enedwaith</v>
      </c>
    </row>
    <row r="6079" spans="1:10" x14ac:dyDescent="0.25">
      <c r="A6079">
        <v>157</v>
      </c>
      <c r="B6079" t="s">
        <v>29</v>
      </c>
      <c r="C6079">
        <v>0</v>
      </c>
      <c r="D6079">
        <v>0</v>
      </c>
      <c r="E6079">
        <v>0</v>
      </c>
      <c r="F6079">
        <v>54023</v>
      </c>
      <c r="G6079">
        <v>1750</v>
      </c>
      <c r="H6079">
        <v>0</v>
      </c>
      <c r="J6079" t="str">
        <f>VLOOKUP(Table3[[#This Row],[Faction ID]],Table4[],2)</f>
        <v>Southern Enedwaith</v>
      </c>
    </row>
    <row r="6080" spans="1:10" x14ac:dyDescent="0.25">
      <c r="A6080">
        <v>157</v>
      </c>
      <c r="B6080" t="s">
        <v>30</v>
      </c>
      <c r="C6080">
        <v>0</v>
      </c>
      <c r="D6080">
        <v>0</v>
      </c>
      <c r="E6080">
        <v>0</v>
      </c>
      <c r="F6080">
        <v>32146</v>
      </c>
      <c r="G6080">
        <v>1750</v>
      </c>
      <c r="H6080">
        <v>0</v>
      </c>
      <c r="J6080" t="str">
        <f>VLOOKUP(Table3[[#This Row],[Faction ID]],Table4[],2)</f>
        <v>Druedain</v>
      </c>
    </row>
    <row r="6081" spans="1:10" x14ac:dyDescent="0.25">
      <c r="A6081">
        <v>157</v>
      </c>
      <c r="B6081" t="s">
        <v>31</v>
      </c>
      <c r="C6081">
        <v>0</v>
      </c>
      <c r="D6081">
        <v>0</v>
      </c>
      <c r="E6081">
        <v>0</v>
      </c>
      <c r="F6081">
        <v>15146</v>
      </c>
      <c r="G6081">
        <v>1750</v>
      </c>
      <c r="H6081">
        <v>0</v>
      </c>
      <c r="J6081" t="str">
        <f>VLOOKUP(Table3[[#This Row],[Faction ID]],Table4[],2)</f>
        <v>Harondor</v>
      </c>
    </row>
    <row r="6082" spans="1:10" x14ac:dyDescent="0.25">
      <c r="A6082">
        <v>157</v>
      </c>
      <c r="B6082" t="s">
        <v>35</v>
      </c>
      <c r="C6082">
        <v>0</v>
      </c>
      <c r="D6082">
        <v>0</v>
      </c>
      <c r="E6082">
        <v>0</v>
      </c>
      <c r="F6082">
        <v>4000</v>
      </c>
      <c r="G6082">
        <v>1750</v>
      </c>
      <c r="H6082">
        <v>0</v>
      </c>
      <c r="J6082" t="str">
        <f>VLOOKUP(Table3[[#This Row],[Faction ID]],Table4[],2)</f>
        <v>Southron Nomads</v>
      </c>
    </row>
    <row r="6083" spans="1:10" x14ac:dyDescent="0.25">
      <c r="A6083">
        <v>157</v>
      </c>
      <c r="B6083" t="s">
        <v>36</v>
      </c>
      <c r="C6083">
        <v>0</v>
      </c>
      <c r="D6083">
        <v>0</v>
      </c>
      <c r="E6083">
        <v>0</v>
      </c>
      <c r="F6083">
        <v>4000</v>
      </c>
      <c r="G6083">
        <v>1750</v>
      </c>
      <c r="H6083">
        <v>0</v>
      </c>
      <c r="J6083" t="str">
        <f>VLOOKUP(Table3[[#This Row],[Faction ID]],Table4[],2)</f>
        <v>_</v>
      </c>
    </row>
    <row r="6084" spans="1:10" x14ac:dyDescent="0.25">
      <c r="A6084">
        <v>157</v>
      </c>
      <c r="B6084" t="s">
        <v>37</v>
      </c>
      <c r="C6084">
        <v>0</v>
      </c>
      <c r="D6084">
        <v>0</v>
      </c>
      <c r="E6084">
        <v>0</v>
      </c>
      <c r="F6084">
        <v>4000</v>
      </c>
      <c r="G6084">
        <v>1750</v>
      </c>
      <c r="H6084">
        <v>0</v>
      </c>
      <c r="J6084" t="str">
        <f>VLOOKUP(Table3[[#This Row],[Faction ID]],Table4[],2)</f>
        <v>_</v>
      </c>
    </row>
    <row r="6085" spans="1:10" x14ac:dyDescent="0.25">
      <c r="A6085">
        <v>157</v>
      </c>
      <c r="B6085" t="s">
        <v>38</v>
      </c>
      <c r="C6085">
        <v>0</v>
      </c>
      <c r="D6085">
        <v>0</v>
      </c>
      <c r="E6085">
        <v>0</v>
      </c>
      <c r="F6085">
        <v>4000</v>
      </c>
      <c r="G6085">
        <v>1750</v>
      </c>
      <c r="H6085">
        <v>0</v>
      </c>
      <c r="J6085" t="str">
        <f>VLOOKUP(Table3[[#This Row],[Faction ID]],Table4[],2)</f>
        <v>_</v>
      </c>
    </row>
    <row r="6086" spans="1:10" x14ac:dyDescent="0.25">
      <c r="A6086">
        <v>157</v>
      </c>
      <c r="B6086" t="s">
        <v>39</v>
      </c>
      <c r="C6086">
        <v>0</v>
      </c>
      <c r="D6086">
        <v>0</v>
      </c>
      <c r="E6086">
        <v>0</v>
      </c>
      <c r="F6086">
        <v>4000</v>
      </c>
      <c r="G6086">
        <v>1750</v>
      </c>
      <c r="H6086">
        <v>0</v>
      </c>
      <c r="J6086" t="str">
        <f>VLOOKUP(Table3[[#This Row],[Faction ID]],Table4[],2)</f>
        <v>_</v>
      </c>
    </row>
    <row r="6087" spans="1:10" x14ac:dyDescent="0.25">
      <c r="A6087">
        <v>157</v>
      </c>
      <c r="B6087" t="s">
        <v>40</v>
      </c>
      <c r="C6087">
        <v>0</v>
      </c>
      <c r="D6087">
        <v>0</v>
      </c>
      <c r="E6087">
        <v>0</v>
      </c>
      <c r="F6087">
        <v>4000</v>
      </c>
      <c r="G6087">
        <v>1750</v>
      </c>
      <c r="H6087">
        <v>0</v>
      </c>
      <c r="J6087" t="str">
        <f>VLOOKUP(Table3[[#This Row],[Faction ID]],Table4[],2)</f>
        <v>_</v>
      </c>
    </row>
    <row r="6088" spans="1:10" x14ac:dyDescent="0.25">
      <c r="A6088">
        <v>157</v>
      </c>
      <c r="B6088" t="s">
        <v>41</v>
      </c>
      <c r="C6088">
        <v>0</v>
      </c>
      <c r="D6088">
        <v>0</v>
      </c>
      <c r="E6088">
        <v>0</v>
      </c>
      <c r="F6088">
        <v>4000</v>
      </c>
      <c r="G6088">
        <v>1750</v>
      </c>
      <c r="H6088">
        <v>0</v>
      </c>
      <c r="J6088" t="str">
        <f>VLOOKUP(Table3[[#This Row],[Faction ID]],Table4[],2)</f>
        <v>_</v>
      </c>
    </row>
    <row r="6089" spans="1:10" x14ac:dyDescent="0.25">
      <c r="A6089">
        <v>157</v>
      </c>
      <c r="B6089" t="s">
        <v>42</v>
      </c>
      <c r="C6089">
        <v>0</v>
      </c>
      <c r="D6089">
        <v>0</v>
      </c>
      <c r="E6089">
        <v>0</v>
      </c>
      <c r="F6089">
        <v>4000</v>
      </c>
      <c r="G6089">
        <v>1750</v>
      </c>
      <c r="H6089">
        <v>0</v>
      </c>
      <c r="J6089" t="str">
        <f>VLOOKUP(Table3[[#This Row],[Faction ID]],Table4[],2)</f>
        <v>_</v>
      </c>
    </row>
    <row r="6090" spans="1:10" x14ac:dyDescent="0.25">
      <c r="A6090">
        <v>157</v>
      </c>
      <c r="B6090" t="s">
        <v>43</v>
      </c>
      <c r="C6090">
        <v>0</v>
      </c>
      <c r="D6090">
        <v>0</v>
      </c>
      <c r="E6090">
        <v>0</v>
      </c>
      <c r="F6090">
        <v>4000</v>
      </c>
      <c r="G6090">
        <v>1750</v>
      </c>
      <c r="H6090">
        <v>0</v>
      </c>
      <c r="J6090" t="str">
        <f>VLOOKUP(Table3[[#This Row],[Faction ID]],Table4[],2)</f>
        <v>_</v>
      </c>
    </row>
    <row r="6091" spans="1:10" x14ac:dyDescent="0.25">
      <c r="A6091">
        <v>157</v>
      </c>
      <c r="B6091" t="s">
        <v>44</v>
      </c>
      <c r="C6091">
        <v>0</v>
      </c>
      <c r="D6091">
        <v>0</v>
      </c>
      <c r="E6091">
        <v>0</v>
      </c>
      <c r="F6091">
        <v>4000</v>
      </c>
      <c r="G6091">
        <v>1750</v>
      </c>
      <c r="H6091">
        <v>0</v>
      </c>
      <c r="J6091" t="str">
        <f>VLOOKUP(Table3[[#This Row],[Faction ID]],Table4[],2)</f>
        <v>_</v>
      </c>
    </row>
    <row r="6092" spans="1:10" x14ac:dyDescent="0.25">
      <c r="A6092">
        <v>158</v>
      </c>
      <c r="B6092" t="s">
        <v>9</v>
      </c>
      <c r="C6092">
        <v>1237</v>
      </c>
      <c r="D6092">
        <v>70</v>
      </c>
      <c r="E6092">
        <v>919.6</v>
      </c>
      <c r="F6092">
        <v>46546</v>
      </c>
      <c r="G6092">
        <v>143846</v>
      </c>
      <c r="H6092">
        <v>14640</v>
      </c>
      <c r="J6092" t="str">
        <f>VLOOKUP(Table3[[#This Row],[Faction ID]],Table4[],2)</f>
        <v>Mordor</v>
      </c>
    </row>
    <row r="6093" spans="1:10" x14ac:dyDescent="0.25">
      <c r="A6093">
        <v>158</v>
      </c>
      <c r="B6093" t="s">
        <v>4</v>
      </c>
      <c r="C6093">
        <v>146</v>
      </c>
      <c r="D6093">
        <v>0</v>
      </c>
      <c r="E6093">
        <v>0</v>
      </c>
      <c r="F6093">
        <v>55420</v>
      </c>
      <c r="G6093">
        <v>2500</v>
      </c>
      <c r="H6093">
        <v>0</v>
      </c>
      <c r="J6093" t="str">
        <f>VLOOKUP(Table3[[#This Row],[Faction ID]],Table4[],2)</f>
        <v>Gondor</v>
      </c>
    </row>
    <row r="6094" spans="1:10" x14ac:dyDescent="0.25">
      <c r="A6094">
        <v>158</v>
      </c>
      <c r="B6094" t="s">
        <v>6</v>
      </c>
      <c r="C6094">
        <v>199</v>
      </c>
      <c r="D6094">
        <v>0</v>
      </c>
      <c r="E6094">
        <v>0</v>
      </c>
      <c r="F6094">
        <v>10343</v>
      </c>
      <c r="G6094">
        <v>2500</v>
      </c>
      <c r="H6094">
        <v>0</v>
      </c>
      <c r="J6094" t="str">
        <f>VLOOKUP(Table3[[#This Row],[Faction ID]],Table4[],2)</f>
        <v>Dale</v>
      </c>
    </row>
    <row r="6095" spans="1:10" x14ac:dyDescent="0.25">
      <c r="A6095">
        <v>158</v>
      </c>
      <c r="B6095" t="s">
        <v>21</v>
      </c>
      <c r="C6095">
        <v>200</v>
      </c>
      <c r="D6095">
        <v>0</v>
      </c>
      <c r="E6095">
        <v>0</v>
      </c>
      <c r="F6095">
        <v>10040</v>
      </c>
      <c r="G6095">
        <v>2500</v>
      </c>
      <c r="H6095">
        <v>0</v>
      </c>
      <c r="J6095" t="str">
        <f>VLOOKUP(Table3[[#This Row],[Faction ID]],Table4[],2)</f>
        <v>Erebor</v>
      </c>
    </row>
    <row r="6096" spans="1:10" x14ac:dyDescent="0.25">
      <c r="A6096">
        <v>158</v>
      </c>
      <c r="B6096" t="s">
        <v>5</v>
      </c>
      <c r="C6096">
        <v>157</v>
      </c>
      <c r="D6096">
        <v>0</v>
      </c>
      <c r="E6096">
        <v>0</v>
      </c>
      <c r="F6096">
        <v>6638</v>
      </c>
      <c r="G6096">
        <v>2500</v>
      </c>
      <c r="H6096">
        <v>0</v>
      </c>
      <c r="J6096" t="str">
        <f>VLOOKUP(Table3[[#This Row],[Faction ID]],Table4[],2)</f>
        <v>Rohan</v>
      </c>
    </row>
    <row r="6097" spans="1:10" x14ac:dyDescent="0.25">
      <c r="A6097">
        <v>158</v>
      </c>
      <c r="B6097" t="s">
        <v>12</v>
      </c>
      <c r="C6097">
        <v>597</v>
      </c>
      <c r="D6097">
        <v>25</v>
      </c>
      <c r="E6097">
        <v>389.6</v>
      </c>
      <c r="F6097">
        <v>884557</v>
      </c>
      <c r="G6097">
        <v>74700</v>
      </c>
      <c r="H6097">
        <v>7180</v>
      </c>
      <c r="J6097" t="str">
        <f>VLOOKUP(Table3[[#This Row],[Faction ID]],Table4[],2)</f>
        <v>Dol Guldur</v>
      </c>
    </row>
    <row r="6098" spans="1:10" x14ac:dyDescent="0.25">
      <c r="A6098">
        <v>158</v>
      </c>
      <c r="B6098" t="s">
        <v>10</v>
      </c>
      <c r="C6098">
        <v>58</v>
      </c>
      <c r="D6098">
        <v>0</v>
      </c>
      <c r="E6098">
        <v>0</v>
      </c>
      <c r="F6098">
        <v>4515</v>
      </c>
      <c r="G6098">
        <v>2500</v>
      </c>
      <c r="H6098">
        <v>0</v>
      </c>
      <c r="J6098" t="str">
        <f>VLOOKUP(Table3[[#This Row],[Faction ID]],Table4[],2)</f>
        <v>Anduin Vale</v>
      </c>
    </row>
    <row r="6099" spans="1:10" x14ac:dyDescent="0.25">
      <c r="A6099">
        <v>158</v>
      </c>
      <c r="B6099" t="s">
        <v>32</v>
      </c>
      <c r="C6099">
        <v>329</v>
      </c>
      <c r="D6099">
        <v>0</v>
      </c>
      <c r="E6099">
        <v>0</v>
      </c>
      <c r="F6099">
        <v>23007</v>
      </c>
      <c r="G6099">
        <v>2500</v>
      </c>
      <c r="H6099">
        <v>0</v>
      </c>
      <c r="J6099" t="str">
        <f>VLOOKUP(Table3[[#This Row],[Faction ID]],Table4[],2)</f>
        <v>Isengard</v>
      </c>
    </row>
    <row r="6100" spans="1:10" x14ac:dyDescent="0.25">
      <c r="A6100">
        <v>158</v>
      </c>
      <c r="B6100" t="s">
        <v>22</v>
      </c>
      <c r="C6100">
        <v>30</v>
      </c>
      <c r="D6100">
        <v>0</v>
      </c>
      <c r="E6100">
        <v>0</v>
      </c>
      <c r="F6100">
        <v>8475</v>
      </c>
      <c r="G6100">
        <v>2500</v>
      </c>
      <c r="H6100">
        <v>0</v>
      </c>
      <c r="J6100" t="str">
        <f>VLOOKUP(Table3[[#This Row],[Faction ID]],Table4[],2)</f>
        <v>Woodland Realm</v>
      </c>
    </row>
    <row r="6101" spans="1:10" x14ac:dyDescent="0.25">
      <c r="A6101">
        <v>158</v>
      </c>
      <c r="B6101" t="s">
        <v>23</v>
      </c>
      <c r="C6101">
        <v>64</v>
      </c>
      <c r="D6101">
        <v>0</v>
      </c>
      <c r="E6101">
        <v>0</v>
      </c>
      <c r="F6101">
        <v>4721</v>
      </c>
      <c r="G6101">
        <v>2500</v>
      </c>
      <c r="H6101">
        <v>0</v>
      </c>
      <c r="J6101" t="str">
        <f>VLOOKUP(Table3[[#This Row],[Faction ID]],Table4[],2)</f>
        <v>Lothlorien</v>
      </c>
    </row>
    <row r="6102" spans="1:10" x14ac:dyDescent="0.25">
      <c r="A6102">
        <v>158</v>
      </c>
      <c r="B6102" t="s">
        <v>24</v>
      </c>
      <c r="C6102">
        <v>0</v>
      </c>
      <c r="D6102">
        <v>0</v>
      </c>
      <c r="E6102">
        <v>0</v>
      </c>
      <c r="F6102">
        <v>4919</v>
      </c>
      <c r="G6102">
        <v>1750</v>
      </c>
      <c r="H6102">
        <v>0</v>
      </c>
      <c r="J6102" t="str">
        <f>VLOOKUP(Table3[[#This Row],[Faction ID]],Table4[],2)</f>
        <v>Variags (Khand)</v>
      </c>
    </row>
    <row r="6103" spans="1:10" x14ac:dyDescent="0.25">
      <c r="A6103">
        <v>158</v>
      </c>
      <c r="B6103" t="s">
        <v>14</v>
      </c>
      <c r="C6103">
        <v>24</v>
      </c>
      <c r="D6103">
        <v>17</v>
      </c>
      <c r="E6103">
        <v>293.79999999999899</v>
      </c>
      <c r="F6103">
        <v>736120</v>
      </c>
      <c r="G6103">
        <v>69756</v>
      </c>
      <c r="H6103">
        <v>6286</v>
      </c>
      <c r="J6103" t="str">
        <f>VLOOKUP(Table3[[#This Row],[Faction ID]],Table4[],2)</f>
        <v>Corsairs of Umbar</v>
      </c>
    </row>
    <row r="6104" spans="1:10" x14ac:dyDescent="0.25">
      <c r="A6104">
        <v>158</v>
      </c>
      <c r="B6104" t="s">
        <v>25</v>
      </c>
      <c r="C6104">
        <v>0</v>
      </c>
      <c r="D6104">
        <v>0</v>
      </c>
      <c r="E6104">
        <v>0</v>
      </c>
      <c r="F6104">
        <v>9228</v>
      </c>
      <c r="G6104">
        <v>1750</v>
      </c>
      <c r="H6104">
        <v>0</v>
      </c>
      <c r="J6104" t="str">
        <f>VLOOKUP(Table3[[#This Row],[Faction ID]],Table4[],2)</f>
        <v>Mahud</v>
      </c>
    </row>
    <row r="6105" spans="1:10" x14ac:dyDescent="0.25">
      <c r="A6105">
        <v>158</v>
      </c>
      <c r="B6105" t="s">
        <v>11</v>
      </c>
      <c r="C6105">
        <v>485</v>
      </c>
      <c r="D6105">
        <v>19</v>
      </c>
      <c r="E6105">
        <v>336.9</v>
      </c>
      <c r="F6105">
        <v>389542</v>
      </c>
      <c r="G6105">
        <v>61126</v>
      </c>
      <c r="H6105">
        <v>5175</v>
      </c>
      <c r="J6105" t="str">
        <f>VLOOKUP(Table3[[#This Row],[Faction ID]],Table4[],2)</f>
        <v>Haradrim</v>
      </c>
    </row>
    <row r="6106" spans="1:10" x14ac:dyDescent="0.25">
      <c r="A6106">
        <v>158</v>
      </c>
      <c r="B6106" t="s">
        <v>15</v>
      </c>
      <c r="C6106">
        <v>423</v>
      </c>
      <c r="D6106">
        <v>5</v>
      </c>
      <c r="E6106">
        <v>180.1</v>
      </c>
      <c r="F6106">
        <v>245040</v>
      </c>
      <c r="G6106">
        <v>36535</v>
      </c>
      <c r="H6106">
        <v>0</v>
      </c>
      <c r="J6106" t="str">
        <f>VLOOKUP(Table3[[#This Row],[Faction ID]],Table4[],2)</f>
        <v>Dunlendings</v>
      </c>
    </row>
    <row r="6107" spans="1:10" x14ac:dyDescent="0.25">
      <c r="A6107">
        <v>158</v>
      </c>
      <c r="B6107" t="s">
        <v>16</v>
      </c>
      <c r="C6107">
        <v>0</v>
      </c>
      <c r="D6107">
        <v>0</v>
      </c>
      <c r="E6107">
        <v>0</v>
      </c>
      <c r="F6107">
        <v>5352</v>
      </c>
      <c r="G6107">
        <v>1750</v>
      </c>
      <c r="H6107">
        <v>0</v>
      </c>
      <c r="J6107" t="str">
        <f>VLOOKUP(Table3[[#This Row],[Faction ID]],Table4[],2)</f>
        <v>Haerrim</v>
      </c>
    </row>
    <row r="6108" spans="1:10" x14ac:dyDescent="0.25">
      <c r="A6108">
        <v>158</v>
      </c>
      <c r="B6108" t="s">
        <v>13</v>
      </c>
      <c r="C6108">
        <v>666</v>
      </c>
      <c r="D6108">
        <v>0</v>
      </c>
      <c r="E6108">
        <v>0</v>
      </c>
      <c r="F6108">
        <v>128480</v>
      </c>
      <c r="G6108">
        <v>2500</v>
      </c>
      <c r="H6108">
        <v>0</v>
      </c>
      <c r="J6108" t="str">
        <f>VLOOKUP(Table3[[#This Row],[Faction ID]],Table4[],2)</f>
        <v>Goblins</v>
      </c>
    </row>
    <row r="6109" spans="1:10" x14ac:dyDescent="0.25">
      <c r="A6109">
        <v>158</v>
      </c>
      <c r="B6109" t="s">
        <v>17</v>
      </c>
      <c r="C6109">
        <v>0</v>
      </c>
      <c r="D6109">
        <v>0</v>
      </c>
      <c r="E6109">
        <v>0</v>
      </c>
      <c r="F6109">
        <v>4872</v>
      </c>
      <c r="G6109">
        <v>1750</v>
      </c>
      <c r="H6109">
        <v>0</v>
      </c>
      <c r="J6109" t="str">
        <f>VLOOKUP(Table3[[#This Row],[Faction ID]],Table4[],2)</f>
        <v>Balchoth</v>
      </c>
    </row>
    <row r="6110" spans="1:10" x14ac:dyDescent="0.25">
      <c r="A6110">
        <v>158</v>
      </c>
      <c r="B6110" t="s">
        <v>18</v>
      </c>
      <c r="C6110">
        <v>745</v>
      </c>
      <c r="D6110">
        <v>8</v>
      </c>
      <c r="E6110">
        <v>79.7</v>
      </c>
      <c r="F6110">
        <v>450049</v>
      </c>
      <c r="G6110">
        <v>18154</v>
      </c>
      <c r="H6110">
        <v>0</v>
      </c>
      <c r="J6110" t="str">
        <f>VLOOKUP(Table3[[#This Row],[Faction ID]],Table4[],2)</f>
        <v>Rhurim/Rhun</v>
      </c>
    </row>
    <row r="6111" spans="1:10" x14ac:dyDescent="0.25">
      <c r="A6111">
        <v>158</v>
      </c>
      <c r="B6111" t="s">
        <v>19</v>
      </c>
      <c r="C6111">
        <v>0</v>
      </c>
      <c r="D6111">
        <v>0</v>
      </c>
      <c r="E6111">
        <v>0</v>
      </c>
      <c r="F6111">
        <v>7360</v>
      </c>
      <c r="G6111">
        <v>1750</v>
      </c>
      <c r="H6111">
        <v>0</v>
      </c>
      <c r="J6111" t="str">
        <f>VLOOKUP(Table3[[#This Row],[Faction ID]],Table4[],2)</f>
        <v>Feredrim</v>
      </c>
    </row>
    <row r="6112" spans="1:10" x14ac:dyDescent="0.25">
      <c r="A6112">
        <v>158</v>
      </c>
      <c r="B6112" t="s">
        <v>26</v>
      </c>
      <c r="C6112">
        <v>0</v>
      </c>
      <c r="D6112">
        <v>0</v>
      </c>
      <c r="E6112">
        <v>0</v>
      </c>
      <c r="F6112">
        <v>6395</v>
      </c>
      <c r="G6112">
        <v>1750</v>
      </c>
      <c r="H6112">
        <v>0</v>
      </c>
      <c r="J6112" t="str">
        <f>VLOOKUP(Table3[[#This Row],[Faction ID]],Table4[],2)</f>
        <v>Rachrohir (Wainriders)</v>
      </c>
    </row>
    <row r="6113" spans="1:10" x14ac:dyDescent="0.25">
      <c r="A6113">
        <v>158</v>
      </c>
      <c r="B6113" t="s">
        <v>27</v>
      </c>
      <c r="C6113">
        <v>8</v>
      </c>
      <c r="D6113">
        <v>6</v>
      </c>
      <c r="E6113">
        <v>101</v>
      </c>
      <c r="F6113">
        <v>66430</v>
      </c>
      <c r="G6113">
        <v>26463</v>
      </c>
      <c r="H6113">
        <v>2430</v>
      </c>
      <c r="J6113" t="str">
        <f>VLOOKUP(Table3[[#This Row],[Faction ID]],Table4[],2)</f>
        <v>Blacklock-Stonefoot League</v>
      </c>
    </row>
    <row r="6114" spans="1:10" x14ac:dyDescent="0.25">
      <c r="A6114">
        <v>158</v>
      </c>
      <c r="B6114" t="s">
        <v>28</v>
      </c>
      <c r="C6114">
        <v>9</v>
      </c>
      <c r="D6114">
        <v>6</v>
      </c>
      <c r="E6114">
        <v>114</v>
      </c>
      <c r="F6114">
        <v>46576</v>
      </c>
      <c r="G6114">
        <v>36010</v>
      </c>
      <c r="H6114">
        <v>2125</v>
      </c>
      <c r="J6114" t="str">
        <f>VLOOKUP(Table3[[#This Row],[Faction ID]],Table4[],2)</f>
        <v>Ironfist-Stiffbeard Union</v>
      </c>
    </row>
    <row r="6115" spans="1:10" x14ac:dyDescent="0.25">
      <c r="A6115">
        <v>158</v>
      </c>
      <c r="B6115" t="s">
        <v>20</v>
      </c>
      <c r="C6115">
        <v>245</v>
      </c>
      <c r="D6115">
        <v>0</v>
      </c>
      <c r="E6115">
        <v>0</v>
      </c>
      <c r="F6115">
        <v>9750</v>
      </c>
      <c r="G6115">
        <v>2500</v>
      </c>
      <c r="H6115">
        <v>0</v>
      </c>
      <c r="J6115" t="str">
        <f>VLOOKUP(Table3[[#This Row],[Faction ID]],Table4[],2)</f>
        <v>Gundabad</v>
      </c>
    </row>
    <row r="6116" spans="1:10" x14ac:dyDescent="0.25">
      <c r="A6116">
        <v>158</v>
      </c>
      <c r="B6116" t="s">
        <v>34</v>
      </c>
      <c r="C6116">
        <v>0</v>
      </c>
      <c r="D6116">
        <v>0</v>
      </c>
      <c r="E6116">
        <v>3</v>
      </c>
      <c r="F6116">
        <v>181447</v>
      </c>
      <c r="G6116">
        <v>2354</v>
      </c>
      <c r="H6116">
        <v>0</v>
      </c>
      <c r="J6116" t="str">
        <f>VLOOKUP(Table3[[#This Row],[Faction ID]],Table4[],2)</f>
        <v>Scouts of Rohan</v>
      </c>
    </row>
    <row r="6117" spans="1:10" x14ac:dyDescent="0.25">
      <c r="A6117">
        <v>158</v>
      </c>
      <c r="B6117" t="s">
        <v>33</v>
      </c>
      <c r="C6117">
        <v>0</v>
      </c>
      <c r="D6117">
        <v>0</v>
      </c>
      <c r="E6117">
        <v>0</v>
      </c>
      <c r="F6117">
        <v>23466</v>
      </c>
      <c r="G6117">
        <v>1750</v>
      </c>
      <c r="H6117">
        <v>0</v>
      </c>
      <c r="J6117" t="str">
        <f>VLOOKUP(Table3[[#This Row],[Faction ID]],Table4[],2)</f>
        <v>Northern Enedwaith</v>
      </c>
    </row>
    <row r="6118" spans="1:10" x14ac:dyDescent="0.25">
      <c r="A6118">
        <v>158</v>
      </c>
      <c r="B6118" t="s">
        <v>29</v>
      </c>
      <c r="C6118">
        <v>0</v>
      </c>
      <c r="D6118">
        <v>0</v>
      </c>
      <c r="E6118">
        <v>0</v>
      </c>
      <c r="F6118">
        <v>54023</v>
      </c>
      <c r="G6118">
        <v>1750</v>
      </c>
      <c r="H6118">
        <v>0</v>
      </c>
      <c r="J6118" t="str">
        <f>VLOOKUP(Table3[[#This Row],[Faction ID]],Table4[],2)</f>
        <v>Southern Enedwaith</v>
      </c>
    </row>
    <row r="6119" spans="1:10" x14ac:dyDescent="0.25">
      <c r="A6119">
        <v>158</v>
      </c>
      <c r="B6119" t="s">
        <v>30</v>
      </c>
      <c r="C6119">
        <v>0</v>
      </c>
      <c r="D6119">
        <v>0</v>
      </c>
      <c r="E6119">
        <v>0</v>
      </c>
      <c r="F6119">
        <v>32146</v>
      </c>
      <c r="G6119">
        <v>1750</v>
      </c>
      <c r="H6119">
        <v>0</v>
      </c>
      <c r="J6119" t="str">
        <f>VLOOKUP(Table3[[#This Row],[Faction ID]],Table4[],2)</f>
        <v>Druedain</v>
      </c>
    </row>
    <row r="6120" spans="1:10" x14ac:dyDescent="0.25">
      <c r="A6120">
        <v>158</v>
      </c>
      <c r="B6120" t="s">
        <v>31</v>
      </c>
      <c r="C6120">
        <v>0</v>
      </c>
      <c r="D6120">
        <v>0</v>
      </c>
      <c r="E6120">
        <v>0</v>
      </c>
      <c r="F6120">
        <v>15146</v>
      </c>
      <c r="G6120">
        <v>1750</v>
      </c>
      <c r="H6120">
        <v>0</v>
      </c>
      <c r="J6120" t="str">
        <f>VLOOKUP(Table3[[#This Row],[Faction ID]],Table4[],2)</f>
        <v>Harondor</v>
      </c>
    </row>
    <row r="6121" spans="1:10" x14ac:dyDescent="0.25">
      <c r="A6121">
        <v>158</v>
      </c>
      <c r="B6121" t="s">
        <v>35</v>
      </c>
      <c r="C6121">
        <v>0</v>
      </c>
      <c r="D6121">
        <v>0</v>
      </c>
      <c r="E6121">
        <v>0</v>
      </c>
      <c r="F6121">
        <v>4000</v>
      </c>
      <c r="G6121">
        <v>1750</v>
      </c>
      <c r="H6121">
        <v>0</v>
      </c>
      <c r="J6121" t="str">
        <f>VLOOKUP(Table3[[#This Row],[Faction ID]],Table4[],2)</f>
        <v>Southron Nomads</v>
      </c>
    </row>
    <row r="6122" spans="1:10" x14ac:dyDescent="0.25">
      <c r="A6122">
        <v>158</v>
      </c>
      <c r="B6122" t="s">
        <v>36</v>
      </c>
      <c r="C6122">
        <v>0</v>
      </c>
      <c r="D6122">
        <v>0</v>
      </c>
      <c r="E6122">
        <v>0</v>
      </c>
      <c r="F6122">
        <v>4000</v>
      </c>
      <c r="G6122">
        <v>1750</v>
      </c>
      <c r="H6122">
        <v>0</v>
      </c>
      <c r="J6122" t="str">
        <f>VLOOKUP(Table3[[#This Row],[Faction ID]],Table4[],2)</f>
        <v>_</v>
      </c>
    </row>
    <row r="6123" spans="1:10" x14ac:dyDescent="0.25">
      <c r="A6123">
        <v>158</v>
      </c>
      <c r="B6123" t="s">
        <v>37</v>
      </c>
      <c r="C6123">
        <v>0</v>
      </c>
      <c r="D6123">
        <v>0</v>
      </c>
      <c r="E6123">
        <v>0</v>
      </c>
      <c r="F6123">
        <v>4000</v>
      </c>
      <c r="G6123">
        <v>1750</v>
      </c>
      <c r="H6123">
        <v>0</v>
      </c>
      <c r="J6123" t="str">
        <f>VLOOKUP(Table3[[#This Row],[Faction ID]],Table4[],2)</f>
        <v>_</v>
      </c>
    </row>
    <row r="6124" spans="1:10" x14ac:dyDescent="0.25">
      <c r="A6124">
        <v>158</v>
      </c>
      <c r="B6124" t="s">
        <v>38</v>
      </c>
      <c r="C6124">
        <v>0</v>
      </c>
      <c r="D6124">
        <v>0</v>
      </c>
      <c r="E6124">
        <v>0</v>
      </c>
      <c r="F6124">
        <v>4000</v>
      </c>
      <c r="G6124">
        <v>1750</v>
      </c>
      <c r="H6124">
        <v>0</v>
      </c>
      <c r="J6124" t="str">
        <f>VLOOKUP(Table3[[#This Row],[Faction ID]],Table4[],2)</f>
        <v>_</v>
      </c>
    </row>
    <row r="6125" spans="1:10" x14ac:dyDescent="0.25">
      <c r="A6125">
        <v>158</v>
      </c>
      <c r="B6125" t="s">
        <v>39</v>
      </c>
      <c r="C6125">
        <v>0</v>
      </c>
      <c r="D6125">
        <v>0</v>
      </c>
      <c r="E6125">
        <v>0</v>
      </c>
      <c r="F6125">
        <v>4000</v>
      </c>
      <c r="G6125">
        <v>1750</v>
      </c>
      <c r="H6125">
        <v>0</v>
      </c>
      <c r="J6125" t="str">
        <f>VLOOKUP(Table3[[#This Row],[Faction ID]],Table4[],2)</f>
        <v>_</v>
      </c>
    </row>
    <row r="6126" spans="1:10" x14ac:dyDescent="0.25">
      <c r="A6126">
        <v>158</v>
      </c>
      <c r="B6126" t="s">
        <v>40</v>
      </c>
      <c r="C6126">
        <v>0</v>
      </c>
      <c r="D6126">
        <v>0</v>
      </c>
      <c r="E6126">
        <v>0</v>
      </c>
      <c r="F6126">
        <v>4000</v>
      </c>
      <c r="G6126">
        <v>1750</v>
      </c>
      <c r="H6126">
        <v>0</v>
      </c>
      <c r="J6126" t="str">
        <f>VLOOKUP(Table3[[#This Row],[Faction ID]],Table4[],2)</f>
        <v>_</v>
      </c>
    </row>
    <row r="6127" spans="1:10" x14ac:dyDescent="0.25">
      <c r="A6127">
        <v>158</v>
      </c>
      <c r="B6127" t="s">
        <v>41</v>
      </c>
      <c r="C6127">
        <v>0</v>
      </c>
      <c r="D6127">
        <v>0</v>
      </c>
      <c r="E6127">
        <v>0</v>
      </c>
      <c r="F6127">
        <v>4000</v>
      </c>
      <c r="G6127">
        <v>1750</v>
      </c>
      <c r="H6127">
        <v>0</v>
      </c>
      <c r="J6127" t="str">
        <f>VLOOKUP(Table3[[#This Row],[Faction ID]],Table4[],2)</f>
        <v>_</v>
      </c>
    </row>
    <row r="6128" spans="1:10" x14ac:dyDescent="0.25">
      <c r="A6128">
        <v>158</v>
      </c>
      <c r="B6128" t="s">
        <v>42</v>
      </c>
      <c r="C6128">
        <v>0</v>
      </c>
      <c r="D6128">
        <v>0</v>
      </c>
      <c r="E6128">
        <v>0</v>
      </c>
      <c r="F6128">
        <v>4000</v>
      </c>
      <c r="G6128">
        <v>1750</v>
      </c>
      <c r="H6128">
        <v>0</v>
      </c>
      <c r="J6128" t="str">
        <f>VLOOKUP(Table3[[#This Row],[Faction ID]],Table4[],2)</f>
        <v>_</v>
      </c>
    </row>
    <row r="6129" spans="1:10" x14ac:dyDescent="0.25">
      <c r="A6129">
        <v>158</v>
      </c>
      <c r="B6129" t="s">
        <v>43</v>
      </c>
      <c r="C6129">
        <v>0</v>
      </c>
      <c r="D6129">
        <v>0</v>
      </c>
      <c r="E6129">
        <v>0</v>
      </c>
      <c r="F6129">
        <v>4000</v>
      </c>
      <c r="G6129">
        <v>1750</v>
      </c>
      <c r="H6129">
        <v>0</v>
      </c>
      <c r="J6129" t="str">
        <f>VLOOKUP(Table3[[#This Row],[Faction ID]],Table4[],2)</f>
        <v>_</v>
      </c>
    </row>
    <row r="6130" spans="1:10" x14ac:dyDescent="0.25">
      <c r="A6130">
        <v>158</v>
      </c>
      <c r="B6130" t="s">
        <v>44</v>
      </c>
      <c r="C6130">
        <v>0</v>
      </c>
      <c r="D6130">
        <v>0</v>
      </c>
      <c r="E6130">
        <v>0</v>
      </c>
      <c r="F6130">
        <v>4000</v>
      </c>
      <c r="G6130">
        <v>1750</v>
      </c>
      <c r="H6130">
        <v>0</v>
      </c>
      <c r="J6130" t="str">
        <f>VLOOKUP(Table3[[#This Row],[Faction ID]],Table4[],2)</f>
        <v>_</v>
      </c>
    </row>
    <row r="6131" spans="1:10" x14ac:dyDescent="0.25">
      <c r="A6131">
        <v>159</v>
      </c>
      <c r="B6131" t="s">
        <v>9</v>
      </c>
      <c r="C6131">
        <v>1305</v>
      </c>
      <c r="D6131">
        <v>70</v>
      </c>
      <c r="E6131">
        <v>926.6</v>
      </c>
      <c r="F6131">
        <v>2674</v>
      </c>
      <c r="G6131">
        <v>153009</v>
      </c>
      <c r="H6131">
        <v>14687</v>
      </c>
      <c r="J6131" t="str">
        <f>VLOOKUP(Table3[[#This Row],[Faction ID]],Table4[],2)</f>
        <v>Mordor</v>
      </c>
    </row>
    <row r="6132" spans="1:10" x14ac:dyDescent="0.25">
      <c r="A6132">
        <v>159</v>
      </c>
      <c r="B6132" t="s">
        <v>4</v>
      </c>
      <c r="C6132">
        <v>146</v>
      </c>
      <c r="D6132">
        <v>0</v>
      </c>
      <c r="E6132">
        <v>0</v>
      </c>
      <c r="F6132">
        <v>55420</v>
      </c>
      <c r="G6132">
        <v>2500</v>
      </c>
      <c r="H6132">
        <v>0</v>
      </c>
      <c r="J6132" t="str">
        <f>VLOOKUP(Table3[[#This Row],[Faction ID]],Table4[],2)</f>
        <v>Gondor</v>
      </c>
    </row>
    <row r="6133" spans="1:10" x14ac:dyDescent="0.25">
      <c r="A6133">
        <v>159</v>
      </c>
      <c r="B6133" t="s">
        <v>6</v>
      </c>
      <c r="C6133">
        <v>199</v>
      </c>
      <c r="D6133">
        <v>0</v>
      </c>
      <c r="E6133">
        <v>0</v>
      </c>
      <c r="F6133">
        <v>10343</v>
      </c>
      <c r="G6133">
        <v>2500</v>
      </c>
      <c r="H6133">
        <v>0</v>
      </c>
      <c r="J6133" t="str">
        <f>VLOOKUP(Table3[[#This Row],[Faction ID]],Table4[],2)</f>
        <v>Dale</v>
      </c>
    </row>
    <row r="6134" spans="1:10" x14ac:dyDescent="0.25">
      <c r="A6134">
        <v>159</v>
      </c>
      <c r="B6134" t="s">
        <v>21</v>
      </c>
      <c r="C6134">
        <v>200</v>
      </c>
      <c r="D6134">
        <v>0</v>
      </c>
      <c r="E6134">
        <v>0</v>
      </c>
      <c r="F6134">
        <v>10040</v>
      </c>
      <c r="G6134">
        <v>2500</v>
      </c>
      <c r="H6134">
        <v>0</v>
      </c>
      <c r="J6134" t="str">
        <f>VLOOKUP(Table3[[#This Row],[Faction ID]],Table4[],2)</f>
        <v>Erebor</v>
      </c>
    </row>
    <row r="6135" spans="1:10" x14ac:dyDescent="0.25">
      <c r="A6135">
        <v>159</v>
      </c>
      <c r="B6135" t="s">
        <v>5</v>
      </c>
      <c r="C6135">
        <v>157</v>
      </c>
      <c r="D6135">
        <v>0</v>
      </c>
      <c r="E6135">
        <v>0</v>
      </c>
      <c r="F6135">
        <v>6638</v>
      </c>
      <c r="G6135">
        <v>2500</v>
      </c>
      <c r="H6135">
        <v>0</v>
      </c>
      <c r="J6135" t="str">
        <f>VLOOKUP(Table3[[#This Row],[Faction ID]],Table4[],2)</f>
        <v>Rohan</v>
      </c>
    </row>
    <row r="6136" spans="1:10" x14ac:dyDescent="0.25">
      <c r="A6136">
        <v>159</v>
      </c>
      <c r="B6136" t="s">
        <v>12</v>
      </c>
      <c r="C6136">
        <v>621</v>
      </c>
      <c r="D6136">
        <v>25</v>
      </c>
      <c r="E6136">
        <v>368.2</v>
      </c>
      <c r="F6136">
        <v>909997</v>
      </c>
      <c r="G6136">
        <v>73354</v>
      </c>
      <c r="H6136">
        <v>7192</v>
      </c>
      <c r="J6136" t="str">
        <f>VLOOKUP(Table3[[#This Row],[Faction ID]],Table4[],2)</f>
        <v>Dol Guldur</v>
      </c>
    </row>
    <row r="6137" spans="1:10" x14ac:dyDescent="0.25">
      <c r="A6137">
        <v>159</v>
      </c>
      <c r="B6137" t="s">
        <v>10</v>
      </c>
      <c r="C6137">
        <v>58</v>
      </c>
      <c r="D6137">
        <v>0</v>
      </c>
      <c r="E6137">
        <v>0</v>
      </c>
      <c r="F6137">
        <v>4515</v>
      </c>
      <c r="G6137">
        <v>2500</v>
      </c>
      <c r="H6137">
        <v>0</v>
      </c>
      <c r="J6137" t="str">
        <f>VLOOKUP(Table3[[#This Row],[Faction ID]],Table4[],2)</f>
        <v>Anduin Vale</v>
      </c>
    </row>
    <row r="6138" spans="1:10" x14ac:dyDescent="0.25">
      <c r="A6138">
        <v>159</v>
      </c>
      <c r="B6138" t="s">
        <v>32</v>
      </c>
      <c r="C6138">
        <v>329</v>
      </c>
      <c r="D6138">
        <v>0</v>
      </c>
      <c r="E6138">
        <v>0</v>
      </c>
      <c r="F6138">
        <v>23007</v>
      </c>
      <c r="G6138">
        <v>2500</v>
      </c>
      <c r="H6138">
        <v>0</v>
      </c>
      <c r="J6138" t="str">
        <f>VLOOKUP(Table3[[#This Row],[Faction ID]],Table4[],2)</f>
        <v>Isengard</v>
      </c>
    </row>
    <row r="6139" spans="1:10" x14ac:dyDescent="0.25">
      <c r="A6139">
        <v>159</v>
      </c>
      <c r="B6139" t="s">
        <v>22</v>
      </c>
      <c r="C6139">
        <v>30</v>
      </c>
      <c r="D6139">
        <v>0</v>
      </c>
      <c r="E6139">
        <v>0</v>
      </c>
      <c r="F6139">
        <v>8475</v>
      </c>
      <c r="G6139">
        <v>2500</v>
      </c>
      <c r="H6139">
        <v>0</v>
      </c>
      <c r="J6139" t="str">
        <f>VLOOKUP(Table3[[#This Row],[Faction ID]],Table4[],2)</f>
        <v>Woodland Realm</v>
      </c>
    </row>
    <row r="6140" spans="1:10" x14ac:dyDescent="0.25">
      <c r="A6140">
        <v>159</v>
      </c>
      <c r="B6140" t="s">
        <v>23</v>
      </c>
      <c r="C6140">
        <v>64</v>
      </c>
      <c r="D6140">
        <v>0</v>
      </c>
      <c r="E6140">
        <v>0</v>
      </c>
      <c r="F6140">
        <v>4721</v>
      </c>
      <c r="G6140">
        <v>2500</v>
      </c>
      <c r="H6140">
        <v>0</v>
      </c>
      <c r="J6140" t="str">
        <f>VLOOKUP(Table3[[#This Row],[Faction ID]],Table4[],2)</f>
        <v>Lothlorien</v>
      </c>
    </row>
    <row r="6141" spans="1:10" x14ac:dyDescent="0.25">
      <c r="A6141">
        <v>159</v>
      </c>
      <c r="B6141" t="s">
        <v>24</v>
      </c>
      <c r="C6141">
        <v>0</v>
      </c>
      <c r="D6141">
        <v>0</v>
      </c>
      <c r="E6141">
        <v>0</v>
      </c>
      <c r="F6141">
        <v>4919</v>
      </c>
      <c r="G6141">
        <v>1750</v>
      </c>
      <c r="H6141">
        <v>0</v>
      </c>
      <c r="J6141" t="str">
        <f>VLOOKUP(Table3[[#This Row],[Faction ID]],Table4[],2)</f>
        <v>Variags (Khand)</v>
      </c>
    </row>
    <row r="6142" spans="1:10" x14ac:dyDescent="0.25">
      <c r="A6142">
        <v>159</v>
      </c>
      <c r="B6142" t="s">
        <v>14</v>
      </c>
      <c r="C6142">
        <v>24</v>
      </c>
      <c r="D6142">
        <v>17</v>
      </c>
      <c r="E6142">
        <v>306.10000000000002</v>
      </c>
      <c r="F6142">
        <v>704366</v>
      </c>
      <c r="G6142">
        <v>70405</v>
      </c>
      <c r="H6142">
        <v>6317</v>
      </c>
      <c r="J6142" t="str">
        <f>VLOOKUP(Table3[[#This Row],[Faction ID]],Table4[],2)</f>
        <v>Corsairs of Umbar</v>
      </c>
    </row>
    <row r="6143" spans="1:10" x14ac:dyDescent="0.25">
      <c r="A6143">
        <v>159</v>
      </c>
      <c r="B6143" t="s">
        <v>25</v>
      </c>
      <c r="C6143">
        <v>0</v>
      </c>
      <c r="D6143">
        <v>0</v>
      </c>
      <c r="E6143">
        <v>0</v>
      </c>
      <c r="F6143">
        <v>9228</v>
      </c>
      <c r="G6143">
        <v>1750</v>
      </c>
      <c r="H6143">
        <v>0</v>
      </c>
      <c r="J6143" t="str">
        <f>VLOOKUP(Table3[[#This Row],[Faction ID]],Table4[],2)</f>
        <v>Mahud</v>
      </c>
    </row>
    <row r="6144" spans="1:10" x14ac:dyDescent="0.25">
      <c r="A6144">
        <v>159</v>
      </c>
      <c r="B6144" t="s">
        <v>11</v>
      </c>
      <c r="C6144">
        <v>498</v>
      </c>
      <c r="D6144">
        <v>19</v>
      </c>
      <c r="E6144">
        <v>343.9</v>
      </c>
      <c r="F6144">
        <v>397967</v>
      </c>
      <c r="G6144">
        <v>61726</v>
      </c>
      <c r="H6144">
        <v>5296</v>
      </c>
      <c r="J6144" t="str">
        <f>VLOOKUP(Table3[[#This Row],[Faction ID]],Table4[],2)</f>
        <v>Haradrim</v>
      </c>
    </row>
    <row r="6145" spans="1:10" x14ac:dyDescent="0.25">
      <c r="A6145">
        <v>159</v>
      </c>
      <c r="B6145" t="s">
        <v>15</v>
      </c>
      <c r="C6145">
        <v>423</v>
      </c>
      <c r="D6145">
        <v>5</v>
      </c>
      <c r="E6145">
        <v>162</v>
      </c>
      <c r="F6145">
        <v>241613</v>
      </c>
      <c r="G6145">
        <v>34169</v>
      </c>
      <c r="H6145">
        <v>0</v>
      </c>
      <c r="J6145" t="str">
        <f>VLOOKUP(Table3[[#This Row],[Faction ID]],Table4[],2)</f>
        <v>Dunlendings</v>
      </c>
    </row>
    <row r="6146" spans="1:10" x14ac:dyDescent="0.25">
      <c r="A6146">
        <v>159</v>
      </c>
      <c r="B6146" t="s">
        <v>16</v>
      </c>
      <c r="C6146">
        <v>0</v>
      </c>
      <c r="D6146">
        <v>0</v>
      </c>
      <c r="E6146">
        <v>0</v>
      </c>
      <c r="F6146">
        <v>5352</v>
      </c>
      <c r="G6146">
        <v>1750</v>
      </c>
      <c r="H6146">
        <v>0</v>
      </c>
      <c r="J6146" t="str">
        <f>VLOOKUP(Table3[[#This Row],[Faction ID]],Table4[],2)</f>
        <v>Haerrim</v>
      </c>
    </row>
    <row r="6147" spans="1:10" x14ac:dyDescent="0.25">
      <c r="A6147">
        <v>159</v>
      </c>
      <c r="B6147" t="s">
        <v>13</v>
      </c>
      <c r="C6147">
        <v>666</v>
      </c>
      <c r="D6147">
        <v>0</v>
      </c>
      <c r="E6147">
        <v>0</v>
      </c>
      <c r="F6147">
        <v>128480</v>
      </c>
      <c r="G6147">
        <v>2500</v>
      </c>
      <c r="H6147">
        <v>0</v>
      </c>
      <c r="J6147" t="str">
        <f>VLOOKUP(Table3[[#This Row],[Faction ID]],Table4[],2)</f>
        <v>Goblins</v>
      </c>
    </row>
    <row r="6148" spans="1:10" x14ac:dyDescent="0.25">
      <c r="A6148">
        <v>159</v>
      </c>
      <c r="B6148" t="s">
        <v>17</v>
      </c>
      <c r="C6148">
        <v>0</v>
      </c>
      <c r="D6148">
        <v>0</v>
      </c>
      <c r="E6148">
        <v>0</v>
      </c>
      <c r="F6148">
        <v>4872</v>
      </c>
      <c r="G6148">
        <v>1750</v>
      </c>
      <c r="H6148">
        <v>0</v>
      </c>
      <c r="J6148" t="str">
        <f>VLOOKUP(Table3[[#This Row],[Faction ID]],Table4[],2)</f>
        <v>Balchoth</v>
      </c>
    </row>
    <row r="6149" spans="1:10" x14ac:dyDescent="0.25">
      <c r="A6149">
        <v>159</v>
      </c>
      <c r="B6149" t="s">
        <v>18</v>
      </c>
      <c r="C6149">
        <v>753</v>
      </c>
      <c r="D6149">
        <v>8</v>
      </c>
      <c r="E6149">
        <v>88.7</v>
      </c>
      <c r="F6149">
        <v>441498</v>
      </c>
      <c r="G6149">
        <v>19713</v>
      </c>
      <c r="H6149">
        <v>0</v>
      </c>
      <c r="J6149" t="str">
        <f>VLOOKUP(Table3[[#This Row],[Faction ID]],Table4[],2)</f>
        <v>Rhurim/Rhun</v>
      </c>
    </row>
    <row r="6150" spans="1:10" x14ac:dyDescent="0.25">
      <c r="A6150">
        <v>159</v>
      </c>
      <c r="B6150" t="s">
        <v>19</v>
      </c>
      <c r="C6150">
        <v>0</v>
      </c>
      <c r="D6150">
        <v>0</v>
      </c>
      <c r="E6150">
        <v>0</v>
      </c>
      <c r="F6150">
        <v>7360</v>
      </c>
      <c r="G6150">
        <v>1750</v>
      </c>
      <c r="H6150">
        <v>0</v>
      </c>
      <c r="J6150" t="str">
        <f>VLOOKUP(Table3[[#This Row],[Faction ID]],Table4[],2)</f>
        <v>Feredrim</v>
      </c>
    </row>
    <row r="6151" spans="1:10" x14ac:dyDescent="0.25">
      <c r="A6151">
        <v>159</v>
      </c>
      <c r="B6151" t="s">
        <v>26</v>
      </c>
      <c r="C6151">
        <v>0</v>
      </c>
      <c r="D6151">
        <v>0</v>
      </c>
      <c r="E6151">
        <v>0</v>
      </c>
      <c r="F6151">
        <v>6395</v>
      </c>
      <c r="G6151">
        <v>1750</v>
      </c>
      <c r="H6151">
        <v>0</v>
      </c>
      <c r="J6151" t="str">
        <f>VLOOKUP(Table3[[#This Row],[Faction ID]],Table4[],2)</f>
        <v>Rachrohir (Wainriders)</v>
      </c>
    </row>
    <row r="6152" spans="1:10" x14ac:dyDescent="0.25">
      <c r="A6152">
        <v>159</v>
      </c>
      <c r="B6152" t="s">
        <v>27</v>
      </c>
      <c r="C6152">
        <v>8</v>
      </c>
      <c r="D6152">
        <v>6</v>
      </c>
      <c r="E6152">
        <v>108.3</v>
      </c>
      <c r="F6152">
        <v>62531</v>
      </c>
      <c r="G6152">
        <v>27032</v>
      </c>
      <c r="H6152">
        <v>2431</v>
      </c>
      <c r="J6152" t="str">
        <f>VLOOKUP(Table3[[#This Row],[Faction ID]],Table4[],2)</f>
        <v>Blacklock-Stonefoot League</v>
      </c>
    </row>
    <row r="6153" spans="1:10" x14ac:dyDescent="0.25">
      <c r="A6153">
        <v>159</v>
      </c>
      <c r="B6153" t="s">
        <v>28</v>
      </c>
      <c r="C6153">
        <v>9</v>
      </c>
      <c r="D6153">
        <v>6</v>
      </c>
      <c r="E6153">
        <v>118</v>
      </c>
      <c r="F6153">
        <v>50518</v>
      </c>
      <c r="G6153">
        <v>36659</v>
      </c>
      <c r="H6153">
        <v>2127</v>
      </c>
      <c r="J6153" t="str">
        <f>VLOOKUP(Table3[[#This Row],[Faction ID]],Table4[],2)</f>
        <v>Ironfist-Stiffbeard Union</v>
      </c>
    </row>
    <row r="6154" spans="1:10" x14ac:dyDescent="0.25">
      <c r="A6154">
        <v>159</v>
      </c>
      <c r="B6154" t="s">
        <v>20</v>
      </c>
      <c r="C6154">
        <v>245</v>
      </c>
      <c r="D6154">
        <v>0</v>
      </c>
      <c r="E6154">
        <v>0</v>
      </c>
      <c r="F6154">
        <v>9750</v>
      </c>
      <c r="G6154">
        <v>2500</v>
      </c>
      <c r="H6154">
        <v>0</v>
      </c>
      <c r="J6154" t="str">
        <f>VLOOKUP(Table3[[#This Row],[Faction ID]],Table4[],2)</f>
        <v>Gundabad</v>
      </c>
    </row>
    <row r="6155" spans="1:10" x14ac:dyDescent="0.25">
      <c r="A6155">
        <v>159</v>
      </c>
      <c r="B6155" t="s">
        <v>34</v>
      </c>
      <c r="C6155">
        <v>0</v>
      </c>
      <c r="D6155">
        <v>0</v>
      </c>
      <c r="E6155">
        <v>3</v>
      </c>
      <c r="F6155">
        <v>182593</v>
      </c>
      <c r="G6155">
        <v>2354</v>
      </c>
      <c r="H6155">
        <v>0</v>
      </c>
      <c r="J6155" t="str">
        <f>VLOOKUP(Table3[[#This Row],[Faction ID]],Table4[],2)</f>
        <v>Scouts of Rohan</v>
      </c>
    </row>
    <row r="6156" spans="1:10" x14ac:dyDescent="0.25">
      <c r="A6156">
        <v>159</v>
      </c>
      <c r="B6156" t="s">
        <v>33</v>
      </c>
      <c r="C6156">
        <v>0</v>
      </c>
      <c r="D6156">
        <v>0</v>
      </c>
      <c r="E6156">
        <v>0</v>
      </c>
      <c r="F6156">
        <v>23466</v>
      </c>
      <c r="G6156">
        <v>1750</v>
      </c>
      <c r="H6156">
        <v>0</v>
      </c>
      <c r="J6156" t="str">
        <f>VLOOKUP(Table3[[#This Row],[Faction ID]],Table4[],2)</f>
        <v>Northern Enedwaith</v>
      </c>
    </row>
    <row r="6157" spans="1:10" x14ac:dyDescent="0.25">
      <c r="A6157">
        <v>159</v>
      </c>
      <c r="B6157" t="s">
        <v>29</v>
      </c>
      <c r="C6157">
        <v>0</v>
      </c>
      <c r="D6157">
        <v>0</v>
      </c>
      <c r="E6157">
        <v>0</v>
      </c>
      <c r="F6157">
        <v>54023</v>
      </c>
      <c r="G6157">
        <v>1750</v>
      </c>
      <c r="H6157">
        <v>0</v>
      </c>
      <c r="J6157" t="str">
        <f>VLOOKUP(Table3[[#This Row],[Faction ID]],Table4[],2)</f>
        <v>Southern Enedwaith</v>
      </c>
    </row>
    <row r="6158" spans="1:10" x14ac:dyDescent="0.25">
      <c r="A6158">
        <v>159</v>
      </c>
      <c r="B6158" t="s">
        <v>30</v>
      </c>
      <c r="C6158">
        <v>0</v>
      </c>
      <c r="D6158">
        <v>0</v>
      </c>
      <c r="E6158">
        <v>0</v>
      </c>
      <c r="F6158">
        <v>32146</v>
      </c>
      <c r="G6158">
        <v>1750</v>
      </c>
      <c r="H6158">
        <v>0</v>
      </c>
      <c r="J6158" t="str">
        <f>VLOOKUP(Table3[[#This Row],[Faction ID]],Table4[],2)</f>
        <v>Druedain</v>
      </c>
    </row>
    <row r="6159" spans="1:10" x14ac:dyDescent="0.25">
      <c r="A6159">
        <v>159</v>
      </c>
      <c r="B6159" t="s">
        <v>31</v>
      </c>
      <c r="C6159">
        <v>0</v>
      </c>
      <c r="D6159">
        <v>0</v>
      </c>
      <c r="E6159">
        <v>0</v>
      </c>
      <c r="F6159">
        <v>15146</v>
      </c>
      <c r="G6159">
        <v>1750</v>
      </c>
      <c r="H6159">
        <v>0</v>
      </c>
      <c r="J6159" t="str">
        <f>VLOOKUP(Table3[[#This Row],[Faction ID]],Table4[],2)</f>
        <v>Harondor</v>
      </c>
    </row>
    <row r="6160" spans="1:10" x14ac:dyDescent="0.25">
      <c r="A6160">
        <v>159</v>
      </c>
      <c r="B6160" t="s">
        <v>35</v>
      </c>
      <c r="C6160">
        <v>0</v>
      </c>
      <c r="D6160">
        <v>0</v>
      </c>
      <c r="E6160">
        <v>0</v>
      </c>
      <c r="F6160">
        <v>4000</v>
      </c>
      <c r="G6160">
        <v>1750</v>
      </c>
      <c r="H6160">
        <v>0</v>
      </c>
      <c r="J6160" t="str">
        <f>VLOOKUP(Table3[[#This Row],[Faction ID]],Table4[],2)</f>
        <v>Southron Nomads</v>
      </c>
    </row>
    <row r="6161" spans="1:10" x14ac:dyDescent="0.25">
      <c r="A6161">
        <v>159</v>
      </c>
      <c r="B6161" t="s">
        <v>36</v>
      </c>
      <c r="C6161">
        <v>0</v>
      </c>
      <c r="D6161">
        <v>0</v>
      </c>
      <c r="E6161">
        <v>0</v>
      </c>
      <c r="F6161">
        <v>4000</v>
      </c>
      <c r="G6161">
        <v>1750</v>
      </c>
      <c r="H6161">
        <v>0</v>
      </c>
      <c r="J6161" t="str">
        <f>VLOOKUP(Table3[[#This Row],[Faction ID]],Table4[],2)</f>
        <v>_</v>
      </c>
    </row>
    <row r="6162" spans="1:10" x14ac:dyDescent="0.25">
      <c r="A6162">
        <v>159</v>
      </c>
      <c r="B6162" t="s">
        <v>37</v>
      </c>
      <c r="C6162">
        <v>0</v>
      </c>
      <c r="D6162">
        <v>0</v>
      </c>
      <c r="E6162">
        <v>0</v>
      </c>
      <c r="F6162">
        <v>4000</v>
      </c>
      <c r="G6162">
        <v>1750</v>
      </c>
      <c r="H6162">
        <v>0</v>
      </c>
      <c r="J6162" t="str">
        <f>VLOOKUP(Table3[[#This Row],[Faction ID]],Table4[],2)</f>
        <v>_</v>
      </c>
    </row>
    <row r="6163" spans="1:10" x14ac:dyDescent="0.25">
      <c r="A6163">
        <v>159</v>
      </c>
      <c r="B6163" t="s">
        <v>38</v>
      </c>
      <c r="C6163">
        <v>0</v>
      </c>
      <c r="D6163">
        <v>0</v>
      </c>
      <c r="E6163">
        <v>0</v>
      </c>
      <c r="F6163">
        <v>4000</v>
      </c>
      <c r="G6163">
        <v>1750</v>
      </c>
      <c r="H6163">
        <v>0</v>
      </c>
      <c r="J6163" t="str">
        <f>VLOOKUP(Table3[[#This Row],[Faction ID]],Table4[],2)</f>
        <v>_</v>
      </c>
    </row>
    <row r="6164" spans="1:10" x14ac:dyDescent="0.25">
      <c r="A6164">
        <v>159</v>
      </c>
      <c r="B6164" t="s">
        <v>39</v>
      </c>
      <c r="C6164">
        <v>0</v>
      </c>
      <c r="D6164">
        <v>0</v>
      </c>
      <c r="E6164">
        <v>0</v>
      </c>
      <c r="F6164">
        <v>4000</v>
      </c>
      <c r="G6164">
        <v>1750</v>
      </c>
      <c r="H6164">
        <v>0</v>
      </c>
      <c r="J6164" t="str">
        <f>VLOOKUP(Table3[[#This Row],[Faction ID]],Table4[],2)</f>
        <v>_</v>
      </c>
    </row>
    <row r="6165" spans="1:10" x14ac:dyDescent="0.25">
      <c r="A6165">
        <v>159</v>
      </c>
      <c r="B6165" t="s">
        <v>40</v>
      </c>
      <c r="C6165">
        <v>0</v>
      </c>
      <c r="D6165">
        <v>0</v>
      </c>
      <c r="E6165">
        <v>0</v>
      </c>
      <c r="F6165">
        <v>4000</v>
      </c>
      <c r="G6165">
        <v>1750</v>
      </c>
      <c r="H6165">
        <v>0</v>
      </c>
      <c r="J6165" t="str">
        <f>VLOOKUP(Table3[[#This Row],[Faction ID]],Table4[],2)</f>
        <v>_</v>
      </c>
    </row>
    <row r="6166" spans="1:10" x14ac:dyDescent="0.25">
      <c r="A6166">
        <v>159</v>
      </c>
      <c r="B6166" t="s">
        <v>41</v>
      </c>
      <c r="C6166">
        <v>0</v>
      </c>
      <c r="D6166">
        <v>0</v>
      </c>
      <c r="E6166">
        <v>0</v>
      </c>
      <c r="F6166">
        <v>4000</v>
      </c>
      <c r="G6166">
        <v>1750</v>
      </c>
      <c r="H6166">
        <v>0</v>
      </c>
      <c r="J6166" t="str">
        <f>VLOOKUP(Table3[[#This Row],[Faction ID]],Table4[],2)</f>
        <v>_</v>
      </c>
    </row>
    <row r="6167" spans="1:10" x14ac:dyDescent="0.25">
      <c r="A6167">
        <v>159</v>
      </c>
      <c r="B6167" t="s">
        <v>42</v>
      </c>
      <c r="C6167">
        <v>0</v>
      </c>
      <c r="D6167">
        <v>0</v>
      </c>
      <c r="E6167">
        <v>0</v>
      </c>
      <c r="F6167">
        <v>4000</v>
      </c>
      <c r="G6167">
        <v>1750</v>
      </c>
      <c r="H6167">
        <v>0</v>
      </c>
      <c r="J6167" t="str">
        <f>VLOOKUP(Table3[[#This Row],[Faction ID]],Table4[],2)</f>
        <v>_</v>
      </c>
    </row>
    <row r="6168" spans="1:10" x14ac:dyDescent="0.25">
      <c r="A6168">
        <v>159</v>
      </c>
      <c r="B6168" t="s">
        <v>43</v>
      </c>
      <c r="C6168">
        <v>0</v>
      </c>
      <c r="D6168">
        <v>0</v>
      </c>
      <c r="E6168">
        <v>0</v>
      </c>
      <c r="F6168">
        <v>4000</v>
      </c>
      <c r="G6168">
        <v>1750</v>
      </c>
      <c r="H6168">
        <v>0</v>
      </c>
      <c r="J6168" t="str">
        <f>VLOOKUP(Table3[[#This Row],[Faction ID]],Table4[],2)</f>
        <v>_</v>
      </c>
    </row>
    <row r="6169" spans="1:10" x14ac:dyDescent="0.25">
      <c r="A6169">
        <v>159</v>
      </c>
      <c r="B6169" t="s">
        <v>44</v>
      </c>
      <c r="C6169">
        <v>0</v>
      </c>
      <c r="D6169">
        <v>0</v>
      </c>
      <c r="E6169">
        <v>0</v>
      </c>
      <c r="F6169">
        <v>4000</v>
      </c>
      <c r="G6169">
        <v>1750</v>
      </c>
      <c r="H6169">
        <v>0</v>
      </c>
      <c r="J6169" t="str">
        <f>VLOOKUP(Table3[[#This Row],[Faction ID]],Table4[],2)</f>
        <v>_</v>
      </c>
    </row>
    <row r="6170" spans="1:10" x14ac:dyDescent="0.25">
      <c r="A6170">
        <v>160</v>
      </c>
      <c r="B6170" t="s">
        <v>9</v>
      </c>
      <c r="C6170">
        <v>1345</v>
      </c>
      <c r="D6170">
        <v>70</v>
      </c>
      <c r="E6170">
        <v>928.6</v>
      </c>
      <c r="F6170">
        <v>2721</v>
      </c>
      <c r="G6170">
        <v>153919</v>
      </c>
      <c r="H6170">
        <v>14809</v>
      </c>
      <c r="J6170" t="str">
        <f>VLOOKUP(Table3[[#This Row],[Faction ID]],Table4[],2)</f>
        <v>Mordor</v>
      </c>
    </row>
    <row r="6171" spans="1:10" x14ac:dyDescent="0.25">
      <c r="A6171">
        <v>160</v>
      </c>
      <c r="B6171" t="s">
        <v>4</v>
      </c>
      <c r="C6171">
        <v>146</v>
      </c>
      <c r="D6171">
        <v>0</v>
      </c>
      <c r="E6171">
        <v>0</v>
      </c>
      <c r="F6171">
        <v>55420</v>
      </c>
      <c r="G6171">
        <v>2500</v>
      </c>
      <c r="H6171">
        <v>0</v>
      </c>
      <c r="J6171" t="str">
        <f>VLOOKUP(Table3[[#This Row],[Faction ID]],Table4[],2)</f>
        <v>Gondor</v>
      </c>
    </row>
    <row r="6172" spans="1:10" x14ac:dyDescent="0.25">
      <c r="A6172">
        <v>160</v>
      </c>
      <c r="B6172" t="s">
        <v>6</v>
      </c>
      <c r="C6172">
        <v>199</v>
      </c>
      <c r="D6172">
        <v>0</v>
      </c>
      <c r="E6172">
        <v>0</v>
      </c>
      <c r="F6172">
        <v>10343</v>
      </c>
      <c r="G6172">
        <v>2500</v>
      </c>
      <c r="H6172">
        <v>0</v>
      </c>
      <c r="J6172" t="str">
        <f>VLOOKUP(Table3[[#This Row],[Faction ID]],Table4[],2)</f>
        <v>Dale</v>
      </c>
    </row>
    <row r="6173" spans="1:10" x14ac:dyDescent="0.25">
      <c r="A6173">
        <v>160</v>
      </c>
      <c r="B6173" t="s">
        <v>21</v>
      </c>
      <c r="C6173">
        <v>200</v>
      </c>
      <c r="D6173">
        <v>0</v>
      </c>
      <c r="E6173">
        <v>0</v>
      </c>
      <c r="F6173">
        <v>10040</v>
      </c>
      <c r="G6173">
        <v>2500</v>
      </c>
      <c r="H6173">
        <v>0</v>
      </c>
      <c r="J6173" t="str">
        <f>VLOOKUP(Table3[[#This Row],[Faction ID]],Table4[],2)</f>
        <v>Erebor</v>
      </c>
    </row>
    <row r="6174" spans="1:10" x14ac:dyDescent="0.25">
      <c r="A6174">
        <v>160</v>
      </c>
      <c r="B6174" t="s">
        <v>5</v>
      </c>
      <c r="C6174">
        <v>157</v>
      </c>
      <c r="D6174">
        <v>0</v>
      </c>
      <c r="E6174">
        <v>0</v>
      </c>
      <c r="F6174">
        <v>6638</v>
      </c>
      <c r="G6174">
        <v>2500</v>
      </c>
      <c r="H6174">
        <v>0</v>
      </c>
      <c r="J6174" t="str">
        <f>VLOOKUP(Table3[[#This Row],[Faction ID]],Table4[],2)</f>
        <v>Rohan</v>
      </c>
    </row>
    <row r="6175" spans="1:10" x14ac:dyDescent="0.25">
      <c r="A6175">
        <v>160</v>
      </c>
      <c r="B6175" t="s">
        <v>12</v>
      </c>
      <c r="C6175">
        <v>621</v>
      </c>
      <c r="D6175">
        <v>25</v>
      </c>
      <c r="E6175">
        <v>360.2</v>
      </c>
      <c r="F6175">
        <v>941790</v>
      </c>
      <c r="G6175">
        <v>72501</v>
      </c>
      <c r="H6175">
        <v>7198</v>
      </c>
      <c r="J6175" t="str">
        <f>VLOOKUP(Table3[[#This Row],[Faction ID]],Table4[],2)</f>
        <v>Dol Guldur</v>
      </c>
    </row>
    <row r="6176" spans="1:10" x14ac:dyDescent="0.25">
      <c r="A6176">
        <v>160</v>
      </c>
      <c r="B6176" t="s">
        <v>10</v>
      </c>
      <c r="C6176">
        <v>58</v>
      </c>
      <c r="D6176">
        <v>0</v>
      </c>
      <c r="E6176">
        <v>0</v>
      </c>
      <c r="F6176">
        <v>4515</v>
      </c>
      <c r="G6176">
        <v>2500</v>
      </c>
      <c r="H6176">
        <v>0</v>
      </c>
      <c r="J6176" t="str">
        <f>VLOOKUP(Table3[[#This Row],[Faction ID]],Table4[],2)</f>
        <v>Anduin Vale</v>
      </c>
    </row>
    <row r="6177" spans="1:10" x14ac:dyDescent="0.25">
      <c r="A6177">
        <v>160</v>
      </c>
      <c r="B6177" t="s">
        <v>32</v>
      </c>
      <c r="C6177">
        <v>329</v>
      </c>
      <c r="D6177">
        <v>0</v>
      </c>
      <c r="E6177">
        <v>0</v>
      </c>
      <c r="F6177">
        <v>23007</v>
      </c>
      <c r="G6177">
        <v>2500</v>
      </c>
      <c r="H6177">
        <v>0</v>
      </c>
      <c r="J6177" t="str">
        <f>VLOOKUP(Table3[[#This Row],[Faction ID]],Table4[],2)</f>
        <v>Isengard</v>
      </c>
    </row>
    <row r="6178" spans="1:10" x14ac:dyDescent="0.25">
      <c r="A6178">
        <v>160</v>
      </c>
      <c r="B6178" t="s">
        <v>22</v>
      </c>
      <c r="C6178">
        <v>30</v>
      </c>
      <c r="D6178">
        <v>0</v>
      </c>
      <c r="E6178">
        <v>0</v>
      </c>
      <c r="F6178">
        <v>8475</v>
      </c>
      <c r="G6178">
        <v>2500</v>
      </c>
      <c r="H6178">
        <v>0</v>
      </c>
      <c r="J6178" t="str">
        <f>VLOOKUP(Table3[[#This Row],[Faction ID]],Table4[],2)</f>
        <v>Woodland Realm</v>
      </c>
    </row>
    <row r="6179" spans="1:10" x14ac:dyDescent="0.25">
      <c r="A6179">
        <v>160</v>
      </c>
      <c r="B6179" t="s">
        <v>23</v>
      </c>
      <c r="C6179">
        <v>64</v>
      </c>
      <c r="D6179">
        <v>0</v>
      </c>
      <c r="E6179">
        <v>0</v>
      </c>
      <c r="F6179">
        <v>4721</v>
      </c>
      <c r="G6179">
        <v>2500</v>
      </c>
      <c r="H6179">
        <v>0</v>
      </c>
      <c r="J6179" t="str">
        <f>VLOOKUP(Table3[[#This Row],[Faction ID]],Table4[],2)</f>
        <v>Lothlorien</v>
      </c>
    </row>
    <row r="6180" spans="1:10" x14ac:dyDescent="0.25">
      <c r="A6180">
        <v>160</v>
      </c>
      <c r="B6180" t="s">
        <v>24</v>
      </c>
      <c r="C6180">
        <v>0</v>
      </c>
      <c r="D6180">
        <v>0</v>
      </c>
      <c r="E6180">
        <v>0</v>
      </c>
      <c r="F6180">
        <v>4919</v>
      </c>
      <c r="G6180">
        <v>1750</v>
      </c>
      <c r="H6180">
        <v>0</v>
      </c>
      <c r="J6180" t="str">
        <f>VLOOKUP(Table3[[#This Row],[Faction ID]],Table4[],2)</f>
        <v>Variags (Khand)</v>
      </c>
    </row>
    <row r="6181" spans="1:10" x14ac:dyDescent="0.25">
      <c r="A6181">
        <v>160</v>
      </c>
      <c r="B6181" t="s">
        <v>14</v>
      </c>
      <c r="C6181">
        <v>24</v>
      </c>
      <c r="D6181">
        <v>17</v>
      </c>
      <c r="E6181">
        <v>310.39999999999998</v>
      </c>
      <c r="F6181">
        <v>718410</v>
      </c>
      <c r="G6181">
        <v>71188</v>
      </c>
      <c r="H6181">
        <v>6336</v>
      </c>
      <c r="J6181" t="str">
        <f>VLOOKUP(Table3[[#This Row],[Faction ID]],Table4[],2)</f>
        <v>Corsairs of Umbar</v>
      </c>
    </row>
    <row r="6182" spans="1:10" x14ac:dyDescent="0.25">
      <c r="A6182">
        <v>160</v>
      </c>
      <c r="B6182" t="s">
        <v>25</v>
      </c>
      <c r="C6182">
        <v>0</v>
      </c>
      <c r="D6182">
        <v>0</v>
      </c>
      <c r="E6182">
        <v>0</v>
      </c>
      <c r="F6182">
        <v>9228</v>
      </c>
      <c r="G6182">
        <v>1750</v>
      </c>
      <c r="H6182">
        <v>0</v>
      </c>
      <c r="J6182" t="str">
        <f>VLOOKUP(Table3[[#This Row],[Faction ID]],Table4[],2)</f>
        <v>Mahud</v>
      </c>
    </row>
    <row r="6183" spans="1:10" x14ac:dyDescent="0.25">
      <c r="A6183">
        <v>160</v>
      </c>
      <c r="B6183" t="s">
        <v>11</v>
      </c>
      <c r="C6183">
        <v>504</v>
      </c>
      <c r="D6183">
        <v>20</v>
      </c>
      <c r="E6183">
        <v>344.9</v>
      </c>
      <c r="F6183">
        <v>402558</v>
      </c>
      <c r="G6183">
        <v>62205</v>
      </c>
      <c r="H6183">
        <v>5154</v>
      </c>
      <c r="J6183" t="str">
        <f>VLOOKUP(Table3[[#This Row],[Faction ID]],Table4[],2)</f>
        <v>Haradrim</v>
      </c>
    </row>
    <row r="6184" spans="1:10" x14ac:dyDescent="0.25">
      <c r="A6184">
        <v>160</v>
      </c>
      <c r="B6184" t="s">
        <v>15</v>
      </c>
      <c r="C6184">
        <v>423</v>
      </c>
      <c r="D6184">
        <v>5</v>
      </c>
      <c r="E6184">
        <v>160.89999999999901</v>
      </c>
      <c r="F6184">
        <v>240377</v>
      </c>
      <c r="G6184">
        <v>33436</v>
      </c>
      <c r="H6184">
        <v>0</v>
      </c>
      <c r="J6184" t="str">
        <f>VLOOKUP(Table3[[#This Row],[Faction ID]],Table4[],2)</f>
        <v>Dunlendings</v>
      </c>
    </row>
    <row r="6185" spans="1:10" x14ac:dyDescent="0.25">
      <c r="A6185">
        <v>160</v>
      </c>
      <c r="B6185" t="s">
        <v>16</v>
      </c>
      <c r="C6185">
        <v>0</v>
      </c>
      <c r="D6185">
        <v>0</v>
      </c>
      <c r="E6185">
        <v>0</v>
      </c>
      <c r="F6185">
        <v>5352</v>
      </c>
      <c r="G6185">
        <v>1750</v>
      </c>
      <c r="H6185">
        <v>0</v>
      </c>
      <c r="J6185" t="str">
        <f>VLOOKUP(Table3[[#This Row],[Faction ID]],Table4[],2)</f>
        <v>Haerrim</v>
      </c>
    </row>
    <row r="6186" spans="1:10" x14ac:dyDescent="0.25">
      <c r="A6186">
        <v>160</v>
      </c>
      <c r="B6186" t="s">
        <v>13</v>
      </c>
      <c r="C6186">
        <v>666</v>
      </c>
      <c r="D6186">
        <v>0</v>
      </c>
      <c r="E6186">
        <v>0</v>
      </c>
      <c r="F6186">
        <v>128480</v>
      </c>
      <c r="G6186">
        <v>2500</v>
      </c>
      <c r="H6186">
        <v>0</v>
      </c>
      <c r="J6186" t="str">
        <f>VLOOKUP(Table3[[#This Row],[Faction ID]],Table4[],2)</f>
        <v>Goblins</v>
      </c>
    </row>
    <row r="6187" spans="1:10" x14ac:dyDescent="0.25">
      <c r="A6187">
        <v>160</v>
      </c>
      <c r="B6187" t="s">
        <v>17</v>
      </c>
      <c r="C6187">
        <v>0</v>
      </c>
      <c r="D6187">
        <v>0</v>
      </c>
      <c r="E6187">
        <v>0</v>
      </c>
      <c r="F6187">
        <v>4872</v>
      </c>
      <c r="G6187">
        <v>1750</v>
      </c>
      <c r="H6187">
        <v>0</v>
      </c>
      <c r="J6187" t="str">
        <f>VLOOKUP(Table3[[#This Row],[Faction ID]],Table4[],2)</f>
        <v>Balchoth</v>
      </c>
    </row>
    <row r="6188" spans="1:10" x14ac:dyDescent="0.25">
      <c r="A6188">
        <v>160</v>
      </c>
      <c r="B6188" t="s">
        <v>18</v>
      </c>
      <c r="C6188">
        <v>760</v>
      </c>
      <c r="D6188">
        <v>7</v>
      </c>
      <c r="E6188">
        <v>81.7</v>
      </c>
      <c r="F6188">
        <v>439489</v>
      </c>
      <c r="G6188">
        <v>17289</v>
      </c>
      <c r="H6188">
        <v>0</v>
      </c>
      <c r="J6188" t="str">
        <f>VLOOKUP(Table3[[#This Row],[Faction ID]],Table4[],2)</f>
        <v>Rhurim/Rhun</v>
      </c>
    </row>
    <row r="6189" spans="1:10" x14ac:dyDescent="0.25">
      <c r="A6189">
        <v>160</v>
      </c>
      <c r="B6189" t="s">
        <v>19</v>
      </c>
      <c r="C6189">
        <v>0</v>
      </c>
      <c r="D6189">
        <v>0</v>
      </c>
      <c r="E6189">
        <v>0</v>
      </c>
      <c r="F6189">
        <v>7360</v>
      </c>
      <c r="G6189">
        <v>1750</v>
      </c>
      <c r="H6189">
        <v>0</v>
      </c>
      <c r="J6189" t="str">
        <f>VLOOKUP(Table3[[#This Row],[Faction ID]],Table4[],2)</f>
        <v>Feredrim</v>
      </c>
    </row>
    <row r="6190" spans="1:10" x14ac:dyDescent="0.25">
      <c r="A6190">
        <v>160</v>
      </c>
      <c r="B6190" t="s">
        <v>26</v>
      </c>
      <c r="C6190">
        <v>0</v>
      </c>
      <c r="D6190">
        <v>0</v>
      </c>
      <c r="E6190">
        <v>0</v>
      </c>
      <c r="F6190">
        <v>6395</v>
      </c>
      <c r="G6190">
        <v>1750</v>
      </c>
      <c r="H6190">
        <v>0</v>
      </c>
      <c r="J6190" t="str">
        <f>VLOOKUP(Table3[[#This Row],[Faction ID]],Table4[],2)</f>
        <v>Rachrohir (Wainriders)</v>
      </c>
    </row>
    <row r="6191" spans="1:10" x14ac:dyDescent="0.25">
      <c r="A6191">
        <v>160</v>
      </c>
      <c r="B6191" t="s">
        <v>27</v>
      </c>
      <c r="C6191">
        <v>8</v>
      </c>
      <c r="D6191">
        <v>6</v>
      </c>
      <c r="E6191">
        <v>108.3</v>
      </c>
      <c r="F6191">
        <v>75930</v>
      </c>
      <c r="G6191">
        <v>27027</v>
      </c>
      <c r="H6191">
        <v>2435</v>
      </c>
      <c r="J6191" t="str">
        <f>VLOOKUP(Table3[[#This Row],[Faction ID]],Table4[],2)</f>
        <v>Blacklock-Stonefoot League</v>
      </c>
    </row>
    <row r="6192" spans="1:10" x14ac:dyDescent="0.25">
      <c r="A6192">
        <v>160</v>
      </c>
      <c r="B6192" t="s">
        <v>28</v>
      </c>
      <c r="C6192">
        <v>9</v>
      </c>
      <c r="D6192">
        <v>6</v>
      </c>
      <c r="E6192">
        <v>129</v>
      </c>
      <c r="F6192">
        <v>47150</v>
      </c>
      <c r="G6192">
        <v>37184</v>
      </c>
      <c r="H6192">
        <v>2132</v>
      </c>
      <c r="J6192" t="str">
        <f>VLOOKUP(Table3[[#This Row],[Faction ID]],Table4[],2)</f>
        <v>Ironfist-Stiffbeard Union</v>
      </c>
    </row>
    <row r="6193" spans="1:10" x14ac:dyDescent="0.25">
      <c r="A6193">
        <v>160</v>
      </c>
      <c r="B6193" t="s">
        <v>20</v>
      </c>
      <c r="C6193">
        <v>245</v>
      </c>
      <c r="D6193">
        <v>0</v>
      </c>
      <c r="E6193">
        <v>0</v>
      </c>
      <c r="F6193">
        <v>9750</v>
      </c>
      <c r="G6193">
        <v>2500</v>
      </c>
      <c r="H6193">
        <v>0</v>
      </c>
      <c r="J6193" t="str">
        <f>VLOOKUP(Table3[[#This Row],[Faction ID]],Table4[],2)</f>
        <v>Gundabad</v>
      </c>
    </row>
    <row r="6194" spans="1:10" x14ac:dyDescent="0.25">
      <c r="A6194">
        <v>160</v>
      </c>
      <c r="B6194" t="s">
        <v>34</v>
      </c>
      <c r="C6194">
        <v>0</v>
      </c>
      <c r="D6194">
        <v>0</v>
      </c>
      <c r="E6194">
        <v>3</v>
      </c>
      <c r="F6194">
        <v>183739</v>
      </c>
      <c r="G6194">
        <v>2354</v>
      </c>
      <c r="H6194">
        <v>0</v>
      </c>
      <c r="J6194" t="str">
        <f>VLOOKUP(Table3[[#This Row],[Faction ID]],Table4[],2)</f>
        <v>Scouts of Rohan</v>
      </c>
    </row>
    <row r="6195" spans="1:10" x14ac:dyDescent="0.25">
      <c r="A6195">
        <v>160</v>
      </c>
      <c r="B6195" t="s">
        <v>33</v>
      </c>
      <c r="C6195">
        <v>0</v>
      </c>
      <c r="D6195">
        <v>0</v>
      </c>
      <c r="E6195">
        <v>0</v>
      </c>
      <c r="F6195">
        <v>23466</v>
      </c>
      <c r="G6195">
        <v>1750</v>
      </c>
      <c r="H6195">
        <v>0</v>
      </c>
      <c r="J6195" t="str">
        <f>VLOOKUP(Table3[[#This Row],[Faction ID]],Table4[],2)</f>
        <v>Northern Enedwaith</v>
      </c>
    </row>
    <row r="6196" spans="1:10" x14ac:dyDescent="0.25">
      <c r="A6196">
        <v>160</v>
      </c>
      <c r="B6196" t="s">
        <v>29</v>
      </c>
      <c r="C6196">
        <v>0</v>
      </c>
      <c r="D6196">
        <v>0</v>
      </c>
      <c r="E6196">
        <v>0</v>
      </c>
      <c r="F6196">
        <v>54023</v>
      </c>
      <c r="G6196">
        <v>1750</v>
      </c>
      <c r="H6196">
        <v>0</v>
      </c>
      <c r="J6196" t="str">
        <f>VLOOKUP(Table3[[#This Row],[Faction ID]],Table4[],2)</f>
        <v>Southern Enedwaith</v>
      </c>
    </row>
    <row r="6197" spans="1:10" x14ac:dyDescent="0.25">
      <c r="A6197">
        <v>160</v>
      </c>
      <c r="B6197" t="s">
        <v>30</v>
      </c>
      <c r="C6197">
        <v>0</v>
      </c>
      <c r="D6197">
        <v>0</v>
      </c>
      <c r="E6197">
        <v>0</v>
      </c>
      <c r="F6197">
        <v>32146</v>
      </c>
      <c r="G6197">
        <v>1750</v>
      </c>
      <c r="H6197">
        <v>0</v>
      </c>
      <c r="J6197" t="str">
        <f>VLOOKUP(Table3[[#This Row],[Faction ID]],Table4[],2)</f>
        <v>Druedain</v>
      </c>
    </row>
    <row r="6198" spans="1:10" x14ac:dyDescent="0.25">
      <c r="A6198">
        <v>160</v>
      </c>
      <c r="B6198" t="s">
        <v>31</v>
      </c>
      <c r="C6198">
        <v>0</v>
      </c>
      <c r="D6198">
        <v>0</v>
      </c>
      <c r="E6198">
        <v>0</v>
      </c>
      <c r="F6198">
        <v>15146</v>
      </c>
      <c r="G6198">
        <v>1750</v>
      </c>
      <c r="H6198">
        <v>0</v>
      </c>
      <c r="J6198" t="str">
        <f>VLOOKUP(Table3[[#This Row],[Faction ID]],Table4[],2)</f>
        <v>Harondor</v>
      </c>
    </row>
    <row r="6199" spans="1:10" x14ac:dyDescent="0.25">
      <c r="A6199">
        <v>160</v>
      </c>
      <c r="B6199" t="s">
        <v>35</v>
      </c>
      <c r="C6199">
        <v>0</v>
      </c>
      <c r="D6199">
        <v>0</v>
      </c>
      <c r="E6199">
        <v>0</v>
      </c>
      <c r="F6199">
        <v>4000</v>
      </c>
      <c r="G6199">
        <v>1750</v>
      </c>
      <c r="H6199">
        <v>0</v>
      </c>
      <c r="J6199" t="str">
        <f>VLOOKUP(Table3[[#This Row],[Faction ID]],Table4[],2)</f>
        <v>Southron Nomads</v>
      </c>
    </row>
    <row r="6200" spans="1:10" x14ac:dyDescent="0.25">
      <c r="A6200">
        <v>160</v>
      </c>
      <c r="B6200" t="s">
        <v>36</v>
      </c>
      <c r="C6200">
        <v>0</v>
      </c>
      <c r="D6200">
        <v>0</v>
      </c>
      <c r="E6200">
        <v>0</v>
      </c>
      <c r="F6200">
        <v>4000</v>
      </c>
      <c r="G6200">
        <v>1750</v>
      </c>
      <c r="H6200">
        <v>0</v>
      </c>
      <c r="J6200" t="str">
        <f>VLOOKUP(Table3[[#This Row],[Faction ID]],Table4[],2)</f>
        <v>_</v>
      </c>
    </row>
    <row r="6201" spans="1:10" x14ac:dyDescent="0.25">
      <c r="A6201">
        <v>160</v>
      </c>
      <c r="B6201" t="s">
        <v>37</v>
      </c>
      <c r="C6201">
        <v>0</v>
      </c>
      <c r="D6201">
        <v>0</v>
      </c>
      <c r="E6201">
        <v>0</v>
      </c>
      <c r="F6201">
        <v>4000</v>
      </c>
      <c r="G6201">
        <v>1750</v>
      </c>
      <c r="H6201">
        <v>0</v>
      </c>
      <c r="J6201" t="str">
        <f>VLOOKUP(Table3[[#This Row],[Faction ID]],Table4[],2)</f>
        <v>_</v>
      </c>
    </row>
    <row r="6202" spans="1:10" x14ac:dyDescent="0.25">
      <c r="A6202">
        <v>160</v>
      </c>
      <c r="B6202" t="s">
        <v>38</v>
      </c>
      <c r="C6202">
        <v>0</v>
      </c>
      <c r="D6202">
        <v>0</v>
      </c>
      <c r="E6202">
        <v>0</v>
      </c>
      <c r="F6202">
        <v>4000</v>
      </c>
      <c r="G6202">
        <v>1750</v>
      </c>
      <c r="H6202">
        <v>0</v>
      </c>
      <c r="J6202" t="str">
        <f>VLOOKUP(Table3[[#This Row],[Faction ID]],Table4[],2)</f>
        <v>_</v>
      </c>
    </row>
    <row r="6203" spans="1:10" x14ac:dyDescent="0.25">
      <c r="A6203">
        <v>160</v>
      </c>
      <c r="B6203" t="s">
        <v>39</v>
      </c>
      <c r="C6203">
        <v>0</v>
      </c>
      <c r="D6203">
        <v>0</v>
      </c>
      <c r="E6203">
        <v>0</v>
      </c>
      <c r="F6203">
        <v>4000</v>
      </c>
      <c r="G6203">
        <v>1750</v>
      </c>
      <c r="H6203">
        <v>0</v>
      </c>
      <c r="J6203" t="str">
        <f>VLOOKUP(Table3[[#This Row],[Faction ID]],Table4[],2)</f>
        <v>_</v>
      </c>
    </row>
    <row r="6204" spans="1:10" x14ac:dyDescent="0.25">
      <c r="A6204">
        <v>160</v>
      </c>
      <c r="B6204" t="s">
        <v>40</v>
      </c>
      <c r="C6204">
        <v>0</v>
      </c>
      <c r="D6204">
        <v>0</v>
      </c>
      <c r="E6204">
        <v>0</v>
      </c>
      <c r="F6204">
        <v>4000</v>
      </c>
      <c r="G6204">
        <v>1750</v>
      </c>
      <c r="H6204">
        <v>0</v>
      </c>
      <c r="J6204" t="str">
        <f>VLOOKUP(Table3[[#This Row],[Faction ID]],Table4[],2)</f>
        <v>_</v>
      </c>
    </row>
    <row r="6205" spans="1:10" x14ac:dyDescent="0.25">
      <c r="A6205">
        <v>160</v>
      </c>
      <c r="B6205" t="s">
        <v>41</v>
      </c>
      <c r="C6205">
        <v>0</v>
      </c>
      <c r="D6205">
        <v>0</v>
      </c>
      <c r="E6205">
        <v>0</v>
      </c>
      <c r="F6205">
        <v>4000</v>
      </c>
      <c r="G6205">
        <v>1750</v>
      </c>
      <c r="H6205">
        <v>0</v>
      </c>
      <c r="J6205" t="str">
        <f>VLOOKUP(Table3[[#This Row],[Faction ID]],Table4[],2)</f>
        <v>_</v>
      </c>
    </row>
    <row r="6206" spans="1:10" x14ac:dyDescent="0.25">
      <c r="A6206">
        <v>160</v>
      </c>
      <c r="B6206" t="s">
        <v>42</v>
      </c>
      <c r="C6206">
        <v>0</v>
      </c>
      <c r="D6206">
        <v>0</v>
      </c>
      <c r="E6206">
        <v>0</v>
      </c>
      <c r="F6206">
        <v>4000</v>
      </c>
      <c r="G6206">
        <v>1750</v>
      </c>
      <c r="H6206">
        <v>0</v>
      </c>
      <c r="J6206" t="str">
        <f>VLOOKUP(Table3[[#This Row],[Faction ID]],Table4[],2)</f>
        <v>_</v>
      </c>
    </row>
    <row r="6207" spans="1:10" x14ac:dyDescent="0.25">
      <c r="A6207">
        <v>160</v>
      </c>
      <c r="B6207" t="s">
        <v>43</v>
      </c>
      <c r="C6207">
        <v>0</v>
      </c>
      <c r="D6207">
        <v>0</v>
      </c>
      <c r="E6207">
        <v>0</v>
      </c>
      <c r="F6207">
        <v>4000</v>
      </c>
      <c r="G6207">
        <v>1750</v>
      </c>
      <c r="H6207">
        <v>0</v>
      </c>
      <c r="J6207" t="str">
        <f>VLOOKUP(Table3[[#This Row],[Faction ID]],Table4[],2)</f>
        <v>_</v>
      </c>
    </row>
    <row r="6208" spans="1:10" x14ac:dyDescent="0.25">
      <c r="A6208">
        <v>160</v>
      </c>
      <c r="B6208" t="s">
        <v>44</v>
      </c>
      <c r="C6208">
        <v>0</v>
      </c>
      <c r="D6208">
        <v>0</v>
      </c>
      <c r="E6208">
        <v>0</v>
      </c>
      <c r="F6208">
        <v>4000</v>
      </c>
      <c r="G6208">
        <v>1750</v>
      </c>
      <c r="H6208">
        <v>0</v>
      </c>
      <c r="J6208" t="str">
        <f>VLOOKUP(Table3[[#This Row],[Faction ID]],Table4[],2)</f>
        <v>_</v>
      </c>
    </row>
    <row r="6209" spans="1:10" x14ac:dyDescent="0.25">
      <c r="A6209">
        <v>161</v>
      </c>
      <c r="B6209" t="s">
        <v>9</v>
      </c>
      <c r="C6209">
        <v>1345</v>
      </c>
      <c r="D6209">
        <v>70</v>
      </c>
      <c r="E6209">
        <v>928.6</v>
      </c>
      <c r="F6209">
        <v>514</v>
      </c>
      <c r="G6209">
        <v>158059</v>
      </c>
      <c r="H6209">
        <v>15968</v>
      </c>
      <c r="J6209" t="str">
        <f>VLOOKUP(Table3[[#This Row],[Faction ID]],Table4[],2)</f>
        <v>Mordor</v>
      </c>
    </row>
    <row r="6210" spans="1:10" x14ac:dyDescent="0.25">
      <c r="A6210">
        <v>161</v>
      </c>
      <c r="B6210" t="s">
        <v>4</v>
      </c>
      <c r="C6210">
        <v>146</v>
      </c>
      <c r="D6210">
        <v>0</v>
      </c>
      <c r="E6210">
        <v>0</v>
      </c>
      <c r="F6210">
        <v>55420</v>
      </c>
      <c r="G6210">
        <v>2500</v>
      </c>
      <c r="H6210">
        <v>0</v>
      </c>
      <c r="J6210" t="str">
        <f>VLOOKUP(Table3[[#This Row],[Faction ID]],Table4[],2)</f>
        <v>Gondor</v>
      </c>
    </row>
    <row r="6211" spans="1:10" x14ac:dyDescent="0.25">
      <c r="A6211">
        <v>161</v>
      </c>
      <c r="B6211" t="s">
        <v>6</v>
      </c>
      <c r="C6211">
        <v>199</v>
      </c>
      <c r="D6211">
        <v>0</v>
      </c>
      <c r="E6211">
        <v>0</v>
      </c>
      <c r="F6211">
        <v>10343</v>
      </c>
      <c r="G6211">
        <v>2500</v>
      </c>
      <c r="H6211">
        <v>0</v>
      </c>
      <c r="J6211" t="str">
        <f>VLOOKUP(Table3[[#This Row],[Faction ID]],Table4[],2)</f>
        <v>Dale</v>
      </c>
    </row>
    <row r="6212" spans="1:10" x14ac:dyDescent="0.25">
      <c r="A6212">
        <v>161</v>
      </c>
      <c r="B6212" t="s">
        <v>21</v>
      </c>
      <c r="C6212">
        <v>200</v>
      </c>
      <c r="D6212">
        <v>0</v>
      </c>
      <c r="E6212">
        <v>0</v>
      </c>
      <c r="F6212">
        <v>10040</v>
      </c>
      <c r="G6212">
        <v>2500</v>
      </c>
      <c r="H6212">
        <v>0</v>
      </c>
      <c r="J6212" t="str">
        <f>VLOOKUP(Table3[[#This Row],[Faction ID]],Table4[],2)</f>
        <v>Erebor</v>
      </c>
    </row>
    <row r="6213" spans="1:10" x14ac:dyDescent="0.25">
      <c r="A6213">
        <v>161</v>
      </c>
      <c r="B6213" t="s">
        <v>5</v>
      </c>
      <c r="C6213">
        <v>157</v>
      </c>
      <c r="D6213">
        <v>0</v>
      </c>
      <c r="E6213">
        <v>0</v>
      </c>
      <c r="F6213">
        <v>6638</v>
      </c>
      <c r="G6213">
        <v>2500</v>
      </c>
      <c r="H6213">
        <v>0</v>
      </c>
      <c r="J6213" t="str">
        <f>VLOOKUP(Table3[[#This Row],[Faction ID]],Table4[],2)</f>
        <v>Rohan</v>
      </c>
    </row>
    <row r="6214" spans="1:10" x14ac:dyDescent="0.25">
      <c r="A6214">
        <v>161</v>
      </c>
      <c r="B6214" t="s">
        <v>12</v>
      </c>
      <c r="C6214">
        <v>621</v>
      </c>
      <c r="D6214">
        <v>25</v>
      </c>
      <c r="E6214">
        <v>358.5</v>
      </c>
      <c r="F6214">
        <v>996823</v>
      </c>
      <c r="G6214">
        <v>73916</v>
      </c>
      <c r="H6214">
        <v>7617</v>
      </c>
      <c r="J6214" t="str">
        <f>VLOOKUP(Table3[[#This Row],[Faction ID]],Table4[],2)</f>
        <v>Dol Guldur</v>
      </c>
    </row>
    <row r="6215" spans="1:10" x14ac:dyDescent="0.25">
      <c r="A6215">
        <v>161</v>
      </c>
      <c r="B6215" t="s">
        <v>10</v>
      </c>
      <c r="C6215">
        <v>58</v>
      </c>
      <c r="D6215">
        <v>0</v>
      </c>
      <c r="E6215">
        <v>0</v>
      </c>
      <c r="F6215">
        <v>4515</v>
      </c>
      <c r="G6215">
        <v>2500</v>
      </c>
      <c r="H6215">
        <v>0</v>
      </c>
      <c r="J6215" t="str">
        <f>VLOOKUP(Table3[[#This Row],[Faction ID]],Table4[],2)</f>
        <v>Anduin Vale</v>
      </c>
    </row>
    <row r="6216" spans="1:10" x14ac:dyDescent="0.25">
      <c r="A6216">
        <v>161</v>
      </c>
      <c r="B6216" t="s">
        <v>32</v>
      </c>
      <c r="C6216">
        <v>329</v>
      </c>
      <c r="D6216">
        <v>0</v>
      </c>
      <c r="E6216">
        <v>0</v>
      </c>
      <c r="F6216">
        <v>23007</v>
      </c>
      <c r="G6216">
        <v>2500</v>
      </c>
      <c r="H6216">
        <v>0</v>
      </c>
      <c r="J6216" t="str">
        <f>VLOOKUP(Table3[[#This Row],[Faction ID]],Table4[],2)</f>
        <v>Isengard</v>
      </c>
    </row>
    <row r="6217" spans="1:10" x14ac:dyDescent="0.25">
      <c r="A6217">
        <v>161</v>
      </c>
      <c r="B6217" t="s">
        <v>22</v>
      </c>
      <c r="C6217">
        <v>30</v>
      </c>
      <c r="D6217">
        <v>0</v>
      </c>
      <c r="E6217">
        <v>0</v>
      </c>
      <c r="F6217">
        <v>8475</v>
      </c>
      <c r="G6217">
        <v>2500</v>
      </c>
      <c r="H6217">
        <v>0</v>
      </c>
      <c r="J6217" t="str">
        <f>VLOOKUP(Table3[[#This Row],[Faction ID]],Table4[],2)</f>
        <v>Woodland Realm</v>
      </c>
    </row>
    <row r="6218" spans="1:10" x14ac:dyDescent="0.25">
      <c r="A6218">
        <v>161</v>
      </c>
      <c r="B6218" t="s">
        <v>23</v>
      </c>
      <c r="C6218">
        <v>64</v>
      </c>
      <c r="D6218">
        <v>0</v>
      </c>
      <c r="E6218">
        <v>0</v>
      </c>
      <c r="F6218">
        <v>4721</v>
      </c>
      <c r="G6218">
        <v>2500</v>
      </c>
      <c r="H6218">
        <v>0</v>
      </c>
      <c r="J6218" t="str">
        <f>VLOOKUP(Table3[[#This Row],[Faction ID]],Table4[],2)</f>
        <v>Lothlorien</v>
      </c>
    </row>
    <row r="6219" spans="1:10" x14ac:dyDescent="0.25">
      <c r="A6219">
        <v>161</v>
      </c>
      <c r="B6219" t="s">
        <v>24</v>
      </c>
      <c r="C6219">
        <v>0</v>
      </c>
      <c r="D6219">
        <v>0</v>
      </c>
      <c r="E6219">
        <v>0</v>
      </c>
      <c r="F6219">
        <v>4919</v>
      </c>
      <c r="G6219">
        <v>1750</v>
      </c>
      <c r="H6219">
        <v>0</v>
      </c>
      <c r="J6219" t="str">
        <f>VLOOKUP(Table3[[#This Row],[Faction ID]],Table4[],2)</f>
        <v>Variags (Khand)</v>
      </c>
    </row>
    <row r="6220" spans="1:10" x14ac:dyDescent="0.25">
      <c r="A6220">
        <v>161</v>
      </c>
      <c r="B6220" t="s">
        <v>14</v>
      </c>
      <c r="C6220">
        <v>26</v>
      </c>
      <c r="D6220">
        <v>18</v>
      </c>
      <c r="E6220">
        <v>308.60000000000002</v>
      </c>
      <c r="F6220">
        <v>732242</v>
      </c>
      <c r="G6220">
        <v>73582</v>
      </c>
      <c r="H6220">
        <v>7007</v>
      </c>
      <c r="J6220" t="str">
        <f>VLOOKUP(Table3[[#This Row],[Faction ID]],Table4[],2)</f>
        <v>Corsairs of Umbar</v>
      </c>
    </row>
    <row r="6221" spans="1:10" x14ac:dyDescent="0.25">
      <c r="A6221">
        <v>161</v>
      </c>
      <c r="B6221" t="s">
        <v>25</v>
      </c>
      <c r="C6221">
        <v>0</v>
      </c>
      <c r="D6221">
        <v>0</v>
      </c>
      <c r="E6221">
        <v>0</v>
      </c>
      <c r="F6221">
        <v>9228</v>
      </c>
      <c r="G6221">
        <v>1750</v>
      </c>
      <c r="H6221">
        <v>0</v>
      </c>
      <c r="J6221" t="str">
        <f>VLOOKUP(Table3[[#This Row],[Faction ID]],Table4[],2)</f>
        <v>Mahud</v>
      </c>
    </row>
    <row r="6222" spans="1:10" x14ac:dyDescent="0.25">
      <c r="A6222">
        <v>161</v>
      </c>
      <c r="B6222" t="s">
        <v>11</v>
      </c>
      <c r="C6222">
        <v>518</v>
      </c>
      <c r="D6222">
        <v>21</v>
      </c>
      <c r="E6222">
        <v>354</v>
      </c>
      <c r="F6222">
        <v>405830</v>
      </c>
      <c r="G6222">
        <v>65366</v>
      </c>
      <c r="H6222">
        <v>5903</v>
      </c>
      <c r="J6222" t="str">
        <f>VLOOKUP(Table3[[#This Row],[Faction ID]],Table4[],2)</f>
        <v>Haradrim</v>
      </c>
    </row>
    <row r="6223" spans="1:10" x14ac:dyDescent="0.25">
      <c r="A6223">
        <v>161</v>
      </c>
      <c r="B6223" t="s">
        <v>15</v>
      </c>
      <c r="C6223">
        <v>423</v>
      </c>
      <c r="D6223">
        <v>5</v>
      </c>
      <c r="E6223">
        <v>173.099999999999</v>
      </c>
      <c r="F6223">
        <v>213973</v>
      </c>
      <c r="G6223">
        <v>37077</v>
      </c>
      <c r="H6223">
        <v>0</v>
      </c>
      <c r="J6223" t="str">
        <f>VLOOKUP(Table3[[#This Row],[Faction ID]],Table4[],2)</f>
        <v>Dunlendings</v>
      </c>
    </row>
    <row r="6224" spans="1:10" x14ac:dyDescent="0.25">
      <c r="A6224">
        <v>161</v>
      </c>
      <c r="B6224" t="s">
        <v>16</v>
      </c>
      <c r="C6224">
        <v>0</v>
      </c>
      <c r="D6224">
        <v>0</v>
      </c>
      <c r="E6224">
        <v>0</v>
      </c>
      <c r="F6224">
        <v>5352</v>
      </c>
      <c r="G6224">
        <v>1750</v>
      </c>
      <c r="H6224">
        <v>0</v>
      </c>
      <c r="J6224" t="str">
        <f>VLOOKUP(Table3[[#This Row],[Faction ID]],Table4[],2)</f>
        <v>Haerrim</v>
      </c>
    </row>
    <row r="6225" spans="1:10" x14ac:dyDescent="0.25">
      <c r="A6225">
        <v>161</v>
      </c>
      <c r="B6225" t="s">
        <v>13</v>
      </c>
      <c r="C6225">
        <v>666</v>
      </c>
      <c r="D6225">
        <v>0</v>
      </c>
      <c r="E6225">
        <v>0</v>
      </c>
      <c r="F6225">
        <v>128480</v>
      </c>
      <c r="G6225">
        <v>2500</v>
      </c>
      <c r="H6225">
        <v>0</v>
      </c>
      <c r="J6225" t="str">
        <f>VLOOKUP(Table3[[#This Row],[Faction ID]],Table4[],2)</f>
        <v>Goblins</v>
      </c>
    </row>
    <row r="6226" spans="1:10" x14ac:dyDescent="0.25">
      <c r="A6226">
        <v>161</v>
      </c>
      <c r="B6226" t="s">
        <v>17</v>
      </c>
      <c r="C6226">
        <v>0</v>
      </c>
      <c r="D6226">
        <v>0</v>
      </c>
      <c r="E6226">
        <v>0</v>
      </c>
      <c r="F6226">
        <v>4872</v>
      </c>
      <c r="G6226">
        <v>1750</v>
      </c>
      <c r="H6226">
        <v>0</v>
      </c>
      <c r="J6226" t="str">
        <f>VLOOKUP(Table3[[#This Row],[Faction ID]],Table4[],2)</f>
        <v>Balchoth</v>
      </c>
    </row>
    <row r="6227" spans="1:10" x14ac:dyDescent="0.25">
      <c r="A6227">
        <v>161</v>
      </c>
      <c r="B6227" t="s">
        <v>18</v>
      </c>
      <c r="C6227">
        <v>756</v>
      </c>
      <c r="D6227">
        <v>5</v>
      </c>
      <c r="E6227">
        <v>52.7</v>
      </c>
      <c r="F6227">
        <v>438144</v>
      </c>
      <c r="G6227">
        <v>12054</v>
      </c>
      <c r="H6227">
        <v>0</v>
      </c>
      <c r="J6227" t="str">
        <f>VLOOKUP(Table3[[#This Row],[Faction ID]],Table4[],2)</f>
        <v>Rhurim/Rhun</v>
      </c>
    </row>
    <row r="6228" spans="1:10" x14ac:dyDescent="0.25">
      <c r="A6228">
        <v>161</v>
      </c>
      <c r="B6228" t="s">
        <v>19</v>
      </c>
      <c r="C6228">
        <v>0</v>
      </c>
      <c r="D6228">
        <v>0</v>
      </c>
      <c r="E6228">
        <v>0</v>
      </c>
      <c r="F6228">
        <v>7360</v>
      </c>
      <c r="G6228">
        <v>1750</v>
      </c>
      <c r="H6228">
        <v>0</v>
      </c>
      <c r="J6228" t="str">
        <f>VLOOKUP(Table3[[#This Row],[Faction ID]],Table4[],2)</f>
        <v>Feredrim</v>
      </c>
    </row>
    <row r="6229" spans="1:10" x14ac:dyDescent="0.25">
      <c r="A6229">
        <v>161</v>
      </c>
      <c r="B6229" t="s">
        <v>26</v>
      </c>
      <c r="C6229">
        <v>0</v>
      </c>
      <c r="D6229">
        <v>0</v>
      </c>
      <c r="E6229">
        <v>0</v>
      </c>
      <c r="F6229">
        <v>6395</v>
      </c>
      <c r="G6229">
        <v>1750</v>
      </c>
      <c r="H6229">
        <v>0</v>
      </c>
      <c r="J6229" t="str">
        <f>VLOOKUP(Table3[[#This Row],[Faction ID]],Table4[],2)</f>
        <v>Rachrohir (Wainriders)</v>
      </c>
    </row>
    <row r="6230" spans="1:10" x14ac:dyDescent="0.25">
      <c r="A6230">
        <v>161</v>
      </c>
      <c r="B6230" t="s">
        <v>27</v>
      </c>
      <c r="C6230">
        <v>8</v>
      </c>
      <c r="D6230">
        <v>6</v>
      </c>
      <c r="E6230">
        <v>116.6</v>
      </c>
      <c r="F6230">
        <v>86257</v>
      </c>
      <c r="G6230">
        <v>28628</v>
      </c>
      <c r="H6230">
        <v>2366</v>
      </c>
      <c r="J6230" t="str">
        <f>VLOOKUP(Table3[[#This Row],[Faction ID]],Table4[],2)</f>
        <v>Blacklock-Stonefoot League</v>
      </c>
    </row>
    <row r="6231" spans="1:10" x14ac:dyDescent="0.25">
      <c r="A6231">
        <v>161</v>
      </c>
      <c r="B6231" t="s">
        <v>28</v>
      </c>
      <c r="C6231">
        <v>9</v>
      </c>
      <c r="D6231">
        <v>6</v>
      </c>
      <c r="E6231">
        <v>140</v>
      </c>
      <c r="F6231">
        <v>58726</v>
      </c>
      <c r="G6231">
        <v>38937</v>
      </c>
      <c r="H6231">
        <v>2323</v>
      </c>
      <c r="J6231" t="str">
        <f>VLOOKUP(Table3[[#This Row],[Faction ID]],Table4[],2)</f>
        <v>Ironfist-Stiffbeard Union</v>
      </c>
    </row>
    <row r="6232" spans="1:10" x14ac:dyDescent="0.25">
      <c r="A6232">
        <v>161</v>
      </c>
      <c r="B6232" t="s">
        <v>20</v>
      </c>
      <c r="C6232">
        <v>245</v>
      </c>
      <c r="D6232">
        <v>0</v>
      </c>
      <c r="E6232">
        <v>0</v>
      </c>
      <c r="F6232">
        <v>9750</v>
      </c>
      <c r="G6232">
        <v>2500</v>
      </c>
      <c r="H6232">
        <v>0</v>
      </c>
      <c r="J6232" t="str">
        <f>VLOOKUP(Table3[[#This Row],[Faction ID]],Table4[],2)</f>
        <v>Gundabad</v>
      </c>
    </row>
    <row r="6233" spans="1:10" x14ac:dyDescent="0.25">
      <c r="A6233">
        <v>161</v>
      </c>
      <c r="B6233" t="s">
        <v>34</v>
      </c>
      <c r="C6233">
        <v>0</v>
      </c>
      <c r="D6233">
        <v>0</v>
      </c>
      <c r="E6233">
        <v>3</v>
      </c>
      <c r="F6233">
        <v>184885</v>
      </c>
      <c r="G6233">
        <v>2354</v>
      </c>
      <c r="H6233">
        <v>0</v>
      </c>
      <c r="J6233" t="str">
        <f>VLOOKUP(Table3[[#This Row],[Faction ID]],Table4[],2)</f>
        <v>Scouts of Rohan</v>
      </c>
    </row>
    <row r="6234" spans="1:10" x14ac:dyDescent="0.25">
      <c r="A6234">
        <v>161</v>
      </c>
      <c r="B6234" t="s">
        <v>33</v>
      </c>
      <c r="C6234">
        <v>0</v>
      </c>
      <c r="D6234">
        <v>0</v>
      </c>
      <c r="E6234">
        <v>0</v>
      </c>
      <c r="F6234">
        <v>23466</v>
      </c>
      <c r="G6234">
        <v>1750</v>
      </c>
      <c r="H6234">
        <v>0</v>
      </c>
      <c r="J6234" t="str">
        <f>VLOOKUP(Table3[[#This Row],[Faction ID]],Table4[],2)</f>
        <v>Northern Enedwaith</v>
      </c>
    </row>
    <row r="6235" spans="1:10" x14ac:dyDescent="0.25">
      <c r="A6235">
        <v>161</v>
      </c>
      <c r="B6235" t="s">
        <v>29</v>
      </c>
      <c r="C6235">
        <v>0</v>
      </c>
      <c r="D6235">
        <v>0</v>
      </c>
      <c r="E6235">
        <v>0</v>
      </c>
      <c r="F6235">
        <v>54023</v>
      </c>
      <c r="G6235">
        <v>1750</v>
      </c>
      <c r="H6235">
        <v>0</v>
      </c>
      <c r="J6235" t="str">
        <f>VLOOKUP(Table3[[#This Row],[Faction ID]],Table4[],2)</f>
        <v>Southern Enedwaith</v>
      </c>
    </row>
    <row r="6236" spans="1:10" x14ac:dyDescent="0.25">
      <c r="A6236">
        <v>161</v>
      </c>
      <c r="B6236" t="s">
        <v>30</v>
      </c>
      <c r="C6236">
        <v>0</v>
      </c>
      <c r="D6236">
        <v>0</v>
      </c>
      <c r="E6236">
        <v>0</v>
      </c>
      <c r="F6236">
        <v>32146</v>
      </c>
      <c r="G6236">
        <v>1750</v>
      </c>
      <c r="H6236">
        <v>0</v>
      </c>
      <c r="J6236" t="str">
        <f>VLOOKUP(Table3[[#This Row],[Faction ID]],Table4[],2)</f>
        <v>Druedain</v>
      </c>
    </row>
    <row r="6237" spans="1:10" x14ac:dyDescent="0.25">
      <c r="A6237">
        <v>161</v>
      </c>
      <c r="B6237" t="s">
        <v>31</v>
      </c>
      <c r="C6237">
        <v>0</v>
      </c>
      <c r="D6237">
        <v>0</v>
      </c>
      <c r="E6237">
        <v>0</v>
      </c>
      <c r="F6237">
        <v>15146</v>
      </c>
      <c r="G6237">
        <v>1750</v>
      </c>
      <c r="H6237">
        <v>0</v>
      </c>
      <c r="J6237" t="str">
        <f>VLOOKUP(Table3[[#This Row],[Faction ID]],Table4[],2)</f>
        <v>Harondor</v>
      </c>
    </row>
    <row r="6238" spans="1:10" x14ac:dyDescent="0.25">
      <c r="A6238">
        <v>161</v>
      </c>
      <c r="B6238" t="s">
        <v>35</v>
      </c>
      <c r="C6238">
        <v>0</v>
      </c>
      <c r="D6238">
        <v>0</v>
      </c>
      <c r="E6238">
        <v>0</v>
      </c>
      <c r="F6238">
        <v>4000</v>
      </c>
      <c r="G6238">
        <v>1750</v>
      </c>
      <c r="H6238">
        <v>0</v>
      </c>
      <c r="J6238" t="str">
        <f>VLOOKUP(Table3[[#This Row],[Faction ID]],Table4[],2)</f>
        <v>Southron Nomads</v>
      </c>
    </row>
    <row r="6239" spans="1:10" x14ac:dyDescent="0.25">
      <c r="A6239">
        <v>161</v>
      </c>
      <c r="B6239" t="s">
        <v>36</v>
      </c>
      <c r="C6239">
        <v>0</v>
      </c>
      <c r="D6239">
        <v>0</v>
      </c>
      <c r="E6239">
        <v>0</v>
      </c>
      <c r="F6239">
        <v>4000</v>
      </c>
      <c r="G6239">
        <v>1750</v>
      </c>
      <c r="H6239">
        <v>0</v>
      </c>
      <c r="J6239" t="str">
        <f>VLOOKUP(Table3[[#This Row],[Faction ID]],Table4[],2)</f>
        <v>_</v>
      </c>
    </row>
    <row r="6240" spans="1:10" x14ac:dyDescent="0.25">
      <c r="A6240">
        <v>161</v>
      </c>
      <c r="B6240" t="s">
        <v>37</v>
      </c>
      <c r="C6240">
        <v>0</v>
      </c>
      <c r="D6240">
        <v>0</v>
      </c>
      <c r="E6240">
        <v>0</v>
      </c>
      <c r="F6240">
        <v>4000</v>
      </c>
      <c r="G6240">
        <v>1750</v>
      </c>
      <c r="H6240">
        <v>0</v>
      </c>
      <c r="J6240" t="str">
        <f>VLOOKUP(Table3[[#This Row],[Faction ID]],Table4[],2)</f>
        <v>_</v>
      </c>
    </row>
    <row r="6241" spans="1:10" x14ac:dyDescent="0.25">
      <c r="A6241">
        <v>161</v>
      </c>
      <c r="B6241" t="s">
        <v>38</v>
      </c>
      <c r="C6241">
        <v>0</v>
      </c>
      <c r="D6241">
        <v>0</v>
      </c>
      <c r="E6241">
        <v>0</v>
      </c>
      <c r="F6241">
        <v>4000</v>
      </c>
      <c r="G6241">
        <v>1750</v>
      </c>
      <c r="H6241">
        <v>0</v>
      </c>
      <c r="J6241" t="str">
        <f>VLOOKUP(Table3[[#This Row],[Faction ID]],Table4[],2)</f>
        <v>_</v>
      </c>
    </row>
    <row r="6242" spans="1:10" x14ac:dyDescent="0.25">
      <c r="A6242">
        <v>161</v>
      </c>
      <c r="B6242" t="s">
        <v>39</v>
      </c>
      <c r="C6242">
        <v>0</v>
      </c>
      <c r="D6242">
        <v>0</v>
      </c>
      <c r="E6242">
        <v>0</v>
      </c>
      <c r="F6242">
        <v>4000</v>
      </c>
      <c r="G6242">
        <v>1750</v>
      </c>
      <c r="H6242">
        <v>0</v>
      </c>
      <c r="J6242" t="str">
        <f>VLOOKUP(Table3[[#This Row],[Faction ID]],Table4[],2)</f>
        <v>_</v>
      </c>
    </row>
    <row r="6243" spans="1:10" x14ac:dyDescent="0.25">
      <c r="A6243">
        <v>161</v>
      </c>
      <c r="B6243" t="s">
        <v>40</v>
      </c>
      <c r="C6243">
        <v>0</v>
      </c>
      <c r="D6243">
        <v>0</v>
      </c>
      <c r="E6243">
        <v>0</v>
      </c>
      <c r="F6243">
        <v>4000</v>
      </c>
      <c r="G6243">
        <v>1750</v>
      </c>
      <c r="H6243">
        <v>0</v>
      </c>
      <c r="J6243" t="str">
        <f>VLOOKUP(Table3[[#This Row],[Faction ID]],Table4[],2)</f>
        <v>_</v>
      </c>
    </row>
    <row r="6244" spans="1:10" x14ac:dyDescent="0.25">
      <c r="A6244">
        <v>161</v>
      </c>
      <c r="B6244" t="s">
        <v>41</v>
      </c>
      <c r="C6244">
        <v>0</v>
      </c>
      <c r="D6244">
        <v>0</v>
      </c>
      <c r="E6244">
        <v>0</v>
      </c>
      <c r="F6244">
        <v>4000</v>
      </c>
      <c r="G6244">
        <v>1750</v>
      </c>
      <c r="H6244">
        <v>0</v>
      </c>
      <c r="J6244" t="str">
        <f>VLOOKUP(Table3[[#This Row],[Faction ID]],Table4[],2)</f>
        <v>_</v>
      </c>
    </row>
    <row r="6245" spans="1:10" x14ac:dyDescent="0.25">
      <c r="A6245">
        <v>161</v>
      </c>
      <c r="B6245" t="s">
        <v>42</v>
      </c>
      <c r="C6245">
        <v>0</v>
      </c>
      <c r="D6245">
        <v>0</v>
      </c>
      <c r="E6245">
        <v>0</v>
      </c>
      <c r="F6245">
        <v>4000</v>
      </c>
      <c r="G6245">
        <v>1750</v>
      </c>
      <c r="H6245">
        <v>0</v>
      </c>
      <c r="J6245" t="str">
        <f>VLOOKUP(Table3[[#This Row],[Faction ID]],Table4[],2)</f>
        <v>_</v>
      </c>
    </row>
    <row r="6246" spans="1:10" x14ac:dyDescent="0.25">
      <c r="A6246">
        <v>161</v>
      </c>
      <c r="B6246" t="s">
        <v>43</v>
      </c>
      <c r="C6246">
        <v>0</v>
      </c>
      <c r="D6246">
        <v>0</v>
      </c>
      <c r="E6246">
        <v>0</v>
      </c>
      <c r="F6246">
        <v>4000</v>
      </c>
      <c r="G6246">
        <v>1750</v>
      </c>
      <c r="H6246">
        <v>0</v>
      </c>
      <c r="J6246" t="str">
        <f>VLOOKUP(Table3[[#This Row],[Faction ID]],Table4[],2)</f>
        <v>_</v>
      </c>
    </row>
    <row r="6247" spans="1:10" x14ac:dyDescent="0.25">
      <c r="A6247">
        <v>161</v>
      </c>
      <c r="B6247" t="s">
        <v>44</v>
      </c>
      <c r="C6247">
        <v>0</v>
      </c>
      <c r="D6247">
        <v>0</v>
      </c>
      <c r="E6247">
        <v>0</v>
      </c>
      <c r="F6247">
        <v>4000</v>
      </c>
      <c r="G6247">
        <v>1750</v>
      </c>
      <c r="H6247">
        <v>0</v>
      </c>
      <c r="J6247" t="str">
        <f>VLOOKUP(Table3[[#This Row],[Faction ID]],Table4[],2)</f>
        <v>_</v>
      </c>
    </row>
    <row r="6248" spans="1:10" x14ac:dyDescent="0.25">
      <c r="A6248">
        <v>162</v>
      </c>
      <c r="B6248" t="s">
        <v>9</v>
      </c>
      <c r="C6248">
        <v>1367</v>
      </c>
      <c r="D6248">
        <v>71</v>
      </c>
      <c r="E6248">
        <v>928.2</v>
      </c>
      <c r="F6248">
        <v>657</v>
      </c>
      <c r="G6248">
        <v>163075</v>
      </c>
      <c r="H6248">
        <v>16096</v>
      </c>
      <c r="J6248" t="str">
        <f>VLOOKUP(Table3[[#This Row],[Faction ID]],Table4[],2)</f>
        <v>Mordor</v>
      </c>
    </row>
    <row r="6249" spans="1:10" x14ac:dyDescent="0.25">
      <c r="A6249">
        <v>162</v>
      </c>
      <c r="B6249" t="s">
        <v>4</v>
      </c>
      <c r="C6249">
        <v>146</v>
      </c>
      <c r="D6249">
        <v>0</v>
      </c>
      <c r="E6249">
        <v>0</v>
      </c>
      <c r="F6249">
        <v>55420</v>
      </c>
      <c r="G6249">
        <v>2500</v>
      </c>
      <c r="H6249">
        <v>0</v>
      </c>
      <c r="J6249" t="str">
        <f>VLOOKUP(Table3[[#This Row],[Faction ID]],Table4[],2)</f>
        <v>Gondor</v>
      </c>
    </row>
    <row r="6250" spans="1:10" x14ac:dyDescent="0.25">
      <c r="A6250">
        <v>162</v>
      </c>
      <c r="B6250" t="s">
        <v>6</v>
      </c>
      <c r="C6250">
        <v>199</v>
      </c>
      <c r="D6250">
        <v>0</v>
      </c>
      <c r="E6250">
        <v>0</v>
      </c>
      <c r="F6250">
        <v>10343</v>
      </c>
      <c r="G6250">
        <v>2500</v>
      </c>
      <c r="H6250">
        <v>0</v>
      </c>
      <c r="J6250" t="str">
        <f>VLOOKUP(Table3[[#This Row],[Faction ID]],Table4[],2)</f>
        <v>Dale</v>
      </c>
    </row>
    <row r="6251" spans="1:10" x14ac:dyDescent="0.25">
      <c r="A6251">
        <v>162</v>
      </c>
      <c r="B6251" t="s">
        <v>21</v>
      </c>
      <c r="C6251">
        <v>200</v>
      </c>
      <c r="D6251">
        <v>0</v>
      </c>
      <c r="E6251">
        <v>0</v>
      </c>
      <c r="F6251">
        <v>10040</v>
      </c>
      <c r="G6251">
        <v>2500</v>
      </c>
      <c r="H6251">
        <v>0</v>
      </c>
      <c r="J6251" t="str">
        <f>VLOOKUP(Table3[[#This Row],[Faction ID]],Table4[],2)</f>
        <v>Erebor</v>
      </c>
    </row>
    <row r="6252" spans="1:10" x14ac:dyDescent="0.25">
      <c r="A6252">
        <v>162</v>
      </c>
      <c r="B6252" t="s">
        <v>5</v>
      </c>
      <c r="C6252">
        <v>157</v>
      </c>
      <c r="D6252">
        <v>0</v>
      </c>
      <c r="E6252">
        <v>0</v>
      </c>
      <c r="F6252">
        <v>6638</v>
      </c>
      <c r="G6252">
        <v>2500</v>
      </c>
      <c r="H6252">
        <v>0</v>
      </c>
      <c r="J6252" t="str">
        <f>VLOOKUP(Table3[[#This Row],[Faction ID]],Table4[],2)</f>
        <v>Rohan</v>
      </c>
    </row>
    <row r="6253" spans="1:10" x14ac:dyDescent="0.25">
      <c r="A6253">
        <v>162</v>
      </c>
      <c r="B6253" t="s">
        <v>12</v>
      </c>
      <c r="C6253">
        <v>621</v>
      </c>
      <c r="D6253">
        <v>25</v>
      </c>
      <c r="E6253">
        <v>370.6</v>
      </c>
      <c r="F6253">
        <v>1015620</v>
      </c>
      <c r="G6253">
        <v>74578</v>
      </c>
      <c r="H6253">
        <v>7625</v>
      </c>
      <c r="J6253" t="str">
        <f>VLOOKUP(Table3[[#This Row],[Faction ID]],Table4[],2)</f>
        <v>Dol Guldur</v>
      </c>
    </row>
    <row r="6254" spans="1:10" x14ac:dyDescent="0.25">
      <c r="A6254">
        <v>162</v>
      </c>
      <c r="B6254" t="s">
        <v>10</v>
      </c>
      <c r="C6254">
        <v>58</v>
      </c>
      <c r="D6254">
        <v>0</v>
      </c>
      <c r="E6254">
        <v>0</v>
      </c>
      <c r="F6254">
        <v>4515</v>
      </c>
      <c r="G6254">
        <v>2500</v>
      </c>
      <c r="H6254">
        <v>0</v>
      </c>
      <c r="J6254" t="str">
        <f>VLOOKUP(Table3[[#This Row],[Faction ID]],Table4[],2)</f>
        <v>Anduin Vale</v>
      </c>
    </row>
    <row r="6255" spans="1:10" x14ac:dyDescent="0.25">
      <c r="A6255">
        <v>162</v>
      </c>
      <c r="B6255" t="s">
        <v>32</v>
      </c>
      <c r="C6255">
        <v>329</v>
      </c>
      <c r="D6255">
        <v>0</v>
      </c>
      <c r="E6255">
        <v>0</v>
      </c>
      <c r="F6255">
        <v>23007</v>
      </c>
      <c r="G6255">
        <v>2500</v>
      </c>
      <c r="H6255">
        <v>0</v>
      </c>
      <c r="J6255" t="str">
        <f>VLOOKUP(Table3[[#This Row],[Faction ID]],Table4[],2)</f>
        <v>Isengard</v>
      </c>
    </row>
    <row r="6256" spans="1:10" x14ac:dyDescent="0.25">
      <c r="A6256">
        <v>162</v>
      </c>
      <c r="B6256" t="s">
        <v>22</v>
      </c>
      <c r="C6256">
        <v>30</v>
      </c>
      <c r="D6256">
        <v>0</v>
      </c>
      <c r="E6256">
        <v>0</v>
      </c>
      <c r="F6256">
        <v>8475</v>
      </c>
      <c r="G6256">
        <v>2500</v>
      </c>
      <c r="H6256">
        <v>0</v>
      </c>
      <c r="J6256" t="str">
        <f>VLOOKUP(Table3[[#This Row],[Faction ID]],Table4[],2)</f>
        <v>Woodland Realm</v>
      </c>
    </row>
    <row r="6257" spans="1:10" x14ac:dyDescent="0.25">
      <c r="A6257">
        <v>162</v>
      </c>
      <c r="B6257" t="s">
        <v>23</v>
      </c>
      <c r="C6257">
        <v>64</v>
      </c>
      <c r="D6257">
        <v>0</v>
      </c>
      <c r="E6257">
        <v>0</v>
      </c>
      <c r="F6257">
        <v>4721</v>
      </c>
      <c r="G6257">
        <v>2500</v>
      </c>
      <c r="H6257">
        <v>0</v>
      </c>
      <c r="J6257" t="str">
        <f>VLOOKUP(Table3[[#This Row],[Faction ID]],Table4[],2)</f>
        <v>Lothlorien</v>
      </c>
    </row>
    <row r="6258" spans="1:10" x14ac:dyDescent="0.25">
      <c r="A6258">
        <v>162</v>
      </c>
      <c r="B6258" t="s">
        <v>24</v>
      </c>
      <c r="C6258">
        <v>0</v>
      </c>
      <c r="D6258">
        <v>0</v>
      </c>
      <c r="E6258">
        <v>0</v>
      </c>
      <c r="F6258">
        <v>4919</v>
      </c>
      <c r="G6258">
        <v>1750</v>
      </c>
      <c r="H6258">
        <v>0</v>
      </c>
      <c r="J6258" t="str">
        <f>VLOOKUP(Table3[[#This Row],[Faction ID]],Table4[],2)</f>
        <v>Variags (Khand)</v>
      </c>
    </row>
    <row r="6259" spans="1:10" x14ac:dyDescent="0.25">
      <c r="A6259">
        <v>162</v>
      </c>
      <c r="B6259" t="s">
        <v>14</v>
      </c>
      <c r="C6259">
        <v>26</v>
      </c>
      <c r="D6259">
        <v>18</v>
      </c>
      <c r="E6259">
        <v>316.60000000000002</v>
      </c>
      <c r="F6259">
        <v>752882</v>
      </c>
      <c r="G6259">
        <v>70371</v>
      </c>
      <c r="H6259">
        <v>7018</v>
      </c>
      <c r="J6259" t="str">
        <f>VLOOKUP(Table3[[#This Row],[Faction ID]],Table4[],2)</f>
        <v>Corsairs of Umbar</v>
      </c>
    </row>
    <row r="6260" spans="1:10" x14ac:dyDescent="0.25">
      <c r="A6260">
        <v>162</v>
      </c>
      <c r="B6260" t="s">
        <v>25</v>
      </c>
      <c r="C6260">
        <v>0</v>
      </c>
      <c r="D6260">
        <v>0</v>
      </c>
      <c r="E6260">
        <v>0</v>
      </c>
      <c r="F6260">
        <v>9228</v>
      </c>
      <c r="G6260">
        <v>1750</v>
      </c>
      <c r="H6260">
        <v>0</v>
      </c>
      <c r="J6260" t="str">
        <f>VLOOKUP(Table3[[#This Row],[Faction ID]],Table4[],2)</f>
        <v>Mahud</v>
      </c>
    </row>
    <row r="6261" spans="1:10" x14ac:dyDescent="0.25">
      <c r="A6261">
        <v>162</v>
      </c>
      <c r="B6261" t="s">
        <v>11</v>
      </c>
      <c r="C6261">
        <v>522</v>
      </c>
      <c r="D6261">
        <v>21</v>
      </c>
      <c r="E6261">
        <v>356</v>
      </c>
      <c r="F6261">
        <v>381145</v>
      </c>
      <c r="G6261">
        <v>67317</v>
      </c>
      <c r="H6261">
        <v>5924</v>
      </c>
      <c r="J6261" t="str">
        <f>VLOOKUP(Table3[[#This Row],[Faction ID]],Table4[],2)</f>
        <v>Haradrim</v>
      </c>
    </row>
    <row r="6262" spans="1:10" x14ac:dyDescent="0.25">
      <c r="A6262">
        <v>162</v>
      </c>
      <c r="B6262" t="s">
        <v>15</v>
      </c>
      <c r="C6262">
        <v>421</v>
      </c>
      <c r="D6262">
        <v>4</v>
      </c>
      <c r="E6262">
        <v>105.8</v>
      </c>
      <c r="F6262">
        <v>219208</v>
      </c>
      <c r="G6262">
        <v>24827</v>
      </c>
      <c r="H6262">
        <v>0</v>
      </c>
      <c r="J6262" t="str">
        <f>VLOOKUP(Table3[[#This Row],[Faction ID]],Table4[],2)</f>
        <v>Dunlendings</v>
      </c>
    </row>
    <row r="6263" spans="1:10" x14ac:dyDescent="0.25">
      <c r="A6263">
        <v>162</v>
      </c>
      <c r="B6263" t="s">
        <v>16</v>
      </c>
      <c r="C6263">
        <v>0</v>
      </c>
      <c r="D6263">
        <v>0</v>
      </c>
      <c r="E6263">
        <v>0</v>
      </c>
      <c r="F6263">
        <v>5352</v>
      </c>
      <c r="G6263">
        <v>1750</v>
      </c>
      <c r="H6263">
        <v>0</v>
      </c>
      <c r="J6263" t="str">
        <f>VLOOKUP(Table3[[#This Row],[Faction ID]],Table4[],2)</f>
        <v>Haerrim</v>
      </c>
    </row>
    <row r="6264" spans="1:10" x14ac:dyDescent="0.25">
      <c r="A6264">
        <v>162</v>
      </c>
      <c r="B6264" t="s">
        <v>13</v>
      </c>
      <c r="C6264">
        <v>666</v>
      </c>
      <c r="D6264">
        <v>0</v>
      </c>
      <c r="E6264">
        <v>0</v>
      </c>
      <c r="F6264">
        <v>128480</v>
      </c>
      <c r="G6264">
        <v>2500</v>
      </c>
      <c r="H6264">
        <v>0</v>
      </c>
      <c r="J6264" t="str">
        <f>VLOOKUP(Table3[[#This Row],[Faction ID]],Table4[],2)</f>
        <v>Goblins</v>
      </c>
    </row>
    <row r="6265" spans="1:10" x14ac:dyDescent="0.25">
      <c r="A6265">
        <v>162</v>
      </c>
      <c r="B6265" t="s">
        <v>17</v>
      </c>
      <c r="C6265">
        <v>0</v>
      </c>
      <c r="D6265">
        <v>0</v>
      </c>
      <c r="E6265">
        <v>0</v>
      </c>
      <c r="F6265">
        <v>4872</v>
      </c>
      <c r="G6265">
        <v>1750</v>
      </c>
      <c r="H6265">
        <v>0</v>
      </c>
      <c r="J6265" t="str">
        <f>VLOOKUP(Table3[[#This Row],[Faction ID]],Table4[],2)</f>
        <v>Balchoth</v>
      </c>
    </row>
    <row r="6266" spans="1:10" x14ac:dyDescent="0.25">
      <c r="A6266">
        <v>162</v>
      </c>
      <c r="B6266" t="s">
        <v>18</v>
      </c>
      <c r="C6266">
        <v>754</v>
      </c>
      <c r="D6266">
        <v>3</v>
      </c>
      <c r="E6266">
        <v>36</v>
      </c>
      <c r="F6266">
        <v>449876</v>
      </c>
      <c r="G6266">
        <v>7267</v>
      </c>
      <c r="H6266">
        <v>0</v>
      </c>
      <c r="J6266" t="str">
        <f>VLOOKUP(Table3[[#This Row],[Faction ID]],Table4[],2)</f>
        <v>Rhurim/Rhun</v>
      </c>
    </row>
    <row r="6267" spans="1:10" x14ac:dyDescent="0.25">
      <c r="A6267">
        <v>162</v>
      </c>
      <c r="B6267" t="s">
        <v>19</v>
      </c>
      <c r="C6267">
        <v>0</v>
      </c>
      <c r="D6267">
        <v>0</v>
      </c>
      <c r="E6267">
        <v>0</v>
      </c>
      <c r="F6267">
        <v>7360</v>
      </c>
      <c r="G6267">
        <v>1750</v>
      </c>
      <c r="H6267">
        <v>0</v>
      </c>
      <c r="J6267" t="str">
        <f>VLOOKUP(Table3[[#This Row],[Faction ID]],Table4[],2)</f>
        <v>Feredrim</v>
      </c>
    </row>
    <row r="6268" spans="1:10" x14ac:dyDescent="0.25">
      <c r="A6268">
        <v>162</v>
      </c>
      <c r="B6268" t="s">
        <v>26</v>
      </c>
      <c r="C6268">
        <v>0</v>
      </c>
      <c r="D6268">
        <v>0</v>
      </c>
      <c r="E6268">
        <v>0</v>
      </c>
      <c r="F6268">
        <v>6395</v>
      </c>
      <c r="G6268">
        <v>1750</v>
      </c>
      <c r="H6268">
        <v>0</v>
      </c>
      <c r="J6268" t="str">
        <f>VLOOKUP(Table3[[#This Row],[Faction ID]],Table4[],2)</f>
        <v>Rachrohir (Wainriders)</v>
      </c>
    </row>
    <row r="6269" spans="1:10" x14ac:dyDescent="0.25">
      <c r="A6269">
        <v>162</v>
      </c>
      <c r="B6269" t="s">
        <v>27</v>
      </c>
      <c r="C6269">
        <v>9</v>
      </c>
      <c r="D6269">
        <v>7</v>
      </c>
      <c r="E6269">
        <v>120.9</v>
      </c>
      <c r="F6269">
        <v>84991</v>
      </c>
      <c r="G6269">
        <v>30718</v>
      </c>
      <c r="H6269">
        <v>2628</v>
      </c>
      <c r="J6269" t="str">
        <f>VLOOKUP(Table3[[#This Row],[Faction ID]],Table4[],2)</f>
        <v>Blacklock-Stonefoot League</v>
      </c>
    </row>
    <row r="6270" spans="1:10" x14ac:dyDescent="0.25">
      <c r="A6270">
        <v>162</v>
      </c>
      <c r="B6270" t="s">
        <v>28</v>
      </c>
      <c r="C6270">
        <v>10</v>
      </c>
      <c r="D6270">
        <v>7</v>
      </c>
      <c r="E6270">
        <v>150</v>
      </c>
      <c r="F6270">
        <v>68736</v>
      </c>
      <c r="G6270">
        <v>41910</v>
      </c>
      <c r="H6270">
        <v>2346</v>
      </c>
      <c r="J6270" t="str">
        <f>VLOOKUP(Table3[[#This Row],[Faction ID]],Table4[],2)</f>
        <v>Ironfist-Stiffbeard Union</v>
      </c>
    </row>
    <row r="6271" spans="1:10" x14ac:dyDescent="0.25">
      <c r="A6271">
        <v>162</v>
      </c>
      <c r="B6271" t="s">
        <v>20</v>
      </c>
      <c r="C6271">
        <v>245</v>
      </c>
      <c r="D6271">
        <v>0</v>
      </c>
      <c r="E6271">
        <v>0</v>
      </c>
      <c r="F6271">
        <v>9750</v>
      </c>
      <c r="G6271">
        <v>2500</v>
      </c>
      <c r="H6271">
        <v>0</v>
      </c>
      <c r="J6271" t="str">
        <f>VLOOKUP(Table3[[#This Row],[Faction ID]],Table4[],2)</f>
        <v>Gundabad</v>
      </c>
    </row>
    <row r="6272" spans="1:10" x14ac:dyDescent="0.25">
      <c r="A6272">
        <v>162</v>
      </c>
      <c r="B6272" t="s">
        <v>34</v>
      </c>
      <c r="C6272">
        <v>0</v>
      </c>
      <c r="D6272">
        <v>0</v>
      </c>
      <c r="E6272">
        <v>3</v>
      </c>
      <c r="F6272">
        <v>186031</v>
      </c>
      <c r="G6272">
        <v>2354</v>
      </c>
      <c r="H6272">
        <v>0</v>
      </c>
      <c r="J6272" t="str">
        <f>VLOOKUP(Table3[[#This Row],[Faction ID]],Table4[],2)</f>
        <v>Scouts of Rohan</v>
      </c>
    </row>
    <row r="6273" spans="1:10" x14ac:dyDescent="0.25">
      <c r="A6273">
        <v>162</v>
      </c>
      <c r="B6273" t="s">
        <v>33</v>
      </c>
      <c r="C6273">
        <v>0</v>
      </c>
      <c r="D6273">
        <v>0</v>
      </c>
      <c r="E6273">
        <v>0</v>
      </c>
      <c r="F6273">
        <v>23466</v>
      </c>
      <c r="G6273">
        <v>1750</v>
      </c>
      <c r="H6273">
        <v>0</v>
      </c>
      <c r="J6273" t="str">
        <f>VLOOKUP(Table3[[#This Row],[Faction ID]],Table4[],2)</f>
        <v>Northern Enedwaith</v>
      </c>
    </row>
    <row r="6274" spans="1:10" x14ac:dyDescent="0.25">
      <c r="A6274">
        <v>162</v>
      </c>
      <c r="B6274" t="s">
        <v>29</v>
      </c>
      <c r="C6274">
        <v>0</v>
      </c>
      <c r="D6274">
        <v>0</v>
      </c>
      <c r="E6274">
        <v>0</v>
      </c>
      <c r="F6274">
        <v>54023</v>
      </c>
      <c r="G6274">
        <v>1750</v>
      </c>
      <c r="H6274">
        <v>0</v>
      </c>
      <c r="J6274" t="str">
        <f>VLOOKUP(Table3[[#This Row],[Faction ID]],Table4[],2)</f>
        <v>Southern Enedwaith</v>
      </c>
    </row>
    <row r="6275" spans="1:10" x14ac:dyDescent="0.25">
      <c r="A6275">
        <v>162</v>
      </c>
      <c r="B6275" t="s">
        <v>30</v>
      </c>
      <c r="C6275">
        <v>0</v>
      </c>
      <c r="D6275">
        <v>0</v>
      </c>
      <c r="E6275">
        <v>0</v>
      </c>
      <c r="F6275">
        <v>32146</v>
      </c>
      <c r="G6275">
        <v>1750</v>
      </c>
      <c r="H6275">
        <v>0</v>
      </c>
      <c r="J6275" t="str">
        <f>VLOOKUP(Table3[[#This Row],[Faction ID]],Table4[],2)</f>
        <v>Druedain</v>
      </c>
    </row>
    <row r="6276" spans="1:10" x14ac:dyDescent="0.25">
      <c r="A6276">
        <v>162</v>
      </c>
      <c r="B6276" t="s">
        <v>31</v>
      </c>
      <c r="C6276">
        <v>0</v>
      </c>
      <c r="D6276">
        <v>0</v>
      </c>
      <c r="E6276">
        <v>0</v>
      </c>
      <c r="F6276">
        <v>15146</v>
      </c>
      <c r="G6276">
        <v>1750</v>
      </c>
      <c r="H6276">
        <v>0</v>
      </c>
      <c r="J6276" t="str">
        <f>VLOOKUP(Table3[[#This Row],[Faction ID]],Table4[],2)</f>
        <v>Harondor</v>
      </c>
    </row>
    <row r="6277" spans="1:10" x14ac:dyDescent="0.25">
      <c r="A6277">
        <v>162</v>
      </c>
      <c r="B6277" t="s">
        <v>35</v>
      </c>
      <c r="C6277">
        <v>0</v>
      </c>
      <c r="D6277">
        <v>0</v>
      </c>
      <c r="E6277">
        <v>0</v>
      </c>
      <c r="F6277">
        <v>4000</v>
      </c>
      <c r="G6277">
        <v>1750</v>
      </c>
      <c r="H6277">
        <v>0</v>
      </c>
      <c r="J6277" t="str">
        <f>VLOOKUP(Table3[[#This Row],[Faction ID]],Table4[],2)</f>
        <v>Southron Nomads</v>
      </c>
    </row>
    <row r="6278" spans="1:10" x14ac:dyDescent="0.25">
      <c r="A6278">
        <v>162</v>
      </c>
      <c r="B6278" t="s">
        <v>36</v>
      </c>
      <c r="C6278">
        <v>0</v>
      </c>
      <c r="D6278">
        <v>0</v>
      </c>
      <c r="E6278">
        <v>0</v>
      </c>
      <c r="F6278">
        <v>4000</v>
      </c>
      <c r="G6278">
        <v>1750</v>
      </c>
      <c r="H6278">
        <v>0</v>
      </c>
      <c r="J6278" t="str">
        <f>VLOOKUP(Table3[[#This Row],[Faction ID]],Table4[],2)</f>
        <v>_</v>
      </c>
    </row>
    <row r="6279" spans="1:10" x14ac:dyDescent="0.25">
      <c r="A6279">
        <v>162</v>
      </c>
      <c r="B6279" t="s">
        <v>37</v>
      </c>
      <c r="C6279">
        <v>0</v>
      </c>
      <c r="D6279">
        <v>0</v>
      </c>
      <c r="E6279">
        <v>0</v>
      </c>
      <c r="F6279">
        <v>4000</v>
      </c>
      <c r="G6279">
        <v>1750</v>
      </c>
      <c r="H6279">
        <v>0</v>
      </c>
      <c r="J6279" t="str">
        <f>VLOOKUP(Table3[[#This Row],[Faction ID]],Table4[],2)</f>
        <v>_</v>
      </c>
    </row>
    <row r="6280" spans="1:10" x14ac:dyDescent="0.25">
      <c r="A6280">
        <v>162</v>
      </c>
      <c r="B6280" t="s">
        <v>38</v>
      </c>
      <c r="C6280">
        <v>0</v>
      </c>
      <c r="D6280">
        <v>0</v>
      </c>
      <c r="E6280">
        <v>0</v>
      </c>
      <c r="F6280">
        <v>4000</v>
      </c>
      <c r="G6280">
        <v>1750</v>
      </c>
      <c r="H6280">
        <v>0</v>
      </c>
      <c r="J6280" t="str">
        <f>VLOOKUP(Table3[[#This Row],[Faction ID]],Table4[],2)</f>
        <v>_</v>
      </c>
    </row>
    <row r="6281" spans="1:10" x14ac:dyDescent="0.25">
      <c r="A6281">
        <v>162</v>
      </c>
      <c r="B6281" t="s">
        <v>39</v>
      </c>
      <c r="C6281">
        <v>0</v>
      </c>
      <c r="D6281">
        <v>0</v>
      </c>
      <c r="E6281">
        <v>0</v>
      </c>
      <c r="F6281">
        <v>4000</v>
      </c>
      <c r="G6281">
        <v>1750</v>
      </c>
      <c r="H6281">
        <v>0</v>
      </c>
      <c r="J6281" t="str">
        <f>VLOOKUP(Table3[[#This Row],[Faction ID]],Table4[],2)</f>
        <v>_</v>
      </c>
    </row>
    <row r="6282" spans="1:10" x14ac:dyDescent="0.25">
      <c r="A6282">
        <v>162</v>
      </c>
      <c r="B6282" t="s">
        <v>40</v>
      </c>
      <c r="C6282">
        <v>0</v>
      </c>
      <c r="D6282">
        <v>0</v>
      </c>
      <c r="E6282">
        <v>0</v>
      </c>
      <c r="F6282">
        <v>4000</v>
      </c>
      <c r="G6282">
        <v>1750</v>
      </c>
      <c r="H6282">
        <v>0</v>
      </c>
      <c r="J6282" t="str">
        <f>VLOOKUP(Table3[[#This Row],[Faction ID]],Table4[],2)</f>
        <v>_</v>
      </c>
    </row>
    <row r="6283" spans="1:10" x14ac:dyDescent="0.25">
      <c r="A6283">
        <v>162</v>
      </c>
      <c r="B6283" t="s">
        <v>41</v>
      </c>
      <c r="C6283">
        <v>0</v>
      </c>
      <c r="D6283">
        <v>0</v>
      </c>
      <c r="E6283">
        <v>0</v>
      </c>
      <c r="F6283">
        <v>4000</v>
      </c>
      <c r="G6283">
        <v>1750</v>
      </c>
      <c r="H6283">
        <v>0</v>
      </c>
      <c r="J6283" t="str">
        <f>VLOOKUP(Table3[[#This Row],[Faction ID]],Table4[],2)</f>
        <v>_</v>
      </c>
    </row>
    <row r="6284" spans="1:10" x14ac:dyDescent="0.25">
      <c r="A6284">
        <v>162</v>
      </c>
      <c r="B6284" t="s">
        <v>42</v>
      </c>
      <c r="C6284">
        <v>0</v>
      </c>
      <c r="D6284">
        <v>0</v>
      </c>
      <c r="E6284">
        <v>0</v>
      </c>
      <c r="F6284">
        <v>4000</v>
      </c>
      <c r="G6284">
        <v>1750</v>
      </c>
      <c r="H6284">
        <v>0</v>
      </c>
      <c r="J6284" t="str">
        <f>VLOOKUP(Table3[[#This Row],[Faction ID]],Table4[],2)</f>
        <v>_</v>
      </c>
    </row>
    <row r="6285" spans="1:10" x14ac:dyDescent="0.25">
      <c r="A6285">
        <v>162</v>
      </c>
      <c r="B6285" t="s">
        <v>43</v>
      </c>
      <c r="C6285">
        <v>0</v>
      </c>
      <c r="D6285">
        <v>0</v>
      </c>
      <c r="E6285">
        <v>0</v>
      </c>
      <c r="F6285">
        <v>4000</v>
      </c>
      <c r="G6285">
        <v>1750</v>
      </c>
      <c r="H6285">
        <v>0</v>
      </c>
      <c r="J6285" t="str">
        <f>VLOOKUP(Table3[[#This Row],[Faction ID]],Table4[],2)</f>
        <v>_</v>
      </c>
    </row>
    <row r="6286" spans="1:10" x14ac:dyDescent="0.25">
      <c r="A6286">
        <v>162</v>
      </c>
      <c r="B6286" t="s">
        <v>44</v>
      </c>
      <c r="C6286">
        <v>0</v>
      </c>
      <c r="D6286">
        <v>0</v>
      </c>
      <c r="E6286">
        <v>0</v>
      </c>
      <c r="F6286">
        <v>4000</v>
      </c>
      <c r="G6286">
        <v>1750</v>
      </c>
      <c r="H6286">
        <v>0</v>
      </c>
      <c r="J6286" t="str">
        <f>VLOOKUP(Table3[[#This Row],[Faction ID]],Table4[],2)</f>
        <v>_</v>
      </c>
    </row>
    <row r="6287" spans="1:10" x14ac:dyDescent="0.25">
      <c r="A6287">
        <v>163</v>
      </c>
      <c r="B6287" t="s">
        <v>9</v>
      </c>
      <c r="C6287">
        <v>1367</v>
      </c>
      <c r="D6287">
        <v>71</v>
      </c>
      <c r="E6287">
        <v>930.2</v>
      </c>
      <c r="F6287">
        <v>48085</v>
      </c>
      <c r="G6287">
        <v>167646</v>
      </c>
      <c r="H6287">
        <v>16437</v>
      </c>
      <c r="J6287" t="str">
        <f>VLOOKUP(Table3[[#This Row],[Faction ID]],Table4[],2)</f>
        <v>Mordor</v>
      </c>
    </row>
    <row r="6288" spans="1:10" x14ac:dyDescent="0.25">
      <c r="A6288">
        <v>163</v>
      </c>
      <c r="B6288" t="s">
        <v>4</v>
      </c>
      <c r="C6288">
        <v>146</v>
      </c>
      <c r="D6288">
        <v>0</v>
      </c>
      <c r="E6288">
        <v>0</v>
      </c>
      <c r="F6288">
        <v>55420</v>
      </c>
      <c r="G6288">
        <v>2500</v>
      </c>
      <c r="H6288">
        <v>0</v>
      </c>
      <c r="J6288" t="str">
        <f>VLOOKUP(Table3[[#This Row],[Faction ID]],Table4[],2)</f>
        <v>Gondor</v>
      </c>
    </row>
    <row r="6289" spans="1:10" x14ac:dyDescent="0.25">
      <c r="A6289">
        <v>163</v>
      </c>
      <c r="B6289" t="s">
        <v>6</v>
      </c>
      <c r="C6289">
        <v>199</v>
      </c>
      <c r="D6289">
        <v>0</v>
      </c>
      <c r="E6289">
        <v>0</v>
      </c>
      <c r="F6289">
        <v>10343</v>
      </c>
      <c r="G6289">
        <v>2500</v>
      </c>
      <c r="H6289">
        <v>0</v>
      </c>
      <c r="J6289" t="str">
        <f>VLOOKUP(Table3[[#This Row],[Faction ID]],Table4[],2)</f>
        <v>Dale</v>
      </c>
    </row>
    <row r="6290" spans="1:10" x14ac:dyDescent="0.25">
      <c r="A6290">
        <v>163</v>
      </c>
      <c r="B6290" t="s">
        <v>21</v>
      </c>
      <c r="C6290">
        <v>200</v>
      </c>
      <c r="D6290">
        <v>0</v>
      </c>
      <c r="E6290">
        <v>0</v>
      </c>
      <c r="F6290">
        <v>10040</v>
      </c>
      <c r="G6290">
        <v>2500</v>
      </c>
      <c r="H6290">
        <v>0</v>
      </c>
      <c r="J6290" t="str">
        <f>VLOOKUP(Table3[[#This Row],[Faction ID]],Table4[],2)</f>
        <v>Erebor</v>
      </c>
    </row>
    <row r="6291" spans="1:10" x14ac:dyDescent="0.25">
      <c r="A6291">
        <v>163</v>
      </c>
      <c r="B6291" t="s">
        <v>5</v>
      </c>
      <c r="C6291">
        <v>157</v>
      </c>
      <c r="D6291">
        <v>0</v>
      </c>
      <c r="E6291">
        <v>0</v>
      </c>
      <c r="F6291">
        <v>6638</v>
      </c>
      <c r="G6291">
        <v>2500</v>
      </c>
      <c r="H6291">
        <v>0</v>
      </c>
      <c r="J6291" t="str">
        <f>VLOOKUP(Table3[[#This Row],[Faction ID]],Table4[],2)</f>
        <v>Rohan</v>
      </c>
    </row>
    <row r="6292" spans="1:10" x14ac:dyDescent="0.25">
      <c r="A6292">
        <v>163</v>
      </c>
      <c r="B6292" t="s">
        <v>12</v>
      </c>
      <c r="C6292">
        <v>621</v>
      </c>
      <c r="D6292">
        <v>25</v>
      </c>
      <c r="E6292">
        <v>368.5</v>
      </c>
      <c r="F6292">
        <v>1045831</v>
      </c>
      <c r="G6292">
        <v>74997</v>
      </c>
      <c r="H6292">
        <v>7638</v>
      </c>
      <c r="J6292" t="str">
        <f>VLOOKUP(Table3[[#This Row],[Faction ID]],Table4[],2)</f>
        <v>Dol Guldur</v>
      </c>
    </row>
    <row r="6293" spans="1:10" x14ac:dyDescent="0.25">
      <c r="A6293">
        <v>163</v>
      </c>
      <c r="B6293" t="s">
        <v>10</v>
      </c>
      <c r="C6293">
        <v>58</v>
      </c>
      <c r="D6293">
        <v>0</v>
      </c>
      <c r="E6293">
        <v>0</v>
      </c>
      <c r="F6293">
        <v>4515</v>
      </c>
      <c r="G6293">
        <v>2500</v>
      </c>
      <c r="H6293">
        <v>0</v>
      </c>
      <c r="J6293" t="str">
        <f>VLOOKUP(Table3[[#This Row],[Faction ID]],Table4[],2)</f>
        <v>Anduin Vale</v>
      </c>
    </row>
    <row r="6294" spans="1:10" x14ac:dyDescent="0.25">
      <c r="A6294">
        <v>163</v>
      </c>
      <c r="B6294" t="s">
        <v>32</v>
      </c>
      <c r="C6294">
        <v>329</v>
      </c>
      <c r="D6294">
        <v>0</v>
      </c>
      <c r="E6294">
        <v>0</v>
      </c>
      <c r="F6294">
        <v>23007</v>
      </c>
      <c r="G6294">
        <v>2500</v>
      </c>
      <c r="H6294">
        <v>0</v>
      </c>
      <c r="J6294" t="str">
        <f>VLOOKUP(Table3[[#This Row],[Faction ID]],Table4[],2)</f>
        <v>Isengard</v>
      </c>
    </row>
    <row r="6295" spans="1:10" x14ac:dyDescent="0.25">
      <c r="A6295">
        <v>163</v>
      </c>
      <c r="B6295" t="s">
        <v>22</v>
      </c>
      <c r="C6295">
        <v>30</v>
      </c>
      <c r="D6295">
        <v>0</v>
      </c>
      <c r="E6295">
        <v>0</v>
      </c>
      <c r="F6295">
        <v>8475</v>
      </c>
      <c r="G6295">
        <v>2500</v>
      </c>
      <c r="H6295">
        <v>0</v>
      </c>
      <c r="J6295" t="str">
        <f>VLOOKUP(Table3[[#This Row],[Faction ID]],Table4[],2)</f>
        <v>Woodland Realm</v>
      </c>
    </row>
    <row r="6296" spans="1:10" x14ac:dyDescent="0.25">
      <c r="A6296">
        <v>163</v>
      </c>
      <c r="B6296" t="s">
        <v>23</v>
      </c>
      <c r="C6296">
        <v>64</v>
      </c>
      <c r="D6296">
        <v>0</v>
      </c>
      <c r="E6296">
        <v>0</v>
      </c>
      <c r="F6296">
        <v>4721</v>
      </c>
      <c r="G6296">
        <v>2500</v>
      </c>
      <c r="H6296">
        <v>0</v>
      </c>
      <c r="J6296" t="str">
        <f>VLOOKUP(Table3[[#This Row],[Faction ID]],Table4[],2)</f>
        <v>Lothlorien</v>
      </c>
    </row>
    <row r="6297" spans="1:10" x14ac:dyDescent="0.25">
      <c r="A6297">
        <v>163</v>
      </c>
      <c r="B6297" t="s">
        <v>24</v>
      </c>
      <c r="C6297">
        <v>0</v>
      </c>
      <c r="D6297">
        <v>0</v>
      </c>
      <c r="E6297">
        <v>0</v>
      </c>
      <c r="F6297">
        <v>4919</v>
      </c>
      <c r="G6297">
        <v>1750</v>
      </c>
      <c r="H6297">
        <v>0</v>
      </c>
      <c r="J6297" t="str">
        <f>VLOOKUP(Table3[[#This Row],[Faction ID]],Table4[],2)</f>
        <v>Variags (Khand)</v>
      </c>
    </row>
    <row r="6298" spans="1:10" x14ac:dyDescent="0.25">
      <c r="A6298">
        <v>163</v>
      </c>
      <c r="B6298" t="s">
        <v>14</v>
      </c>
      <c r="C6298">
        <v>26</v>
      </c>
      <c r="D6298">
        <v>18</v>
      </c>
      <c r="E6298">
        <v>314.60000000000002</v>
      </c>
      <c r="F6298">
        <v>838316</v>
      </c>
      <c r="G6298">
        <v>68556</v>
      </c>
      <c r="H6298">
        <v>6639</v>
      </c>
      <c r="J6298" t="str">
        <f>VLOOKUP(Table3[[#This Row],[Faction ID]],Table4[],2)</f>
        <v>Corsairs of Umbar</v>
      </c>
    </row>
    <row r="6299" spans="1:10" x14ac:dyDescent="0.25">
      <c r="A6299">
        <v>163</v>
      </c>
      <c r="B6299" t="s">
        <v>25</v>
      </c>
      <c r="C6299">
        <v>0</v>
      </c>
      <c r="D6299">
        <v>0</v>
      </c>
      <c r="E6299">
        <v>0</v>
      </c>
      <c r="F6299">
        <v>9228</v>
      </c>
      <c r="G6299">
        <v>1750</v>
      </c>
      <c r="H6299">
        <v>0</v>
      </c>
      <c r="J6299" t="str">
        <f>VLOOKUP(Table3[[#This Row],[Faction ID]],Table4[],2)</f>
        <v>Mahud</v>
      </c>
    </row>
    <row r="6300" spans="1:10" x14ac:dyDescent="0.25">
      <c r="A6300">
        <v>163</v>
      </c>
      <c r="B6300" t="s">
        <v>11</v>
      </c>
      <c r="C6300">
        <v>550</v>
      </c>
      <c r="D6300">
        <v>21</v>
      </c>
      <c r="E6300">
        <v>371</v>
      </c>
      <c r="F6300">
        <v>376686</v>
      </c>
      <c r="G6300">
        <v>68839</v>
      </c>
      <c r="H6300">
        <v>5938</v>
      </c>
      <c r="J6300" t="str">
        <f>VLOOKUP(Table3[[#This Row],[Faction ID]],Table4[],2)</f>
        <v>Haradrim</v>
      </c>
    </row>
    <row r="6301" spans="1:10" x14ac:dyDescent="0.25">
      <c r="A6301">
        <v>163</v>
      </c>
      <c r="B6301" t="s">
        <v>15</v>
      </c>
      <c r="C6301">
        <v>421</v>
      </c>
      <c r="D6301">
        <v>4</v>
      </c>
      <c r="E6301">
        <v>106.8</v>
      </c>
      <c r="F6301">
        <v>217630</v>
      </c>
      <c r="G6301">
        <v>23723</v>
      </c>
      <c r="H6301">
        <v>0</v>
      </c>
      <c r="J6301" t="str">
        <f>VLOOKUP(Table3[[#This Row],[Faction ID]],Table4[],2)</f>
        <v>Dunlendings</v>
      </c>
    </row>
    <row r="6302" spans="1:10" x14ac:dyDescent="0.25">
      <c r="A6302">
        <v>163</v>
      </c>
      <c r="B6302" t="s">
        <v>16</v>
      </c>
      <c r="C6302">
        <v>0</v>
      </c>
      <c r="D6302">
        <v>0</v>
      </c>
      <c r="E6302">
        <v>0</v>
      </c>
      <c r="F6302">
        <v>5352</v>
      </c>
      <c r="G6302">
        <v>1750</v>
      </c>
      <c r="H6302">
        <v>0</v>
      </c>
      <c r="J6302" t="str">
        <f>VLOOKUP(Table3[[#This Row],[Faction ID]],Table4[],2)</f>
        <v>Haerrim</v>
      </c>
    </row>
    <row r="6303" spans="1:10" x14ac:dyDescent="0.25">
      <c r="A6303">
        <v>163</v>
      </c>
      <c r="B6303" t="s">
        <v>13</v>
      </c>
      <c r="C6303">
        <v>666</v>
      </c>
      <c r="D6303">
        <v>0</v>
      </c>
      <c r="E6303">
        <v>0</v>
      </c>
      <c r="F6303">
        <v>128480</v>
      </c>
      <c r="G6303">
        <v>2500</v>
      </c>
      <c r="H6303">
        <v>0</v>
      </c>
      <c r="J6303" t="str">
        <f>VLOOKUP(Table3[[#This Row],[Faction ID]],Table4[],2)</f>
        <v>Goblins</v>
      </c>
    </row>
    <row r="6304" spans="1:10" x14ac:dyDescent="0.25">
      <c r="A6304">
        <v>163</v>
      </c>
      <c r="B6304" t="s">
        <v>17</v>
      </c>
      <c r="C6304">
        <v>0</v>
      </c>
      <c r="D6304">
        <v>0</v>
      </c>
      <c r="E6304">
        <v>0</v>
      </c>
      <c r="F6304">
        <v>4872</v>
      </c>
      <c r="G6304">
        <v>1750</v>
      </c>
      <c r="H6304">
        <v>0</v>
      </c>
      <c r="J6304" t="str">
        <f>VLOOKUP(Table3[[#This Row],[Faction ID]],Table4[],2)</f>
        <v>Balchoth</v>
      </c>
    </row>
    <row r="6305" spans="1:10" x14ac:dyDescent="0.25">
      <c r="A6305">
        <v>163</v>
      </c>
      <c r="B6305" t="s">
        <v>18</v>
      </c>
      <c r="C6305">
        <v>754</v>
      </c>
      <c r="D6305">
        <v>3</v>
      </c>
      <c r="E6305">
        <v>36</v>
      </c>
      <c r="F6305">
        <v>455092</v>
      </c>
      <c r="G6305">
        <v>7145</v>
      </c>
      <c r="H6305">
        <v>0</v>
      </c>
      <c r="J6305" t="str">
        <f>VLOOKUP(Table3[[#This Row],[Faction ID]],Table4[],2)</f>
        <v>Rhurim/Rhun</v>
      </c>
    </row>
    <row r="6306" spans="1:10" x14ac:dyDescent="0.25">
      <c r="A6306">
        <v>163</v>
      </c>
      <c r="B6306" t="s">
        <v>19</v>
      </c>
      <c r="C6306">
        <v>0</v>
      </c>
      <c r="D6306">
        <v>0</v>
      </c>
      <c r="E6306">
        <v>0</v>
      </c>
      <c r="F6306">
        <v>7360</v>
      </c>
      <c r="G6306">
        <v>1750</v>
      </c>
      <c r="H6306">
        <v>0</v>
      </c>
      <c r="J6306" t="str">
        <f>VLOOKUP(Table3[[#This Row],[Faction ID]],Table4[],2)</f>
        <v>Feredrim</v>
      </c>
    </row>
    <row r="6307" spans="1:10" x14ac:dyDescent="0.25">
      <c r="A6307">
        <v>163</v>
      </c>
      <c r="B6307" t="s">
        <v>26</v>
      </c>
      <c r="C6307">
        <v>0</v>
      </c>
      <c r="D6307">
        <v>0</v>
      </c>
      <c r="E6307">
        <v>0</v>
      </c>
      <c r="F6307">
        <v>6395</v>
      </c>
      <c r="G6307">
        <v>1750</v>
      </c>
      <c r="H6307">
        <v>0</v>
      </c>
      <c r="J6307" t="str">
        <f>VLOOKUP(Table3[[#This Row],[Faction ID]],Table4[],2)</f>
        <v>Rachrohir (Wainriders)</v>
      </c>
    </row>
    <row r="6308" spans="1:10" x14ac:dyDescent="0.25">
      <c r="A6308">
        <v>163</v>
      </c>
      <c r="B6308" t="s">
        <v>27</v>
      </c>
      <c r="C6308">
        <v>9</v>
      </c>
      <c r="D6308">
        <v>7</v>
      </c>
      <c r="E6308">
        <v>131.5</v>
      </c>
      <c r="F6308">
        <v>83512</v>
      </c>
      <c r="G6308">
        <v>31673</v>
      </c>
      <c r="H6308">
        <v>2627</v>
      </c>
      <c r="J6308" t="str">
        <f>VLOOKUP(Table3[[#This Row],[Faction ID]],Table4[],2)</f>
        <v>Blacklock-Stonefoot League</v>
      </c>
    </row>
    <row r="6309" spans="1:10" x14ac:dyDescent="0.25">
      <c r="A6309">
        <v>163</v>
      </c>
      <c r="B6309" t="s">
        <v>28</v>
      </c>
      <c r="C6309">
        <v>10</v>
      </c>
      <c r="D6309">
        <v>7</v>
      </c>
      <c r="E6309">
        <v>154</v>
      </c>
      <c r="F6309">
        <v>67899</v>
      </c>
      <c r="G6309">
        <v>40603</v>
      </c>
      <c r="H6309">
        <v>2344</v>
      </c>
      <c r="J6309" t="str">
        <f>VLOOKUP(Table3[[#This Row],[Faction ID]],Table4[],2)</f>
        <v>Ironfist-Stiffbeard Union</v>
      </c>
    </row>
    <row r="6310" spans="1:10" x14ac:dyDescent="0.25">
      <c r="A6310">
        <v>163</v>
      </c>
      <c r="B6310" t="s">
        <v>20</v>
      </c>
      <c r="C6310">
        <v>245</v>
      </c>
      <c r="D6310">
        <v>0</v>
      </c>
      <c r="E6310">
        <v>0</v>
      </c>
      <c r="F6310">
        <v>9750</v>
      </c>
      <c r="G6310">
        <v>2500</v>
      </c>
      <c r="H6310">
        <v>0</v>
      </c>
      <c r="J6310" t="str">
        <f>VLOOKUP(Table3[[#This Row],[Faction ID]],Table4[],2)</f>
        <v>Gundabad</v>
      </c>
    </row>
    <row r="6311" spans="1:10" x14ac:dyDescent="0.25">
      <c r="A6311">
        <v>163</v>
      </c>
      <c r="B6311" t="s">
        <v>34</v>
      </c>
      <c r="C6311">
        <v>0</v>
      </c>
      <c r="D6311">
        <v>0</v>
      </c>
      <c r="E6311">
        <v>3</v>
      </c>
      <c r="F6311">
        <v>187177</v>
      </c>
      <c r="G6311">
        <v>2354</v>
      </c>
      <c r="H6311">
        <v>0</v>
      </c>
      <c r="J6311" t="str">
        <f>VLOOKUP(Table3[[#This Row],[Faction ID]],Table4[],2)</f>
        <v>Scouts of Rohan</v>
      </c>
    </row>
    <row r="6312" spans="1:10" x14ac:dyDescent="0.25">
      <c r="A6312">
        <v>163</v>
      </c>
      <c r="B6312" t="s">
        <v>33</v>
      </c>
      <c r="C6312">
        <v>0</v>
      </c>
      <c r="D6312">
        <v>0</v>
      </c>
      <c r="E6312">
        <v>0</v>
      </c>
      <c r="F6312">
        <v>23466</v>
      </c>
      <c r="G6312">
        <v>1750</v>
      </c>
      <c r="H6312">
        <v>0</v>
      </c>
      <c r="J6312" t="str">
        <f>VLOOKUP(Table3[[#This Row],[Faction ID]],Table4[],2)</f>
        <v>Northern Enedwaith</v>
      </c>
    </row>
    <row r="6313" spans="1:10" x14ac:dyDescent="0.25">
      <c r="A6313">
        <v>163</v>
      </c>
      <c r="B6313" t="s">
        <v>29</v>
      </c>
      <c r="C6313">
        <v>0</v>
      </c>
      <c r="D6313">
        <v>0</v>
      </c>
      <c r="E6313">
        <v>0</v>
      </c>
      <c r="F6313">
        <v>54023</v>
      </c>
      <c r="G6313">
        <v>1750</v>
      </c>
      <c r="H6313">
        <v>0</v>
      </c>
      <c r="J6313" t="str">
        <f>VLOOKUP(Table3[[#This Row],[Faction ID]],Table4[],2)</f>
        <v>Southern Enedwaith</v>
      </c>
    </row>
    <row r="6314" spans="1:10" x14ac:dyDescent="0.25">
      <c r="A6314">
        <v>163</v>
      </c>
      <c r="B6314" t="s">
        <v>30</v>
      </c>
      <c r="C6314">
        <v>0</v>
      </c>
      <c r="D6314">
        <v>0</v>
      </c>
      <c r="E6314">
        <v>0</v>
      </c>
      <c r="F6314">
        <v>32146</v>
      </c>
      <c r="G6314">
        <v>1750</v>
      </c>
      <c r="H6314">
        <v>0</v>
      </c>
      <c r="J6314" t="str">
        <f>VLOOKUP(Table3[[#This Row],[Faction ID]],Table4[],2)</f>
        <v>Druedain</v>
      </c>
    </row>
    <row r="6315" spans="1:10" x14ac:dyDescent="0.25">
      <c r="A6315">
        <v>163</v>
      </c>
      <c r="B6315" t="s">
        <v>31</v>
      </c>
      <c r="C6315">
        <v>0</v>
      </c>
      <c r="D6315">
        <v>0</v>
      </c>
      <c r="E6315">
        <v>0</v>
      </c>
      <c r="F6315">
        <v>15146</v>
      </c>
      <c r="G6315">
        <v>1750</v>
      </c>
      <c r="H6315">
        <v>0</v>
      </c>
      <c r="J6315" t="str">
        <f>VLOOKUP(Table3[[#This Row],[Faction ID]],Table4[],2)</f>
        <v>Harondor</v>
      </c>
    </row>
    <row r="6316" spans="1:10" x14ac:dyDescent="0.25">
      <c r="A6316">
        <v>163</v>
      </c>
      <c r="B6316" t="s">
        <v>35</v>
      </c>
      <c r="C6316">
        <v>0</v>
      </c>
      <c r="D6316">
        <v>0</v>
      </c>
      <c r="E6316">
        <v>0</v>
      </c>
      <c r="F6316">
        <v>4000</v>
      </c>
      <c r="G6316">
        <v>1750</v>
      </c>
      <c r="H6316">
        <v>0</v>
      </c>
      <c r="J6316" t="str">
        <f>VLOOKUP(Table3[[#This Row],[Faction ID]],Table4[],2)</f>
        <v>Southron Nomads</v>
      </c>
    </row>
    <row r="6317" spans="1:10" x14ac:dyDescent="0.25">
      <c r="A6317">
        <v>163</v>
      </c>
      <c r="B6317" t="s">
        <v>36</v>
      </c>
      <c r="C6317">
        <v>0</v>
      </c>
      <c r="D6317">
        <v>0</v>
      </c>
      <c r="E6317">
        <v>0</v>
      </c>
      <c r="F6317">
        <v>4000</v>
      </c>
      <c r="G6317">
        <v>1750</v>
      </c>
      <c r="H6317">
        <v>0</v>
      </c>
      <c r="J6317" t="str">
        <f>VLOOKUP(Table3[[#This Row],[Faction ID]],Table4[],2)</f>
        <v>_</v>
      </c>
    </row>
    <row r="6318" spans="1:10" x14ac:dyDescent="0.25">
      <c r="A6318">
        <v>163</v>
      </c>
      <c r="B6318" t="s">
        <v>37</v>
      </c>
      <c r="C6318">
        <v>0</v>
      </c>
      <c r="D6318">
        <v>0</v>
      </c>
      <c r="E6318">
        <v>0</v>
      </c>
      <c r="F6318">
        <v>4000</v>
      </c>
      <c r="G6318">
        <v>1750</v>
      </c>
      <c r="H6318">
        <v>0</v>
      </c>
      <c r="J6318" t="str">
        <f>VLOOKUP(Table3[[#This Row],[Faction ID]],Table4[],2)</f>
        <v>_</v>
      </c>
    </row>
    <row r="6319" spans="1:10" x14ac:dyDescent="0.25">
      <c r="A6319">
        <v>163</v>
      </c>
      <c r="B6319" t="s">
        <v>38</v>
      </c>
      <c r="C6319">
        <v>0</v>
      </c>
      <c r="D6319">
        <v>0</v>
      </c>
      <c r="E6319">
        <v>0</v>
      </c>
      <c r="F6319">
        <v>4000</v>
      </c>
      <c r="G6319">
        <v>1750</v>
      </c>
      <c r="H6319">
        <v>0</v>
      </c>
      <c r="J6319" t="str">
        <f>VLOOKUP(Table3[[#This Row],[Faction ID]],Table4[],2)</f>
        <v>_</v>
      </c>
    </row>
    <row r="6320" spans="1:10" x14ac:dyDescent="0.25">
      <c r="A6320">
        <v>163</v>
      </c>
      <c r="B6320" t="s">
        <v>39</v>
      </c>
      <c r="C6320">
        <v>0</v>
      </c>
      <c r="D6320">
        <v>0</v>
      </c>
      <c r="E6320">
        <v>0</v>
      </c>
      <c r="F6320">
        <v>4000</v>
      </c>
      <c r="G6320">
        <v>1750</v>
      </c>
      <c r="H6320">
        <v>0</v>
      </c>
      <c r="J6320" t="str">
        <f>VLOOKUP(Table3[[#This Row],[Faction ID]],Table4[],2)</f>
        <v>_</v>
      </c>
    </row>
    <row r="6321" spans="1:10" x14ac:dyDescent="0.25">
      <c r="A6321">
        <v>163</v>
      </c>
      <c r="B6321" t="s">
        <v>40</v>
      </c>
      <c r="C6321">
        <v>0</v>
      </c>
      <c r="D6321">
        <v>0</v>
      </c>
      <c r="E6321">
        <v>0</v>
      </c>
      <c r="F6321">
        <v>4000</v>
      </c>
      <c r="G6321">
        <v>1750</v>
      </c>
      <c r="H6321">
        <v>0</v>
      </c>
      <c r="J6321" t="str">
        <f>VLOOKUP(Table3[[#This Row],[Faction ID]],Table4[],2)</f>
        <v>_</v>
      </c>
    </row>
    <row r="6322" spans="1:10" x14ac:dyDescent="0.25">
      <c r="A6322">
        <v>163</v>
      </c>
      <c r="B6322" t="s">
        <v>41</v>
      </c>
      <c r="C6322">
        <v>0</v>
      </c>
      <c r="D6322">
        <v>0</v>
      </c>
      <c r="E6322">
        <v>0</v>
      </c>
      <c r="F6322">
        <v>4000</v>
      </c>
      <c r="G6322">
        <v>1750</v>
      </c>
      <c r="H6322">
        <v>0</v>
      </c>
      <c r="J6322" t="str">
        <f>VLOOKUP(Table3[[#This Row],[Faction ID]],Table4[],2)</f>
        <v>_</v>
      </c>
    </row>
    <row r="6323" spans="1:10" x14ac:dyDescent="0.25">
      <c r="A6323">
        <v>163</v>
      </c>
      <c r="B6323" t="s">
        <v>42</v>
      </c>
      <c r="C6323">
        <v>0</v>
      </c>
      <c r="D6323">
        <v>0</v>
      </c>
      <c r="E6323">
        <v>0</v>
      </c>
      <c r="F6323">
        <v>4000</v>
      </c>
      <c r="G6323">
        <v>1750</v>
      </c>
      <c r="H6323">
        <v>0</v>
      </c>
      <c r="J6323" t="str">
        <f>VLOOKUP(Table3[[#This Row],[Faction ID]],Table4[],2)</f>
        <v>_</v>
      </c>
    </row>
    <row r="6324" spans="1:10" x14ac:dyDescent="0.25">
      <c r="A6324">
        <v>163</v>
      </c>
      <c r="B6324" t="s">
        <v>43</v>
      </c>
      <c r="C6324">
        <v>0</v>
      </c>
      <c r="D6324">
        <v>0</v>
      </c>
      <c r="E6324">
        <v>0</v>
      </c>
      <c r="F6324">
        <v>4000</v>
      </c>
      <c r="G6324">
        <v>1750</v>
      </c>
      <c r="H6324">
        <v>0</v>
      </c>
      <c r="J6324" t="str">
        <f>VLOOKUP(Table3[[#This Row],[Faction ID]],Table4[],2)</f>
        <v>_</v>
      </c>
    </row>
    <row r="6325" spans="1:10" x14ac:dyDescent="0.25">
      <c r="A6325">
        <v>163</v>
      </c>
      <c r="B6325" t="s">
        <v>44</v>
      </c>
      <c r="C6325">
        <v>0</v>
      </c>
      <c r="D6325">
        <v>0</v>
      </c>
      <c r="E6325">
        <v>0</v>
      </c>
      <c r="F6325">
        <v>4000</v>
      </c>
      <c r="G6325">
        <v>1750</v>
      </c>
      <c r="H6325">
        <v>0</v>
      </c>
      <c r="J6325" t="str">
        <f>VLOOKUP(Table3[[#This Row],[Faction ID]],Table4[],2)</f>
        <v>_</v>
      </c>
    </row>
    <row r="6326" spans="1:10" x14ac:dyDescent="0.25">
      <c r="A6326">
        <v>164</v>
      </c>
      <c r="B6326" t="s">
        <v>9</v>
      </c>
      <c r="C6326">
        <v>1379</v>
      </c>
      <c r="D6326">
        <v>71</v>
      </c>
      <c r="E6326">
        <v>943.2</v>
      </c>
      <c r="F6326">
        <v>67139</v>
      </c>
      <c r="G6326">
        <v>174443</v>
      </c>
      <c r="H6326">
        <v>16632</v>
      </c>
      <c r="J6326" t="str">
        <f>VLOOKUP(Table3[[#This Row],[Faction ID]],Table4[],2)</f>
        <v>Mordor</v>
      </c>
    </row>
    <row r="6327" spans="1:10" x14ac:dyDescent="0.25">
      <c r="A6327">
        <v>164</v>
      </c>
      <c r="B6327" t="s">
        <v>4</v>
      </c>
      <c r="C6327">
        <v>146</v>
      </c>
      <c r="D6327">
        <v>0</v>
      </c>
      <c r="E6327">
        <v>0</v>
      </c>
      <c r="F6327">
        <v>55420</v>
      </c>
      <c r="G6327">
        <v>2500</v>
      </c>
      <c r="H6327">
        <v>0</v>
      </c>
      <c r="J6327" t="str">
        <f>VLOOKUP(Table3[[#This Row],[Faction ID]],Table4[],2)</f>
        <v>Gondor</v>
      </c>
    </row>
    <row r="6328" spans="1:10" x14ac:dyDescent="0.25">
      <c r="A6328">
        <v>164</v>
      </c>
      <c r="B6328" t="s">
        <v>6</v>
      </c>
      <c r="C6328">
        <v>199</v>
      </c>
      <c r="D6328">
        <v>0</v>
      </c>
      <c r="E6328">
        <v>0</v>
      </c>
      <c r="F6328">
        <v>10343</v>
      </c>
      <c r="G6328">
        <v>2500</v>
      </c>
      <c r="H6328">
        <v>0</v>
      </c>
      <c r="J6328" t="str">
        <f>VLOOKUP(Table3[[#This Row],[Faction ID]],Table4[],2)</f>
        <v>Dale</v>
      </c>
    </row>
    <row r="6329" spans="1:10" x14ac:dyDescent="0.25">
      <c r="A6329">
        <v>164</v>
      </c>
      <c r="B6329" t="s">
        <v>21</v>
      </c>
      <c r="C6329">
        <v>200</v>
      </c>
      <c r="D6329">
        <v>0</v>
      </c>
      <c r="E6329">
        <v>0</v>
      </c>
      <c r="F6329">
        <v>10040</v>
      </c>
      <c r="G6329">
        <v>2500</v>
      </c>
      <c r="H6329">
        <v>0</v>
      </c>
      <c r="J6329" t="str">
        <f>VLOOKUP(Table3[[#This Row],[Faction ID]],Table4[],2)</f>
        <v>Erebor</v>
      </c>
    </row>
    <row r="6330" spans="1:10" x14ac:dyDescent="0.25">
      <c r="A6330">
        <v>164</v>
      </c>
      <c r="B6330" t="s">
        <v>5</v>
      </c>
      <c r="C6330">
        <v>157</v>
      </c>
      <c r="D6330">
        <v>0</v>
      </c>
      <c r="E6330">
        <v>0</v>
      </c>
      <c r="F6330">
        <v>6638</v>
      </c>
      <c r="G6330">
        <v>2500</v>
      </c>
      <c r="H6330">
        <v>0</v>
      </c>
      <c r="J6330" t="str">
        <f>VLOOKUP(Table3[[#This Row],[Faction ID]],Table4[],2)</f>
        <v>Rohan</v>
      </c>
    </row>
    <row r="6331" spans="1:10" x14ac:dyDescent="0.25">
      <c r="A6331">
        <v>164</v>
      </c>
      <c r="B6331" t="s">
        <v>12</v>
      </c>
      <c r="C6331">
        <v>621</v>
      </c>
      <c r="D6331">
        <v>25</v>
      </c>
      <c r="E6331">
        <v>355.7</v>
      </c>
      <c r="F6331">
        <v>1135400</v>
      </c>
      <c r="G6331">
        <v>66547</v>
      </c>
      <c r="H6331">
        <v>7501</v>
      </c>
      <c r="J6331" t="str">
        <f>VLOOKUP(Table3[[#This Row],[Faction ID]],Table4[],2)</f>
        <v>Dol Guldur</v>
      </c>
    </row>
    <row r="6332" spans="1:10" x14ac:dyDescent="0.25">
      <c r="A6332">
        <v>164</v>
      </c>
      <c r="B6332" t="s">
        <v>10</v>
      </c>
      <c r="C6332">
        <v>58</v>
      </c>
      <c r="D6332">
        <v>0</v>
      </c>
      <c r="E6332">
        <v>0</v>
      </c>
      <c r="F6332">
        <v>4515</v>
      </c>
      <c r="G6332">
        <v>2500</v>
      </c>
      <c r="H6332">
        <v>0</v>
      </c>
      <c r="J6332" t="str">
        <f>VLOOKUP(Table3[[#This Row],[Faction ID]],Table4[],2)</f>
        <v>Anduin Vale</v>
      </c>
    </row>
    <row r="6333" spans="1:10" x14ac:dyDescent="0.25">
      <c r="A6333">
        <v>164</v>
      </c>
      <c r="B6333" t="s">
        <v>32</v>
      </c>
      <c r="C6333">
        <v>329</v>
      </c>
      <c r="D6333">
        <v>0</v>
      </c>
      <c r="E6333">
        <v>0</v>
      </c>
      <c r="F6333">
        <v>23007</v>
      </c>
      <c r="G6333">
        <v>2500</v>
      </c>
      <c r="H6333">
        <v>0</v>
      </c>
      <c r="J6333" t="str">
        <f>VLOOKUP(Table3[[#This Row],[Faction ID]],Table4[],2)</f>
        <v>Isengard</v>
      </c>
    </row>
    <row r="6334" spans="1:10" x14ac:dyDescent="0.25">
      <c r="A6334">
        <v>164</v>
      </c>
      <c r="B6334" t="s">
        <v>22</v>
      </c>
      <c r="C6334">
        <v>30</v>
      </c>
      <c r="D6334">
        <v>0</v>
      </c>
      <c r="E6334">
        <v>0</v>
      </c>
      <c r="F6334">
        <v>8475</v>
      </c>
      <c r="G6334">
        <v>2500</v>
      </c>
      <c r="H6334">
        <v>0</v>
      </c>
      <c r="J6334" t="str">
        <f>VLOOKUP(Table3[[#This Row],[Faction ID]],Table4[],2)</f>
        <v>Woodland Realm</v>
      </c>
    </row>
    <row r="6335" spans="1:10" x14ac:dyDescent="0.25">
      <c r="A6335">
        <v>164</v>
      </c>
      <c r="B6335" t="s">
        <v>23</v>
      </c>
      <c r="C6335">
        <v>64</v>
      </c>
      <c r="D6335">
        <v>0</v>
      </c>
      <c r="E6335">
        <v>0</v>
      </c>
      <c r="F6335">
        <v>4721</v>
      </c>
      <c r="G6335">
        <v>2500</v>
      </c>
      <c r="H6335">
        <v>0</v>
      </c>
      <c r="J6335" t="str">
        <f>VLOOKUP(Table3[[#This Row],[Faction ID]],Table4[],2)</f>
        <v>Lothlorien</v>
      </c>
    </row>
    <row r="6336" spans="1:10" x14ac:dyDescent="0.25">
      <c r="A6336">
        <v>164</v>
      </c>
      <c r="B6336" t="s">
        <v>24</v>
      </c>
      <c r="C6336">
        <v>0</v>
      </c>
      <c r="D6336">
        <v>0</v>
      </c>
      <c r="E6336">
        <v>0</v>
      </c>
      <c r="F6336">
        <v>4919</v>
      </c>
      <c r="G6336">
        <v>1750</v>
      </c>
      <c r="H6336">
        <v>0</v>
      </c>
      <c r="J6336" t="str">
        <f>VLOOKUP(Table3[[#This Row],[Faction ID]],Table4[],2)</f>
        <v>Variags (Khand)</v>
      </c>
    </row>
    <row r="6337" spans="1:10" x14ac:dyDescent="0.25">
      <c r="A6337">
        <v>164</v>
      </c>
      <c r="B6337" t="s">
        <v>14</v>
      </c>
      <c r="C6337">
        <v>26</v>
      </c>
      <c r="D6337">
        <v>18</v>
      </c>
      <c r="E6337">
        <v>313.60000000000002</v>
      </c>
      <c r="F6337">
        <v>914874</v>
      </c>
      <c r="G6337">
        <v>70981</v>
      </c>
      <c r="H6337">
        <v>7073</v>
      </c>
      <c r="J6337" t="str">
        <f>VLOOKUP(Table3[[#This Row],[Faction ID]],Table4[],2)</f>
        <v>Corsairs of Umbar</v>
      </c>
    </row>
    <row r="6338" spans="1:10" x14ac:dyDescent="0.25">
      <c r="A6338">
        <v>164</v>
      </c>
      <c r="B6338" t="s">
        <v>25</v>
      </c>
      <c r="C6338">
        <v>0</v>
      </c>
      <c r="D6338">
        <v>0</v>
      </c>
      <c r="E6338">
        <v>0</v>
      </c>
      <c r="F6338">
        <v>9228</v>
      </c>
      <c r="G6338">
        <v>1750</v>
      </c>
      <c r="H6338">
        <v>0</v>
      </c>
      <c r="J6338" t="str">
        <f>VLOOKUP(Table3[[#This Row],[Faction ID]],Table4[],2)</f>
        <v>Mahud</v>
      </c>
    </row>
    <row r="6339" spans="1:10" x14ac:dyDescent="0.25">
      <c r="A6339">
        <v>164</v>
      </c>
      <c r="B6339" t="s">
        <v>11</v>
      </c>
      <c r="C6339">
        <v>587</v>
      </c>
      <c r="D6339">
        <v>22</v>
      </c>
      <c r="E6339">
        <v>379</v>
      </c>
      <c r="F6339">
        <v>403586</v>
      </c>
      <c r="G6339">
        <v>67787</v>
      </c>
      <c r="H6339">
        <v>6096</v>
      </c>
      <c r="J6339" t="str">
        <f>VLOOKUP(Table3[[#This Row],[Faction ID]],Table4[],2)</f>
        <v>Haradrim</v>
      </c>
    </row>
    <row r="6340" spans="1:10" x14ac:dyDescent="0.25">
      <c r="A6340">
        <v>164</v>
      </c>
      <c r="B6340" t="s">
        <v>15</v>
      </c>
      <c r="C6340">
        <v>421</v>
      </c>
      <c r="D6340">
        <v>4</v>
      </c>
      <c r="E6340">
        <v>107.8</v>
      </c>
      <c r="F6340">
        <v>221479</v>
      </c>
      <c r="G6340">
        <v>22818</v>
      </c>
      <c r="H6340">
        <v>0</v>
      </c>
      <c r="J6340" t="str">
        <f>VLOOKUP(Table3[[#This Row],[Faction ID]],Table4[],2)</f>
        <v>Dunlendings</v>
      </c>
    </row>
    <row r="6341" spans="1:10" x14ac:dyDescent="0.25">
      <c r="A6341">
        <v>164</v>
      </c>
      <c r="B6341" t="s">
        <v>16</v>
      </c>
      <c r="C6341">
        <v>0</v>
      </c>
      <c r="D6341">
        <v>0</v>
      </c>
      <c r="E6341">
        <v>0</v>
      </c>
      <c r="F6341">
        <v>5352</v>
      </c>
      <c r="G6341">
        <v>1750</v>
      </c>
      <c r="H6341">
        <v>0</v>
      </c>
      <c r="J6341" t="str">
        <f>VLOOKUP(Table3[[#This Row],[Faction ID]],Table4[],2)</f>
        <v>Haerrim</v>
      </c>
    </row>
    <row r="6342" spans="1:10" x14ac:dyDescent="0.25">
      <c r="A6342">
        <v>164</v>
      </c>
      <c r="B6342" t="s">
        <v>13</v>
      </c>
      <c r="C6342">
        <v>666</v>
      </c>
      <c r="D6342">
        <v>0</v>
      </c>
      <c r="E6342">
        <v>0</v>
      </c>
      <c r="F6342">
        <v>128480</v>
      </c>
      <c r="G6342">
        <v>2500</v>
      </c>
      <c r="H6342">
        <v>0</v>
      </c>
      <c r="J6342" t="str">
        <f>VLOOKUP(Table3[[#This Row],[Faction ID]],Table4[],2)</f>
        <v>Goblins</v>
      </c>
    </row>
    <row r="6343" spans="1:10" x14ac:dyDescent="0.25">
      <c r="A6343">
        <v>164</v>
      </c>
      <c r="B6343" t="s">
        <v>17</v>
      </c>
      <c r="C6343">
        <v>0</v>
      </c>
      <c r="D6343">
        <v>0</v>
      </c>
      <c r="E6343">
        <v>0</v>
      </c>
      <c r="F6343">
        <v>4872</v>
      </c>
      <c r="G6343">
        <v>1750</v>
      </c>
      <c r="H6343">
        <v>0</v>
      </c>
      <c r="J6343" t="str">
        <f>VLOOKUP(Table3[[#This Row],[Faction ID]],Table4[],2)</f>
        <v>Balchoth</v>
      </c>
    </row>
    <row r="6344" spans="1:10" x14ac:dyDescent="0.25">
      <c r="A6344">
        <v>164</v>
      </c>
      <c r="B6344" t="s">
        <v>18</v>
      </c>
      <c r="C6344">
        <v>753</v>
      </c>
      <c r="D6344">
        <v>2</v>
      </c>
      <c r="E6344">
        <v>29</v>
      </c>
      <c r="F6344">
        <v>461242</v>
      </c>
      <c r="G6344">
        <v>4757</v>
      </c>
      <c r="H6344">
        <v>0</v>
      </c>
      <c r="J6344" t="str">
        <f>VLOOKUP(Table3[[#This Row],[Faction ID]],Table4[],2)</f>
        <v>Rhurim/Rhun</v>
      </c>
    </row>
    <row r="6345" spans="1:10" x14ac:dyDescent="0.25">
      <c r="A6345">
        <v>164</v>
      </c>
      <c r="B6345" t="s">
        <v>19</v>
      </c>
      <c r="C6345">
        <v>0</v>
      </c>
      <c r="D6345">
        <v>0</v>
      </c>
      <c r="E6345">
        <v>0</v>
      </c>
      <c r="F6345">
        <v>7360</v>
      </c>
      <c r="G6345">
        <v>1750</v>
      </c>
      <c r="H6345">
        <v>0</v>
      </c>
      <c r="J6345" t="str">
        <f>VLOOKUP(Table3[[#This Row],[Faction ID]],Table4[],2)</f>
        <v>Feredrim</v>
      </c>
    </row>
    <row r="6346" spans="1:10" x14ac:dyDescent="0.25">
      <c r="A6346">
        <v>164</v>
      </c>
      <c r="B6346" t="s">
        <v>26</v>
      </c>
      <c r="C6346">
        <v>0</v>
      </c>
      <c r="D6346">
        <v>0</v>
      </c>
      <c r="E6346">
        <v>0</v>
      </c>
      <c r="F6346">
        <v>6395</v>
      </c>
      <c r="G6346">
        <v>1750</v>
      </c>
      <c r="H6346">
        <v>0</v>
      </c>
      <c r="J6346" t="str">
        <f>VLOOKUP(Table3[[#This Row],[Faction ID]],Table4[],2)</f>
        <v>Rachrohir (Wainriders)</v>
      </c>
    </row>
    <row r="6347" spans="1:10" x14ac:dyDescent="0.25">
      <c r="A6347">
        <v>164</v>
      </c>
      <c r="B6347" t="s">
        <v>27</v>
      </c>
      <c r="C6347">
        <v>9</v>
      </c>
      <c r="D6347">
        <v>7</v>
      </c>
      <c r="E6347">
        <v>133.5</v>
      </c>
      <c r="F6347">
        <v>89922</v>
      </c>
      <c r="G6347">
        <v>32143</v>
      </c>
      <c r="H6347">
        <v>2628</v>
      </c>
      <c r="J6347" t="str">
        <f>VLOOKUP(Table3[[#This Row],[Faction ID]],Table4[],2)</f>
        <v>Blacklock-Stonefoot League</v>
      </c>
    </row>
    <row r="6348" spans="1:10" x14ac:dyDescent="0.25">
      <c r="A6348">
        <v>164</v>
      </c>
      <c r="B6348" t="s">
        <v>28</v>
      </c>
      <c r="C6348">
        <v>10</v>
      </c>
      <c r="D6348">
        <v>7</v>
      </c>
      <c r="E6348">
        <v>152</v>
      </c>
      <c r="F6348">
        <v>75310</v>
      </c>
      <c r="G6348">
        <v>42643</v>
      </c>
      <c r="H6348">
        <v>2346</v>
      </c>
      <c r="J6348" t="str">
        <f>VLOOKUP(Table3[[#This Row],[Faction ID]],Table4[],2)</f>
        <v>Ironfist-Stiffbeard Union</v>
      </c>
    </row>
    <row r="6349" spans="1:10" x14ac:dyDescent="0.25">
      <c r="A6349">
        <v>164</v>
      </c>
      <c r="B6349" t="s">
        <v>20</v>
      </c>
      <c r="C6349">
        <v>245</v>
      </c>
      <c r="D6349">
        <v>0</v>
      </c>
      <c r="E6349">
        <v>0</v>
      </c>
      <c r="F6349">
        <v>9750</v>
      </c>
      <c r="G6349">
        <v>2500</v>
      </c>
      <c r="H6349">
        <v>0</v>
      </c>
      <c r="J6349" t="str">
        <f>VLOOKUP(Table3[[#This Row],[Faction ID]],Table4[],2)</f>
        <v>Gundabad</v>
      </c>
    </row>
    <row r="6350" spans="1:10" x14ac:dyDescent="0.25">
      <c r="A6350">
        <v>164</v>
      </c>
      <c r="B6350" t="s">
        <v>34</v>
      </c>
      <c r="C6350">
        <v>0</v>
      </c>
      <c r="D6350">
        <v>0</v>
      </c>
      <c r="E6350">
        <v>3</v>
      </c>
      <c r="F6350">
        <v>188323</v>
      </c>
      <c r="G6350">
        <v>2354</v>
      </c>
      <c r="H6350">
        <v>0</v>
      </c>
      <c r="J6350" t="str">
        <f>VLOOKUP(Table3[[#This Row],[Faction ID]],Table4[],2)</f>
        <v>Scouts of Rohan</v>
      </c>
    </row>
    <row r="6351" spans="1:10" x14ac:dyDescent="0.25">
      <c r="A6351">
        <v>164</v>
      </c>
      <c r="B6351" t="s">
        <v>33</v>
      </c>
      <c r="C6351">
        <v>0</v>
      </c>
      <c r="D6351">
        <v>0</v>
      </c>
      <c r="E6351">
        <v>0</v>
      </c>
      <c r="F6351">
        <v>23466</v>
      </c>
      <c r="G6351">
        <v>1750</v>
      </c>
      <c r="H6351">
        <v>0</v>
      </c>
      <c r="J6351" t="str">
        <f>VLOOKUP(Table3[[#This Row],[Faction ID]],Table4[],2)</f>
        <v>Northern Enedwaith</v>
      </c>
    </row>
    <row r="6352" spans="1:10" x14ac:dyDescent="0.25">
      <c r="A6352">
        <v>164</v>
      </c>
      <c r="B6352" t="s">
        <v>29</v>
      </c>
      <c r="C6352">
        <v>0</v>
      </c>
      <c r="D6352">
        <v>0</v>
      </c>
      <c r="E6352">
        <v>0</v>
      </c>
      <c r="F6352">
        <v>54023</v>
      </c>
      <c r="G6352">
        <v>1750</v>
      </c>
      <c r="H6352">
        <v>0</v>
      </c>
      <c r="J6352" t="str">
        <f>VLOOKUP(Table3[[#This Row],[Faction ID]],Table4[],2)</f>
        <v>Southern Enedwaith</v>
      </c>
    </row>
    <row r="6353" spans="1:10" x14ac:dyDescent="0.25">
      <c r="A6353">
        <v>164</v>
      </c>
      <c r="B6353" t="s">
        <v>30</v>
      </c>
      <c r="C6353">
        <v>0</v>
      </c>
      <c r="D6353">
        <v>0</v>
      </c>
      <c r="E6353">
        <v>0</v>
      </c>
      <c r="F6353">
        <v>32146</v>
      </c>
      <c r="G6353">
        <v>1750</v>
      </c>
      <c r="H6353">
        <v>0</v>
      </c>
      <c r="J6353" t="str">
        <f>VLOOKUP(Table3[[#This Row],[Faction ID]],Table4[],2)</f>
        <v>Druedain</v>
      </c>
    </row>
    <row r="6354" spans="1:10" x14ac:dyDescent="0.25">
      <c r="A6354">
        <v>164</v>
      </c>
      <c r="B6354" t="s">
        <v>31</v>
      </c>
      <c r="C6354">
        <v>0</v>
      </c>
      <c r="D6354">
        <v>0</v>
      </c>
      <c r="E6354">
        <v>0</v>
      </c>
      <c r="F6354">
        <v>15146</v>
      </c>
      <c r="G6354">
        <v>1750</v>
      </c>
      <c r="H6354">
        <v>0</v>
      </c>
      <c r="J6354" t="str">
        <f>VLOOKUP(Table3[[#This Row],[Faction ID]],Table4[],2)</f>
        <v>Harondor</v>
      </c>
    </row>
    <row r="6355" spans="1:10" x14ac:dyDescent="0.25">
      <c r="A6355">
        <v>164</v>
      </c>
      <c r="B6355" t="s">
        <v>35</v>
      </c>
      <c r="C6355">
        <v>0</v>
      </c>
      <c r="D6355">
        <v>0</v>
      </c>
      <c r="E6355">
        <v>0</v>
      </c>
      <c r="F6355">
        <v>4000</v>
      </c>
      <c r="G6355">
        <v>1750</v>
      </c>
      <c r="H6355">
        <v>0</v>
      </c>
      <c r="J6355" t="str">
        <f>VLOOKUP(Table3[[#This Row],[Faction ID]],Table4[],2)</f>
        <v>Southron Nomads</v>
      </c>
    </row>
    <row r="6356" spans="1:10" x14ac:dyDescent="0.25">
      <c r="A6356">
        <v>164</v>
      </c>
      <c r="B6356" t="s">
        <v>36</v>
      </c>
      <c r="C6356">
        <v>0</v>
      </c>
      <c r="D6356">
        <v>0</v>
      </c>
      <c r="E6356">
        <v>0</v>
      </c>
      <c r="F6356">
        <v>4000</v>
      </c>
      <c r="G6356">
        <v>1750</v>
      </c>
      <c r="H6356">
        <v>0</v>
      </c>
      <c r="J6356" t="str">
        <f>VLOOKUP(Table3[[#This Row],[Faction ID]],Table4[],2)</f>
        <v>_</v>
      </c>
    </row>
    <row r="6357" spans="1:10" x14ac:dyDescent="0.25">
      <c r="A6357">
        <v>164</v>
      </c>
      <c r="B6357" t="s">
        <v>37</v>
      </c>
      <c r="C6357">
        <v>0</v>
      </c>
      <c r="D6357">
        <v>0</v>
      </c>
      <c r="E6357">
        <v>0</v>
      </c>
      <c r="F6357">
        <v>4000</v>
      </c>
      <c r="G6357">
        <v>1750</v>
      </c>
      <c r="H6357">
        <v>0</v>
      </c>
      <c r="J6357" t="str">
        <f>VLOOKUP(Table3[[#This Row],[Faction ID]],Table4[],2)</f>
        <v>_</v>
      </c>
    </row>
    <row r="6358" spans="1:10" x14ac:dyDescent="0.25">
      <c r="A6358">
        <v>164</v>
      </c>
      <c r="B6358" t="s">
        <v>38</v>
      </c>
      <c r="C6358">
        <v>0</v>
      </c>
      <c r="D6358">
        <v>0</v>
      </c>
      <c r="E6358">
        <v>0</v>
      </c>
      <c r="F6358">
        <v>4000</v>
      </c>
      <c r="G6358">
        <v>1750</v>
      </c>
      <c r="H6358">
        <v>0</v>
      </c>
      <c r="J6358" t="str">
        <f>VLOOKUP(Table3[[#This Row],[Faction ID]],Table4[],2)</f>
        <v>_</v>
      </c>
    </row>
    <row r="6359" spans="1:10" x14ac:dyDescent="0.25">
      <c r="A6359">
        <v>164</v>
      </c>
      <c r="B6359" t="s">
        <v>39</v>
      </c>
      <c r="C6359">
        <v>0</v>
      </c>
      <c r="D6359">
        <v>0</v>
      </c>
      <c r="E6359">
        <v>0</v>
      </c>
      <c r="F6359">
        <v>4000</v>
      </c>
      <c r="G6359">
        <v>1750</v>
      </c>
      <c r="H6359">
        <v>0</v>
      </c>
      <c r="J6359" t="str">
        <f>VLOOKUP(Table3[[#This Row],[Faction ID]],Table4[],2)</f>
        <v>_</v>
      </c>
    </row>
    <row r="6360" spans="1:10" x14ac:dyDescent="0.25">
      <c r="A6360">
        <v>164</v>
      </c>
      <c r="B6360" t="s">
        <v>40</v>
      </c>
      <c r="C6360">
        <v>0</v>
      </c>
      <c r="D6360">
        <v>0</v>
      </c>
      <c r="E6360">
        <v>0</v>
      </c>
      <c r="F6360">
        <v>4000</v>
      </c>
      <c r="G6360">
        <v>1750</v>
      </c>
      <c r="H6360">
        <v>0</v>
      </c>
      <c r="J6360" t="str">
        <f>VLOOKUP(Table3[[#This Row],[Faction ID]],Table4[],2)</f>
        <v>_</v>
      </c>
    </row>
    <row r="6361" spans="1:10" x14ac:dyDescent="0.25">
      <c r="A6361">
        <v>164</v>
      </c>
      <c r="B6361" t="s">
        <v>41</v>
      </c>
      <c r="C6361">
        <v>0</v>
      </c>
      <c r="D6361">
        <v>0</v>
      </c>
      <c r="E6361">
        <v>0</v>
      </c>
      <c r="F6361">
        <v>4000</v>
      </c>
      <c r="G6361">
        <v>1750</v>
      </c>
      <c r="H6361">
        <v>0</v>
      </c>
      <c r="J6361" t="str">
        <f>VLOOKUP(Table3[[#This Row],[Faction ID]],Table4[],2)</f>
        <v>_</v>
      </c>
    </row>
    <row r="6362" spans="1:10" x14ac:dyDescent="0.25">
      <c r="A6362">
        <v>164</v>
      </c>
      <c r="B6362" t="s">
        <v>42</v>
      </c>
      <c r="C6362">
        <v>0</v>
      </c>
      <c r="D6362">
        <v>0</v>
      </c>
      <c r="E6362">
        <v>0</v>
      </c>
      <c r="F6362">
        <v>4000</v>
      </c>
      <c r="G6362">
        <v>1750</v>
      </c>
      <c r="H6362">
        <v>0</v>
      </c>
      <c r="J6362" t="str">
        <f>VLOOKUP(Table3[[#This Row],[Faction ID]],Table4[],2)</f>
        <v>_</v>
      </c>
    </row>
    <row r="6363" spans="1:10" x14ac:dyDescent="0.25">
      <c r="A6363">
        <v>164</v>
      </c>
      <c r="B6363" t="s">
        <v>43</v>
      </c>
      <c r="C6363">
        <v>0</v>
      </c>
      <c r="D6363">
        <v>0</v>
      </c>
      <c r="E6363">
        <v>0</v>
      </c>
      <c r="F6363">
        <v>4000</v>
      </c>
      <c r="G6363">
        <v>1750</v>
      </c>
      <c r="H6363">
        <v>0</v>
      </c>
      <c r="J6363" t="str">
        <f>VLOOKUP(Table3[[#This Row],[Faction ID]],Table4[],2)</f>
        <v>_</v>
      </c>
    </row>
    <row r="6364" spans="1:10" x14ac:dyDescent="0.25">
      <c r="A6364">
        <v>164</v>
      </c>
      <c r="B6364" t="s">
        <v>44</v>
      </c>
      <c r="C6364">
        <v>0</v>
      </c>
      <c r="D6364">
        <v>0</v>
      </c>
      <c r="E6364">
        <v>0</v>
      </c>
      <c r="F6364">
        <v>4000</v>
      </c>
      <c r="G6364">
        <v>1750</v>
      </c>
      <c r="H6364">
        <v>0</v>
      </c>
      <c r="J6364" t="str">
        <f>VLOOKUP(Table3[[#This Row],[Faction ID]],Table4[],2)</f>
        <v>_</v>
      </c>
    </row>
    <row r="6365" spans="1:10" x14ac:dyDescent="0.25">
      <c r="A6365">
        <v>165</v>
      </c>
      <c r="B6365" t="s">
        <v>9</v>
      </c>
      <c r="C6365">
        <v>1379</v>
      </c>
      <c r="D6365">
        <v>71</v>
      </c>
      <c r="E6365">
        <v>944.2</v>
      </c>
      <c r="F6365">
        <v>78315</v>
      </c>
      <c r="G6365">
        <v>177487</v>
      </c>
      <c r="H6365">
        <v>16956</v>
      </c>
      <c r="J6365" t="str">
        <f>VLOOKUP(Table3[[#This Row],[Faction ID]],Table4[],2)</f>
        <v>Mordor</v>
      </c>
    </row>
    <row r="6366" spans="1:10" x14ac:dyDescent="0.25">
      <c r="A6366">
        <v>165</v>
      </c>
      <c r="B6366" t="s">
        <v>4</v>
      </c>
      <c r="C6366">
        <v>146</v>
      </c>
      <c r="D6366">
        <v>0</v>
      </c>
      <c r="E6366">
        <v>0</v>
      </c>
      <c r="F6366">
        <v>55420</v>
      </c>
      <c r="G6366">
        <v>2500</v>
      </c>
      <c r="H6366">
        <v>0</v>
      </c>
      <c r="J6366" t="str">
        <f>VLOOKUP(Table3[[#This Row],[Faction ID]],Table4[],2)</f>
        <v>Gondor</v>
      </c>
    </row>
    <row r="6367" spans="1:10" x14ac:dyDescent="0.25">
      <c r="A6367">
        <v>165</v>
      </c>
      <c r="B6367" t="s">
        <v>6</v>
      </c>
      <c r="C6367">
        <v>199</v>
      </c>
      <c r="D6367">
        <v>0</v>
      </c>
      <c r="E6367">
        <v>0</v>
      </c>
      <c r="F6367">
        <v>10343</v>
      </c>
      <c r="G6367">
        <v>2500</v>
      </c>
      <c r="H6367">
        <v>0</v>
      </c>
      <c r="J6367" t="str">
        <f>VLOOKUP(Table3[[#This Row],[Faction ID]],Table4[],2)</f>
        <v>Dale</v>
      </c>
    </row>
    <row r="6368" spans="1:10" x14ac:dyDescent="0.25">
      <c r="A6368">
        <v>165</v>
      </c>
      <c r="B6368" t="s">
        <v>21</v>
      </c>
      <c r="C6368">
        <v>200</v>
      </c>
      <c r="D6368">
        <v>0</v>
      </c>
      <c r="E6368">
        <v>0</v>
      </c>
      <c r="F6368">
        <v>10040</v>
      </c>
      <c r="G6368">
        <v>2500</v>
      </c>
      <c r="H6368">
        <v>0</v>
      </c>
      <c r="J6368" t="str">
        <f>VLOOKUP(Table3[[#This Row],[Faction ID]],Table4[],2)</f>
        <v>Erebor</v>
      </c>
    </row>
    <row r="6369" spans="1:10" x14ac:dyDescent="0.25">
      <c r="A6369">
        <v>165</v>
      </c>
      <c r="B6369" t="s">
        <v>5</v>
      </c>
      <c r="C6369">
        <v>157</v>
      </c>
      <c r="D6369">
        <v>0</v>
      </c>
      <c r="E6369">
        <v>0</v>
      </c>
      <c r="F6369">
        <v>6638</v>
      </c>
      <c r="G6369">
        <v>2500</v>
      </c>
      <c r="H6369">
        <v>0</v>
      </c>
      <c r="J6369" t="str">
        <f>VLOOKUP(Table3[[#This Row],[Faction ID]],Table4[],2)</f>
        <v>Rohan</v>
      </c>
    </row>
    <row r="6370" spans="1:10" x14ac:dyDescent="0.25">
      <c r="A6370">
        <v>165</v>
      </c>
      <c r="B6370" t="s">
        <v>12</v>
      </c>
      <c r="C6370">
        <v>621</v>
      </c>
      <c r="D6370">
        <v>25</v>
      </c>
      <c r="E6370">
        <v>376.6</v>
      </c>
      <c r="F6370">
        <v>1154081</v>
      </c>
      <c r="G6370">
        <v>76495</v>
      </c>
      <c r="H6370">
        <v>7642</v>
      </c>
      <c r="J6370" t="str">
        <f>VLOOKUP(Table3[[#This Row],[Faction ID]],Table4[],2)</f>
        <v>Dol Guldur</v>
      </c>
    </row>
    <row r="6371" spans="1:10" x14ac:dyDescent="0.25">
      <c r="A6371">
        <v>165</v>
      </c>
      <c r="B6371" t="s">
        <v>10</v>
      </c>
      <c r="C6371">
        <v>58</v>
      </c>
      <c r="D6371">
        <v>0</v>
      </c>
      <c r="E6371">
        <v>0</v>
      </c>
      <c r="F6371">
        <v>4515</v>
      </c>
      <c r="G6371">
        <v>2500</v>
      </c>
      <c r="H6371">
        <v>0</v>
      </c>
      <c r="J6371" t="str">
        <f>VLOOKUP(Table3[[#This Row],[Faction ID]],Table4[],2)</f>
        <v>Anduin Vale</v>
      </c>
    </row>
    <row r="6372" spans="1:10" x14ac:dyDescent="0.25">
      <c r="A6372">
        <v>165</v>
      </c>
      <c r="B6372" t="s">
        <v>32</v>
      </c>
      <c r="C6372">
        <v>329</v>
      </c>
      <c r="D6372">
        <v>0</v>
      </c>
      <c r="E6372">
        <v>0</v>
      </c>
      <c r="F6372">
        <v>23007</v>
      </c>
      <c r="G6372">
        <v>2500</v>
      </c>
      <c r="H6372">
        <v>0</v>
      </c>
      <c r="J6372" t="str">
        <f>VLOOKUP(Table3[[#This Row],[Faction ID]],Table4[],2)</f>
        <v>Isengard</v>
      </c>
    </row>
    <row r="6373" spans="1:10" x14ac:dyDescent="0.25">
      <c r="A6373">
        <v>165</v>
      </c>
      <c r="B6373" t="s">
        <v>22</v>
      </c>
      <c r="C6373">
        <v>30</v>
      </c>
      <c r="D6373">
        <v>0</v>
      </c>
      <c r="E6373">
        <v>0</v>
      </c>
      <c r="F6373">
        <v>8475</v>
      </c>
      <c r="G6373">
        <v>2500</v>
      </c>
      <c r="H6373">
        <v>0</v>
      </c>
      <c r="J6373" t="str">
        <f>VLOOKUP(Table3[[#This Row],[Faction ID]],Table4[],2)</f>
        <v>Woodland Realm</v>
      </c>
    </row>
    <row r="6374" spans="1:10" x14ac:dyDescent="0.25">
      <c r="A6374">
        <v>165</v>
      </c>
      <c r="B6374" t="s">
        <v>23</v>
      </c>
      <c r="C6374">
        <v>64</v>
      </c>
      <c r="D6374">
        <v>0</v>
      </c>
      <c r="E6374">
        <v>0</v>
      </c>
      <c r="F6374">
        <v>4721</v>
      </c>
      <c r="G6374">
        <v>2500</v>
      </c>
      <c r="H6374">
        <v>0</v>
      </c>
      <c r="J6374" t="str">
        <f>VLOOKUP(Table3[[#This Row],[Faction ID]],Table4[],2)</f>
        <v>Lothlorien</v>
      </c>
    </row>
    <row r="6375" spans="1:10" x14ac:dyDescent="0.25">
      <c r="A6375">
        <v>165</v>
      </c>
      <c r="B6375" t="s">
        <v>24</v>
      </c>
      <c r="C6375">
        <v>0</v>
      </c>
      <c r="D6375">
        <v>0</v>
      </c>
      <c r="E6375">
        <v>0</v>
      </c>
      <c r="F6375">
        <v>4919</v>
      </c>
      <c r="G6375">
        <v>1750</v>
      </c>
      <c r="H6375">
        <v>0</v>
      </c>
      <c r="J6375" t="str">
        <f>VLOOKUP(Table3[[#This Row],[Faction ID]],Table4[],2)</f>
        <v>Variags (Khand)</v>
      </c>
    </row>
    <row r="6376" spans="1:10" x14ac:dyDescent="0.25">
      <c r="A6376">
        <v>165</v>
      </c>
      <c r="B6376" t="s">
        <v>14</v>
      </c>
      <c r="C6376">
        <v>26</v>
      </c>
      <c r="D6376">
        <v>18</v>
      </c>
      <c r="E6376">
        <v>313.60000000000002</v>
      </c>
      <c r="F6376">
        <v>938325</v>
      </c>
      <c r="G6376">
        <v>74799</v>
      </c>
      <c r="H6376">
        <v>7096</v>
      </c>
      <c r="J6376" t="str">
        <f>VLOOKUP(Table3[[#This Row],[Faction ID]],Table4[],2)</f>
        <v>Corsairs of Umbar</v>
      </c>
    </row>
    <row r="6377" spans="1:10" x14ac:dyDescent="0.25">
      <c r="A6377">
        <v>165</v>
      </c>
      <c r="B6377" t="s">
        <v>25</v>
      </c>
      <c r="C6377">
        <v>0</v>
      </c>
      <c r="D6377">
        <v>0</v>
      </c>
      <c r="E6377">
        <v>0</v>
      </c>
      <c r="F6377">
        <v>9228</v>
      </c>
      <c r="G6377">
        <v>1750</v>
      </c>
      <c r="H6377">
        <v>0</v>
      </c>
      <c r="J6377" t="str">
        <f>VLOOKUP(Table3[[#This Row],[Faction ID]],Table4[],2)</f>
        <v>Mahud</v>
      </c>
    </row>
    <row r="6378" spans="1:10" x14ac:dyDescent="0.25">
      <c r="A6378">
        <v>165</v>
      </c>
      <c r="B6378" t="s">
        <v>11</v>
      </c>
      <c r="C6378">
        <v>601</v>
      </c>
      <c r="D6378">
        <v>23</v>
      </c>
      <c r="E6378">
        <v>368</v>
      </c>
      <c r="F6378">
        <v>534431</v>
      </c>
      <c r="G6378">
        <v>60191</v>
      </c>
      <c r="H6378">
        <v>6294</v>
      </c>
      <c r="J6378" t="str">
        <f>VLOOKUP(Table3[[#This Row],[Faction ID]],Table4[],2)</f>
        <v>Haradrim</v>
      </c>
    </row>
    <row r="6379" spans="1:10" x14ac:dyDescent="0.25">
      <c r="A6379">
        <v>165</v>
      </c>
      <c r="B6379" t="s">
        <v>15</v>
      </c>
      <c r="C6379">
        <v>421</v>
      </c>
      <c r="D6379">
        <v>4</v>
      </c>
      <c r="E6379">
        <v>109.399999999999</v>
      </c>
      <c r="F6379">
        <v>223215</v>
      </c>
      <c r="G6379">
        <v>24258</v>
      </c>
      <c r="H6379">
        <v>0</v>
      </c>
      <c r="J6379" t="str">
        <f>VLOOKUP(Table3[[#This Row],[Faction ID]],Table4[],2)</f>
        <v>Dunlendings</v>
      </c>
    </row>
    <row r="6380" spans="1:10" x14ac:dyDescent="0.25">
      <c r="A6380">
        <v>165</v>
      </c>
      <c r="B6380" t="s">
        <v>16</v>
      </c>
      <c r="C6380">
        <v>0</v>
      </c>
      <c r="D6380">
        <v>0</v>
      </c>
      <c r="E6380">
        <v>0</v>
      </c>
      <c r="F6380">
        <v>5352</v>
      </c>
      <c r="G6380">
        <v>1750</v>
      </c>
      <c r="H6380">
        <v>0</v>
      </c>
      <c r="J6380" t="str">
        <f>VLOOKUP(Table3[[#This Row],[Faction ID]],Table4[],2)</f>
        <v>Haerrim</v>
      </c>
    </row>
    <row r="6381" spans="1:10" x14ac:dyDescent="0.25">
      <c r="A6381">
        <v>165</v>
      </c>
      <c r="B6381" t="s">
        <v>13</v>
      </c>
      <c r="C6381">
        <v>666</v>
      </c>
      <c r="D6381">
        <v>0</v>
      </c>
      <c r="E6381">
        <v>0</v>
      </c>
      <c r="F6381">
        <v>128480</v>
      </c>
      <c r="G6381">
        <v>2500</v>
      </c>
      <c r="H6381">
        <v>0</v>
      </c>
      <c r="J6381" t="str">
        <f>VLOOKUP(Table3[[#This Row],[Faction ID]],Table4[],2)</f>
        <v>Goblins</v>
      </c>
    </row>
    <row r="6382" spans="1:10" x14ac:dyDescent="0.25">
      <c r="A6382">
        <v>165</v>
      </c>
      <c r="B6382" t="s">
        <v>17</v>
      </c>
      <c r="C6382">
        <v>0</v>
      </c>
      <c r="D6382">
        <v>0</v>
      </c>
      <c r="E6382">
        <v>0</v>
      </c>
      <c r="F6382">
        <v>4872</v>
      </c>
      <c r="G6382">
        <v>1750</v>
      </c>
      <c r="H6382">
        <v>0</v>
      </c>
      <c r="J6382" t="str">
        <f>VLOOKUP(Table3[[#This Row],[Faction ID]],Table4[],2)</f>
        <v>Balchoth</v>
      </c>
    </row>
    <row r="6383" spans="1:10" x14ac:dyDescent="0.25">
      <c r="A6383">
        <v>165</v>
      </c>
      <c r="B6383" t="s">
        <v>18</v>
      </c>
      <c r="C6383">
        <v>751</v>
      </c>
      <c r="D6383">
        <v>1</v>
      </c>
      <c r="E6383">
        <v>12</v>
      </c>
      <c r="F6383">
        <v>463021</v>
      </c>
      <c r="G6383">
        <v>3701</v>
      </c>
      <c r="H6383">
        <v>0</v>
      </c>
      <c r="J6383" t="str">
        <f>VLOOKUP(Table3[[#This Row],[Faction ID]],Table4[],2)</f>
        <v>Rhurim/Rhun</v>
      </c>
    </row>
    <row r="6384" spans="1:10" x14ac:dyDescent="0.25">
      <c r="A6384">
        <v>165</v>
      </c>
      <c r="B6384" t="s">
        <v>19</v>
      </c>
      <c r="C6384">
        <v>0</v>
      </c>
      <c r="D6384">
        <v>0</v>
      </c>
      <c r="E6384">
        <v>0</v>
      </c>
      <c r="F6384">
        <v>7360</v>
      </c>
      <c r="G6384">
        <v>1750</v>
      </c>
      <c r="H6384">
        <v>0</v>
      </c>
      <c r="J6384" t="str">
        <f>VLOOKUP(Table3[[#This Row],[Faction ID]],Table4[],2)</f>
        <v>Feredrim</v>
      </c>
    </row>
    <row r="6385" spans="1:10" x14ac:dyDescent="0.25">
      <c r="A6385">
        <v>165</v>
      </c>
      <c r="B6385" t="s">
        <v>26</v>
      </c>
      <c r="C6385">
        <v>0</v>
      </c>
      <c r="D6385">
        <v>0</v>
      </c>
      <c r="E6385">
        <v>0</v>
      </c>
      <c r="F6385">
        <v>6395</v>
      </c>
      <c r="G6385">
        <v>1750</v>
      </c>
      <c r="H6385">
        <v>0</v>
      </c>
      <c r="J6385" t="str">
        <f>VLOOKUP(Table3[[#This Row],[Faction ID]],Table4[],2)</f>
        <v>Rachrohir (Wainriders)</v>
      </c>
    </row>
    <row r="6386" spans="1:10" x14ac:dyDescent="0.25">
      <c r="A6386">
        <v>165</v>
      </c>
      <c r="B6386" t="s">
        <v>27</v>
      </c>
      <c r="C6386">
        <v>9</v>
      </c>
      <c r="D6386">
        <v>7</v>
      </c>
      <c r="E6386">
        <v>133.5</v>
      </c>
      <c r="F6386">
        <v>94963</v>
      </c>
      <c r="G6386">
        <v>32672</v>
      </c>
      <c r="H6386">
        <v>2616</v>
      </c>
      <c r="J6386" t="str">
        <f>VLOOKUP(Table3[[#This Row],[Faction ID]],Table4[],2)</f>
        <v>Blacklock-Stonefoot League</v>
      </c>
    </row>
    <row r="6387" spans="1:10" x14ac:dyDescent="0.25">
      <c r="A6387">
        <v>165</v>
      </c>
      <c r="B6387" t="s">
        <v>28</v>
      </c>
      <c r="C6387">
        <v>10</v>
      </c>
      <c r="D6387">
        <v>7</v>
      </c>
      <c r="E6387">
        <v>152</v>
      </c>
      <c r="F6387">
        <v>78618</v>
      </c>
      <c r="G6387">
        <v>42654</v>
      </c>
      <c r="H6387">
        <v>2335</v>
      </c>
      <c r="J6387" t="str">
        <f>VLOOKUP(Table3[[#This Row],[Faction ID]],Table4[],2)</f>
        <v>Ironfist-Stiffbeard Union</v>
      </c>
    </row>
    <row r="6388" spans="1:10" x14ac:dyDescent="0.25">
      <c r="A6388">
        <v>165</v>
      </c>
      <c r="B6388" t="s">
        <v>20</v>
      </c>
      <c r="C6388">
        <v>245</v>
      </c>
      <c r="D6388">
        <v>0</v>
      </c>
      <c r="E6388">
        <v>0</v>
      </c>
      <c r="F6388">
        <v>9750</v>
      </c>
      <c r="G6388">
        <v>2500</v>
      </c>
      <c r="H6388">
        <v>0</v>
      </c>
      <c r="J6388" t="str">
        <f>VLOOKUP(Table3[[#This Row],[Faction ID]],Table4[],2)</f>
        <v>Gundabad</v>
      </c>
    </row>
    <row r="6389" spans="1:10" x14ac:dyDescent="0.25">
      <c r="A6389">
        <v>165</v>
      </c>
      <c r="B6389" t="s">
        <v>34</v>
      </c>
      <c r="C6389">
        <v>0</v>
      </c>
      <c r="D6389">
        <v>0</v>
      </c>
      <c r="E6389">
        <v>3</v>
      </c>
      <c r="F6389">
        <v>189469</v>
      </c>
      <c r="G6389">
        <v>2354</v>
      </c>
      <c r="H6389">
        <v>0</v>
      </c>
      <c r="J6389" t="str">
        <f>VLOOKUP(Table3[[#This Row],[Faction ID]],Table4[],2)</f>
        <v>Scouts of Rohan</v>
      </c>
    </row>
    <row r="6390" spans="1:10" x14ac:dyDescent="0.25">
      <c r="A6390">
        <v>165</v>
      </c>
      <c r="B6390" t="s">
        <v>33</v>
      </c>
      <c r="C6390">
        <v>0</v>
      </c>
      <c r="D6390">
        <v>0</v>
      </c>
      <c r="E6390">
        <v>0</v>
      </c>
      <c r="F6390">
        <v>23466</v>
      </c>
      <c r="G6390">
        <v>1750</v>
      </c>
      <c r="H6390">
        <v>0</v>
      </c>
      <c r="J6390" t="str">
        <f>VLOOKUP(Table3[[#This Row],[Faction ID]],Table4[],2)</f>
        <v>Northern Enedwaith</v>
      </c>
    </row>
    <row r="6391" spans="1:10" x14ac:dyDescent="0.25">
      <c r="A6391">
        <v>165</v>
      </c>
      <c r="B6391" t="s">
        <v>29</v>
      </c>
      <c r="C6391">
        <v>0</v>
      </c>
      <c r="D6391">
        <v>0</v>
      </c>
      <c r="E6391">
        <v>0</v>
      </c>
      <c r="F6391">
        <v>54023</v>
      </c>
      <c r="G6391">
        <v>1750</v>
      </c>
      <c r="H6391">
        <v>0</v>
      </c>
      <c r="J6391" t="str">
        <f>VLOOKUP(Table3[[#This Row],[Faction ID]],Table4[],2)</f>
        <v>Southern Enedwaith</v>
      </c>
    </row>
    <row r="6392" spans="1:10" x14ac:dyDescent="0.25">
      <c r="A6392">
        <v>165</v>
      </c>
      <c r="B6392" t="s">
        <v>30</v>
      </c>
      <c r="C6392">
        <v>0</v>
      </c>
      <c r="D6392">
        <v>0</v>
      </c>
      <c r="E6392">
        <v>0</v>
      </c>
      <c r="F6392">
        <v>32146</v>
      </c>
      <c r="G6392">
        <v>1750</v>
      </c>
      <c r="H6392">
        <v>0</v>
      </c>
      <c r="J6392" t="str">
        <f>VLOOKUP(Table3[[#This Row],[Faction ID]],Table4[],2)</f>
        <v>Druedain</v>
      </c>
    </row>
    <row r="6393" spans="1:10" x14ac:dyDescent="0.25">
      <c r="A6393">
        <v>165</v>
      </c>
      <c r="B6393" t="s">
        <v>31</v>
      </c>
      <c r="C6393">
        <v>0</v>
      </c>
      <c r="D6393">
        <v>0</v>
      </c>
      <c r="E6393">
        <v>0</v>
      </c>
      <c r="F6393">
        <v>15146</v>
      </c>
      <c r="G6393">
        <v>1750</v>
      </c>
      <c r="H6393">
        <v>0</v>
      </c>
      <c r="J6393" t="str">
        <f>VLOOKUP(Table3[[#This Row],[Faction ID]],Table4[],2)</f>
        <v>Harondor</v>
      </c>
    </row>
    <row r="6394" spans="1:10" x14ac:dyDescent="0.25">
      <c r="A6394">
        <v>165</v>
      </c>
      <c r="B6394" t="s">
        <v>35</v>
      </c>
      <c r="C6394">
        <v>0</v>
      </c>
      <c r="D6394">
        <v>0</v>
      </c>
      <c r="E6394">
        <v>0</v>
      </c>
      <c r="F6394">
        <v>4000</v>
      </c>
      <c r="G6394">
        <v>1750</v>
      </c>
      <c r="H6394">
        <v>0</v>
      </c>
      <c r="J6394" t="str">
        <f>VLOOKUP(Table3[[#This Row],[Faction ID]],Table4[],2)</f>
        <v>Southron Nomads</v>
      </c>
    </row>
    <row r="6395" spans="1:10" x14ac:dyDescent="0.25">
      <c r="A6395">
        <v>165</v>
      </c>
      <c r="B6395" t="s">
        <v>36</v>
      </c>
      <c r="C6395">
        <v>0</v>
      </c>
      <c r="D6395">
        <v>0</v>
      </c>
      <c r="E6395">
        <v>0</v>
      </c>
      <c r="F6395">
        <v>4000</v>
      </c>
      <c r="G6395">
        <v>1750</v>
      </c>
      <c r="H6395">
        <v>0</v>
      </c>
      <c r="J6395" t="str">
        <f>VLOOKUP(Table3[[#This Row],[Faction ID]],Table4[],2)</f>
        <v>_</v>
      </c>
    </row>
    <row r="6396" spans="1:10" x14ac:dyDescent="0.25">
      <c r="A6396">
        <v>165</v>
      </c>
      <c r="B6396" t="s">
        <v>37</v>
      </c>
      <c r="C6396">
        <v>0</v>
      </c>
      <c r="D6396">
        <v>0</v>
      </c>
      <c r="E6396">
        <v>0</v>
      </c>
      <c r="F6396">
        <v>4000</v>
      </c>
      <c r="G6396">
        <v>1750</v>
      </c>
      <c r="H6396">
        <v>0</v>
      </c>
      <c r="J6396" t="str">
        <f>VLOOKUP(Table3[[#This Row],[Faction ID]],Table4[],2)</f>
        <v>_</v>
      </c>
    </row>
    <row r="6397" spans="1:10" x14ac:dyDescent="0.25">
      <c r="A6397">
        <v>165</v>
      </c>
      <c r="B6397" t="s">
        <v>38</v>
      </c>
      <c r="C6397">
        <v>0</v>
      </c>
      <c r="D6397">
        <v>0</v>
      </c>
      <c r="E6397">
        <v>0</v>
      </c>
      <c r="F6397">
        <v>4000</v>
      </c>
      <c r="G6397">
        <v>1750</v>
      </c>
      <c r="H6397">
        <v>0</v>
      </c>
      <c r="J6397" t="str">
        <f>VLOOKUP(Table3[[#This Row],[Faction ID]],Table4[],2)</f>
        <v>_</v>
      </c>
    </row>
    <row r="6398" spans="1:10" x14ac:dyDescent="0.25">
      <c r="A6398">
        <v>165</v>
      </c>
      <c r="B6398" t="s">
        <v>39</v>
      </c>
      <c r="C6398">
        <v>0</v>
      </c>
      <c r="D6398">
        <v>0</v>
      </c>
      <c r="E6398">
        <v>0</v>
      </c>
      <c r="F6398">
        <v>4000</v>
      </c>
      <c r="G6398">
        <v>1750</v>
      </c>
      <c r="H6398">
        <v>0</v>
      </c>
      <c r="J6398" t="str">
        <f>VLOOKUP(Table3[[#This Row],[Faction ID]],Table4[],2)</f>
        <v>_</v>
      </c>
    </row>
    <row r="6399" spans="1:10" x14ac:dyDescent="0.25">
      <c r="A6399">
        <v>165</v>
      </c>
      <c r="B6399" t="s">
        <v>40</v>
      </c>
      <c r="C6399">
        <v>0</v>
      </c>
      <c r="D6399">
        <v>0</v>
      </c>
      <c r="E6399">
        <v>0</v>
      </c>
      <c r="F6399">
        <v>4000</v>
      </c>
      <c r="G6399">
        <v>1750</v>
      </c>
      <c r="H6399">
        <v>0</v>
      </c>
      <c r="J6399" t="str">
        <f>VLOOKUP(Table3[[#This Row],[Faction ID]],Table4[],2)</f>
        <v>_</v>
      </c>
    </row>
    <row r="6400" spans="1:10" x14ac:dyDescent="0.25">
      <c r="A6400">
        <v>165</v>
      </c>
      <c r="B6400" t="s">
        <v>41</v>
      </c>
      <c r="C6400">
        <v>0</v>
      </c>
      <c r="D6400">
        <v>0</v>
      </c>
      <c r="E6400">
        <v>0</v>
      </c>
      <c r="F6400">
        <v>4000</v>
      </c>
      <c r="G6400">
        <v>1750</v>
      </c>
      <c r="H6400">
        <v>0</v>
      </c>
      <c r="J6400" t="str">
        <f>VLOOKUP(Table3[[#This Row],[Faction ID]],Table4[],2)</f>
        <v>_</v>
      </c>
    </row>
    <row r="6401" spans="1:10" x14ac:dyDescent="0.25">
      <c r="A6401">
        <v>165</v>
      </c>
      <c r="B6401" t="s">
        <v>42</v>
      </c>
      <c r="C6401">
        <v>0</v>
      </c>
      <c r="D6401">
        <v>0</v>
      </c>
      <c r="E6401">
        <v>0</v>
      </c>
      <c r="F6401">
        <v>4000</v>
      </c>
      <c r="G6401">
        <v>1750</v>
      </c>
      <c r="H6401">
        <v>0</v>
      </c>
      <c r="J6401" t="str">
        <f>VLOOKUP(Table3[[#This Row],[Faction ID]],Table4[],2)</f>
        <v>_</v>
      </c>
    </row>
    <row r="6402" spans="1:10" x14ac:dyDescent="0.25">
      <c r="A6402">
        <v>165</v>
      </c>
      <c r="B6402" t="s">
        <v>43</v>
      </c>
      <c r="C6402">
        <v>0</v>
      </c>
      <c r="D6402">
        <v>0</v>
      </c>
      <c r="E6402">
        <v>0</v>
      </c>
      <c r="F6402">
        <v>4000</v>
      </c>
      <c r="G6402">
        <v>1750</v>
      </c>
      <c r="H6402">
        <v>0</v>
      </c>
      <c r="J6402" t="str">
        <f>VLOOKUP(Table3[[#This Row],[Faction ID]],Table4[],2)</f>
        <v>_</v>
      </c>
    </row>
    <row r="6403" spans="1:10" x14ac:dyDescent="0.25">
      <c r="A6403">
        <v>165</v>
      </c>
      <c r="B6403" t="s">
        <v>44</v>
      </c>
      <c r="C6403">
        <v>0</v>
      </c>
      <c r="D6403">
        <v>0</v>
      </c>
      <c r="E6403">
        <v>0</v>
      </c>
      <c r="F6403">
        <v>4000</v>
      </c>
      <c r="G6403">
        <v>1750</v>
      </c>
      <c r="H6403">
        <v>0</v>
      </c>
      <c r="J6403" t="str">
        <f>VLOOKUP(Table3[[#This Row],[Faction ID]],Table4[],2)</f>
        <v>_</v>
      </c>
    </row>
    <row r="6404" spans="1:10" x14ac:dyDescent="0.25">
      <c r="A6404">
        <v>166</v>
      </c>
      <c r="B6404" t="s">
        <v>9</v>
      </c>
      <c r="C6404">
        <v>1379</v>
      </c>
      <c r="D6404">
        <v>71</v>
      </c>
      <c r="E6404">
        <v>950.2</v>
      </c>
      <c r="F6404">
        <v>67489</v>
      </c>
      <c r="G6404">
        <v>185399</v>
      </c>
      <c r="H6404">
        <v>16992</v>
      </c>
      <c r="J6404" t="str">
        <f>VLOOKUP(Table3[[#This Row],[Faction ID]],Table4[],2)</f>
        <v>Mordor</v>
      </c>
    </row>
    <row r="6405" spans="1:10" x14ac:dyDescent="0.25">
      <c r="A6405">
        <v>166</v>
      </c>
      <c r="B6405" t="s">
        <v>4</v>
      </c>
      <c r="C6405">
        <v>146</v>
      </c>
      <c r="D6405">
        <v>0</v>
      </c>
      <c r="E6405">
        <v>0</v>
      </c>
      <c r="F6405">
        <v>55420</v>
      </c>
      <c r="G6405">
        <v>2500</v>
      </c>
      <c r="H6405">
        <v>0</v>
      </c>
      <c r="J6405" t="str">
        <f>VLOOKUP(Table3[[#This Row],[Faction ID]],Table4[],2)</f>
        <v>Gondor</v>
      </c>
    </row>
    <row r="6406" spans="1:10" x14ac:dyDescent="0.25">
      <c r="A6406">
        <v>166</v>
      </c>
      <c r="B6406" t="s">
        <v>6</v>
      </c>
      <c r="C6406">
        <v>199</v>
      </c>
      <c r="D6406">
        <v>0</v>
      </c>
      <c r="E6406">
        <v>0</v>
      </c>
      <c r="F6406">
        <v>10343</v>
      </c>
      <c r="G6406">
        <v>2500</v>
      </c>
      <c r="H6406">
        <v>0</v>
      </c>
      <c r="J6406" t="str">
        <f>VLOOKUP(Table3[[#This Row],[Faction ID]],Table4[],2)</f>
        <v>Dale</v>
      </c>
    </row>
    <row r="6407" spans="1:10" x14ac:dyDescent="0.25">
      <c r="A6407">
        <v>166</v>
      </c>
      <c r="B6407" t="s">
        <v>21</v>
      </c>
      <c r="C6407">
        <v>200</v>
      </c>
      <c r="D6407">
        <v>0</v>
      </c>
      <c r="E6407">
        <v>0</v>
      </c>
      <c r="F6407">
        <v>10040</v>
      </c>
      <c r="G6407">
        <v>2500</v>
      </c>
      <c r="H6407">
        <v>0</v>
      </c>
      <c r="J6407" t="str">
        <f>VLOOKUP(Table3[[#This Row],[Faction ID]],Table4[],2)</f>
        <v>Erebor</v>
      </c>
    </row>
    <row r="6408" spans="1:10" x14ac:dyDescent="0.25">
      <c r="A6408">
        <v>166</v>
      </c>
      <c r="B6408" t="s">
        <v>5</v>
      </c>
      <c r="C6408">
        <v>157</v>
      </c>
      <c r="D6408">
        <v>0</v>
      </c>
      <c r="E6408">
        <v>0</v>
      </c>
      <c r="F6408">
        <v>6638</v>
      </c>
      <c r="G6408">
        <v>2500</v>
      </c>
      <c r="H6408">
        <v>0</v>
      </c>
      <c r="J6408" t="str">
        <f>VLOOKUP(Table3[[#This Row],[Faction ID]],Table4[],2)</f>
        <v>Rohan</v>
      </c>
    </row>
    <row r="6409" spans="1:10" x14ac:dyDescent="0.25">
      <c r="A6409">
        <v>166</v>
      </c>
      <c r="B6409" t="s">
        <v>12</v>
      </c>
      <c r="C6409">
        <v>629</v>
      </c>
      <c r="D6409">
        <v>25</v>
      </c>
      <c r="E6409">
        <v>406</v>
      </c>
      <c r="F6409">
        <v>1182483</v>
      </c>
      <c r="G6409">
        <v>79041</v>
      </c>
      <c r="H6409">
        <v>7654</v>
      </c>
      <c r="J6409" t="str">
        <f>VLOOKUP(Table3[[#This Row],[Faction ID]],Table4[],2)</f>
        <v>Dol Guldur</v>
      </c>
    </row>
    <row r="6410" spans="1:10" x14ac:dyDescent="0.25">
      <c r="A6410">
        <v>166</v>
      </c>
      <c r="B6410" t="s">
        <v>10</v>
      </c>
      <c r="C6410">
        <v>58</v>
      </c>
      <c r="D6410">
        <v>0</v>
      </c>
      <c r="E6410">
        <v>0</v>
      </c>
      <c r="F6410">
        <v>4515</v>
      </c>
      <c r="G6410">
        <v>2500</v>
      </c>
      <c r="H6410">
        <v>0</v>
      </c>
      <c r="J6410" t="str">
        <f>VLOOKUP(Table3[[#This Row],[Faction ID]],Table4[],2)</f>
        <v>Anduin Vale</v>
      </c>
    </row>
    <row r="6411" spans="1:10" x14ac:dyDescent="0.25">
      <c r="A6411">
        <v>166</v>
      </c>
      <c r="B6411" t="s">
        <v>32</v>
      </c>
      <c r="C6411">
        <v>329</v>
      </c>
      <c r="D6411">
        <v>0</v>
      </c>
      <c r="E6411">
        <v>0</v>
      </c>
      <c r="F6411">
        <v>23007</v>
      </c>
      <c r="G6411">
        <v>2500</v>
      </c>
      <c r="H6411">
        <v>0</v>
      </c>
      <c r="J6411" t="str">
        <f>VLOOKUP(Table3[[#This Row],[Faction ID]],Table4[],2)</f>
        <v>Isengard</v>
      </c>
    </row>
    <row r="6412" spans="1:10" x14ac:dyDescent="0.25">
      <c r="A6412">
        <v>166</v>
      </c>
      <c r="B6412" t="s">
        <v>22</v>
      </c>
      <c r="C6412">
        <v>30</v>
      </c>
      <c r="D6412">
        <v>0</v>
      </c>
      <c r="E6412">
        <v>0</v>
      </c>
      <c r="F6412">
        <v>8475</v>
      </c>
      <c r="G6412">
        <v>2500</v>
      </c>
      <c r="H6412">
        <v>0</v>
      </c>
      <c r="J6412" t="str">
        <f>VLOOKUP(Table3[[#This Row],[Faction ID]],Table4[],2)</f>
        <v>Woodland Realm</v>
      </c>
    </row>
    <row r="6413" spans="1:10" x14ac:dyDescent="0.25">
      <c r="A6413">
        <v>166</v>
      </c>
      <c r="B6413" t="s">
        <v>23</v>
      </c>
      <c r="C6413">
        <v>64</v>
      </c>
      <c r="D6413">
        <v>0</v>
      </c>
      <c r="E6413">
        <v>0</v>
      </c>
      <c r="F6413">
        <v>4721</v>
      </c>
      <c r="G6413">
        <v>2500</v>
      </c>
      <c r="H6413">
        <v>0</v>
      </c>
      <c r="J6413" t="str">
        <f>VLOOKUP(Table3[[#This Row],[Faction ID]],Table4[],2)</f>
        <v>Lothlorien</v>
      </c>
    </row>
    <row r="6414" spans="1:10" x14ac:dyDescent="0.25">
      <c r="A6414">
        <v>166</v>
      </c>
      <c r="B6414" t="s">
        <v>24</v>
      </c>
      <c r="C6414">
        <v>0</v>
      </c>
      <c r="D6414">
        <v>0</v>
      </c>
      <c r="E6414">
        <v>0</v>
      </c>
      <c r="F6414">
        <v>4919</v>
      </c>
      <c r="G6414">
        <v>1750</v>
      </c>
      <c r="H6414">
        <v>0</v>
      </c>
      <c r="J6414" t="str">
        <f>VLOOKUP(Table3[[#This Row],[Faction ID]],Table4[],2)</f>
        <v>Variags (Khand)</v>
      </c>
    </row>
    <row r="6415" spans="1:10" x14ac:dyDescent="0.25">
      <c r="A6415">
        <v>166</v>
      </c>
      <c r="B6415" t="s">
        <v>14</v>
      </c>
      <c r="C6415">
        <v>26</v>
      </c>
      <c r="D6415">
        <v>18</v>
      </c>
      <c r="E6415">
        <v>323.60000000000002</v>
      </c>
      <c r="F6415">
        <v>956163</v>
      </c>
      <c r="G6415">
        <v>75076</v>
      </c>
      <c r="H6415">
        <v>7121</v>
      </c>
      <c r="J6415" t="str">
        <f>VLOOKUP(Table3[[#This Row],[Faction ID]],Table4[],2)</f>
        <v>Corsairs of Umbar</v>
      </c>
    </row>
    <row r="6416" spans="1:10" x14ac:dyDescent="0.25">
      <c r="A6416">
        <v>166</v>
      </c>
      <c r="B6416" t="s">
        <v>25</v>
      </c>
      <c r="C6416">
        <v>0</v>
      </c>
      <c r="D6416">
        <v>0</v>
      </c>
      <c r="E6416">
        <v>0</v>
      </c>
      <c r="F6416">
        <v>9228</v>
      </c>
      <c r="G6416">
        <v>1750</v>
      </c>
      <c r="H6416">
        <v>0</v>
      </c>
      <c r="J6416" t="str">
        <f>VLOOKUP(Table3[[#This Row],[Faction ID]],Table4[],2)</f>
        <v>Mahud</v>
      </c>
    </row>
    <row r="6417" spans="1:10" x14ac:dyDescent="0.25">
      <c r="A6417">
        <v>166</v>
      </c>
      <c r="B6417" t="s">
        <v>11</v>
      </c>
      <c r="C6417">
        <v>633</v>
      </c>
      <c r="D6417">
        <v>23</v>
      </c>
      <c r="E6417">
        <v>381</v>
      </c>
      <c r="F6417">
        <v>583820</v>
      </c>
      <c r="G6417">
        <v>63596</v>
      </c>
      <c r="H6417">
        <v>6327</v>
      </c>
      <c r="J6417" t="str">
        <f>VLOOKUP(Table3[[#This Row],[Faction ID]],Table4[],2)</f>
        <v>Haradrim</v>
      </c>
    </row>
    <row r="6418" spans="1:10" x14ac:dyDescent="0.25">
      <c r="A6418">
        <v>166</v>
      </c>
      <c r="B6418" t="s">
        <v>15</v>
      </c>
      <c r="C6418">
        <v>421</v>
      </c>
      <c r="D6418">
        <v>4</v>
      </c>
      <c r="E6418">
        <v>97.2</v>
      </c>
      <c r="F6418">
        <v>213677</v>
      </c>
      <c r="G6418">
        <v>22367</v>
      </c>
      <c r="H6418">
        <v>0</v>
      </c>
      <c r="J6418" t="str">
        <f>VLOOKUP(Table3[[#This Row],[Faction ID]],Table4[],2)</f>
        <v>Dunlendings</v>
      </c>
    </row>
    <row r="6419" spans="1:10" x14ac:dyDescent="0.25">
      <c r="A6419">
        <v>166</v>
      </c>
      <c r="B6419" t="s">
        <v>16</v>
      </c>
      <c r="C6419">
        <v>0</v>
      </c>
      <c r="D6419">
        <v>0</v>
      </c>
      <c r="E6419">
        <v>0</v>
      </c>
      <c r="F6419">
        <v>5352</v>
      </c>
      <c r="G6419">
        <v>1750</v>
      </c>
      <c r="H6419">
        <v>0</v>
      </c>
      <c r="J6419" t="str">
        <f>VLOOKUP(Table3[[#This Row],[Faction ID]],Table4[],2)</f>
        <v>Haerrim</v>
      </c>
    </row>
    <row r="6420" spans="1:10" x14ac:dyDescent="0.25">
      <c r="A6420">
        <v>166</v>
      </c>
      <c r="B6420" t="s">
        <v>13</v>
      </c>
      <c r="C6420">
        <v>666</v>
      </c>
      <c r="D6420">
        <v>0</v>
      </c>
      <c r="E6420">
        <v>0</v>
      </c>
      <c r="F6420">
        <v>128480</v>
      </c>
      <c r="G6420">
        <v>2500</v>
      </c>
      <c r="H6420">
        <v>0</v>
      </c>
      <c r="J6420" t="str">
        <f>VLOOKUP(Table3[[#This Row],[Faction ID]],Table4[],2)</f>
        <v>Goblins</v>
      </c>
    </row>
    <row r="6421" spans="1:10" x14ac:dyDescent="0.25">
      <c r="A6421">
        <v>166</v>
      </c>
      <c r="B6421" t="s">
        <v>17</v>
      </c>
      <c r="C6421">
        <v>0</v>
      </c>
      <c r="D6421">
        <v>0</v>
      </c>
      <c r="E6421">
        <v>0</v>
      </c>
      <c r="F6421">
        <v>4872</v>
      </c>
      <c r="G6421">
        <v>1750</v>
      </c>
      <c r="H6421">
        <v>0</v>
      </c>
      <c r="J6421" t="str">
        <f>VLOOKUP(Table3[[#This Row],[Faction ID]],Table4[],2)</f>
        <v>Balchoth</v>
      </c>
    </row>
    <row r="6422" spans="1:10" x14ac:dyDescent="0.25">
      <c r="A6422">
        <v>166</v>
      </c>
      <c r="B6422" t="s">
        <v>18</v>
      </c>
      <c r="C6422">
        <v>750</v>
      </c>
      <c r="D6422">
        <v>0</v>
      </c>
      <c r="E6422">
        <v>0</v>
      </c>
      <c r="F6422">
        <v>461978</v>
      </c>
      <c r="G6422">
        <v>2500</v>
      </c>
      <c r="H6422">
        <v>0</v>
      </c>
      <c r="J6422" t="str">
        <f>VLOOKUP(Table3[[#This Row],[Faction ID]],Table4[],2)</f>
        <v>Rhurim/Rhun</v>
      </c>
    </row>
    <row r="6423" spans="1:10" x14ac:dyDescent="0.25">
      <c r="A6423">
        <v>166</v>
      </c>
      <c r="B6423" t="s">
        <v>19</v>
      </c>
      <c r="C6423">
        <v>0</v>
      </c>
      <c r="D6423">
        <v>0</v>
      </c>
      <c r="E6423">
        <v>0</v>
      </c>
      <c r="F6423">
        <v>7360</v>
      </c>
      <c r="G6423">
        <v>1750</v>
      </c>
      <c r="H6423">
        <v>0</v>
      </c>
      <c r="J6423" t="str">
        <f>VLOOKUP(Table3[[#This Row],[Faction ID]],Table4[],2)</f>
        <v>Feredrim</v>
      </c>
    </row>
    <row r="6424" spans="1:10" x14ac:dyDescent="0.25">
      <c r="A6424">
        <v>166</v>
      </c>
      <c r="B6424" t="s">
        <v>26</v>
      </c>
      <c r="C6424">
        <v>0</v>
      </c>
      <c r="D6424">
        <v>0</v>
      </c>
      <c r="E6424">
        <v>0</v>
      </c>
      <c r="F6424">
        <v>6395</v>
      </c>
      <c r="G6424">
        <v>1750</v>
      </c>
      <c r="H6424">
        <v>0</v>
      </c>
      <c r="J6424" t="str">
        <f>VLOOKUP(Table3[[#This Row],[Faction ID]],Table4[],2)</f>
        <v>Rachrohir (Wainriders)</v>
      </c>
    </row>
    <row r="6425" spans="1:10" x14ac:dyDescent="0.25">
      <c r="A6425">
        <v>166</v>
      </c>
      <c r="B6425" t="s">
        <v>27</v>
      </c>
      <c r="C6425">
        <v>9</v>
      </c>
      <c r="D6425">
        <v>7</v>
      </c>
      <c r="E6425">
        <v>133.5</v>
      </c>
      <c r="F6425">
        <v>108130</v>
      </c>
      <c r="G6425">
        <v>31442</v>
      </c>
      <c r="H6425">
        <v>2862</v>
      </c>
      <c r="J6425" t="str">
        <f>VLOOKUP(Table3[[#This Row],[Faction ID]],Table4[],2)</f>
        <v>Blacklock-Stonefoot League</v>
      </c>
    </row>
    <row r="6426" spans="1:10" x14ac:dyDescent="0.25">
      <c r="A6426">
        <v>166</v>
      </c>
      <c r="B6426" t="s">
        <v>28</v>
      </c>
      <c r="C6426">
        <v>11</v>
      </c>
      <c r="D6426">
        <v>8</v>
      </c>
      <c r="E6426">
        <v>152</v>
      </c>
      <c r="F6426">
        <v>85705</v>
      </c>
      <c r="G6426">
        <v>45159</v>
      </c>
      <c r="H6426">
        <v>2509</v>
      </c>
      <c r="J6426" t="str">
        <f>VLOOKUP(Table3[[#This Row],[Faction ID]],Table4[],2)</f>
        <v>Ironfist-Stiffbeard Union</v>
      </c>
    </row>
    <row r="6427" spans="1:10" x14ac:dyDescent="0.25">
      <c r="A6427">
        <v>166</v>
      </c>
      <c r="B6427" t="s">
        <v>20</v>
      </c>
      <c r="C6427">
        <v>245</v>
      </c>
      <c r="D6427">
        <v>0</v>
      </c>
      <c r="E6427">
        <v>0</v>
      </c>
      <c r="F6427">
        <v>9750</v>
      </c>
      <c r="G6427">
        <v>2500</v>
      </c>
      <c r="H6427">
        <v>0</v>
      </c>
      <c r="J6427" t="str">
        <f>VLOOKUP(Table3[[#This Row],[Faction ID]],Table4[],2)</f>
        <v>Gundabad</v>
      </c>
    </row>
    <row r="6428" spans="1:10" x14ac:dyDescent="0.25">
      <c r="A6428">
        <v>166</v>
      </c>
      <c r="B6428" t="s">
        <v>34</v>
      </c>
      <c r="C6428">
        <v>0</v>
      </c>
      <c r="D6428">
        <v>0</v>
      </c>
      <c r="E6428">
        <v>3</v>
      </c>
      <c r="F6428">
        <v>190615</v>
      </c>
      <c r="G6428">
        <v>2354</v>
      </c>
      <c r="H6428">
        <v>0</v>
      </c>
      <c r="J6428" t="str">
        <f>VLOOKUP(Table3[[#This Row],[Faction ID]],Table4[],2)</f>
        <v>Scouts of Rohan</v>
      </c>
    </row>
    <row r="6429" spans="1:10" x14ac:dyDescent="0.25">
      <c r="A6429">
        <v>166</v>
      </c>
      <c r="B6429" t="s">
        <v>33</v>
      </c>
      <c r="C6429">
        <v>0</v>
      </c>
      <c r="D6429">
        <v>0</v>
      </c>
      <c r="E6429">
        <v>0</v>
      </c>
      <c r="F6429">
        <v>23466</v>
      </c>
      <c r="G6429">
        <v>1750</v>
      </c>
      <c r="H6429">
        <v>0</v>
      </c>
      <c r="J6429" t="str">
        <f>VLOOKUP(Table3[[#This Row],[Faction ID]],Table4[],2)</f>
        <v>Northern Enedwaith</v>
      </c>
    </row>
    <row r="6430" spans="1:10" x14ac:dyDescent="0.25">
      <c r="A6430">
        <v>166</v>
      </c>
      <c r="B6430" t="s">
        <v>29</v>
      </c>
      <c r="C6430">
        <v>0</v>
      </c>
      <c r="D6430">
        <v>0</v>
      </c>
      <c r="E6430">
        <v>0</v>
      </c>
      <c r="F6430">
        <v>54023</v>
      </c>
      <c r="G6430">
        <v>1750</v>
      </c>
      <c r="H6430">
        <v>0</v>
      </c>
      <c r="J6430" t="str">
        <f>VLOOKUP(Table3[[#This Row],[Faction ID]],Table4[],2)</f>
        <v>Southern Enedwaith</v>
      </c>
    </row>
    <row r="6431" spans="1:10" x14ac:dyDescent="0.25">
      <c r="A6431">
        <v>166</v>
      </c>
      <c r="B6431" t="s">
        <v>30</v>
      </c>
      <c r="C6431">
        <v>0</v>
      </c>
      <c r="D6431">
        <v>0</v>
      </c>
      <c r="E6431">
        <v>0</v>
      </c>
      <c r="F6431">
        <v>32146</v>
      </c>
      <c r="G6431">
        <v>1750</v>
      </c>
      <c r="H6431">
        <v>0</v>
      </c>
      <c r="J6431" t="str">
        <f>VLOOKUP(Table3[[#This Row],[Faction ID]],Table4[],2)</f>
        <v>Druedain</v>
      </c>
    </row>
    <row r="6432" spans="1:10" x14ac:dyDescent="0.25">
      <c r="A6432">
        <v>166</v>
      </c>
      <c r="B6432" t="s">
        <v>31</v>
      </c>
      <c r="C6432">
        <v>0</v>
      </c>
      <c r="D6432">
        <v>0</v>
      </c>
      <c r="E6432">
        <v>0</v>
      </c>
      <c r="F6432">
        <v>15146</v>
      </c>
      <c r="G6432">
        <v>1750</v>
      </c>
      <c r="H6432">
        <v>0</v>
      </c>
      <c r="J6432" t="str">
        <f>VLOOKUP(Table3[[#This Row],[Faction ID]],Table4[],2)</f>
        <v>Harondor</v>
      </c>
    </row>
    <row r="6433" spans="1:10" x14ac:dyDescent="0.25">
      <c r="A6433">
        <v>166</v>
      </c>
      <c r="B6433" t="s">
        <v>35</v>
      </c>
      <c r="C6433">
        <v>0</v>
      </c>
      <c r="D6433">
        <v>0</v>
      </c>
      <c r="E6433">
        <v>0</v>
      </c>
      <c r="F6433">
        <v>4000</v>
      </c>
      <c r="G6433">
        <v>1750</v>
      </c>
      <c r="H6433">
        <v>0</v>
      </c>
      <c r="J6433" t="str">
        <f>VLOOKUP(Table3[[#This Row],[Faction ID]],Table4[],2)</f>
        <v>Southron Nomads</v>
      </c>
    </row>
    <row r="6434" spans="1:10" x14ac:dyDescent="0.25">
      <c r="A6434">
        <v>166</v>
      </c>
      <c r="B6434" t="s">
        <v>36</v>
      </c>
      <c r="C6434">
        <v>0</v>
      </c>
      <c r="D6434">
        <v>0</v>
      </c>
      <c r="E6434">
        <v>0</v>
      </c>
      <c r="F6434">
        <v>4000</v>
      </c>
      <c r="G6434">
        <v>1750</v>
      </c>
      <c r="H6434">
        <v>0</v>
      </c>
      <c r="J6434" t="str">
        <f>VLOOKUP(Table3[[#This Row],[Faction ID]],Table4[],2)</f>
        <v>_</v>
      </c>
    </row>
    <row r="6435" spans="1:10" x14ac:dyDescent="0.25">
      <c r="A6435">
        <v>166</v>
      </c>
      <c r="B6435" t="s">
        <v>37</v>
      </c>
      <c r="C6435">
        <v>0</v>
      </c>
      <c r="D6435">
        <v>0</v>
      </c>
      <c r="E6435">
        <v>0</v>
      </c>
      <c r="F6435">
        <v>4000</v>
      </c>
      <c r="G6435">
        <v>1750</v>
      </c>
      <c r="H6435">
        <v>0</v>
      </c>
      <c r="J6435" t="str">
        <f>VLOOKUP(Table3[[#This Row],[Faction ID]],Table4[],2)</f>
        <v>_</v>
      </c>
    </row>
    <row r="6436" spans="1:10" x14ac:dyDescent="0.25">
      <c r="A6436">
        <v>166</v>
      </c>
      <c r="B6436" t="s">
        <v>38</v>
      </c>
      <c r="C6436">
        <v>0</v>
      </c>
      <c r="D6436">
        <v>0</v>
      </c>
      <c r="E6436">
        <v>0</v>
      </c>
      <c r="F6436">
        <v>4000</v>
      </c>
      <c r="G6436">
        <v>1750</v>
      </c>
      <c r="H6436">
        <v>0</v>
      </c>
      <c r="J6436" t="str">
        <f>VLOOKUP(Table3[[#This Row],[Faction ID]],Table4[],2)</f>
        <v>_</v>
      </c>
    </row>
    <row r="6437" spans="1:10" x14ac:dyDescent="0.25">
      <c r="A6437">
        <v>166</v>
      </c>
      <c r="B6437" t="s">
        <v>39</v>
      </c>
      <c r="C6437">
        <v>0</v>
      </c>
      <c r="D6437">
        <v>0</v>
      </c>
      <c r="E6437">
        <v>0</v>
      </c>
      <c r="F6437">
        <v>4000</v>
      </c>
      <c r="G6437">
        <v>1750</v>
      </c>
      <c r="H6437">
        <v>0</v>
      </c>
      <c r="J6437" t="str">
        <f>VLOOKUP(Table3[[#This Row],[Faction ID]],Table4[],2)</f>
        <v>_</v>
      </c>
    </row>
    <row r="6438" spans="1:10" x14ac:dyDescent="0.25">
      <c r="A6438">
        <v>166</v>
      </c>
      <c r="B6438" t="s">
        <v>40</v>
      </c>
      <c r="C6438">
        <v>0</v>
      </c>
      <c r="D6438">
        <v>0</v>
      </c>
      <c r="E6438">
        <v>0</v>
      </c>
      <c r="F6438">
        <v>4000</v>
      </c>
      <c r="G6438">
        <v>1750</v>
      </c>
      <c r="H6438">
        <v>0</v>
      </c>
      <c r="J6438" t="str">
        <f>VLOOKUP(Table3[[#This Row],[Faction ID]],Table4[],2)</f>
        <v>_</v>
      </c>
    </row>
    <row r="6439" spans="1:10" x14ac:dyDescent="0.25">
      <c r="A6439">
        <v>166</v>
      </c>
      <c r="B6439" t="s">
        <v>41</v>
      </c>
      <c r="C6439">
        <v>0</v>
      </c>
      <c r="D6439">
        <v>0</v>
      </c>
      <c r="E6439">
        <v>0</v>
      </c>
      <c r="F6439">
        <v>4000</v>
      </c>
      <c r="G6439">
        <v>1750</v>
      </c>
      <c r="H6439">
        <v>0</v>
      </c>
      <c r="J6439" t="str">
        <f>VLOOKUP(Table3[[#This Row],[Faction ID]],Table4[],2)</f>
        <v>_</v>
      </c>
    </row>
    <row r="6440" spans="1:10" x14ac:dyDescent="0.25">
      <c r="A6440">
        <v>166</v>
      </c>
      <c r="B6440" t="s">
        <v>42</v>
      </c>
      <c r="C6440">
        <v>0</v>
      </c>
      <c r="D6440">
        <v>0</v>
      </c>
      <c r="E6440">
        <v>0</v>
      </c>
      <c r="F6440">
        <v>4000</v>
      </c>
      <c r="G6440">
        <v>1750</v>
      </c>
      <c r="H6440">
        <v>0</v>
      </c>
      <c r="J6440" t="str">
        <f>VLOOKUP(Table3[[#This Row],[Faction ID]],Table4[],2)</f>
        <v>_</v>
      </c>
    </row>
    <row r="6441" spans="1:10" x14ac:dyDescent="0.25">
      <c r="A6441">
        <v>166</v>
      </c>
      <c r="B6441" t="s">
        <v>43</v>
      </c>
      <c r="C6441">
        <v>0</v>
      </c>
      <c r="D6441">
        <v>0</v>
      </c>
      <c r="E6441">
        <v>0</v>
      </c>
      <c r="F6441">
        <v>4000</v>
      </c>
      <c r="G6441">
        <v>1750</v>
      </c>
      <c r="H6441">
        <v>0</v>
      </c>
      <c r="J6441" t="str">
        <f>VLOOKUP(Table3[[#This Row],[Faction ID]],Table4[],2)</f>
        <v>_</v>
      </c>
    </row>
    <row r="6442" spans="1:10" x14ac:dyDescent="0.25">
      <c r="A6442">
        <v>166</v>
      </c>
      <c r="B6442" t="s">
        <v>44</v>
      </c>
      <c r="C6442">
        <v>0</v>
      </c>
      <c r="D6442">
        <v>0</v>
      </c>
      <c r="E6442">
        <v>0</v>
      </c>
      <c r="F6442">
        <v>4000</v>
      </c>
      <c r="G6442">
        <v>1750</v>
      </c>
      <c r="H6442">
        <v>0</v>
      </c>
      <c r="J6442" t="str">
        <f>VLOOKUP(Table3[[#This Row],[Faction ID]],Table4[],2)</f>
        <v>_</v>
      </c>
    </row>
    <row r="6443" spans="1:10" x14ac:dyDescent="0.25">
      <c r="A6443">
        <v>167</v>
      </c>
      <c r="B6443" t="s">
        <v>9</v>
      </c>
      <c r="C6443">
        <v>1380</v>
      </c>
      <c r="D6443">
        <v>72</v>
      </c>
      <c r="E6443">
        <v>962.1</v>
      </c>
      <c r="F6443">
        <v>75829</v>
      </c>
      <c r="G6443">
        <v>194051</v>
      </c>
      <c r="H6443">
        <v>17535</v>
      </c>
      <c r="J6443" t="str">
        <f>VLOOKUP(Table3[[#This Row],[Faction ID]],Table4[],2)</f>
        <v>Mordor</v>
      </c>
    </row>
    <row r="6444" spans="1:10" x14ac:dyDescent="0.25">
      <c r="A6444">
        <v>167</v>
      </c>
      <c r="B6444" t="s">
        <v>4</v>
      </c>
      <c r="C6444">
        <v>146</v>
      </c>
      <c r="D6444">
        <v>0</v>
      </c>
      <c r="E6444">
        <v>0</v>
      </c>
      <c r="F6444">
        <v>55420</v>
      </c>
      <c r="G6444">
        <v>2500</v>
      </c>
      <c r="H6444">
        <v>0</v>
      </c>
      <c r="J6444" t="str">
        <f>VLOOKUP(Table3[[#This Row],[Faction ID]],Table4[],2)</f>
        <v>Gondor</v>
      </c>
    </row>
    <row r="6445" spans="1:10" x14ac:dyDescent="0.25">
      <c r="A6445">
        <v>167</v>
      </c>
      <c r="B6445" t="s">
        <v>6</v>
      </c>
      <c r="C6445">
        <v>199</v>
      </c>
      <c r="D6445">
        <v>0</v>
      </c>
      <c r="E6445">
        <v>0</v>
      </c>
      <c r="F6445">
        <v>10343</v>
      </c>
      <c r="G6445">
        <v>2500</v>
      </c>
      <c r="H6445">
        <v>0</v>
      </c>
      <c r="J6445" t="str">
        <f>VLOOKUP(Table3[[#This Row],[Faction ID]],Table4[],2)</f>
        <v>Dale</v>
      </c>
    </row>
    <row r="6446" spans="1:10" x14ac:dyDescent="0.25">
      <c r="A6446">
        <v>167</v>
      </c>
      <c r="B6446" t="s">
        <v>21</v>
      </c>
      <c r="C6446">
        <v>200</v>
      </c>
      <c r="D6446">
        <v>0</v>
      </c>
      <c r="E6446">
        <v>0</v>
      </c>
      <c r="F6446">
        <v>10040</v>
      </c>
      <c r="G6446">
        <v>2500</v>
      </c>
      <c r="H6446">
        <v>0</v>
      </c>
      <c r="J6446" t="str">
        <f>VLOOKUP(Table3[[#This Row],[Faction ID]],Table4[],2)</f>
        <v>Erebor</v>
      </c>
    </row>
    <row r="6447" spans="1:10" x14ac:dyDescent="0.25">
      <c r="A6447">
        <v>167</v>
      </c>
      <c r="B6447" t="s">
        <v>5</v>
      </c>
      <c r="C6447">
        <v>157</v>
      </c>
      <c r="D6447">
        <v>0</v>
      </c>
      <c r="E6447">
        <v>0</v>
      </c>
      <c r="F6447">
        <v>6638</v>
      </c>
      <c r="G6447">
        <v>2500</v>
      </c>
      <c r="H6447">
        <v>0</v>
      </c>
      <c r="J6447" t="str">
        <f>VLOOKUP(Table3[[#This Row],[Faction ID]],Table4[],2)</f>
        <v>Rohan</v>
      </c>
    </row>
    <row r="6448" spans="1:10" x14ac:dyDescent="0.25">
      <c r="A6448">
        <v>167</v>
      </c>
      <c r="B6448" t="s">
        <v>12</v>
      </c>
      <c r="C6448">
        <v>629</v>
      </c>
      <c r="D6448">
        <v>25</v>
      </c>
      <c r="E6448">
        <v>420</v>
      </c>
      <c r="F6448">
        <v>1208878</v>
      </c>
      <c r="G6448">
        <v>76313</v>
      </c>
      <c r="H6448">
        <v>7653</v>
      </c>
      <c r="J6448" t="str">
        <f>VLOOKUP(Table3[[#This Row],[Faction ID]],Table4[],2)</f>
        <v>Dol Guldur</v>
      </c>
    </row>
    <row r="6449" spans="1:10" x14ac:dyDescent="0.25">
      <c r="A6449">
        <v>167</v>
      </c>
      <c r="B6449" t="s">
        <v>10</v>
      </c>
      <c r="C6449">
        <v>58</v>
      </c>
      <c r="D6449">
        <v>0</v>
      </c>
      <c r="E6449">
        <v>0</v>
      </c>
      <c r="F6449">
        <v>4515</v>
      </c>
      <c r="G6449">
        <v>2500</v>
      </c>
      <c r="H6449">
        <v>0</v>
      </c>
      <c r="J6449" t="str">
        <f>VLOOKUP(Table3[[#This Row],[Faction ID]],Table4[],2)</f>
        <v>Anduin Vale</v>
      </c>
    </row>
    <row r="6450" spans="1:10" x14ac:dyDescent="0.25">
      <c r="A6450">
        <v>167</v>
      </c>
      <c r="B6450" t="s">
        <v>32</v>
      </c>
      <c r="C6450">
        <v>329</v>
      </c>
      <c r="D6450">
        <v>0</v>
      </c>
      <c r="E6450">
        <v>0</v>
      </c>
      <c r="F6450">
        <v>23007</v>
      </c>
      <c r="G6450">
        <v>2500</v>
      </c>
      <c r="H6450">
        <v>0</v>
      </c>
      <c r="J6450" t="str">
        <f>VLOOKUP(Table3[[#This Row],[Faction ID]],Table4[],2)</f>
        <v>Isengard</v>
      </c>
    </row>
    <row r="6451" spans="1:10" x14ac:dyDescent="0.25">
      <c r="A6451">
        <v>167</v>
      </c>
      <c r="B6451" t="s">
        <v>22</v>
      </c>
      <c r="C6451">
        <v>30</v>
      </c>
      <c r="D6451">
        <v>0</v>
      </c>
      <c r="E6451">
        <v>0</v>
      </c>
      <c r="F6451">
        <v>8475</v>
      </c>
      <c r="G6451">
        <v>2500</v>
      </c>
      <c r="H6451">
        <v>0</v>
      </c>
      <c r="J6451" t="str">
        <f>VLOOKUP(Table3[[#This Row],[Faction ID]],Table4[],2)</f>
        <v>Woodland Realm</v>
      </c>
    </row>
    <row r="6452" spans="1:10" x14ac:dyDescent="0.25">
      <c r="A6452">
        <v>167</v>
      </c>
      <c r="B6452" t="s">
        <v>23</v>
      </c>
      <c r="C6452">
        <v>64</v>
      </c>
      <c r="D6452">
        <v>0</v>
      </c>
      <c r="E6452">
        <v>0</v>
      </c>
      <c r="F6452">
        <v>4721</v>
      </c>
      <c r="G6452">
        <v>2500</v>
      </c>
      <c r="H6452">
        <v>0</v>
      </c>
      <c r="J6452" t="str">
        <f>VLOOKUP(Table3[[#This Row],[Faction ID]],Table4[],2)</f>
        <v>Lothlorien</v>
      </c>
    </row>
    <row r="6453" spans="1:10" x14ac:dyDescent="0.25">
      <c r="A6453">
        <v>167</v>
      </c>
      <c r="B6453" t="s">
        <v>24</v>
      </c>
      <c r="C6453">
        <v>0</v>
      </c>
      <c r="D6453">
        <v>0</v>
      </c>
      <c r="E6453">
        <v>0</v>
      </c>
      <c r="F6453">
        <v>4919</v>
      </c>
      <c r="G6453">
        <v>1750</v>
      </c>
      <c r="H6453">
        <v>0</v>
      </c>
      <c r="J6453" t="str">
        <f>VLOOKUP(Table3[[#This Row],[Faction ID]],Table4[],2)</f>
        <v>Variags (Khand)</v>
      </c>
    </row>
    <row r="6454" spans="1:10" x14ac:dyDescent="0.25">
      <c r="A6454">
        <v>167</v>
      </c>
      <c r="B6454" t="s">
        <v>14</v>
      </c>
      <c r="C6454">
        <v>26</v>
      </c>
      <c r="D6454">
        <v>18</v>
      </c>
      <c r="E6454">
        <v>324.60000000000002</v>
      </c>
      <c r="F6454">
        <v>985245</v>
      </c>
      <c r="G6454">
        <v>76006</v>
      </c>
      <c r="H6454">
        <v>7147</v>
      </c>
      <c r="J6454" t="str">
        <f>VLOOKUP(Table3[[#This Row],[Faction ID]],Table4[],2)</f>
        <v>Corsairs of Umbar</v>
      </c>
    </row>
    <row r="6455" spans="1:10" x14ac:dyDescent="0.25">
      <c r="A6455">
        <v>167</v>
      </c>
      <c r="B6455" t="s">
        <v>25</v>
      </c>
      <c r="C6455">
        <v>0</v>
      </c>
      <c r="D6455">
        <v>0</v>
      </c>
      <c r="E6455">
        <v>0</v>
      </c>
      <c r="F6455">
        <v>9228</v>
      </c>
      <c r="G6455">
        <v>1750</v>
      </c>
      <c r="H6455">
        <v>0</v>
      </c>
      <c r="J6455" t="str">
        <f>VLOOKUP(Table3[[#This Row],[Faction ID]],Table4[],2)</f>
        <v>Mahud</v>
      </c>
    </row>
    <row r="6456" spans="1:10" x14ac:dyDescent="0.25">
      <c r="A6456">
        <v>167</v>
      </c>
      <c r="B6456" t="s">
        <v>11</v>
      </c>
      <c r="C6456">
        <v>641</v>
      </c>
      <c r="D6456">
        <v>23</v>
      </c>
      <c r="E6456">
        <v>381</v>
      </c>
      <c r="F6456">
        <v>605883</v>
      </c>
      <c r="G6456">
        <v>65170</v>
      </c>
      <c r="H6456">
        <v>6343</v>
      </c>
      <c r="J6456" t="str">
        <f>VLOOKUP(Table3[[#This Row],[Faction ID]],Table4[],2)</f>
        <v>Haradrim</v>
      </c>
    </row>
    <row r="6457" spans="1:10" x14ac:dyDescent="0.25">
      <c r="A6457">
        <v>167</v>
      </c>
      <c r="B6457" t="s">
        <v>15</v>
      </c>
      <c r="C6457">
        <v>420</v>
      </c>
      <c r="D6457">
        <v>3</v>
      </c>
      <c r="E6457">
        <v>53.1</v>
      </c>
      <c r="F6457">
        <v>219068</v>
      </c>
      <c r="G6457">
        <v>14974</v>
      </c>
      <c r="H6457">
        <v>0</v>
      </c>
      <c r="J6457" t="str">
        <f>VLOOKUP(Table3[[#This Row],[Faction ID]],Table4[],2)</f>
        <v>Dunlendings</v>
      </c>
    </row>
    <row r="6458" spans="1:10" x14ac:dyDescent="0.25">
      <c r="A6458">
        <v>167</v>
      </c>
      <c r="B6458" t="s">
        <v>16</v>
      </c>
      <c r="C6458">
        <v>0</v>
      </c>
      <c r="D6458">
        <v>0</v>
      </c>
      <c r="E6458">
        <v>0</v>
      </c>
      <c r="F6458">
        <v>5352</v>
      </c>
      <c r="G6458">
        <v>1750</v>
      </c>
      <c r="H6458">
        <v>0</v>
      </c>
      <c r="J6458" t="str">
        <f>VLOOKUP(Table3[[#This Row],[Faction ID]],Table4[],2)</f>
        <v>Haerrim</v>
      </c>
    </row>
    <row r="6459" spans="1:10" x14ac:dyDescent="0.25">
      <c r="A6459">
        <v>167</v>
      </c>
      <c r="B6459" t="s">
        <v>13</v>
      </c>
      <c r="C6459">
        <v>666</v>
      </c>
      <c r="D6459">
        <v>0</v>
      </c>
      <c r="E6459">
        <v>0</v>
      </c>
      <c r="F6459">
        <v>128480</v>
      </c>
      <c r="G6459">
        <v>2500</v>
      </c>
      <c r="H6459">
        <v>0</v>
      </c>
      <c r="J6459" t="str">
        <f>VLOOKUP(Table3[[#This Row],[Faction ID]],Table4[],2)</f>
        <v>Goblins</v>
      </c>
    </row>
    <row r="6460" spans="1:10" x14ac:dyDescent="0.25">
      <c r="A6460">
        <v>167</v>
      </c>
      <c r="B6460" t="s">
        <v>17</v>
      </c>
      <c r="C6460">
        <v>0</v>
      </c>
      <c r="D6460">
        <v>0</v>
      </c>
      <c r="E6460">
        <v>0</v>
      </c>
      <c r="F6460">
        <v>4872</v>
      </c>
      <c r="G6460">
        <v>1750</v>
      </c>
      <c r="H6460">
        <v>0</v>
      </c>
      <c r="J6460" t="str">
        <f>VLOOKUP(Table3[[#This Row],[Faction ID]],Table4[],2)</f>
        <v>Balchoth</v>
      </c>
    </row>
    <row r="6461" spans="1:10" x14ac:dyDescent="0.25">
      <c r="A6461">
        <v>167</v>
      </c>
      <c r="B6461" t="s">
        <v>18</v>
      </c>
      <c r="C6461">
        <v>750</v>
      </c>
      <c r="D6461">
        <v>0</v>
      </c>
      <c r="E6461">
        <v>0</v>
      </c>
      <c r="F6461">
        <v>461978</v>
      </c>
      <c r="G6461">
        <v>2500</v>
      </c>
      <c r="H6461">
        <v>0</v>
      </c>
      <c r="J6461" t="str">
        <f>VLOOKUP(Table3[[#This Row],[Faction ID]],Table4[],2)</f>
        <v>Rhurim/Rhun</v>
      </c>
    </row>
    <row r="6462" spans="1:10" x14ac:dyDescent="0.25">
      <c r="A6462">
        <v>167</v>
      </c>
      <c r="B6462" t="s">
        <v>19</v>
      </c>
      <c r="C6462">
        <v>0</v>
      </c>
      <c r="D6462">
        <v>0</v>
      </c>
      <c r="E6462">
        <v>0</v>
      </c>
      <c r="F6462">
        <v>7360</v>
      </c>
      <c r="G6462">
        <v>1750</v>
      </c>
      <c r="H6462">
        <v>0</v>
      </c>
      <c r="J6462" t="str">
        <f>VLOOKUP(Table3[[#This Row],[Faction ID]],Table4[],2)</f>
        <v>Feredrim</v>
      </c>
    </row>
    <row r="6463" spans="1:10" x14ac:dyDescent="0.25">
      <c r="A6463">
        <v>167</v>
      </c>
      <c r="B6463" t="s">
        <v>26</v>
      </c>
      <c r="C6463">
        <v>0</v>
      </c>
      <c r="D6463">
        <v>0</v>
      </c>
      <c r="E6463">
        <v>0</v>
      </c>
      <c r="F6463">
        <v>6395</v>
      </c>
      <c r="G6463">
        <v>1750</v>
      </c>
      <c r="H6463">
        <v>0</v>
      </c>
      <c r="J6463" t="str">
        <f>VLOOKUP(Table3[[#This Row],[Faction ID]],Table4[],2)</f>
        <v>Rachrohir (Wainriders)</v>
      </c>
    </row>
    <row r="6464" spans="1:10" x14ac:dyDescent="0.25">
      <c r="A6464">
        <v>167</v>
      </c>
      <c r="B6464" t="s">
        <v>27</v>
      </c>
      <c r="C6464">
        <v>9</v>
      </c>
      <c r="D6464">
        <v>7</v>
      </c>
      <c r="E6464">
        <v>135.5</v>
      </c>
      <c r="F6464">
        <v>117853</v>
      </c>
      <c r="G6464">
        <v>30092</v>
      </c>
      <c r="H6464">
        <v>2940</v>
      </c>
      <c r="J6464" t="str">
        <f>VLOOKUP(Table3[[#This Row],[Faction ID]],Table4[],2)</f>
        <v>Blacklock-Stonefoot League</v>
      </c>
    </row>
    <row r="6465" spans="1:10" x14ac:dyDescent="0.25">
      <c r="A6465">
        <v>167</v>
      </c>
      <c r="B6465" t="s">
        <v>28</v>
      </c>
      <c r="C6465">
        <v>11</v>
      </c>
      <c r="D6465">
        <v>8</v>
      </c>
      <c r="E6465">
        <v>157</v>
      </c>
      <c r="F6465">
        <v>85854</v>
      </c>
      <c r="G6465">
        <v>45126</v>
      </c>
      <c r="H6465">
        <v>2590</v>
      </c>
      <c r="J6465" t="str">
        <f>VLOOKUP(Table3[[#This Row],[Faction ID]],Table4[],2)</f>
        <v>Ironfist-Stiffbeard Union</v>
      </c>
    </row>
    <row r="6466" spans="1:10" x14ac:dyDescent="0.25">
      <c r="A6466">
        <v>167</v>
      </c>
      <c r="B6466" t="s">
        <v>20</v>
      </c>
      <c r="C6466">
        <v>245</v>
      </c>
      <c r="D6466">
        <v>0</v>
      </c>
      <c r="E6466">
        <v>0</v>
      </c>
      <c r="F6466">
        <v>9750</v>
      </c>
      <c r="G6466">
        <v>2500</v>
      </c>
      <c r="H6466">
        <v>0</v>
      </c>
      <c r="J6466" t="str">
        <f>VLOOKUP(Table3[[#This Row],[Faction ID]],Table4[],2)</f>
        <v>Gundabad</v>
      </c>
    </row>
    <row r="6467" spans="1:10" x14ac:dyDescent="0.25">
      <c r="A6467">
        <v>167</v>
      </c>
      <c r="B6467" t="s">
        <v>34</v>
      </c>
      <c r="C6467">
        <v>0</v>
      </c>
      <c r="D6467">
        <v>0</v>
      </c>
      <c r="E6467">
        <v>3</v>
      </c>
      <c r="F6467">
        <v>191761</v>
      </c>
      <c r="G6467">
        <v>2354</v>
      </c>
      <c r="H6467">
        <v>0</v>
      </c>
      <c r="J6467" t="str">
        <f>VLOOKUP(Table3[[#This Row],[Faction ID]],Table4[],2)</f>
        <v>Scouts of Rohan</v>
      </c>
    </row>
    <row r="6468" spans="1:10" x14ac:dyDescent="0.25">
      <c r="A6468">
        <v>167</v>
      </c>
      <c r="B6468" t="s">
        <v>33</v>
      </c>
      <c r="C6468">
        <v>0</v>
      </c>
      <c r="D6468">
        <v>0</v>
      </c>
      <c r="E6468">
        <v>0</v>
      </c>
      <c r="F6468">
        <v>23466</v>
      </c>
      <c r="G6468">
        <v>1750</v>
      </c>
      <c r="H6468">
        <v>0</v>
      </c>
      <c r="J6468" t="str">
        <f>VLOOKUP(Table3[[#This Row],[Faction ID]],Table4[],2)</f>
        <v>Northern Enedwaith</v>
      </c>
    </row>
    <row r="6469" spans="1:10" x14ac:dyDescent="0.25">
      <c r="A6469">
        <v>167</v>
      </c>
      <c r="B6469" t="s">
        <v>29</v>
      </c>
      <c r="C6469">
        <v>0</v>
      </c>
      <c r="D6469">
        <v>0</v>
      </c>
      <c r="E6469">
        <v>0</v>
      </c>
      <c r="F6469">
        <v>54023</v>
      </c>
      <c r="G6469">
        <v>1750</v>
      </c>
      <c r="H6469">
        <v>0</v>
      </c>
      <c r="J6469" t="str">
        <f>VLOOKUP(Table3[[#This Row],[Faction ID]],Table4[],2)</f>
        <v>Southern Enedwaith</v>
      </c>
    </row>
    <row r="6470" spans="1:10" x14ac:dyDescent="0.25">
      <c r="A6470">
        <v>167</v>
      </c>
      <c r="B6470" t="s">
        <v>30</v>
      </c>
      <c r="C6470">
        <v>0</v>
      </c>
      <c r="D6470">
        <v>0</v>
      </c>
      <c r="E6470">
        <v>0</v>
      </c>
      <c r="F6470">
        <v>32146</v>
      </c>
      <c r="G6470">
        <v>1750</v>
      </c>
      <c r="H6470">
        <v>0</v>
      </c>
      <c r="J6470" t="str">
        <f>VLOOKUP(Table3[[#This Row],[Faction ID]],Table4[],2)</f>
        <v>Druedain</v>
      </c>
    </row>
    <row r="6471" spans="1:10" x14ac:dyDescent="0.25">
      <c r="A6471">
        <v>167</v>
      </c>
      <c r="B6471" t="s">
        <v>31</v>
      </c>
      <c r="C6471">
        <v>0</v>
      </c>
      <c r="D6471">
        <v>0</v>
      </c>
      <c r="E6471">
        <v>0</v>
      </c>
      <c r="F6471">
        <v>15146</v>
      </c>
      <c r="G6471">
        <v>1750</v>
      </c>
      <c r="H6471">
        <v>0</v>
      </c>
      <c r="J6471" t="str">
        <f>VLOOKUP(Table3[[#This Row],[Faction ID]],Table4[],2)</f>
        <v>Harondor</v>
      </c>
    </row>
    <row r="6472" spans="1:10" x14ac:dyDescent="0.25">
      <c r="A6472">
        <v>167</v>
      </c>
      <c r="B6472" t="s">
        <v>35</v>
      </c>
      <c r="C6472">
        <v>0</v>
      </c>
      <c r="D6472">
        <v>0</v>
      </c>
      <c r="E6472">
        <v>0</v>
      </c>
      <c r="F6472">
        <v>4000</v>
      </c>
      <c r="G6472">
        <v>1750</v>
      </c>
      <c r="H6472">
        <v>0</v>
      </c>
      <c r="J6472" t="str">
        <f>VLOOKUP(Table3[[#This Row],[Faction ID]],Table4[],2)</f>
        <v>Southron Nomads</v>
      </c>
    </row>
    <row r="6473" spans="1:10" x14ac:dyDescent="0.25">
      <c r="A6473">
        <v>167</v>
      </c>
      <c r="B6473" t="s">
        <v>36</v>
      </c>
      <c r="C6473">
        <v>0</v>
      </c>
      <c r="D6473">
        <v>0</v>
      </c>
      <c r="E6473">
        <v>0</v>
      </c>
      <c r="F6473">
        <v>4000</v>
      </c>
      <c r="G6473">
        <v>1750</v>
      </c>
      <c r="H6473">
        <v>0</v>
      </c>
      <c r="J6473" t="str">
        <f>VLOOKUP(Table3[[#This Row],[Faction ID]],Table4[],2)</f>
        <v>_</v>
      </c>
    </row>
    <row r="6474" spans="1:10" x14ac:dyDescent="0.25">
      <c r="A6474">
        <v>167</v>
      </c>
      <c r="B6474" t="s">
        <v>37</v>
      </c>
      <c r="C6474">
        <v>0</v>
      </c>
      <c r="D6474">
        <v>0</v>
      </c>
      <c r="E6474">
        <v>0</v>
      </c>
      <c r="F6474">
        <v>4000</v>
      </c>
      <c r="G6474">
        <v>1750</v>
      </c>
      <c r="H6474">
        <v>0</v>
      </c>
      <c r="J6474" t="str">
        <f>VLOOKUP(Table3[[#This Row],[Faction ID]],Table4[],2)</f>
        <v>_</v>
      </c>
    </row>
    <row r="6475" spans="1:10" x14ac:dyDescent="0.25">
      <c r="A6475">
        <v>167</v>
      </c>
      <c r="B6475" t="s">
        <v>38</v>
      </c>
      <c r="C6475">
        <v>0</v>
      </c>
      <c r="D6475">
        <v>0</v>
      </c>
      <c r="E6475">
        <v>0</v>
      </c>
      <c r="F6475">
        <v>4000</v>
      </c>
      <c r="G6475">
        <v>1750</v>
      </c>
      <c r="H6475">
        <v>0</v>
      </c>
      <c r="J6475" t="str">
        <f>VLOOKUP(Table3[[#This Row],[Faction ID]],Table4[],2)</f>
        <v>_</v>
      </c>
    </row>
    <row r="6476" spans="1:10" x14ac:dyDescent="0.25">
      <c r="A6476">
        <v>167</v>
      </c>
      <c r="B6476" t="s">
        <v>39</v>
      </c>
      <c r="C6476">
        <v>0</v>
      </c>
      <c r="D6476">
        <v>0</v>
      </c>
      <c r="E6476">
        <v>0</v>
      </c>
      <c r="F6476">
        <v>4000</v>
      </c>
      <c r="G6476">
        <v>1750</v>
      </c>
      <c r="H6476">
        <v>0</v>
      </c>
      <c r="J6476" t="str">
        <f>VLOOKUP(Table3[[#This Row],[Faction ID]],Table4[],2)</f>
        <v>_</v>
      </c>
    </row>
    <row r="6477" spans="1:10" x14ac:dyDescent="0.25">
      <c r="A6477">
        <v>167</v>
      </c>
      <c r="B6477" t="s">
        <v>40</v>
      </c>
      <c r="C6477">
        <v>0</v>
      </c>
      <c r="D6477">
        <v>0</v>
      </c>
      <c r="E6477">
        <v>0</v>
      </c>
      <c r="F6477">
        <v>4000</v>
      </c>
      <c r="G6477">
        <v>1750</v>
      </c>
      <c r="H6477">
        <v>0</v>
      </c>
      <c r="J6477" t="str">
        <f>VLOOKUP(Table3[[#This Row],[Faction ID]],Table4[],2)</f>
        <v>_</v>
      </c>
    </row>
    <row r="6478" spans="1:10" x14ac:dyDescent="0.25">
      <c r="A6478">
        <v>167</v>
      </c>
      <c r="B6478" t="s">
        <v>41</v>
      </c>
      <c r="C6478">
        <v>0</v>
      </c>
      <c r="D6478">
        <v>0</v>
      </c>
      <c r="E6478">
        <v>0</v>
      </c>
      <c r="F6478">
        <v>4000</v>
      </c>
      <c r="G6478">
        <v>1750</v>
      </c>
      <c r="H6478">
        <v>0</v>
      </c>
      <c r="J6478" t="str">
        <f>VLOOKUP(Table3[[#This Row],[Faction ID]],Table4[],2)</f>
        <v>_</v>
      </c>
    </row>
    <row r="6479" spans="1:10" x14ac:dyDescent="0.25">
      <c r="A6479">
        <v>167</v>
      </c>
      <c r="B6479" t="s">
        <v>42</v>
      </c>
      <c r="C6479">
        <v>0</v>
      </c>
      <c r="D6479">
        <v>0</v>
      </c>
      <c r="E6479">
        <v>0</v>
      </c>
      <c r="F6479">
        <v>4000</v>
      </c>
      <c r="G6479">
        <v>1750</v>
      </c>
      <c r="H6479">
        <v>0</v>
      </c>
      <c r="J6479" t="str">
        <f>VLOOKUP(Table3[[#This Row],[Faction ID]],Table4[],2)</f>
        <v>_</v>
      </c>
    </row>
    <row r="6480" spans="1:10" x14ac:dyDescent="0.25">
      <c r="A6480">
        <v>167</v>
      </c>
      <c r="B6480" t="s">
        <v>43</v>
      </c>
      <c r="C6480">
        <v>0</v>
      </c>
      <c r="D6480">
        <v>0</v>
      </c>
      <c r="E6480">
        <v>0</v>
      </c>
      <c r="F6480">
        <v>4000</v>
      </c>
      <c r="G6480">
        <v>1750</v>
      </c>
      <c r="H6480">
        <v>0</v>
      </c>
      <c r="J6480" t="str">
        <f>VLOOKUP(Table3[[#This Row],[Faction ID]],Table4[],2)</f>
        <v>_</v>
      </c>
    </row>
    <row r="6481" spans="1:10" x14ac:dyDescent="0.25">
      <c r="A6481">
        <v>167</v>
      </c>
      <c r="B6481" t="s">
        <v>44</v>
      </c>
      <c r="C6481">
        <v>0</v>
      </c>
      <c r="D6481">
        <v>0</v>
      </c>
      <c r="E6481">
        <v>0</v>
      </c>
      <c r="F6481">
        <v>4000</v>
      </c>
      <c r="G6481">
        <v>1750</v>
      </c>
      <c r="H6481">
        <v>0</v>
      </c>
      <c r="J6481" t="str">
        <f>VLOOKUP(Table3[[#This Row],[Faction ID]],Table4[],2)</f>
        <v>_</v>
      </c>
    </row>
    <row r="6482" spans="1:10" x14ac:dyDescent="0.25">
      <c r="A6482">
        <v>168</v>
      </c>
      <c r="B6482" t="s">
        <v>9</v>
      </c>
      <c r="C6482">
        <v>1390</v>
      </c>
      <c r="D6482">
        <v>73</v>
      </c>
      <c r="E6482">
        <v>981.1</v>
      </c>
      <c r="F6482">
        <v>79600</v>
      </c>
      <c r="G6482">
        <v>208378</v>
      </c>
      <c r="H6482">
        <v>18204</v>
      </c>
      <c r="J6482" t="str">
        <f>VLOOKUP(Table3[[#This Row],[Faction ID]],Table4[],2)</f>
        <v>Mordor</v>
      </c>
    </row>
    <row r="6483" spans="1:10" x14ac:dyDescent="0.25">
      <c r="A6483">
        <v>168</v>
      </c>
      <c r="B6483" t="s">
        <v>4</v>
      </c>
      <c r="C6483">
        <v>146</v>
      </c>
      <c r="D6483">
        <v>0</v>
      </c>
      <c r="E6483">
        <v>0</v>
      </c>
      <c r="F6483">
        <v>55420</v>
      </c>
      <c r="G6483">
        <v>2500</v>
      </c>
      <c r="H6483">
        <v>0</v>
      </c>
      <c r="J6483" t="str">
        <f>VLOOKUP(Table3[[#This Row],[Faction ID]],Table4[],2)</f>
        <v>Gondor</v>
      </c>
    </row>
    <row r="6484" spans="1:10" x14ac:dyDescent="0.25">
      <c r="A6484">
        <v>168</v>
      </c>
      <c r="B6484" t="s">
        <v>6</v>
      </c>
      <c r="C6484">
        <v>199</v>
      </c>
      <c r="D6484">
        <v>0</v>
      </c>
      <c r="E6484">
        <v>0</v>
      </c>
      <c r="F6484">
        <v>10343</v>
      </c>
      <c r="G6484">
        <v>2500</v>
      </c>
      <c r="H6484">
        <v>0</v>
      </c>
      <c r="J6484" t="str">
        <f>VLOOKUP(Table3[[#This Row],[Faction ID]],Table4[],2)</f>
        <v>Dale</v>
      </c>
    </row>
    <row r="6485" spans="1:10" x14ac:dyDescent="0.25">
      <c r="A6485">
        <v>168</v>
      </c>
      <c r="B6485" t="s">
        <v>21</v>
      </c>
      <c r="C6485">
        <v>200</v>
      </c>
      <c r="D6485">
        <v>0</v>
      </c>
      <c r="E6485">
        <v>0</v>
      </c>
      <c r="F6485">
        <v>10040</v>
      </c>
      <c r="G6485">
        <v>2500</v>
      </c>
      <c r="H6485">
        <v>0</v>
      </c>
      <c r="J6485" t="str">
        <f>VLOOKUP(Table3[[#This Row],[Faction ID]],Table4[],2)</f>
        <v>Erebor</v>
      </c>
    </row>
    <row r="6486" spans="1:10" x14ac:dyDescent="0.25">
      <c r="A6486">
        <v>168</v>
      </c>
      <c r="B6486" t="s">
        <v>5</v>
      </c>
      <c r="C6486">
        <v>157</v>
      </c>
      <c r="D6486">
        <v>0</v>
      </c>
      <c r="E6486">
        <v>0</v>
      </c>
      <c r="F6486">
        <v>6638</v>
      </c>
      <c r="G6486">
        <v>2500</v>
      </c>
      <c r="H6486">
        <v>0</v>
      </c>
      <c r="J6486" t="str">
        <f>VLOOKUP(Table3[[#This Row],[Faction ID]],Table4[],2)</f>
        <v>Rohan</v>
      </c>
    </row>
    <row r="6487" spans="1:10" x14ac:dyDescent="0.25">
      <c r="A6487">
        <v>168</v>
      </c>
      <c r="B6487" t="s">
        <v>12</v>
      </c>
      <c r="C6487">
        <v>629</v>
      </c>
      <c r="D6487">
        <v>25</v>
      </c>
      <c r="E6487">
        <v>421.4</v>
      </c>
      <c r="F6487">
        <v>1222128</v>
      </c>
      <c r="G6487">
        <v>76619</v>
      </c>
      <c r="H6487">
        <v>7659</v>
      </c>
      <c r="J6487" t="str">
        <f>VLOOKUP(Table3[[#This Row],[Faction ID]],Table4[],2)</f>
        <v>Dol Guldur</v>
      </c>
    </row>
    <row r="6488" spans="1:10" x14ac:dyDescent="0.25">
      <c r="A6488">
        <v>168</v>
      </c>
      <c r="B6488" t="s">
        <v>10</v>
      </c>
      <c r="C6488">
        <v>58</v>
      </c>
      <c r="D6488">
        <v>0</v>
      </c>
      <c r="E6488">
        <v>0</v>
      </c>
      <c r="F6488">
        <v>4515</v>
      </c>
      <c r="G6488">
        <v>2500</v>
      </c>
      <c r="H6488">
        <v>0</v>
      </c>
      <c r="J6488" t="str">
        <f>VLOOKUP(Table3[[#This Row],[Faction ID]],Table4[],2)</f>
        <v>Anduin Vale</v>
      </c>
    </row>
    <row r="6489" spans="1:10" x14ac:dyDescent="0.25">
      <c r="A6489">
        <v>168</v>
      </c>
      <c r="B6489" t="s">
        <v>32</v>
      </c>
      <c r="C6489">
        <v>329</v>
      </c>
      <c r="D6489">
        <v>0</v>
      </c>
      <c r="E6489">
        <v>0</v>
      </c>
      <c r="F6489">
        <v>23007</v>
      </c>
      <c r="G6489">
        <v>2500</v>
      </c>
      <c r="H6489">
        <v>0</v>
      </c>
      <c r="J6489" t="str">
        <f>VLOOKUP(Table3[[#This Row],[Faction ID]],Table4[],2)</f>
        <v>Isengard</v>
      </c>
    </row>
    <row r="6490" spans="1:10" x14ac:dyDescent="0.25">
      <c r="A6490">
        <v>168</v>
      </c>
      <c r="B6490" t="s">
        <v>22</v>
      </c>
      <c r="C6490">
        <v>30</v>
      </c>
      <c r="D6490">
        <v>0</v>
      </c>
      <c r="E6490">
        <v>0</v>
      </c>
      <c r="F6490">
        <v>8475</v>
      </c>
      <c r="G6490">
        <v>2500</v>
      </c>
      <c r="H6490">
        <v>0</v>
      </c>
      <c r="J6490" t="str">
        <f>VLOOKUP(Table3[[#This Row],[Faction ID]],Table4[],2)</f>
        <v>Woodland Realm</v>
      </c>
    </row>
    <row r="6491" spans="1:10" x14ac:dyDescent="0.25">
      <c r="A6491">
        <v>168</v>
      </c>
      <c r="B6491" t="s">
        <v>23</v>
      </c>
      <c r="C6491">
        <v>64</v>
      </c>
      <c r="D6491">
        <v>0</v>
      </c>
      <c r="E6491">
        <v>0</v>
      </c>
      <c r="F6491">
        <v>4721</v>
      </c>
      <c r="G6491">
        <v>2500</v>
      </c>
      <c r="H6491">
        <v>0</v>
      </c>
      <c r="J6491" t="str">
        <f>VLOOKUP(Table3[[#This Row],[Faction ID]],Table4[],2)</f>
        <v>Lothlorien</v>
      </c>
    </row>
    <row r="6492" spans="1:10" x14ac:dyDescent="0.25">
      <c r="A6492">
        <v>168</v>
      </c>
      <c r="B6492" t="s">
        <v>24</v>
      </c>
      <c r="C6492">
        <v>0</v>
      </c>
      <c r="D6492">
        <v>0</v>
      </c>
      <c r="E6492">
        <v>0</v>
      </c>
      <c r="F6492">
        <v>4919</v>
      </c>
      <c r="G6492">
        <v>1750</v>
      </c>
      <c r="H6492">
        <v>0</v>
      </c>
      <c r="J6492" t="str">
        <f>VLOOKUP(Table3[[#This Row],[Faction ID]],Table4[],2)</f>
        <v>Variags (Khand)</v>
      </c>
    </row>
    <row r="6493" spans="1:10" x14ac:dyDescent="0.25">
      <c r="A6493">
        <v>168</v>
      </c>
      <c r="B6493" t="s">
        <v>14</v>
      </c>
      <c r="C6493">
        <v>26</v>
      </c>
      <c r="D6493">
        <v>18</v>
      </c>
      <c r="E6493">
        <v>325.60000000000002</v>
      </c>
      <c r="F6493">
        <v>1008536</v>
      </c>
      <c r="G6493">
        <v>72809</v>
      </c>
      <c r="H6493">
        <v>7159</v>
      </c>
      <c r="J6493" t="str">
        <f>VLOOKUP(Table3[[#This Row],[Faction ID]],Table4[],2)</f>
        <v>Corsairs of Umbar</v>
      </c>
    </row>
    <row r="6494" spans="1:10" x14ac:dyDescent="0.25">
      <c r="A6494">
        <v>168</v>
      </c>
      <c r="B6494" t="s">
        <v>25</v>
      </c>
      <c r="C6494">
        <v>0</v>
      </c>
      <c r="D6494">
        <v>0</v>
      </c>
      <c r="E6494">
        <v>0</v>
      </c>
      <c r="F6494">
        <v>9228</v>
      </c>
      <c r="G6494">
        <v>1750</v>
      </c>
      <c r="H6494">
        <v>0</v>
      </c>
      <c r="J6494" t="str">
        <f>VLOOKUP(Table3[[#This Row],[Faction ID]],Table4[],2)</f>
        <v>Mahud</v>
      </c>
    </row>
    <row r="6495" spans="1:10" x14ac:dyDescent="0.25">
      <c r="A6495">
        <v>168</v>
      </c>
      <c r="B6495" t="s">
        <v>11</v>
      </c>
      <c r="C6495">
        <v>641</v>
      </c>
      <c r="D6495">
        <v>23</v>
      </c>
      <c r="E6495">
        <v>384.4</v>
      </c>
      <c r="F6495">
        <v>653495</v>
      </c>
      <c r="G6495">
        <v>63494</v>
      </c>
      <c r="H6495">
        <v>6228</v>
      </c>
      <c r="J6495" t="str">
        <f>VLOOKUP(Table3[[#This Row],[Faction ID]],Table4[],2)</f>
        <v>Haradrim</v>
      </c>
    </row>
    <row r="6496" spans="1:10" x14ac:dyDescent="0.25">
      <c r="A6496">
        <v>168</v>
      </c>
      <c r="B6496" t="s">
        <v>15</v>
      </c>
      <c r="C6496">
        <v>417</v>
      </c>
      <c r="D6496">
        <v>2</v>
      </c>
      <c r="E6496">
        <v>37.1</v>
      </c>
      <c r="F6496">
        <v>216372</v>
      </c>
      <c r="G6496">
        <v>11230</v>
      </c>
      <c r="H6496">
        <v>0</v>
      </c>
      <c r="J6496" t="str">
        <f>VLOOKUP(Table3[[#This Row],[Faction ID]],Table4[],2)</f>
        <v>Dunlendings</v>
      </c>
    </row>
    <row r="6497" spans="1:10" x14ac:dyDescent="0.25">
      <c r="A6497">
        <v>168</v>
      </c>
      <c r="B6497" t="s">
        <v>16</v>
      </c>
      <c r="C6497">
        <v>0</v>
      </c>
      <c r="D6497">
        <v>0</v>
      </c>
      <c r="E6497">
        <v>0</v>
      </c>
      <c r="F6497">
        <v>5352</v>
      </c>
      <c r="G6497">
        <v>1750</v>
      </c>
      <c r="H6497">
        <v>0</v>
      </c>
      <c r="J6497" t="str">
        <f>VLOOKUP(Table3[[#This Row],[Faction ID]],Table4[],2)</f>
        <v>Haerrim</v>
      </c>
    </row>
    <row r="6498" spans="1:10" x14ac:dyDescent="0.25">
      <c r="A6498">
        <v>168</v>
      </c>
      <c r="B6498" t="s">
        <v>13</v>
      </c>
      <c r="C6498">
        <v>666</v>
      </c>
      <c r="D6498">
        <v>0</v>
      </c>
      <c r="E6498">
        <v>0</v>
      </c>
      <c r="F6498">
        <v>128480</v>
      </c>
      <c r="G6498">
        <v>2500</v>
      </c>
      <c r="H6498">
        <v>0</v>
      </c>
      <c r="J6498" t="str">
        <f>VLOOKUP(Table3[[#This Row],[Faction ID]],Table4[],2)</f>
        <v>Goblins</v>
      </c>
    </row>
    <row r="6499" spans="1:10" x14ac:dyDescent="0.25">
      <c r="A6499">
        <v>168</v>
      </c>
      <c r="B6499" t="s">
        <v>17</v>
      </c>
      <c r="C6499">
        <v>0</v>
      </c>
      <c r="D6499">
        <v>0</v>
      </c>
      <c r="E6499">
        <v>0</v>
      </c>
      <c r="F6499">
        <v>4872</v>
      </c>
      <c r="G6499">
        <v>1750</v>
      </c>
      <c r="H6499">
        <v>0</v>
      </c>
      <c r="J6499" t="str">
        <f>VLOOKUP(Table3[[#This Row],[Faction ID]],Table4[],2)</f>
        <v>Balchoth</v>
      </c>
    </row>
    <row r="6500" spans="1:10" x14ac:dyDescent="0.25">
      <c r="A6500">
        <v>168</v>
      </c>
      <c r="B6500" t="s">
        <v>18</v>
      </c>
      <c r="C6500">
        <v>750</v>
      </c>
      <c r="D6500">
        <v>0</v>
      </c>
      <c r="E6500">
        <v>0</v>
      </c>
      <c r="F6500">
        <v>461978</v>
      </c>
      <c r="G6500">
        <v>2500</v>
      </c>
      <c r="H6500">
        <v>0</v>
      </c>
      <c r="J6500" t="str">
        <f>VLOOKUP(Table3[[#This Row],[Faction ID]],Table4[],2)</f>
        <v>Rhurim/Rhun</v>
      </c>
    </row>
    <row r="6501" spans="1:10" x14ac:dyDescent="0.25">
      <c r="A6501">
        <v>168</v>
      </c>
      <c r="B6501" t="s">
        <v>19</v>
      </c>
      <c r="C6501">
        <v>0</v>
      </c>
      <c r="D6501">
        <v>0</v>
      </c>
      <c r="E6501">
        <v>0</v>
      </c>
      <c r="F6501">
        <v>7360</v>
      </c>
      <c r="G6501">
        <v>1750</v>
      </c>
      <c r="H6501">
        <v>0</v>
      </c>
      <c r="J6501" t="str">
        <f>VLOOKUP(Table3[[#This Row],[Faction ID]],Table4[],2)</f>
        <v>Feredrim</v>
      </c>
    </row>
    <row r="6502" spans="1:10" x14ac:dyDescent="0.25">
      <c r="A6502">
        <v>168</v>
      </c>
      <c r="B6502" t="s">
        <v>26</v>
      </c>
      <c r="C6502">
        <v>0</v>
      </c>
      <c r="D6502">
        <v>0</v>
      </c>
      <c r="E6502">
        <v>0</v>
      </c>
      <c r="F6502">
        <v>6395</v>
      </c>
      <c r="G6502">
        <v>1750</v>
      </c>
      <c r="H6502">
        <v>0</v>
      </c>
      <c r="J6502" t="str">
        <f>VLOOKUP(Table3[[#This Row],[Faction ID]],Table4[],2)</f>
        <v>Rachrohir (Wainriders)</v>
      </c>
    </row>
    <row r="6503" spans="1:10" x14ac:dyDescent="0.25">
      <c r="A6503">
        <v>168</v>
      </c>
      <c r="B6503" t="s">
        <v>27</v>
      </c>
      <c r="C6503">
        <v>9</v>
      </c>
      <c r="D6503">
        <v>7</v>
      </c>
      <c r="E6503">
        <v>135.5</v>
      </c>
      <c r="F6503">
        <v>129784</v>
      </c>
      <c r="G6503">
        <v>30468</v>
      </c>
      <c r="H6503">
        <v>2930</v>
      </c>
      <c r="J6503" t="str">
        <f>VLOOKUP(Table3[[#This Row],[Faction ID]],Table4[],2)</f>
        <v>Blacklock-Stonefoot League</v>
      </c>
    </row>
    <row r="6504" spans="1:10" x14ac:dyDescent="0.25">
      <c r="A6504">
        <v>168</v>
      </c>
      <c r="B6504" t="s">
        <v>28</v>
      </c>
      <c r="C6504">
        <v>11</v>
      </c>
      <c r="D6504">
        <v>8</v>
      </c>
      <c r="E6504">
        <v>158</v>
      </c>
      <c r="F6504">
        <v>102672</v>
      </c>
      <c r="G6504">
        <v>42558</v>
      </c>
      <c r="H6504">
        <v>2574</v>
      </c>
      <c r="J6504" t="str">
        <f>VLOOKUP(Table3[[#This Row],[Faction ID]],Table4[],2)</f>
        <v>Ironfist-Stiffbeard Union</v>
      </c>
    </row>
    <row r="6505" spans="1:10" x14ac:dyDescent="0.25">
      <c r="A6505">
        <v>168</v>
      </c>
      <c r="B6505" t="s">
        <v>20</v>
      </c>
      <c r="C6505">
        <v>245</v>
      </c>
      <c r="D6505">
        <v>0</v>
      </c>
      <c r="E6505">
        <v>0</v>
      </c>
      <c r="F6505">
        <v>9750</v>
      </c>
      <c r="G6505">
        <v>2500</v>
      </c>
      <c r="H6505">
        <v>0</v>
      </c>
      <c r="J6505" t="str">
        <f>VLOOKUP(Table3[[#This Row],[Faction ID]],Table4[],2)</f>
        <v>Gundabad</v>
      </c>
    </row>
    <row r="6506" spans="1:10" x14ac:dyDescent="0.25">
      <c r="A6506">
        <v>168</v>
      </c>
      <c r="B6506" t="s">
        <v>34</v>
      </c>
      <c r="C6506">
        <v>0</v>
      </c>
      <c r="D6506">
        <v>0</v>
      </c>
      <c r="E6506">
        <v>3</v>
      </c>
      <c r="F6506">
        <v>192907</v>
      </c>
      <c r="G6506">
        <v>2354</v>
      </c>
      <c r="H6506">
        <v>0</v>
      </c>
      <c r="J6506" t="str">
        <f>VLOOKUP(Table3[[#This Row],[Faction ID]],Table4[],2)</f>
        <v>Scouts of Rohan</v>
      </c>
    </row>
    <row r="6507" spans="1:10" x14ac:dyDescent="0.25">
      <c r="A6507">
        <v>168</v>
      </c>
      <c r="B6507" t="s">
        <v>33</v>
      </c>
      <c r="C6507">
        <v>0</v>
      </c>
      <c r="D6507">
        <v>0</v>
      </c>
      <c r="E6507">
        <v>0</v>
      </c>
      <c r="F6507">
        <v>23466</v>
      </c>
      <c r="G6507">
        <v>1750</v>
      </c>
      <c r="H6507">
        <v>0</v>
      </c>
      <c r="J6507" t="str">
        <f>VLOOKUP(Table3[[#This Row],[Faction ID]],Table4[],2)</f>
        <v>Northern Enedwaith</v>
      </c>
    </row>
    <row r="6508" spans="1:10" x14ac:dyDescent="0.25">
      <c r="A6508">
        <v>168</v>
      </c>
      <c r="B6508" t="s">
        <v>29</v>
      </c>
      <c r="C6508">
        <v>0</v>
      </c>
      <c r="D6508">
        <v>0</v>
      </c>
      <c r="E6508">
        <v>0</v>
      </c>
      <c r="F6508">
        <v>54023</v>
      </c>
      <c r="G6508">
        <v>1750</v>
      </c>
      <c r="H6508">
        <v>0</v>
      </c>
      <c r="J6508" t="str">
        <f>VLOOKUP(Table3[[#This Row],[Faction ID]],Table4[],2)</f>
        <v>Southern Enedwaith</v>
      </c>
    </row>
    <row r="6509" spans="1:10" x14ac:dyDescent="0.25">
      <c r="A6509">
        <v>168</v>
      </c>
      <c r="B6509" t="s">
        <v>30</v>
      </c>
      <c r="C6509">
        <v>0</v>
      </c>
      <c r="D6509">
        <v>0</v>
      </c>
      <c r="E6509">
        <v>0</v>
      </c>
      <c r="F6509">
        <v>32146</v>
      </c>
      <c r="G6509">
        <v>1750</v>
      </c>
      <c r="H6509">
        <v>0</v>
      </c>
      <c r="J6509" t="str">
        <f>VLOOKUP(Table3[[#This Row],[Faction ID]],Table4[],2)</f>
        <v>Druedain</v>
      </c>
    </row>
    <row r="6510" spans="1:10" x14ac:dyDescent="0.25">
      <c r="A6510">
        <v>168</v>
      </c>
      <c r="B6510" t="s">
        <v>31</v>
      </c>
      <c r="C6510">
        <v>0</v>
      </c>
      <c r="D6510">
        <v>0</v>
      </c>
      <c r="E6510">
        <v>0</v>
      </c>
      <c r="F6510">
        <v>15146</v>
      </c>
      <c r="G6510">
        <v>1750</v>
      </c>
      <c r="H6510">
        <v>0</v>
      </c>
      <c r="J6510" t="str">
        <f>VLOOKUP(Table3[[#This Row],[Faction ID]],Table4[],2)</f>
        <v>Harondor</v>
      </c>
    </row>
    <row r="6511" spans="1:10" x14ac:dyDescent="0.25">
      <c r="A6511">
        <v>168</v>
      </c>
      <c r="B6511" t="s">
        <v>35</v>
      </c>
      <c r="C6511">
        <v>0</v>
      </c>
      <c r="D6511">
        <v>0</v>
      </c>
      <c r="E6511">
        <v>0</v>
      </c>
      <c r="F6511">
        <v>4000</v>
      </c>
      <c r="G6511">
        <v>1750</v>
      </c>
      <c r="H6511">
        <v>0</v>
      </c>
      <c r="J6511" t="str">
        <f>VLOOKUP(Table3[[#This Row],[Faction ID]],Table4[],2)</f>
        <v>Southron Nomads</v>
      </c>
    </row>
    <row r="6512" spans="1:10" x14ac:dyDescent="0.25">
      <c r="A6512">
        <v>168</v>
      </c>
      <c r="B6512" t="s">
        <v>36</v>
      </c>
      <c r="C6512">
        <v>0</v>
      </c>
      <c r="D6512">
        <v>0</v>
      </c>
      <c r="E6512">
        <v>0</v>
      </c>
      <c r="F6512">
        <v>4000</v>
      </c>
      <c r="G6512">
        <v>1750</v>
      </c>
      <c r="H6512">
        <v>0</v>
      </c>
      <c r="J6512" t="str">
        <f>VLOOKUP(Table3[[#This Row],[Faction ID]],Table4[],2)</f>
        <v>_</v>
      </c>
    </row>
    <row r="6513" spans="1:10" x14ac:dyDescent="0.25">
      <c r="A6513">
        <v>168</v>
      </c>
      <c r="B6513" t="s">
        <v>37</v>
      </c>
      <c r="C6513">
        <v>0</v>
      </c>
      <c r="D6513">
        <v>0</v>
      </c>
      <c r="E6513">
        <v>0</v>
      </c>
      <c r="F6513">
        <v>4000</v>
      </c>
      <c r="G6513">
        <v>1750</v>
      </c>
      <c r="H6513">
        <v>0</v>
      </c>
      <c r="J6513" t="str">
        <f>VLOOKUP(Table3[[#This Row],[Faction ID]],Table4[],2)</f>
        <v>_</v>
      </c>
    </row>
    <row r="6514" spans="1:10" x14ac:dyDescent="0.25">
      <c r="A6514">
        <v>168</v>
      </c>
      <c r="B6514" t="s">
        <v>38</v>
      </c>
      <c r="C6514">
        <v>0</v>
      </c>
      <c r="D6514">
        <v>0</v>
      </c>
      <c r="E6514">
        <v>0</v>
      </c>
      <c r="F6514">
        <v>4000</v>
      </c>
      <c r="G6514">
        <v>1750</v>
      </c>
      <c r="H6514">
        <v>0</v>
      </c>
      <c r="J6514" t="str">
        <f>VLOOKUP(Table3[[#This Row],[Faction ID]],Table4[],2)</f>
        <v>_</v>
      </c>
    </row>
    <row r="6515" spans="1:10" x14ac:dyDescent="0.25">
      <c r="A6515">
        <v>168</v>
      </c>
      <c r="B6515" t="s">
        <v>39</v>
      </c>
      <c r="C6515">
        <v>0</v>
      </c>
      <c r="D6515">
        <v>0</v>
      </c>
      <c r="E6515">
        <v>0</v>
      </c>
      <c r="F6515">
        <v>4000</v>
      </c>
      <c r="G6515">
        <v>1750</v>
      </c>
      <c r="H6515">
        <v>0</v>
      </c>
      <c r="J6515" t="str">
        <f>VLOOKUP(Table3[[#This Row],[Faction ID]],Table4[],2)</f>
        <v>_</v>
      </c>
    </row>
    <row r="6516" spans="1:10" x14ac:dyDescent="0.25">
      <c r="A6516">
        <v>168</v>
      </c>
      <c r="B6516" t="s">
        <v>40</v>
      </c>
      <c r="C6516">
        <v>0</v>
      </c>
      <c r="D6516">
        <v>0</v>
      </c>
      <c r="E6516">
        <v>0</v>
      </c>
      <c r="F6516">
        <v>4000</v>
      </c>
      <c r="G6516">
        <v>1750</v>
      </c>
      <c r="H6516">
        <v>0</v>
      </c>
      <c r="J6516" t="str">
        <f>VLOOKUP(Table3[[#This Row],[Faction ID]],Table4[],2)</f>
        <v>_</v>
      </c>
    </row>
    <row r="6517" spans="1:10" x14ac:dyDescent="0.25">
      <c r="A6517">
        <v>168</v>
      </c>
      <c r="B6517" t="s">
        <v>41</v>
      </c>
      <c r="C6517">
        <v>0</v>
      </c>
      <c r="D6517">
        <v>0</v>
      </c>
      <c r="E6517">
        <v>0</v>
      </c>
      <c r="F6517">
        <v>4000</v>
      </c>
      <c r="G6517">
        <v>1750</v>
      </c>
      <c r="H6517">
        <v>0</v>
      </c>
      <c r="J6517" t="str">
        <f>VLOOKUP(Table3[[#This Row],[Faction ID]],Table4[],2)</f>
        <v>_</v>
      </c>
    </row>
    <row r="6518" spans="1:10" x14ac:dyDescent="0.25">
      <c r="A6518">
        <v>168</v>
      </c>
      <c r="B6518" t="s">
        <v>42</v>
      </c>
      <c r="C6518">
        <v>0</v>
      </c>
      <c r="D6518">
        <v>0</v>
      </c>
      <c r="E6518">
        <v>0</v>
      </c>
      <c r="F6518">
        <v>4000</v>
      </c>
      <c r="G6518">
        <v>1750</v>
      </c>
      <c r="H6518">
        <v>0</v>
      </c>
      <c r="J6518" t="str">
        <f>VLOOKUP(Table3[[#This Row],[Faction ID]],Table4[],2)</f>
        <v>_</v>
      </c>
    </row>
    <row r="6519" spans="1:10" x14ac:dyDescent="0.25">
      <c r="A6519">
        <v>168</v>
      </c>
      <c r="B6519" t="s">
        <v>43</v>
      </c>
      <c r="C6519">
        <v>0</v>
      </c>
      <c r="D6519">
        <v>0</v>
      </c>
      <c r="E6519">
        <v>0</v>
      </c>
      <c r="F6519">
        <v>4000</v>
      </c>
      <c r="G6519">
        <v>1750</v>
      </c>
      <c r="H6519">
        <v>0</v>
      </c>
      <c r="J6519" t="str">
        <f>VLOOKUP(Table3[[#This Row],[Faction ID]],Table4[],2)</f>
        <v>_</v>
      </c>
    </row>
    <row r="6520" spans="1:10" x14ac:dyDescent="0.25">
      <c r="A6520">
        <v>168</v>
      </c>
      <c r="B6520" t="s">
        <v>44</v>
      </c>
      <c r="C6520">
        <v>0</v>
      </c>
      <c r="D6520">
        <v>0</v>
      </c>
      <c r="E6520">
        <v>0</v>
      </c>
      <c r="F6520">
        <v>4000</v>
      </c>
      <c r="G6520">
        <v>1750</v>
      </c>
      <c r="H6520">
        <v>0</v>
      </c>
      <c r="J6520" t="str">
        <f>VLOOKUP(Table3[[#This Row],[Faction ID]],Table4[],2)</f>
        <v>_</v>
      </c>
    </row>
    <row r="6521" spans="1:10" x14ac:dyDescent="0.25">
      <c r="A6521">
        <v>169</v>
      </c>
      <c r="B6521" t="s">
        <v>9</v>
      </c>
      <c r="C6521">
        <v>1404</v>
      </c>
      <c r="D6521">
        <v>75</v>
      </c>
      <c r="E6521">
        <v>1003.1</v>
      </c>
      <c r="F6521">
        <v>103331</v>
      </c>
      <c r="G6521">
        <v>218027</v>
      </c>
      <c r="H6521">
        <v>18481</v>
      </c>
      <c r="J6521" t="str">
        <f>VLOOKUP(Table3[[#This Row],[Faction ID]],Table4[],2)</f>
        <v>Mordor</v>
      </c>
    </row>
    <row r="6522" spans="1:10" x14ac:dyDescent="0.25">
      <c r="A6522">
        <v>169</v>
      </c>
      <c r="B6522" t="s">
        <v>4</v>
      </c>
      <c r="C6522">
        <v>146</v>
      </c>
      <c r="D6522">
        <v>0</v>
      </c>
      <c r="E6522">
        <v>0</v>
      </c>
      <c r="F6522">
        <v>55420</v>
      </c>
      <c r="G6522">
        <v>2500</v>
      </c>
      <c r="H6522">
        <v>0</v>
      </c>
      <c r="J6522" t="str">
        <f>VLOOKUP(Table3[[#This Row],[Faction ID]],Table4[],2)</f>
        <v>Gondor</v>
      </c>
    </row>
    <row r="6523" spans="1:10" x14ac:dyDescent="0.25">
      <c r="A6523">
        <v>169</v>
      </c>
      <c r="B6523" t="s">
        <v>6</v>
      </c>
      <c r="C6523">
        <v>199</v>
      </c>
      <c r="D6523">
        <v>0</v>
      </c>
      <c r="E6523">
        <v>0</v>
      </c>
      <c r="F6523">
        <v>10343</v>
      </c>
      <c r="G6523">
        <v>2500</v>
      </c>
      <c r="H6523">
        <v>0</v>
      </c>
      <c r="J6523" t="str">
        <f>VLOOKUP(Table3[[#This Row],[Faction ID]],Table4[],2)</f>
        <v>Dale</v>
      </c>
    </row>
    <row r="6524" spans="1:10" x14ac:dyDescent="0.25">
      <c r="A6524">
        <v>169</v>
      </c>
      <c r="B6524" t="s">
        <v>21</v>
      </c>
      <c r="C6524">
        <v>200</v>
      </c>
      <c r="D6524">
        <v>0</v>
      </c>
      <c r="E6524">
        <v>0</v>
      </c>
      <c r="F6524">
        <v>10040</v>
      </c>
      <c r="G6524">
        <v>2500</v>
      </c>
      <c r="H6524">
        <v>0</v>
      </c>
      <c r="J6524" t="str">
        <f>VLOOKUP(Table3[[#This Row],[Faction ID]],Table4[],2)</f>
        <v>Erebor</v>
      </c>
    </row>
    <row r="6525" spans="1:10" x14ac:dyDescent="0.25">
      <c r="A6525">
        <v>169</v>
      </c>
      <c r="B6525" t="s">
        <v>5</v>
      </c>
      <c r="C6525">
        <v>157</v>
      </c>
      <c r="D6525">
        <v>0</v>
      </c>
      <c r="E6525">
        <v>0</v>
      </c>
      <c r="F6525">
        <v>6638</v>
      </c>
      <c r="G6525">
        <v>2500</v>
      </c>
      <c r="H6525">
        <v>0</v>
      </c>
      <c r="J6525" t="str">
        <f>VLOOKUP(Table3[[#This Row],[Faction ID]],Table4[],2)</f>
        <v>Rohan</v>
      </c>
    </row>
    <row r="6526" spans="1:10" x14ac:dyDescent="0.25">
      <c r="A6526">
        <v>169</v>
      </c>
      <c r="B6526" t="s">
        <v>12</v>
      </c>
      <c r="C6526">
        <v>629</v>
      </c>
      <c r="D6526">
        <v>25</v>
      </c>
      <c r="E6526">
        <v>437.2</v>
      </c>
      <c r="F6526">
        <v>1264378</v>
      </c>
      <c r="G6526">
        <v>78751</v>
      </c>
      <c r="H6526">
        <v>7860</v>
      </c>
      <c r="J6526" t="str">
        <f>VLOOKUP(Table3[[#This Row],[Faction ID]],Table4[],2)</f>
        <v>Dol Guldur</v>
      </c>
    </row>
    <row r="6527" spans="1:10" x14ac:dyDescent="0.25">
      <c r="A6527">
        <v>169</v>
      </c>
      <c r="B6527" t="s">
        <v>10</v>
      </c>
      <c r="C6527">
        <v>58</v>
      </c>
      <c r="D6527">
        <v>0</v>
      </c>
      <c r="E6527">
        <v>0</v>
      </c>
      <c r="F6527">
        <v>4515</v>
      </c>
      <c r="G6527">
        <v>2500</v>
      </c>
      <c r="H6527">
        <v>0</v>
      </c>
      <c r="J6527" t="str">
        <f>VLOOKUP(Table3[[#This Row],[Faction ID]],Table4[],2)</f>
        <v>Anduin Vale</v>
      </c>
    </row>
    <row r="6528" spans="1:10" x14ac:dyDescent="0.25">
      <c r="A6528">
        <v>169</v>
      </c>
      <c r="B6528" t="s">
        <v>32</v>
      </c>
      <c r="C6528">
        <v>329</v>
      </c>
      <c r="D6528">
        <v>0</v>
      </c>
      <c r="E6528">
        <v>0</v>
      </c>
      <c r="F6528">
        <v>23007</v>
      </c>
      <c r="G6528">
        <v>2500</v>
      </c>
      <c r="H6528">
        <v>0</v>
      </c>
      <c r="J6528" t="str">
        <f>VLOOKUP(Table3[[#This Row],[Faction ID]],Table4[],2)</f>
        <v>Isengard</v>
      </c>
    </row>
    <row r="6529" spans="1:10" x14ac:dyDescent="0.25">
      <c r="A6529">
        <v>169</v>
      </c>
      <c r="B6529" t="s">
        <v>22</v>
      </c>
      <c r="C6529">
        <v>30</v>
      </c>
      <c r="D6529">
        <v>0</v>
      </c>
      <c r="E6529">
        <v>0</v>
      </c>
      <c r="F6529">
        <v>8475</v>
      </c>
      <c r="G6529">
        <v>2500</v>
      </c>
      <c r="H6529">
        <v>0</v>
      </c>
      <c r="J6529" t="str">
        <f>VLOOKUP(Table3[[#This Row],[Faction ID]],Table4[],2)</f>
        <v>Woodland Realm</v>
      </c>
    </row>
    <row r="6530" spans="1:10" x14ac:dyDescent="0.25">
      <c r="A6530">
        <v>169</v>
      </c>
      <c r="B6530" t="s">
        <v>23</v>
      </c>
      <c r="C6530">
        <v>64</v>
      </c>
      <c r="D6530">
        <v>0</v>
      </c>
      <c r="E6530">
        <v>0</v>
      </c>
      <c r="F6530">
        <v>4721</v>
      </c>
      <c r="G6530">
        <v>2500</v>
      </c>
      <c r="H6530">
        <v>0</v>
      </c>
      <c r="J6530" t="str">
        <f>VLOOKUP(Table3[[#This Row],[Faction ID]],Table4[],2)</f>
        <v>Lothlorien</v>
      </c>
    </row>
    <row r="6531" spans="1:10" x14ac:dyDescent="0.25">
      <c r="A6531">
        <v>169</v>
      </c>
      <c r="B6531" t="s">
        <v>24</v>
      </c>
      <c r="C6531">
        <v>0</v>
      </c>
      <c r="D6531">
        <v>0</v>
      </c>
      <c r="E6531">
        <v>0</v>
      </c>
      <c r="F6531">
        <v>4919</v>
      </c>
      <c r="G6531">
        <v>1750</v>
      </c>
      <c r="H6531">
        <v>0</v>
      </c>
      <c r="J6531" t="str">
        <f>VLOOKUP(Table3[[#This Row],[Faction ID]],Table4[],2)</f>
        <v>Variags (Khand)</v>
      </c>
    </row>
    <row r="6532" spans="1:10" x14ac:dyDescent="0.25">
      <c r="A6532">
        <v>169</v>
      </c>
      <c r="B6532" t="s">
        <v>14</v>
      </c>
      <c r="C6532">
        <v>26</v>
      </c>
      <c r="D6532">
        <v>18</v>
      </c>
      <c r="E6532">
        <v>330.6</v>
      </c>
      <c r="F6532">
        <v>1035354</v>
      </c>
      <c r="G6532">
        <v>74109</v>
      </c>
      <c r="H6532">
        <v>7179</v>
      </c>
      <c r="J6532" t="str">
        <f>VLOOKUP(Table3[[#This Row],[Faction ID]],Table4[],2)</f>
        <v>Corsairs of Umbar</v>
      </c>
    </row>
    <row r="6533" spans="1:10" x14ac:dyDescent="0.25">
      <c r="A6533">
        <v>169</v>
      </c>
      <c r="B6533" t="s">
        <v>25</v>
      </c>
      <c r="C6533">
        <v>0</v>
      </c>
      <c r="D6533">
        <v>0</v>
      </c>
      <c r="E6533">
        <v>0</v>
      </c>
      <c r="F6533">
        <v>9228</v>
      </c>
      <c r="G6533">
        <v>1750</v>
      </c>
      <c r="H6533">
        <v>0</v>
      </c>
      <c r="J6533" t="str">
        <f>VLOOKUP(Table3[[#This Row],[Faction ID]],Table4[],2)</f>
        <v>Mahud</v>
      </c>
    </row>
    <row r="6534" spans="1:10" x14ac:dyDescent="0.25">
      <c r="A6534">
        <v>169</v>
      </c>
      <c r="B6534" t="s">
        <v>11</v>
      </c>
      <c r="C6534">
        <v>641</v>
      </c>
      <c r="D6534">
        <v>23</v>
      </c>
      <c r="E6534">
        <v>390.1</v>
      </c>
      <c r="F6534">
        <v>696697</v>
      </c>
      <c r="G6534">
        <v>63685</v>
      </c>
      <c r="H6534">
        <v>6337</v>
      </c>
      <c r="J6534" t="str">
        <f>VLOOKUP(Table3[[#This Row],[Faction ID]],Table4[],2)</f>
        <v>Haradrim</v>
      </c>
    </row>
    <row r="6535" spans="1:10" x14ac:dyDescent="0.25">
      <c r="A6535">
        <v>169</v>
      </c>
      <c r="B6535" t="s">
        <v>15</v>
      </c>
      <c r="C6535">
        <v>415</v>
      </c>
      <c r="D6535">
        <v>0</v>
      </c>
      <c r="E6535">
        <v>1.1000000000000001</v>
      </c>
      <c r="F6535">
        <v>220214</v>
      </c>
      <c r="G6535">
        <v>2734</v>
      </c>
      <c r="H6535">
        <v>0</v>
      </c>
      <c r="J6535" t="str">
        <f>VLOOKUP(Table3[[#This Row],[Faction ID]],Table4[],2)</f>
        <v>Dunlendings</v>
      </c>
    </row>
    <row r="6536" spans="1:10" x14ac:dyDescent="0.25">
      <c r="A6536">
        <v>169</v>
      </c>
      <c r="B6536" t="s">
        <v>16</v>
      </c>
      <c r="C6536">
        <v>0</v>
      </c>
      <c r="D6536">
        <v>0</v>
      </c>
      <c r="E6536">
        <v>0</v>
      </c>
      <c r="F6536">
        <v>5352</v>
      </c>
      <c r="G6536">
        <v>1750</v>
      </c>
      <c r="H6536">
        <v>0</v>
      </c>
      <c r="J6536" t="str">
        <f>VLOOKUP(Table3[[#This Row],[Faction ID]],Table4[],2)</f>
        <v>Haerrim</v>
      </c>
    </row>
    <row r="6537" spans="1:10" x14ac:dyDescent="0.25">
      <c r="A6537">
        <v>169</v>
      </c>
      <c r="B6537" t="s">
        <v>13</v>
      </c>
      <c r="C6537">
        <v>666</v>
      </c>
      <c r="D6537">
        <v>0</v>
      </c>
      <c r="E6537">
        <v>0</v>
      </c>
      <c r="F6537">
        <v>128480</v>
      </c>
      <c r="G6537">
        <v>2500</v>
      </c>
      <c r="H6537">
        <v>0</v>
      </c>
      <c r="J6537" t="str">
        <f>VLOOKUP(Table3[[#This Row],[Faction ID]],Table4[],2)</f>
        <v>Goblins</v>
      </c>
    </row>
    <row r="6538" spans="1:10" x14ac:dyDescent="0.25">
      <c r="A6538">
        <v>169</v>
      </c>
      <c r="B6538" t="s">
        <v>17</v>
      </c>
      <c r="C6538">
        <v>0</v>
      </c>
      <c r="D6538">
        <v>0</v>
      </c>
      <c r="E6538">
        <v>0</v>
      </c>
      <c r="F6538">
        <v>4872</v>
      </c>
      <c r="G6538">
        <v>1750</v>
      </c>
      <c r="H6538">
        <v>0</v>
      </c>
      <c r="J6538" t="str">
        <f>VLOOKUP(Table3[[#This Row],[Faction ID]],Table4[],2)</f>
        <v>Balchoth</v>
      </c>
    </row>
    <row r="6539" spans="1:10" x14ac:dyDescent="0.25">
      <c r="A6539">
        <v>169</v>
      </c>
      <c r="B6539" t="s">
        <v>18</v>
      </c>
      <c r="C6539">
        <v>750</v>
      </c>
      <c r="D6539">
        <v>0</v>
      </c>
      <c r="E6539">
        <v>0</v>
      </c>
      <c r="F6539">
        <v>461978</v>
      </c>
      <c r="G6539">
        <v>2500</v>
      </c>
      <c r="H6539">
        <v>0</v>
      </c>
      <c r="J6539" t="str">
        <f>VLOOKUP(Table3[[#This Row],[Faction ID]],Table4[],2)</f>
        <v>Rhurim/Rhun</v>
      </c>
    </row>
    <row r="6540" spans="1:10" x14ac:dyDescent="0.25">
      <c r="A6540">
        <v>169</v>
      </c>
      <c r="B6540" t="s">
        <v>19</v>
      </c>
      <c r="C6540">
        <v>0</v>
      </c>
      <c r="D6540">
        <v>0</v>
      </c>
      <c r="E6540">
        <v>0</v>
      </c>
      <c r="F6540">
        <v>7360</v>
      </c>
      <c r="G6540">
        <v>1750</v>
      </c>
      <c r="H6540">
        <v>0</v>
      </c>
      <c r="J6540" t="str">
        <f>VLOOKUP(Table3[[#This Row],[Faction ID]],Table4[],2)</f>
        <v>Feredrim</v>
      </c>
    </row>
    <row r="6541" spans="1:10" x14ac:dyDescent="0.25">
      <c r="A6541">
        <v>169</v>
      </c>
      <c r="B6541" t="s">
        <v>26</v>
      </c>
      <c r="C6541">
        <v>0</v>
      </c>
      <c r="D6541">
        <v>0</v>
      </c>
      <c r="E6541">
        <v>0</v>
      </c>
      <c r="F6541">
        <v>6395</v>
      </c>
      <c r="G6541">
        <v>1750</v>
      </c>
      <c r="H6541">
        <v>0</v>
      </c>
      <c r="J6541" t="str">
        <f>VLOOKUP(Table3[[#This Row],[Faction ID]],Table4[],2)</f>
        <v>Rachrohir (Wainriders)</v>
      </c>
    </row>
    <row r="6542" spans="1:10" x14ac:dyDescent="0.25">
      <c r="A6542">
        <v>169</v>
      </c>
      <c r="B6542" t="s">
        <v>27</v>
      </c>
      <c r="C6542">
        <v>9</v>
      </c>
      <c r="D6542">
        <v>7</v>
      </c>
      <c r="E6542">
        <v>138.5</v>
      </c>
      <c r="F6542">
        <v>136432</v>
      </c>
      <c r="G6542">
        <v>30890</v>
      </c>
      <c r="H6542">
        <v>2931</v>
      </c>
      <c r="J6542" t="str">
        <f>VLOOKUP(Table3[[#This Row],[Faction ID]],Table4[],2)</f>
        <v>Blacklock-Stonefoot League</v>
      </c>
    </row>
    <row r="6543" spans="1:10" x14ac:dyDescent="0.25">
      <c r="A6543">
        <v>169</v>
      </c>
      <c r="B6543" t="s">
        <v>28</v>
      </c>
      <c r="C6543">
        <v>11</v>
      </c>
      <c r="D6543">
        <v>8</v>
      </c>
      <c r="E6543">
        <v>159</v>
      </c>
      <c r="F6543">
        <v>121671</v>
      </c>
      <c r="G6543">
        <v>43432</v>
      </c>
      <c r="H6543">
        <v>2579</v>
      </c>
      <c r="J6543" t="str">
        <f>VLOOKUP(Table3[[#This Row],[Faction ID]],Table4[],2)</f>
        <v>Ironfist-Stiffbeard Union</v>
      </c>
    </row>
    <row r="6544" spans="1:10" x14ac:dyDescent="0.25">
      <c r="A6544">
        <v>169</v>
      </c>
      <c r="B6544" t="s">
        <v>20</v>
      </c>
      <c r="C6544">
        <v>245</v>
      </c>
      <c r="D6544">
        <v>0</v>
      </c>
      <c r="E6544">
        <v>0</v>
      </c>
      <c r="F6544">
        <v>9750</v>
      </c>
      <c r="G6544">
        <v>2500</v>
      </c>
      <c r="H6544">
        <v>0</v>
      </c>
      <c r="J6544" t="str">
        <f>VLOOKUP(Table3[[#This Row],[Faction ID]],Table4[],2)</f>
        <v>Gundabad</v>
      </c>
    </row>
    <row r="6545" spans="1:10" x14ac:dyDescent="0.25">
      <c r="A6545">
        <v>169</v>
      </c>
      <c r="B6545" t="s">
        <v>34</v>
      </c>
      <c r="C6545">
        <v>0</v>
      </c>
      <c r="D6545">
        <v>0</v>
      </c>
      <c r="E6545">
        <v>3</v>
      </c>
      <c r="F6545">
        <v>194053</v>
      </c>
      <c r="G6545">
        <v>2354</v>
      </c>
      <c r="H6545">
        <v>0</v>
      </c>
      <c r="J6545" t="str">
        <f>VLOOKUP(Table3[[#This Row],[Faction ID]],Table4[],2)</f>
        <v>Scouts of Rohan</v>
      </c>
    </row>
    <row r="6546" spans="1:10" x14ac:dyDescent="0.25">
      <c r="A6546">
        <v>169</v>
      </c>
      <c r="B6546" t="s">
        <v>33</v>
      </c>
      <c r="C6546">
        <v>0</v>
      </c>
      <c r="D6546">
        <v>0</v>
      </c>
      <c r="E6546">
        <v>0</v>
      </c>
      <c r="F6546">
        <v>23466</v>
      </c>
      <c r="G6546">
        <v>1750</v>
      </c>
      <c r="H6546">
        <v>0</v>
      </c>
      <c r="J6546" t="str">
        <f>VLOOKUP(Table3[[#This Row],[Faction ID]],Table4[],2)</f>
        <v>Northern Enedwaith</v>
      </c>
    </row>
    <row r="6547" spans="1:10" x14ac:dyDescent="0.25">
      <c r="A6547">
        <v>169</v>
      </c>
      <c r="B6547" t="s">
        <v>29</v>
      </c>
      <c r="C6547">
        <v>0</v>
      </c>
      <c r="D6547">
        <v>0</v>
      </c>
      <c r="E6547">
        <v>0</v>
      </c>
      <c r="F6547">
        <v>54023</v>
      </c>
      <c r="G6547">
        <v>1750</v>
      </c>
      <c r="H6547">
        <v>0</v>
      </c>
      <c r="J6547" t="str">
        <f>VLOOKUP(Table3[[#This Row],[Faction ID]],Table4[],2)</f>
        <v>Southern Enedwaith</v>
      </c>
    </row>
    <row r="6548" spans="1:10" x14ac:dyDescent="0.25">
      <c r="A6548">
        <v>169</v>
      </c>
      <c r="B6548" t="s">
        <v>30</v>
      </c>
      <c r="C6548">
        <v>0</v>
      </c>
      <c r="D6548">
        <v>0</v>
      </c>
      <c r="E6548">
        <v>0</v>
      </c>
      <c r="F6548">
        <v>32146</v>
      </c>
      <c r="G6548">
        <v>1750</v>
      </c>
      <c r="H6548">
        <v>0</v>
      </c>
      <c r="J6548" t="str">
        <f>VLOOKUP(Table3[[#This Row],[Faction ID]],Table4[],2)</f>
        <v>Druedain</v>
      </c>
    </row>
    <row r="6549" spans="1:10" x14ac:dyDescent="0.25">
      <c r="A6549">
        <v>169</v>
      </c>
      <c r="B6549" t="s">
        <v>31</v>
      </c>
      <c r="C6549">
        <v>0</v>
      </c>
      <c r="D6549">
        <v>0</v>
      </c>
      <c r="E6549">
        <v>0</v>
      </c>
      <c r="F6549">
        <v>15146</v>
      </c>
      <c r="G6549">
        <v>1750</v>
      </c>
      <c r="H6549">
        <v>0</v>
      </c>
      <c r="J6549" t="str">
        <f>VLOOKUP(Table3[[#This Row],[Faction ID]],Table4[],2)</f>
        <v>Harondor</v>
      </c>
    </row>
    <row r="6550" spans="1:10" x14ac:dyDescent="0.25">
      <c r="A6550">
        <v>169</v>
      </c>
      <c r="B6550" t="s">
        <v>35</v>
      </c>
      <c r="C6550">
        <v>0</v>
      </c>
      <c r="D6550">
        <v>0</v>
      </c>
      <c r="E6550">
        <v>0</v>
      </c>
      <c r="F6550">
        <v>4000</v>
      </c>
      <c r="G6550">
        <v>1750</v>
      </c>
      <c r="H6550">
        <v>0</v>
      </c>
      <c r="J6550" t="str">
        <f>VLOOKUP(Table3[[#This Row],[Faction ID]],Table4[],2)</f>
        <v>Southron Nomads</v>
      </c>
    </row>
    <row r="6551" spans="1:10" x14ac:dyDescent="0.25">
      <c r="A6551">
        <v>169</v>
      </c>
      <c r="B6551" t="s">
        <v>36</v>
      </c>
      <c r="C6551">
        <v>0</v>
      </c>
      <c r="D6551">
        <v>0</v>
      </c>
      <c r="E6551">
        <v>0</v>
      </c>
      <c r="F6551">
        <v>4000</v>
      </c>
      <c r="G6551">
        <v>1750</v>
      </c>
      <c r="H6551">
        <v>0</v>
      </c>
      <c r="J6551" t="str">
        <f>VLOOKUP(Table3[[#This Row],[Faction ID]],Table4[],2)</f>
        <v>_</v>
      </c>
    </row>
    <row r="6552" spans="1:10" x14ac:dyDescent="0.25">
      <c r="A6552">
        <v>169</v>
      </c>
      <c r="B6552" t="s">
        <v>37</v>
      </c>
      <c r="C6552">
        <v>0</v>
      </c>
      <c r="D6552">
        <v>0</v>
      </c>
      <c r="E6552">
        <v>0</v>
      </c>
      <c r="F6552">
        <v>4000</v>
      </c>
      <c r="G6552">
        <v>1750</v>
      </c>
      <c r="H6552">
        <v>0</v>
      </c>
      <c r="J6552" t="str">
        <f>VLOOKUP(Table3[[#This Row],[Faction ID]],Table4[],2)</f>
        <v>_</v>
      </c>
    </row>
    <row r="6553" spans="1:10" x14ac:dyDescent="0.25">
      <c r="A6553">
        <v>169</v>
      </c>
      <c r="B6553" t="s">
        <v>38</v>
      </c>
      <c r="C6553">
        <v>0</v>
      </c>
      <c r="D6553">
        <v>0</v>
      </c>
      <c r="E6553">
        <v>0</v>
      </c>
      <c r="F6553">
        <v>4000</v>
      </c>
      <c r="G6553">
        <v>1750</v>
      </c>
      <c r="H6553">
        <v>0</v>
      </c>
      <c r="J6553" t="str">
        <f>VLOOKUP(Table3[[#This Row],[Faction ID]],Table4[],2)</f>
        <v>_</v>
      </c>
    </row>
    <row r="6554" spans="1:10" x14ac:dyDescent="0.25">
      <c r="A6554">
        <v>169</v>
      </c>
      <c r="B6554" t="s">
        <v>39</v>
      </c>
      <c r="C6554">
        <v>0</v>
      </c>
      <c r="D6554">
        <v>0</v>
      </c>
      <c r="E6554">
        <v>0</v>
      </c>
      <c r="F6554">
        <v>4000</v>
      </c>
      <c r="G6554">
        <v>1750</v>
      </c>
      <c r="H6554">
        <v>0</v>
      </c>
      <c r="J6554" t="str">
        <f>VLOOKUP(Table3[[#This Row],[Faction ID]],Table4[],2)</f>
        <v>_</v>
      </c>
    </row>
    <row r="6555" spans="1:10" x14ac:dyDescent="0.25">
      <c r="A6555">
        <v>169</v>
      </c>
      <c r="B6555" t="s">
        <v>40</v>
      </c>
      <c r="C6555">
        <v>0</v>
      </c>
      <c r="D6555">
        <v>0</v>
      </c>
      <c r="E6555">
        <v>0</v>
      </c>
      <c r="F6555">
        <v>4000</v>
      </c>
      <c r="G6555">
        <v>1750</v>
      </c>
      <c r="H6555">
        <v>0</v>
      </c>
      <c r="J6555" t="str">
        <f>VLOOKUP(Table3[[#This Row],[Faction ID]],Table4[],2)</f>
        <v>_</v>
      </c>
    </row>
    <row r="6556" spans="1:10" x14ac:dyDescent="0.25">
      <c r="A6556">
        <v>169</v>
      </c>
      <c r="B6556" t="s">
        <v>41</v>
      </c>
      <c r="C6556">
        <v>0</v>
      </c>
      <c r="D6556">
        <v>0</v>
      </c>
      <c r="E6556">
        <v>0</v>
      </c>
      <c r="F6556">
        <v>4000</v>
      </c>
      <c r="G6556">
        <v>1750</v>
      </c>
      <c r="H6556">
        <v>0</v>
      </c>
      <c r="J6556" t="str">
        <f>VLOOKUP(Table3[[#This Row],[Faction ID]],Table4[],2)</f>
        <v>_</v>
      </c>
    </row>
    <row r="6557" spans="1:10" x14ac:dyDescent="0.25">
      <c r="A6557">
        <v>169</v>
      </c>
      <c r="B6557" t="s">
        <v>42</v>
      </c>
      <c r="C6557">
        <v>0</v>
      </c>
      <c r="D6557">
        <v>0</v>
      </c>
      <c r="E6557">
        <v>0</v>
      </c>
      <c r="F6557">
        <v>4000</v>
      </c>
      <c r="G6557">
        <v>1750</v>
      </c>
      <c r="H6557">
        <v>0</v>
      </c>
      <c r="J6557" t="str">
        <f>VLOOKUP(Table3[[#This Row],[Faction ID]],Table4[],2)</f>
        <v>_</v>
      </c>
    </row>
    <row r="6558" spans="1:10" x14ac:dyDescent="0.25">
      <c r="A6558">
        <v>169</v>
      </c>
      <c r="B6558" t="s">
        <v>43</v>
      </c>
      <c r="C6558">
        <v>0</v>
      </c>
      <c r="D6558">
        <v>0</v>
      </c>
      <c r="E6558">
        <v>0</v>
      </c>
      <c r="F6558">
        <v>4000</v>
      </c>
      <c r="G6558">
        <v>1750</v>
      </c>
      <c r="H6558">
        <v>0</v>
      </c>
      <c r="J6558" t="str">
        <f>VLOOKUP(Table3[[#This Row],[Faction ID]],Table4[],2)</f>
        <v>_</v>
      </c>
    </row>
    <row r="6559" spans="1:10" x14ac:dyDescent="0.25">
      <c r="A6559">
        <v>169</v>
      </c>
      <c r="B6559" t="s">
        <v>44</v>
      </c>
      <c r="C6559">
        <v>0</v>
      </c>
      <c r="D6559">
        <v>0</v>
      </c>
      <c r="E6559">
        <v>0</v>
      </c>
      <c r="F6559">
        <v>4000</v>
      </c>
      <c r="G6559">
        <v>1750</v>
      </c>
      <c r="H6559">
        <v>0</v>
      </c>
      <c r="J6559" t="str">
        <f>VLOOKUP(Table3[[#This Row],[Faction ID]],Table4[],2)</f>
        <v>_</v>
      </c>
    </row>
    <row r="6560" spans="1:10" x14ac:dyDescent="0.25">
      <c r="A6560">
        <v>170</v>
      </c>
      <c r="B6560" t="s">
        <v>9</v>
      </c>
      <c r="C6560">
        <v>1420</v>
      </c>
      <c r="D6560">
        <v>75</v>
      </c>
      <c r="E6560">
        <v>1028.0999999999999</v>
      </c>
      <c r="F6560">
        <v>150972</v>
      </c>
      <c r="G6560">
        <v>225545</v>
      </c>
      <c r="H6560">
        <v>18734</v>
      </c>
      <c r="J6560" t="str">
        <f>VLOOKUP(Table3[[#This Row],[Faction ID]],Table4[],2)</f>
        <v>Mordor</v>
      </c>
    </row>
    <row r="6561" spans="1:10" x14ac:dyDescent="0.25">
      <c r="A6561">
        <v>170</v>
      </c>
      <c r="B6561" t="s">
        <v>4</v>
      </c>
      <c r="C6561">
        <v>146</v>
      </c>
      <c r="D6561">
        <v>0</v>
      </c>
      <c r="E6561">
        <v>0</v>
      </c>
      <c r="F6561">
        <v>55420</v>
      </c>
      <c r="G6561">
        <v>2500</v>
      </c>
      <c r="H6561">
        <v>0</v>
      </c>
      <c r="J6561" t="str">
        <f>VLOOKUP(Table3[[#This Row],[Faction ID]],Table4[],2)</f>
        <v>Gondor</v>
      </c>
    </row>
    <row r="6562" spans="1:10" x14ac:dyDescent="0.25">
      <c r="A6562">
        <v>170</v>
      </c>
      <c r="B6562" t="s">
        <v>6</v>
      </c>
      <c r="C6562">
        <v>199</v>
      </c>
      <c r="D6562">
        <v>0</v>
      </c>
      <c r="E6562">
        <v>0</v>
      </c>
      <c r="F6562">
        <v>10343</v>
      </c>
      <c r="G6562">
        <v>2500</v>
      </c>
      <c r="H6562">
        <v>0</v>
      </c>
      <c r="J6562" t="str">
        <f>VLOOKUP(Table3[[#This Row],[Faction ID]],Table4[],2)</f>
        <v>Dale</v>
      </c>
    </row>
    <row r="6563" spans="1:10" x14ac:dyDescent="0.25">
      <c r="A6563">
        <v>170</v>
      </c>
      <c r="B6563" t="s">
        <v>21</v>
      </c>
      <c r="C6563">
        <v>200</v>
      </c>
      <c r="D6563">
        <v>0</v>
      </c>
      <c r="E6563">
        <v>0</v>
      </c>
      <c r="F6563">
        <v>10040</v>
      </c>
      <c r="G6563">
        <v>2500</v>
      </c>
      <c r="H6563">
        <v>0</v>
      </c>
      <c r="J6563" t="str">
        <f>VLOOKUP(Table3[[#This Row],[Faction ID]],Table4[],2)</f>
        <v>Erebor</v>
      </c>
    </row>
    <row r="6564" spans="1:10" x14ac:dyDescent="0.25">
      <c r="A6564">
        <v>170</v>
      </c>
      <c r="B6564" t="s">
        <v>5</v>
      </c>
      <c r="C6564">
        <v>157</v>
      </c>
      <c r="D6564">
        <v>0</v>
      </c>
      <c r="E6564">
        <v>0</v>
      </c>
      <c r="F6564">
        <v>6638</v>
      </c>
      <c r="G6564">
        <v>2500</v>
      </c>
      <c r="H6564">
        <v>0</v>
      </c>
      <c r="J6564" t="str">
        <f>VLOOKUP(Table3[[#This Row],[Faction ID]],Table4[],2)</f>
        <v>Rohan</v>
      </c>
    </row>
    <row r="6565" spans="1:10" x14ac:dyDescent="0.25">
      <c r="A6565">
        <v>170</v>
      </c>
      <c r="B6565" t="s">
        <v>12</v>
      </c>
      <c r="C6565">
        <v>629</v>
      </c>
      <c r="D6565">
        <v>25</v>
      </c>
      <c r="E6565">
        <v>446</v>
      </c>
      <c r="F6565">
        <v>1288224</v>
      </c>
      <c r="G6565">
        <v>80075</v>
      </c>
      <c r="H6565">
        <v>7875</v>
      </c>
      <c r="J6565" t="str">
        <f>VLOOKUP(Table3[[#This Row],[Faction ID]],Table4[],2)</f>
        <v>Dol Guldur</v>
      </c>
    </row>
    <row r="6566" spans="1:10" x14ac:dyDescent="0.25">
      <c r="A6566">
        <v>170</v>
      </c>
      <c r="B6566" t="s">
        <v>10</v>
      </c>
      <c r="C6566">
        <v>58</v>
      </c>
      <c r="D6566">
        <v>0</v>
      </c>
      <c r="E6566">
        <v>0</v>
      </c>
      <c r="F6566">
        <v>4515</v>
      </c>
      <c r="G6566">
        <v>2500</v>
      </c>
      <c r="H6566">
        <v>0</v>
      </c>
      <c r="J6566" t="str">
        <f>VLOOKUP(Table3[[#This Row],[Faction ID]],Table4[],2)</f>
        <v>Anduin Vale</v>
      </c>
    </row>
    <row r="6567" spans="1:10" x14ac:dyDescent="0.25">
      <c r="A6567">
        <v>170</v>
      </c>
      <c r="B6567" t="s">
        <v>32</v>
      </c>
      <c r="C6567">
        <v>329</v>
      </c>
      <c r="D6567">
        <v>0</v>
      </c>
      <c r="E6567">
        <v>0</v>
      </c>
      <c r="F6567">
        <v>23007</v>
      </c>
      <c r="G6567">
        <v>2500</v>
      </c>
      <c r="H6567">
        <v>0</v>
      </c>
      <c r="J6567" t="str">
        <f>VLOOKUP(Table3[[#This Row],[Faction ID]],Table4[],2)</f>
        <v>Isengard</v>
      </c>
    </row>
    <row r="6568" spans="1:10" x14ac:dyDescent="0.25">
      <c r="A6568">
        <v>170</v>
      </c>
      <c r="B6568" t="s">
        <v>22</v>
      </c>
      <c r="C6568">
        <v>30</v>
      </c>
      <c r="D6568">
        <v>0</v>
      </c>
      <c r="E6568">
        <v>0</v>
      </c>
      <c r="F6568">
        <v>8475</v>
      </c>
      <c r="G6568">
        <v>2500</v>
      </c>
      <c r="H6568">
        <v>0</v>
      </c>
      <c r="J6568" t="str">
        <f>VLOOKUP(Table3[[#This Row],[Faction ID]],Table4[],2)</f>
        <v>Woodland Realm</v>
      </c>
    </row>
    <row r="6569" spans="1:10" x14ac:dyDescent="0.25">
      <c r="A6569">
        <v>170</v>
      </c>
      <c r="B6569" t="s">
        <v>23</v>
      </c>
      <c r="C6569">
        <v>64</v>
      </c>
      <c r="D6569">
        <v>0</v>
      </c>
      <c r="E6569">
        <v>0</v>
      </c>
      <c r="F6569">
        <v>4721</v>
      </c>
      <c r="G6569">
        <v>2500</v>
      </c>
      <c r="H6569">
        <v>0</v>
      </c>
      <c r="J6569" t="str">
        <f>VLOOKUP(Table3[[#This Row],[Faction ID]],Table4[],2)</f>
        <v>Lothlorien</v>
      </c>
    </row>
    <row r="6570" spans="1:10" x14ac:dyDescent="0.25">
      <c r="A6570">
        <v>170</v>
      </c>
      <c r="B6570" t="s">
        <v>24</v>
      </c>
      <c r="C6570">
        <v>0</v>
      </c>
      <c r="D6570">
        <v>0</v>
      </c>
      <c r="E6570">
        <v>0</v>
      </c>
      <c r="F6570">
        <v>4919</v>
      </c>
      <c r="G6570">
        <v>1750</v>
      </c>
      <c r="H6570">
        <v>0</v>
      </c>
      <c r="J6570" t="str">
        <f>VLOOKUP(Table3[[#This Row],[Faction ID]],Table4[],2)</f>
        <v>Variags (Khand)</v>
      </c>
    </row>
    <row r="6571" spans="1:10" x14ac:dyDescent="0.25">
      <c r="A6571">
        <v>170</v>
      </c>
      <c r="B6571" t="s">
        <v>14</v>
      </c>
      <c r="C6571">
        <v>26</v>
      </c>
      <c r="D6571">
        <v>18</v>
      </c>
      <c r="E6571">
        <v>335.6</v>
      </c>
      <c r="F6571">
        <v>1078051</v>
      </c>
      <c r="G6571">
        <v>72311</v>
      </c>
      <c r="H6571">
        <v>6647</v>
      </c>
      <c r="J6571" t="str">
        <f>VLOOKUP(Table3[[#This Row],[Faction ID]],Table4[],2)</f>
        <v>Corsairs of Umbar</v>
      </c>
    </row>
    <row r="6572" spans="1:10" x14ac:dyDescent="0.25">
      <c r="A6572">
        <v>170</v>
      </c>
      <c r="B6572" t="s">
        <v>25</v>
      </c>
      <c r="C6572">
        <v>0</v>
      </c>
      <c r="D6572">
        <v>0</v>
      </c>
      <c r="E6572">
        <v>0</v>
      </c>
      <c r="F6572">
        <v>9228</v>
      </c>
      <c r="G6572">
        <v>1750</v>
      </c>
      <c r="H6572">
        <v>0</v>
      </c>
      <c r="J6572" t="str">
        <f>VLOOKUP(Table3[[#This Row],[Faction ID]],Table4[],2)</f>
        <v>Mahud</v>
      </c>
    </row>
    <row r="6573" spans="1:10" x14ac:dyDescent="0.25">
      <c r="A6573">
        <v>170</v>
      </c>
      <c r="B6573" t="s">
        <v>11</v>
      </c>
      <c r="C6573">
        <v>641</v>
      </c>
      <c r="D6573">
        <v>23</v>
      </c>
      <c r="E6573">
        <v>392.2</v>
      </c>
      <c r="F6573">
        <v>713872</v>
      </c>
      <c r="G6573">
        <v>68044</v>
      </c>
      <c r="H6573">
        <v>6551</v>
      </c>
      <c r="J6573" t="str">
        <f>VLOOKUP(Table3[[#This Row],[Faction ID]],Table4[],2)</f>
        <v>Haradrim</v>
      </c>
    </row>
    <row r="6574" spans="1:10" x14ac:dyDescent="0.25">
      <c r="A6574">
        <v>170</v>
      </c>
      <c r="B6574" t="s">
        <v>15</v>
      </c>
      <c r="C6574">
        <v>415</v>
      </c>
      <c r="D6574">
        <v>0</v>
      </c>
      <c r="E6574">
        <v>1.1000000000000001</v>
      </c>
      <c r="F6574">
        <v>222480</v>
      </c>
      <c r="G6574">
        <v>2734</v>
      </c>
      <c r="H6574">
        <v>0</v>
      </c>
      <c r="J6574" t="str">
        <f>VLOOKUP(Table3[[#This Row],[Faction ID]],Table4[],2)</f>
        <v>Dunlendings</v>
      </c>
    </row>
    <row r="6575" spans="1:10" x14ac:dyDescent="0.25">
      <c r="A6575">
        <v>170</v>
      </c>
      <c r="B6575" t="s">
        <v>16</v>
      </c>
      <c r="C6575">
        <v>0</v>
      </c>
      <c r="D6575">
        <v>0</v>
      </c>
      <c r="E6575">
        <v>0</v>
      </c>
      <c r="F6575">
        <v>5352</v>
      </c>
      <c r="G6575">
        <v>1750</v>
      </c>
      <c r="H6575">
        <v>0</v>
      </c>
      <c r="J6575" t="str">
        <f>VLOOKUP(Table3[[#This Row],[Faction ID]],Table4[],2)</f>
        <v>Haerrim</v>
      </c>
    </row>
    <row r="6576" spans="1:10" x14ac:dyDescent="0.25">
      <c r="A6576">
        <v>170</v>
      </c>
      <c r="B6576" t="s">
        <v>13</v>
      </c>
      <c r="C6576">
        <v>666</v>
      </c>
      <c r="D6576">
        <v>0</v>
      </c>
      <c r="E6576">
        <v>0</v>
      </c>
      <c r="F6576">
        <v>128480</v>
      </c>
      <c r="G6576">
        <v>2500</v>
      </c>
      <c r="H6576">
        <v>0</v>
      </c>
      <c r="J6576" t="str">
        <f>VLOOKUP(Table3[[#This Row],[Faction ID]],Table4[],2)</f>
        <v>Goblins</v>
      </c>
    </row>
    <row r="6577" spans="1:10" x14ac:dyDescent="0.25">
      <c r="A6577">
        <v>170</v>
      </c>
      <c r="B6577" t="s">
        <v>17</v>
      </c>
      <c r="C6577">
        <v>0</v>
      </c>
      <c r="D6577">
        <v>0</v>
      </c>
      <c r="E6577">
        <v>0</v>
      </c>
      <c r="F6577">
        <v>4872</v>
      </c>
      <c r="G6577">
        <v>1750</v>
      </c>
      <c r="H6577">
        <v>0</v>
      </c>
      <c r="J6577" t="str">
        <f>VLOOKUP(Table3[[#This Row],[Faction ID]],Table4[],2)</f>
        <v>Balchoth</v>
      </c>
    </row>
    <row r="6578" spans="1:10" x14ac:dyDescent="0.25">
      <c r="A6578">
        <v>170</v>
      </c>
      <c r="B6578" t="s">
        <v>18</v>
      </c>
      <c r="C6578">
        <v>750</v>
      </c>
      <c r="D6578">
        <v>0</v>
      </c>
      <c r="E6578">
        <v>0</v>
      </c>
      <c r="F6578">
        <v>461978</v>
      </c>
      <c r="G6578">
        <v>2500</v>
      </c>
      <c r="H6578">
        <v>0</v>
      </c>
      <c r="J6578" t="str">
        <f>VLOOKUP(Table3[[#This Row],[Faction ID]],Table4[],2)</f>
        <v>Rhurim/Rhun</v>
      </c>
    </row>
    <row r="6579" spans="1:10" x14ac:dyDescent="0.25">
      <c r="A6579">
        <v>170</v>
      </c>
      <c r="B6579" t="s">
        <v>19</v>
      </c>
      <c r="C6579">
        <v>0</v>
      </c>
      <c r="D6579">
        <v>0</v>
      </c>
      <c r="E6579">
        <v>0</v>
      </c>
      <c r="F6579">
        <v>7360</v>
      </c>
      <c r="G6579">
        <v>1750</v>
      </c>
      <c r="H6579">
        <v>0</v>
      </c>
      <c r="J6579" t="str">
        <f>VLOOKUP(Table3[[#This Row],[Faction ID]],Table4[],2)</f>
        <v>Feredrim</v>
      </c>
    </row>
    <row r="6580" spans="1:10" x14ac:dyDescent="0.25">
      <c r="A6580">
        <v>170</v>
      </c>
      <c r="B6580" t="s">
        <v>26</v>
      </c>
      <c r="C6580">
        <v>0</v>
      </c>
      <c r="D6580">
        <v>0</v>
      </c>
      <c r="E6580">
        <v>0</v>
      </c>
      <c r="F6580">
        <v>6395</v>
      </c>
      <c r="G6580">
        <v>1750</v>
      </c>
      <c r="H6580">
        <v>0</v>
      </c>
      <c r="J6580" t="str">
        <f>VLOOKUP(Table3[[#This Row],[Faction ID]],Table4[],2)</f>
        <v>Rachrohir (Wainriders)</v>
      </c>
    </row>
    <row r="6581" spans="1:10" x14ac:dyDescent="0.25">
      <c r="A6581">
        <v>170</v>
      </c>
      <c r="B6581" t="s">
        <v>27</v>
      </c>
      <c r="C6581">
        <v>9</v>
      </c>
      <c r="D6581">
        <v>7</v>
      </c>
      <c r="E6581">
        <v>145.1</v>
      </c>
      <c r="F6581">
        <v>129364</v>
      </c>
      <c r="G6581">
        <v>32194</v>
      </c>
      <c r="H6581">
        <v>2943</v>
      </c>
      <c r="J6581" t="str">
        <f>VLOOKUP(Table3[[#This Row],[Faction ID]],Table4[],2)</f>
        <v>Blacklock-Stonefoot League</v>
      </c>
    </row>
    <row r="6582" spans="1:10" x14ac:dyDescent="0.25">
      <c r="A6582">
        <v>170</v>
      </c>
      <c r="B6582" t="s">
        <v>28</v>
      </c>
      <c r="C6582">
        <v>11</v>
      </c>
      <c r="D6582">
        <v>8</v>
      </c>
      <c r="E6582">
        <v>163</v>
      </c>
      <c r="F6582">
        <v>137441</v>
      </c>
      <c r="G6582">
        <v>43737</v>
      </c>
      <c r="H6582">
        <v>2591</v>
      </c>
      <c r="J6582" t="str">
        <f>VLOOKUP(Table3[[#This Row],[Faction ID]],Table4[],2)</f>
        <v>Ironfist-Stiffbeard Union</v>
      </c>
    </row>
    <row r="6583" spans="1:10" x14ac:dyDescent="0.25">
      <c r="A6583">
        <v>170</v>
      </c>
      <c r="B6583" t="s">
        <v>20</v>
      </c>
      <c r="C6583">
        <v>245</v>
      </c>
      <c r="D6583">
        <v>0</v>
      </c>
      <c r="E6583">
        <v>0</v>
      </c>
      <c r="F6583">
        <v>9750</v>
      </c>
      <c r="G6583">
        <v>2500</v>
      </c>
      <c r="H6583">
        <v>0</v>
      </c>
      <c r="J6583" t="str">
        <f>VLOOKUP(Table3[[#This Row],[Faction ID]],Table4[],2)</f>
        <v>Gundabad</v>
      </c>
    </row>
    <row r="6584" spans="1:10" x14ac:dyDescent="0.25">
      <c r="A6584">
        <v>170</v>
      </c>
      <c r="B6584" t="s">
        <v>34</v>
      </c>
      <c r="C6584">
        <v>0</v>
      </c>
      <c r="D6584">
        <v>0</v>
      </c>
      <c r="E6584">
        <v>3</v>
      </c>
      <c r="F6584">
        <v>195199</v>
      </c>
      <c r="G6584">
        <v>2354</v>
      </c>
      <c r="H6584">
        <v>0</v>
      </c>
      <c r="J6584" t="str">
        <f>VLOOKUP(Table3[[#This Row],[Faction ID]],Table4[],2)</f>
        <v>Scouts of Rohan</v>
      </c>
    </row>
    <row r="6585" spans="1:10" x14ac:dyDescent="0.25">
      <c r="A6585">
        <v>170</v>
      </c>
      <c r="B6585" t="s">
        <v>33</v>
      </c>
      <c r="C6585">
        <v>0</v>
      </c>
      <c r="D6585">
        <v>0</v>
      </c>
      <c r="E6585">
        <v>0</v>
      </c>
      <c r="F6585">
        <v>23466</v>
      </c>
      <c r="G6585">
        <v>1750</v>
      </c>
      <c r="H6585">
        <v>0</v>
      </c>
      <c r="J6585" t="str">
        <f>VLOOKUP(Table3[[#This Row],[Faction ID]],Table4[],2)</f>
        <v>Northern Enedwaith</v>
      </c>
    </row>
    <row r="6586" spans="1:10" x14ac:dyDescent="0.25">
      <c r="A6586">
        <v>170</v>
      </c>
      <c r="B6586" t="s">
        <v>29</v>
      </c>
      <c r="C6586">
        <v>0</v>
      </c>
      <c r="D6586">
        <v>0</v>
      </c>
      <c r="E6586">
        <v>0</v>
      </c>
      <c r="F6586">
        <v>54023</v>
      </c>
      <c r="G6586">
        <v>1750</v>
      </c>
      <c r="H6586">
        <v>0</v>
      </c>
      <c r="J6586" t="str">
        <f>VLOOKUP(Table3[[#This Row],[Faction ID]],Table4[],2)</f>
        <v>Southern Enedwaith</v>
      </c>
    </row>
    <row r="6587" spans="1:10" x14ac:dyDescent="0.25">
      <c r="A6587">
        <v>170</v>
      </c>
      <c r="B6587" t="s">
        <v>30</v>
      </c>
      <c r="C6587">
        <v>0</v>
      </c>
      <c r="D6587">
        <v>0</v>
      </c>
      <c r="E6587">
        <v>0</v>
      </c>
      <c r="F6587">
        <v>32146</v>
      </c>
      <c r="G6587">
        <v>1750</v>
      </c>
      <c r="H6587">
        <v>0</v>
      </c>
      <c r="J6587" t="str">
        <f>VLOOKUP(Table3[[#This Row],[Faction ID]],Table4[],2)</f>
        <v>Druedain</v>
      </c>
    </row>
    <row r="6588" spans="1:10" x14ac:dyDescent="0.25">
      <c r="A6588">
        <v>170</v>
      </c>
      <c r="B6588" t="s">
        <v>31</v>
      </c>
      <c r="C6588">
        <v>0</v>
      </c>
      <c r="D6588">
        <v>0</v>
      </c>
      <c r="E6588">
        <v>0</v>
      </c>
      <c r="F6588">
        <v>15146</v>
      </c>
      <c r="G6588">
        <v>1750</v>
      </c>
      <c r="H6588">
        <v>0</v>
      </c>
      <c r="J6588" t="str">
        <f>VLOOKUP(Table3[[#This Row],[Faction ID]],Table4[],2)</f>
        <v>Harondor</v>
      </c>
    </row>
    <row r="6589" spans="1:10" x14ac:dyDescent="0.25">
      <c r="A6589">
        <v>170</v>
      </c>
      <c r="B6589" t="s">
        <v>35</v>
      </c>
      <c r="C6589">
        <v>0</v>
      </c>
      <c r="D6589">
        <v>0</v>
      </c>
      <c r="E6589">
        <v>0</v>
      </c>
      <c r="F6589">
        <v>4000</v>
      </c>
      <c r="G6589">
        <v>1750</v>
      </c>
      <c r="H6589">
        <v>0</v>
      </c>
      <c r="J6589" t="str">
        <f>VLOOKUP(Table3[[#This Row],[Faction ID]],Table4[],2)</f>
        <v>Southron Nomads</v>
      </c>
    </row>
    <row r="6590" spans="1:10" x14ac:dyDescent="0.25">
      <c r="A6590">
        <v>170</v>
      </c>
      <c r="B6590" t="s">
        <v>36</v>
      </c>
      <c r="C6590">
        <v>0</v>
      </c>
      <c r="D6590">
        <v>0</v>
      </c>
      <c r="E6590">
        <v>0</v>
      </c>
      <c r="F6590">
        <v>4000</v>
      </c>
      <c r="G6590">
        <v>1750</v>
      </c>
      <c r="H6590">
        <v>0</v>
      </c>
      <c r="J6590" t="str">
        <f>VLOOKUP(Table3[[#This Row],[Faction ID]],Table4[],2)</f>
        <v>_</v>
      </c>
    </row>
    <row r="6591" spans="1:10" x14ac:dyDescent="0.25">
      <c r="A6591">
        <v>170</v>
      </c>
      <c r="B6591" t="s">
        <v>37</v>
      </c>
      <c r="C6591">
        <v>0</v>
      </c>
      <c r="D6591">
        <v>0</v>
      </c>
      <c r="E6591">
        <v>0</v>
      </c>
      <c r="F6591">
        <v>4000</v>
      </c>
      <c r="G6591">
        <v>1750</v>
      </c>
      <c r="H6591">
        <v>0</v>
      </c>
      <c r="J6591" t="str">
        <f>VLOOKUP(Table3[[#This Row],[Faction ID]],Table4[],2)</f>
        <v>_</v>
      </c>
    </row>
    <row r="6592" spans="1:10" x14ac:dyDescent="0.25">
      <c r="A6592">
        <v>170</v>
      </c>
      <c r="B6592" t="s">
        <v>38</v>
      </c>
      <c r="C6592">
        <v>0</v>
      </c>
      <c r="D6592">
        <v>0</v>
      </c>
      <c r="E6592">
        <v>0</v>
      </c>
      <c r="F6592">
        <v>4000</v>
      </c>
      <c r="G6592">
        <v>1750</v>
      </c>
      <c r="H6592">
        <v>0</v>
      </c>
      <c r="J6592" t="str">
        <f>VLOOKUP(Table3[[#This Row],[Faction ID]],Table4[],2)</f>
        <v>_</v>
      </c>
    </row>
    <row r="6593" spans="1:10" x14ac:dyDescent="0.25">
      <c r="A6593">
        <v>170</v>
      </c>
      <c r="B6593" t="s">
        <v>39</v>
      </c>
      <c r="C6593">
        <v>0</v>
      </c>
      <c r="D6593">
        <v>0</v>
      </c>
      <c r="E6593">
        <v>0</v>
      </c>
      <c r="F6593">
        <v>4000</v>
      </c>
      <c r="G6593">
        <v>1750</v>
      </c>
      <c r="H6593">
        <v>0</v>
      </c>
      <c r="J6593" t="str">
        <f>VLOOKUP(Table3[[#This Row],[Faction ID]],Table4[],2)</f>
        <v>_</v>
      </c>
    </row>
    <row r="6594" spans="1:10" x14ac:dyDescent="0.25">
      <c r="A6594">
        <v>170</v>
      </c>
      <c r="B6594" t="s">
        <v>40</v>
      </c>
      <c r="C6594">
        <v>0</v>
      </c>
      <c r="D6594">
        <v>0</v>
      </c>
      <c r="E6594">
        <v>0</v>
      </c>
      <c r="F6594">
        <v>4000</v>
      </c>
      <c r="G6594">
        <v>1750</v>
      </c>
      <c r="H6594">
        <v>0</v>
      </c>
      <c r="J6594" t="str">
        <f>VLOOKUP(Table3[[#This Row],[Faction ID]],Table4[],2)</f>
        <v>_</v>
      </c>
    </row>
    <row r="6595" spans="1:10" x14ac:dyDescent="0.25">
      <c r="A6595">
        <v>170</v>
      </c>
      <c r="B6595" t="s">
        <v>41</v>
      </c>
      <c r="C6595">
        <v>0</v>
      </c>
      <c r="D6595">
        <v>0</v>
      </c>
      <c r="E6595">
        <v>0</v>
      </c>
      <c r="F6595">
        <v>4000</v>
      </c>
      <c r="G6595">
        <v>1750</v>
      </c>
      <c r="H6595">
        <v>0</v>
      </c>
      <c r="J6595" t="str">
        <f>VLOOKUP(Table3[[#This Row],[Faction ID]],Table4[],2)</f>
        <v>_</v>
      </c>
    </row>
    <row r="6596" spans="1:10" x14ac:dyDescent="0.25">
      <c r="A6596">
        <v>170</v>
      </c>
      <c r="B6596" t="s">
        <v>42</v>
      </c>
      <c r="C6596">
        <v>0</v>
      </c>
      <c r="D6596">
        <v>0</v>
      </c>
      <c r="E6596">
        <v>0</v>
      </c>
      <c r="F6596">
        <v>4000</v>
      </c>
      <c r="G6596">
        <v>1750</v>
      </c>
      <c r="H6596">
        <v>0</v>
      </c>
      <c r="J6596" t="str">
        <f>VLOOKUP(Table3[[#This Row],[Faction ID]],Table4[],2)</f>
        <v>_</v>
      </c>
    </row>
    <row r="6597" spans="1:10" x14ac:dyDescent="0.25">
      <c r="A6597">
        <v>170</v>
      </c>
      <c r="B6597" t="s">
        <v>43</v>
      </c>
      <c r="C6597">
        <v>0</v>
      </c>
      <c r="D6597">
        <v>0</v>
      </c>
      <c r="E6597">
        <v>0</v>
      </c>
      <c r="F6597">
        <v>4000</v>
      </c>
      <c r="G6597">
        <v>1750</v>
      </c>
      <c r="H6597">
        <v>0</v>
      </c>
      <c r="J6597" t="str">
        <f>VLOOKUP(Table3[[#This Row],[Faction ID]],Table4[],2)</f>
        <v>_</v>
      </c>
    </row>
    <row r="6598" spans="1:10" x14ac:dyDescent="0.25">
      <c r="A6598">
        <v>170</v>
      </c>
      <c r="B6598" t="s">
        <v>44</v>
      </c>
      <c r="C6598">
        <v>0</v>
      </c>
      <c r="D6598">
        <v>0</v>
      </c>
      <c r="E6598">
        <v>0</v>
      </c>
      <c r="F6598">
        <v>4000</v>
      </c>
      <c r="G6598">
        <v>1750</v>
      </c>
      <c r="H6598">
        <v>0</v>
      </c>
      <c r="J6598" t="str">
        <f>VLOOKUP(Table3[[#This Row],[Faction ID]],Table4[],2)</f>
        <v>_</v>
      </c>
    </row>
    <row r="6599" spans="1:10" x14ac:dyDescent="0.25">
      <c r="J6599" t="e">
        <f>VLOOKUP(Table3[[#This Row],[Faction ID]],Table4[],2)</f>
        <v>#N/A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7A8CB-5BC6-4497-AC85-4BD8A337B0B1}">
  <dimension ref="A1:C40"/>
  <sheetViews>
    <sheetView topLeftCell="A10" workbookViewId="0">
      <selection activeCell="B26" sqref="B26"/>
    </sheetView>
  </sheetViews>
  <sheetFormatPr defaultRowHeight="15" x14ac:dyDescent="0.25"/>
  <cols>
    <col min="1" max="1" width="29.28515625" bestFit="1" customWidth="1"/>
    <col min="2" max="2" width="25.7109375" bestFit="1" customWidth="1"/>
  </cols>
  <sheetData>
    <row r="1" spans="1:2" x14ac:dyDescent="0.25">
      <c r="A1" t="s">
        <v>59</v>
      </c>
      <c r="B1" t="s">
        <v>60</v>
      </c>
    </row>
    <row r="2" spans="1:2" x14ac:dyDescent="0.25">
      <c r="A2" t="s">
        <v>10</v>
      </c>
      <c r="B2" t="s">
        <v>73</v>
      </c>
    </row>
    <row r="3" spans="1:2" x14ac:dyDescent="0.25">
      <c r="A3" t="s">
        <v>17</v>
      </c>
      <c r="B3" t="s">
        <v>70</v>
      </c>
    </row>
    <row r="4" spans="1:2" x14ac:dyDescent="0.25">
      <c r="A4" t="s">
        <v>27</v>
      </c>
      <c r="B4" t="s">
        <v>82</v>
      </c>
    </row>
    <row r="5" spans="1:2" x14ac:dyDescent="0.25">
      <c r="A5" t="s">
        <v>6</v>
      </c>
      <c r="B5" t="s">
        <v>63</v>
      </c>
    </row>
    <row r="6" spans="1:2" x14ac:dyDescent="0.25">
      <c r="A6" t="s">
        <v>12</v>
      </c>
      <c r="B6" t="s">
        <v>72</v>
      </c>
    </row>
    <row r="7" spans="1:2" x14ac:dyDescent="0.25">
      <c r="A7" t="s">
        <v>30</v>
      </c>
      <c r="B7" t="s">
        <v>83</v>
      </c>
    </row>
    <row r="8" spans="1:2" x14ac:dyDescent="0.25">
      <c r="A8" t="s">
        <v>15</v>
      </c>
      <c r="B8" t="s">
        <v>79</v>
      </c>
    </row>
    <row r="9" spans="1:2" x14ac:dyDescent="0.25">
      <c r="A9" t="s">
        <v>21</v>
      </c>
      <c r="B9" t="s">
        <v>64</v>
      </c>
    </row>
    <row r="10" spans="1:2" x14ac:dyDescent="0.25">
      <c r="A10" t="s">
        <v>19</v>
      </c>
      <c r="B10" t="s">
        <v>71</v>
      </c>
    </row>
    <row r="11" spans="1:2" x14ac:dyDescent="0.25">
      <c r="A11" t="s">
        <v>13</v>
      </c>
      <c r="B11" t="s">
        <v>69</v>
      </c>
    </row>
    <row r="12" spans="1:2" x14ac:dyDescent="0.25">
      <c r="A12" t="s">
        <v>4</v>
      </c>
      <c r="B12" t="s">
        <v>62</v>
      </c>
    </row>
    <row r="13" spans="1:2" x14ac:dyDescent="0.25">
      <c r="A13" t="s">
        <v>20</v>
      </c>
      <c r="B13" t="s">
        <v>86</v>
      </c>
    </row>
    <row r="14" spans="1:2" x14ac:dyDescent="0.25">
      <c r="A14" t="s">
        <v>16</v>
      </c>
      <c r="B14" t="s">
        <v>68</v>
      </c>
    </row>
    <row r="15" spans="1:2" x14ac:dyDescent="0.25">
      <c r="A15" t="s">
        <v>11</v>
      </c>
      <c r="B15" t="s">
        <v>78</v>
      </c>
    </row>
    <row r="16" spans="1:2" x14ac:dyDescent="0.25">
      <c r="A16" t="s">
        <v>31</v>
      </c>
      <c r="B16" t="s">
        <v>84</v>
      </c>
    </row>
    <row r="17" spans="1:3" x14ac:dyDescent="0.25">
      <c r="A17" t="s">
        <v>28</v>
      </c>
      <c r="B17" t="s">
        <v>87</v>
      </c>
    </row>
    <row r="18" spans="1:3" x14ac:dyDescent="0.25">
      <c r="A18" t="s">
        <v>32</v>
      </c>
      <c r="B18" t="s">
        <v>66</v>
      </c>
    </row>
    <row r="19" spans="1:3" x14ac:dyDescent="0.25">
      <c r="A19" t="s">
        <v>24</v>
      </c>
      <c r="B19" t="s">
        <v>75</v>
      </c>
    </row>
    <row r="20" spans="1:3" x14ac:dyDescent="0.25">
      <c r="A20" t="s">
        <v>23</v>
      </c>
      <c r="B20" t="s">
        <v>67</v>
      </c>
    </row>
    <row r="21" spans="1:3" x14ac:dyDescent="0.25">
      <c r="A21" t="s">
        <v>25</v>
      </c>
      <c r="B21" t="s">
        <v>77</v>
      </c>
    </row>
    <row r="22" spans="1:3" x14ac:dyDescent="0.25">
      <c r="A22" t="s">
        <v>9</v>
      </c>
      <c r="B22" t="s">
        <v>61</v>
      </c>
    </row>
    <row r="23" spans="1:3" x14ac:dyDescent="0.25">
      <c r="A23" t="s">
        <v>33</v>
      </c>
      <c r="B23" t="s">
        <v>88</v>
      </c>
    </row>
    <row r="24" spans="1:3" x14ac:dyDescent="0.25">
      <c r="A24" t="s">
        <v>18</v>
      </c>
      <c r="B24" t="s">
        <v>80</v>
      </c>
    </row>
    <row r="25" spans="1:3" x14ac:dyDescent="0.25">
      <c r="A25" t="s">
        <v>5</v>
      </c>
      <c r="B25" t="s">
        <v>65</v>
      </c>
    </row>
    <row r="26" spans="1:3" x14ac:dyDescent="0.25">
      <c r="A26" t="s">
        <v>34</v>
      </c>
      <c r="B26" t="s">
        <v>99</v>
      </c>
      <c r="C26" t="s">
        <v>99</v>
      </c>
    </row>
    <row r="27" spans="1:3" x14ac:dyDescent="0.25">
      <c r="A27" t="s">
        <v>38</v>
      </c>
      <c r="B27" t="s">
        <v>103</v>
      </c>
      <c r="C27" t="s">
        <v>90</v>
      </c>
    </row>
    <row r="28" spans="1:3" x14ac:dyDescent="0.25">
      <c r="A28" t="s">
        <v>39</v>
      </c>
      <c r="B28" t="s">
        <v>103</v>
      </c>
      <c r="C28" t="s">
        <v>91</v>
      </c>
    </row>
    <row r="29" spans="1:3" x14ac:dyDescent="0.25">
      <c r="A29" t="s">
        <v>40</v>
      </c>
      <c r="B29" t="s">
        <v>103</v>
      </c>
      <c r="C29" t="s">
        <v>92</v>
      </c>
    </row>
    <row r="30" spans="1:3" x14ac:dyDescent="0.25">
      <c r="A30" t="s">
        <v>36</v>
      </c>
      <c r="B30" t="s">
        <v>103</v>
      </c>
      <c r="C30" t="s">
        <v>97</v>
      </c>
    </row>
    <row r="31" spans="1:3" x14ac:dyDescent="0.25">
      <c r="A31" t="s">
        <v>37</v>
      </c>
      <c r="B31" t="s">
        <v>103</v>
      </c>
      <c r="C31" t="s">
        <v>96</v>
      </c>
    </row>
    <row r="32" spans="1:3" x14ac:dyDescent="0.25">
      <c r="A32" t="s">
        <v>43</v>
      </c>
      <c r="B32" t="s">
        <v>103</v>
      </c>
      <c r="C32" t="s">
        <v>95</v>
      </c>
    </row>
    <row r="33" spans="1:3" x14ac:dyDescent="0.25">
      <c r="A33" t="s">
        <v>42</v>
      </c>
      <c r="B33" t="s">
        <v>103</v>
      </c>
      <c r="C33" t="s">
        <v>98</v>
      </c>
    </row>
    <row r="34" spans="1:3" x14ac:dyDescent="0.25">
      <c r="A34" t="s">
        <v>44</v>
      </c>
      <c r="B34" t="s">
        <v>103</v>
      </c>
      <c r="C34" t="s">
        <v>94</v>
      </c>
    </row>
    <row r="35" spans="1:3" x14ac:dyDescent="0.25">
      <c r="A35" t="s">
        <v>41</v>
      </c>
      <c r="B35" t="s">
        <v>103</v>
      </c>
      <c r="C35" t="s">
        <v>93</v>
      </c>
    </row>
    <row r="36" spans="1:3" x14ac:dyDescent="0.25">
      <c r="A36" t="s">
        <v>29</v>
      </c>
      <c r="B36" t="s">
        <v>85</v>
      </c>
    </row>
    <row r="37" spans="1:3" x14ac:dyDescent="0.25">
      <c r="A37" t="s">
        <v>35</v>
      </c>
      <c r="B37" t="s">
        <v>89</v>
      </c>
    </row>
    <row r="38" spans="1:3" x14ac:dyDescent="0.25">
      <c r="A38" t="s">
        <v>14</v>
      </c>
      <c r="B38" t="s">
        <v>76</v>
      </c>
    </row>
    <row r="39" spans="1:3" x14ac:dyDescent="0.25">
      <c r="A39" t="s">
        <v>26</v>
      </c>
      <c r="B39" t="s">
        <v>81</v>
      </c>
    </row>
    <row r="40" spans="1:3" x14ac:dyDescent="0.25">
      <c r="A40" t="s">
        <v>22</v>
      </c>
      <c r="B40" t="s">
        <v>74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197F0-0E1F-40FC-87BE-BF85DDB7812F}">
  <dimension ref="A1:AH175"/>
  <sheetViews>
    <sheetView zoomScaleNormal="100" workbookViewId="0">
      <selection activeCell="M3" sqref="M3"/>
    </sheetView>
  </sheetViews>
  <sheetFormatPr defaultRowHeight="15" x14ac:dyDescent="0.25"/>
  <cols>
    <col min="1" max="1" width="15.5703125" bestFit="1" customWidth="1"/>
    <col min="2" max="2" width="16.85546875" bestFit="1" customWidth="1"/>
    <col min="3" max="3" width="11.5703125" bestFit="1" customWidth="1"/>
    <col min="4" max="4" width="8.85546875" bestFit="1" customWidth="1"/>
    <col min="5" max="5" width="26.5703125" bestFit="1" customWidth="1"/>
    <col min="6" max="6" width="17.42578125" bestFit="1" customWidth="1"/>
    <col min="7" max="7" width="7" bestFit="1" customWidth="1"/>
    <col min="8" max="8" width="10.7109375" bestFit="1" customWidth="1"/>
    <col min="9" max="9" width="9.28515625" bestFit="1" customWidth="1"/>
    <col min="10" max="10" width="12.42578125" bestFit="1" customWidth="1"/>
    <col min="11" max="11" width="7" bestFit="1" customWidth="1"/>
    <col min="12" max="12" width="9.140625" bestFit="1" customWidth="1"/>
    <col min="13" max="13" width="8" bestFit="1" customWidth="1"/>
    <col min="14" max="14" width="7.7109375" bestFit="1" customWidth="1"/>
    <col min="15" max="15" width="10.140625" bestFit="1" customWidth="1"/>
    <col min="16" max="16" width="8.28515625" bestFit="1" customWidth="1"/>
    <col min="17" max="17" width="9.28515625" bestFit="1" customWidth="1"/>
    <col min="18" max="18" width="9.42578125" bestFit="1" customWidth="1"/>
    <col min="19" max="19" width="23.42578125" bestFit="1" customWidth="1"/>
    <col min="20" max="20" width="8.7109375" bestFit="1" customWidth="1"/>
    <col min="21" max="21" width="10.28515625" bestFit="1" customWidth="1"/>
    <col min="22" max="22" width="7" bestFit="1" customWidth="1"/>
    <col min="23" max="23" width="8" bestFit="1" customWidth="1"/>
    <col min="24" max="24" width="19.28515625" bestFit="1" customWidth="1"/>
    <col min="25" max="25" width="21.85546875" bestFit="1" customWidth="1"/>
    <col min="26" max="26" width="13.140625" bestFit="1" customWidth="1"/>
    <col min="27" max="27" width="7" bestFit="1" customWidth="1"/>
    <col min="28" max="28" width="15.7109375" bestFit="1" customWidth="1"/>
    <col min="29" max="29" width="19.42578125" bestFit="1" customWidth="1"/>
    <col min="30" max="30" width="17.42578125" bestFit="1" customWidth="1"/>
    <col min="31" max="31" width="15" bestFit="1" customWidth="1"/>
    <col min="32" max="32" width="16.42578125" bestFit="1" customWidth="1"/>
    <col min="33" max="33" width="5.28515625" bestFit="1" customWidth="1"/>
    <col min="34" max="34" width="11.28515625" bestFit="1" customWidth="1"/>
    <col min="35" max="35" width="29.7109375" bestFit="1" customWidth="1"/>
    <col min="36" max="36" width="28.7109375" bestFit="1" customWidth="1"/>
    <col min="37" max="37" width="26.42578125" bestFit="1" customWidth="1"/>
    <col min="38" max="38" width="15.5703125" bestFit="1" customWidth="1"/>
    <col min="39" max="39" width="19.42578125" bestFit="1" customWidth="1"/>
    <col min="40" max="40" width="24.85546875" bestFit="1" customWidth="1"/>
    <col min="41" max="41" width="7.28515625" bestFit="1" customWidth="1"/>
    <col min="42" max="42" width="11.28515625" bestFit="1" customWidth="1"/>
    <col min="43" max="43" width="15.5703125" bestFit="1" customWidth="1"/>
    <col min="44" max="44" width="28.42578125" bestFit="1" customWidth="1"/>
    <col min="45" max="45" width="15.5703125" bestFit="1" customWidth="1"/>
    <col min="46" max="46" width="15.85546875" bestFit="1" customWidth="1"/>
    <col min="47" max="47" width="15.5703125" bestFit="1" customWidth="1"/>
    <col min="48" max="48" width="15.28515625" bestFit="1" customWidth="1"/>
    <col min="49" max="49" width="15.5703125" bestFit="1" customWidth="1"/>
    <col min="50" max="50" width="28.7109375" bestFit="1" customWidth="1"/>
    <col min="51" max="53" width="15.5703125" bestFit="1" customWidth="1"/>
    <col min="54" max="54" width="19.42578125" bestFit="1" customWidth="1"/>
    <col min="55" max="55" width="15.5703125" bestFit="1" customWidth="1"/>
    <col min="56" max="56" width="24.85546875" bestFit="1" customWidth="1"/>
    <col min="57" max="57" width="15.5703125" bestFit="1" customWidth="1"/>
    <col min="58" max="58" width="20.28515625" bestFit="1" customWidth="1"/>
    <col min="59" max="59" width="20.5703125" bestFit="1" customWidth="1"/>
  </cols>
  <sheetData>
    <row r="1" spans="1:34" x14ac:dyDescent="0.25">
      <c r="A1" s="2" t="s">
        <v>1</v>
      </c>
      <c r="B1" t="s">
        <v>102</v>
      </c>
    </row>
    <row r="3" spans="1:34" x14ac:dyDescent="0.25">
      <c r="A3" s="2" t="s">
        <v>45</v>
      </c>
      <c r="B3" s="2" t="s">
        <v>50</v>
      </c>
    </row>
    <row r="4" spans="1:34" x14ac:dyDescent="0.25">
      <c r="A4" s="2" t="s">
        <v>2</v>
      </c>
      <c r="B4" t="s">
        <v>103</v>
      </c>
      <c r="C4" t="s">
        <v>73</v>
      </c>
      <c r="D4" t="s">
        <v>70</v>
      </c>
      <c r="E4" t="s">
        <v>82</v>
      </c>
      <c r="F4" t="s">
        <v>76</v>
      </c>
      <c r="G4" t="s">
        <v>63</v>
      </c>
      <c r="H4" t="s">
        <v>72</v>
      </c>
      <c r="I4" t="s">
        <v>83</v>
      </c>
      <c r="J4" t="s">
        <v>79</v>
      </c>
      <c r="K4" t="s">
        <v>64</v>
      </c>
      <c r="L4" t="s">
        <v>71</v>
      </c>
      <c r="M4" t="s">
        <v>69</v>
      </c>
      <c r="N4" t="s">
        <v>62</v>
      </c>
      <c r="O4" t="s">
        <v>86</v>
      </c>
      <c r="P4" t="s">
        <v>68</v>
      </c>
      <c r="Q4" t="s">
        <v>78</v>
      </c>
      <c r="R4" t="s">
        <v>84</v>
      </c>
      <c r="S4" t="s">
        <v>87</v>
      </c>
      <c r="T4" t="s">
        <v>66</v>
      </c>
      <c r="U4" t="s">
        <v>67</v>
      </c>
      <c r="V4" t="s">
        <v>77</v>
      </c>
      <c r="W4" t="s">
        <v>61</v>
      </c>
      <c r="X4" t="s">
        <v>88</v>
      </c>
      <c r="Y4" t="s">
        <v>81</v>
      </c>
      <c r="Z4" t="s">
        <v>80</v>
      </c>
      <c r="AA4" t="s">
        <v>65</v>
      </c>
      <c r="AB4" t="s">
        <v>99</v>
      </c>
      <c r="AC4" t="s">
        <v>85</v>
      </c>
      <c r="AD4" t="s">
        <v>89</v>
      </c>
      <c r="AE4" t="s">
        <v>75</v>
      </c>
      <c r="AF4" t="s">
        <v>74</v>
      </c>
      <c r="AG4" t="s">
        <v>100</v>
      </c>
      <c r="AH4" t="s">
        <v>3</v>
      </c>
    </row>
    <row r="5" spans="1:34" x14ac:dyDescent="0.25">
      <c r="A5" s="1">
        <v>1</v>
      </c>
      <c r="B5">
        <v>0</v>
      </c>
      <c r="C5">
        <v>72</v>
      </c>
      <c r="D5">
        <v>34</v>
      </c>
      <c r="E5">
        <v>24</v>
      </c>
      <c r="F5">
        <v>34</v>
      </c>
      <c r="G5">
        <v>86</v>
      </c>
      <c r="H5">
        <v>48</v>
      </c>
      <c r="I5">
        <v>21</v>
      </c>
      <c r="J5">
        <v>39</v>
      </c>
      <c r="K5">
        <v>30</v>
      </c>
      <c r="L5">
        <v>31</v>
      </c>
      <c r="M5">
        <v>51</v>
      </c>
      <c r="N5">
        <v>169</v>
      </c>
      <c r="O5">
        <v>51</v>
      </c>
      <c r="P5">
        <v>35</v>
      </c>
      <c r="Q5">
        <v>42</v>
      </c>
      <c r="R5">
        <v>18</v>
      </c>
      <c r="S5">
        <v>17</v>
      </c>
      <c r="T5">
        <v>18</v>
      </c>
      <c r="U5">
        <v>24</v>
      </c>
      <c r="V5">
        <v>24</v>
      </c>
      <c r="W5">
        <v>95</v>
      </c>
      <c r="X5">
        <v>11</v>
      </c>
      <c r="Y5">
        <v>22</v>
      </c>
      <c r="Z5">
        <v>32</v>
      </c>
      <c r="AA5">
        <v>99</v>
      </c>
      <c r="AB5">
        <v>3</v>
      </c>
      <c r="AC5">
        <v>16</v>
      </c>
      <c r="AD5">
        <v>0</v>
      </c>
      <c r="AE5">
        <v>23</v>
      </c>
      <c r="AF5">
        <v>28</v>
      </c>
      <c r="AH5">
        <v>1197</v>
      </c>
    </row>
    <row r="6" spans="1:34" x14ac:dyDescent="0.25">
      <c r="A6" s="1">
        <v>2</v>
      </c>
      <c r="B6">
        <v>0</v>
      </c>
      <c r="C6">
        <v>73</v>
      </c>
      <c r="D6">
        <v>29</v>
      </c>
      <c r="E6">
        <v>24</v>
      </c>
      <c r="F6">
        <v>36</v>
      </c>
      <c r="G6">
        <v>85</v>
      </c>
      <c r="H6">
        <v>48</v>
      </c>
      <c r="I6">
        <v>21</v>
      </c>
      <c r="J6">
        <v>39</v>
      </c>
      <c r="K6">
        <v>33</v>
      </c>
      <c r="L6">
        <v>32</v>
      </c>
      <c r="M6">
        <v>52</v>
      </c>
      <c r="N6">
        <v>171</v>
      </c>
      <c r="O6">
        <v>43</v>
      </c>
      <c r="P6">
        <v>35</v>
      </c>
      <c r="Q6">
        <v>40</v>
      </c>
      <c r="R6">
        <v>21</v>
      </c>
      <c r="S6">
        <v>17</v>
      </c>
      <c r="T6">
        <v>19</v>
      </c>
      <c r="U6">
        <v>24</v>
      </c>
      <c r="V6">
        <v>26</v>
      </c>
      <c r="W6">
        <v>100</v>
      </c>
      <c r="X6">
        <v>11</v>
      </c>
      <c r="Y6">
        <v>22</v>
      </c>
      <c r="Z6">
        <v>34</v>
      </c>
      <c r="AA6">
        <v>100</v>
      </c>
      <c r="AB6">
        <v>3</v>
      </c>
      <c r="AC6">
        <v>16</v>
      </c>
      <c r="AD6">
        <v>0</v>
      </c>
      <c r="AE6">
        <v>23</v>
      </c>
      <c r="AF6">
        <v>29</v>
      </c>
      <c r="AH6">
        <v>1206</v>
      </c>
    </row>
    <row r="7" spans="1:34" x14ac:dyDescent="0.25">
      <c r="A7" s="1">
        <v>3</v>
      </c>
      <c r="B7">
        <v>0</v>
      </c>
      <c r="C7">
        <v>74</v>
      </c>
      <c r="D7">
        <v>32</v>
      </c>
      <c r="E7">
        <v>25</v>
      </c>
      <c r="F7">
        <v>36</v>
      </c>
      <c r="G7">
        <v>91</v>
      </c>
      <c r="H7">
        <v>48</v>
      </c>
      <c r="I7">
        <v>21</v>
      </c>
      <c r="J7">
        <v>41</v>
      </c>
      <c r="K7">
        <v>34</v>
      </c>
      <c r="L7">
        <v>34</v>
      </c>
      <c r="M7">
        <v>52</v>
      </c>
      <c r="N7">
        <v>174</v>
      </c>
      <c r="O7">
        <v>44</v>
      </c>
      <c r="P7">
        <v>0</v>
      </c>
      <c r="Q7">
        <v>43</v>
      </c>
      <c r="R7">
        <v>22</v>
      </c>
      <c r="S7">
        <v>18</v>
      </c>
      <c r="T7">
        <v>22</v>
      </c>
      <c r="U7">
        <v>25</v>
      </c>
      <c r="V7">
        <v>29</v>
      </c>
      <c r="W7">
        <v>106</v>
      </c>
      <c r="X7">
        <v>11</v>
      </c>
      <c r="Y7">
        <v>22</v>
      </c>
      <c r="Z7">
        <v>48</v>
      </c>
      <c r="AA7">
        <v>100</v>
      </c>
      <c r="AB7">
        <v>3</v>
      </c>
      <c r="AC7">
        <v>16</v>
      </c>
      <c r="AD7">
        <v>0</v>
      </c>
      <c r="AE7">
        <v>24</v>
      </c>
      <c r="AF7">
        <v>31</v>
      </c>
      <c r="AH7">
        <v>1226</v>
      </c>
    </row>
    <row r="8" spans="1:34" x14ac:dyDescent="0.25">
      <c r="A8" s="1">
        <v>4</v>
      </c>
      <c r="B8">
        <v>0</v>
      </c>
      <c r="C8">
        <v>74</v>
      </c>
      <c r="D8">
        <v>0</v>
      </c>
      <c r="E8">
        <v>27</v>
      </c>
      <c r="F8">
        <v>38</v>
      </c>
      <c r="G8">
        <v>91</v>
      </c>
      <c r="H8">
        <v>48</v>
      </c>
      <c r="I8">
        <v>21</v>
      </c>
      <c r="J8">
        <v>41</v>
      </c>
      <c r="K8">
        <v>37</v>
      </c>
      <c r="L8">
        <v>38</v>
      </c>
      <c r="M8">
        <v>52</v>
      </c>
      <c r="N8">
        <v>178</v>
      </c>
      <c r="O8">
        <v>50</v>
      </c>
      <c r="P8">
        <v>0</v>
      </c>
      <c r="Q8">
        <v>46</v>
      </c>
      <c r="R8">
        <v>23</v>
      </c>
      <c r="S8">
        <v>19</v>
      </c>
      <c r="T8">
        <v>26</v>
      </c>
      <c r="U8">
        <v>27</v>
      </c>
      <c r="V8">
        <v>31</v>
      </c>
      <c r="W8">
        <v>106</v>
      </c>
      <c r="X8">
        <v>9</v>
      </c>
      <c r="Y8">
        <v>26</v>
      </c>
      <c r="Z8">
        <v>65</v>
      </c>
      <c r="AA8">
        <v>103</v>
      </c>
      <c r="AB8">
        <v>3</v>
      </c>
      <c r="AC8">
        <v>16</v>
      </c>
      <c r="AD8">
        <v>0</v>
      </c>
      <c r="AE8">
        <v>25</v>
      </c>
      <c r="AF8">
        <v>32</v>
      </c>
      <c r="AH8">
        <v>1252</v>
      </c>
    </row>
    <row r="9" spans="1:34" x14ac:dyDescent="0.25">
      <c r="A9" s="1">
        <v>5</v>
      </c>
      <c r="B9">
        <v>0</v>
      </c>
      <c r="C9">
        <v>77</v>
      </c>
      <c r="D9">
        <v>0</v>
      </c>
      <c r="E9">
        <v>29</v>
      </c>
      <c r="F9">
        <v>40</v>
      </c>
      <c r="G9">
        <v>100</v>
      </c>
      <c r="H9">
        <v>47</v>
      </c>
      <c r="I9">
        <v>21</v>
      </c>
      <c r="J9">
        <v>41</v>
      </c>
      <c r="K9">
        <v>38</v>
      </c>
      <c r="L9">
        <v>43</v>
      </c>
      <c r="M9">
        <v>57</v>
      </c>
      <c r="N9">
        <v>179</v>
      </c>
      <c r="O9">
        <v>57</v>
      </c>
      <c r="P9">
        <v>0</v>
      </c>
      <c r="Q9">
        <v>50</v>
      </c>
      <c r="R9">
        <v>23</v>
      </c>
      <c r="S9">
        <v>20</v>
      </c>
      <c r="T9">
        <v>30</v>
      </c>
      <c r="U9">
        <v>29</v>
      </c>
      <c r="V9">
        <v>31</v>
      </c>
      <c r="W9">
        <v>110</v>
      </c>
      <c r="X9">
        <v>9</v>
      </c>
      <c r="Y9">
        <v>27</v>
      </c>
      <c r="Z9">
        <v>88</v>
      </c>
      <c r="AA9">
        <v>107</v>
      </c>
      <c r="AB9">
        <v>3</v>
      </c>
      <c r="AC9">
        <v>16</v>
      </c>
      <c r="AD9">
        <v>0</v>
      </c>
      <c r="AE9">
        <v>27</v>
      </c>
      <c r="AF9">
        <v>33</v>
      </c>
      <c r="AH9">
        <v>1332</v>
      </c>
    </row>
    <row r="10" spans="1:34" x14ac:dyDescent="0.25">
      <c r="A10" s="1">
        <v>6</v>
      </c>
      <c r="B10">
        <v>0</v>
      </c>
      <c r="C10">
        <v>84</v>
      </c>
      <c r="D10">
        <v>0</v>
      </c>
      <c r="E10">
        <v>30</v>
      </c>
      <c r="F10">
        <v>42</v>
      </c>
      <c r="G10">
        <v>103</v>
      </c>
      <c r="H10">
        <v>52</v>
      </c>
      <c r="I10">
        <v>21</v>
      </c>
      <c r="J10">
        <v>44</v>
      </c>
      <c r="K10">
        <v>40</v>
      </c>
      <c r="L10">
        <v>45</v>
      </c>
      <c r="M10">
        <v>67</v>
      </c>
      <c r="N10">
        <v>180</v>
      </c>
      <c r="O10">
        <v>61</v>
      </c>
      <c r="P10">
        <v>0</v>
      </c>
      <c r="Q10">
        <v>56</v>
      </c>
      <c r="R10">
        <v>23</v>
      </c>
      <c r="S10">
        <v>21</v>
      </c>
      <c r="T10">
        <v>32</v>
      </c>
      <c r="U10">
        <v>31</v>
      </c>
      <c r="V10">
        <v>31</v>
      </c>
      <c r="W10">
        <v>114</v>
      </c>
      <c r="X10">
        <v>9</v>
      </c>
      <c r="Y10">
        <v>30</v>
      </c>
      <c r="Z10">
        <v>101</v>
      </c>
      <c r="AA10">
        <v>111</v>
      </c>
      <c r="AB10">
        <v>3</v>
      </c>
      <c r="AC10">
        <v>16</v>
      </c>
      <c r="AD10">
        <v>0</v>
      </c>
      <c r="AE10">
        <v>29</v>
      </c>
      <c r="AF10">
        <v>35</v>
      </c>
      <c r="AH10">
        <v>1411</v>
      </c>
    </row>
    <row r="11" spans="1:34" x14ac:dyDescent="0.25">
      <c r="A11" s="1">
        <v>7</v>
      </c>
      <c r="B11">
        <v>0</v>
      </c>
      <c r="C11">
        <v>89</v>
      </c>
      <c r="D11">
        <v>0</v>
      </c>
      <c r="E11">
        <v>32</v>
      </c>
      <c r="F11">
        <v>43</v>
      </c>
      <c r="G11">
        <v>106</v>
      </c>
      <c r="H11">
        <v>58</v>
      </c>
      <c r="I11">
        <v>21</v>
      </c>
      <c r="J11">
        <v>45</v>
      </c>
      <c r="K11">
        <v>42</v>
      </c>
      <c r="L11">
        <v>45</v>
      </c>
      <c r="M11">
        <v>71</v>
      </c>
      <c r="N11">
        <v>160</v>
      </c>
      <c r="O11">
        <v>62</v>
      </c>
      <c r="P11">
        <v>0</v>
      </c>
      <c r="Q11">
        <v>60</v>
      </c>
      <c r="R11">
        <v>23</v>
      </c>
      <c r="S11">
        <v>23</v>
      </c>
      <c r="T11">
        <v>35</v>
      </c>
      <c r="U11">
        <v>33</v>
      </c>
      <c r="V11">
        <v>32</v>
      </c>
      <c r="W11">
        <v>114.5</v>
      </c>
      <c r="X11">
        <v>9</v>
      </c>
      <c r="Y11">
        <v>32</v>
      </c>
      <c r="Z11">
        <v>110</v>
      </c>
      <c r="AA11">
        <v>112</v>
      </c>
      <c r="AB11">
        <v>3</v>
      </c>
      <c r="AC11">
        <v>16</v>
      </c>
      <c r="AD11">
        <v>0</v>
      </c>
      <c r="AE11">
        <v>31</v>
      </c>
      <c r="AF11">
        <v>36</v>
      </c>
      <c r="AH11">
        <v>1443.5</v>
      </c>
    </row>
    <row r="12" spans="1:34" x14ac:dyDescent="0.25">
      <c r="A12" s="1">
        <v>8</v>
      </c>
      <c r="B12">
        <v>0</v>
      </c>
      <c r="C12">
        <v>84</v>
      </c>
      <c r="D12">
        <v>0</v>
      </c>
      <c r="E12">
        <v>32</v>
      </c>
      <c r="F12">
        <v>44</v>
      </c>
      <c r="G12">
        <v>109</v>
      </c>
      <c r="H12">
        <v>66</v>
      </c>
      <c r="I12">
        <v>21</v>
      </c>
      <c r="J12">
        <v>48</v>
      </c>
      <c r="K12">
        <v>42</v>
      </c>
      <c r="L12">
        <v>41</v>
      </c>
      <c r="M12">
        <v>74</v>
      </c>
      <c r="N12">
        <v>160</v>
      </c>
      <c r="O12">
        <v>62</v>
      </c>
      <c r="P12">
        <v>0</v>
      </c>
      <c r="Q12">
        <v>62</v>
      </c>
      <c r="R12">
        <v>23</v>
      </c>
      <c r="S12">
        <v>24</v>
      </c>
      <c r="T12">
        <v>38</v>
      </c>
      <c r="U12">
        <v>35</v>
      </c>
      <c r="V12">
        <v>34</v>
      </c>
      <c r="W12">
        <v>117.5</v>
      </c>
      <c r="X12">
        <v>9</v>
      </c>
      <c r="Y12">
        <v>33</v>
      </c>
      <c r="Z12">
        <v>121</v>
      </c>
      <c r="AA12">
        <v>115</v>
      </c>
      <c r="AB12">
        <v>3</v>
      </c>
      <c r="AC12">
        <v>16</v>
      </c>
      <c r="AD12">
        <v>0</v>
      </c>
      <c r="AE12">
        <v>34</v>
      </c>
      <c r="AF12">
        <v>37</v>
      </c>
      <c r="AH12">
        <v>1484.5</v>
      </c>
    </row>
    <row r="13" spans="1:34" x14ac:dyDescent="0.25">
      <c r="A13" s="1">
        <v>9</v>
      </c>
      <c r="B13">
        <v>0</v>
      </c>
      <c r="C13">
        <v>87</v>
      </c>
      <c r="D13">
        <v>0</v>
      </c>
      <c r="E13">
        <v>33</v>
      </c>
      <c r="F13">
        <v>44</v>
      </c>
      <c r="G13">
        <v>111</v>
      </c>
      <c r="H13">
        <v>67</v>
      </c>
      <c r="I13">
        <v>26</v>
      </c>
      <c r="J13">
        <v>51</v>
      </c>
      <c r="K13">
        <v>43</v>
      </c>
      <c r="L13">
        <v>41</v>
      </c>
      <c r="M13">
        <v>79</v>
      </c>
      <c r="N13">
        <v>148</v>
      </c>
      <c r="O13">
        <v>70</v>
      </c>
      <c r="P13">
        <v>0</v>
      </c>
      <c r="Q13">
        <v>62</v>
      </c>
      <c r="R13">
        <v>24</v>
      </c>
      <c r="S13">
        <v>25</v>
      </c>
      <c r="T13">
        <v>41</v>
      </c>
      <c r="U13">
        <v>36</v>
      </c>
      <c r="V13">
        <v>35</v>
      </c>
      <c r="W13">
        <v>120.5</v>
      </c>
      <c r="X13">
        <v>14</v>
      </c>
      <c r="Y13">
        <v>35</v>
      </c>
      <c r="Z13">
        <v>131.5</v>
      </c>
      <c r="AA13">
        <v>118</v>
      </c>
      <c r="AB13">
        <v>3</v>
      </c>
      <c r="AC13">
        <v>16</v>
      </c>
      <c r="AD13">
        <v>0</v>
      </c>
      <c r="AE13">
        <v>36</v>
      </c>
      <c r="AF13">
        <v>24</v>
      </c>
      <c r="AH13">
        <v>1521</v>
      </c>
    </row>
    <row r="14" spans="1:34" x14ac:dyDescent="0.25">
      <c r="A14" s="1">
        <v>10</v>
      </c>
      <c r="B14">
        <v>0</v>
      </c>
      <c r="C14">
        <v>84</v>
      </c>
      <c r="D14">
        <v>0</v>
      </c>
      <c r="E14">
        <v>33</v>
      </c>
      <c r="F14">
        <v>45</v>
      </c>
      <c r="G14">
        <v>116</v>
      </c>
      <c r="H14">
        <v>78</v>
      </c>
      <c r="I14">
        <v>27</v>
      </c>
      <c r="J14">
        <v>52</v>
      </c>
      <c r="K14">
        <v>46</v>
      </c>
      <c r="L14">
        <v>45</v>
      </c>
      <c r="M14">
        <v>79</v>
      </c>
      <c r="N14">
        <v>152</v>
      </c>
      <c r="O14">
        <v>81</v>
      </c>
      <c r="P14">
        <v>0</v>
      </c>
      <c r="Q14">
        <v>63</v>
      </c>
      <c r="R14">
        <v>24</v>
      </c>
      <c r="S14">
        <v>25</v>
      </c>
      <c r="T14">
        <v>44</v>
      </c>
      <c r="U14">
        <v>37</v>
      </c>
      <c r="V14">
        <v>37</v>
      </c>
      <c r="W14">
        <v>124.5</v>
      </c>
      <c r="X14">
        <v>14</v>
      </c>
      <c r="Y14">
        <v>35</v>
      </c>
      <c r="Z14">
        <v>130.30000000000001</v>
      </c>
      <c r="AA14">
        <v>121</v>
      </c>
      <c r="AB14">
        <v>3</v>
      </c>
      <c r="AC14">
        <v>16</v>
      </c>
      <c r="AD14">
        <v>0</v>
      </c>
      <c r="AE14">
        <v>39</v>
      </c>
      <c r="AF14">
        <v>27</v>
      </c>
      <c r="AH14">
        <v>1577.8</v>
      </c>
    </row>
    <row r="15" spans="1:34" x14ac:dyDescent="0.25">
      <c r="A15" s="1">
        <v>11</v>
      </c>
      <c r="B15">
        <v>0</v>
      </c>
      <c r="C15">
        <v>77</v>
      </c>
      <c r="D15">
        <v>0</v>
      </c>
      <c r="E15">
        <v>33</v>
      </c>
      <c r="F15">
        <v>50</v>
      </c>
      <c r="G15">
        <v>112</v>
      </c>
      <c r="H15">
        <v>84</v>
      </c>
      <c r="I15">
        <v>27</v>
      </c>
      <c r="J15">
        <v>56</v>
      </c>
      <c r="K15">
        <v>49</v>
      </c>
      <c r="L15">
        <v>48</v>
      </c>
      <c r="M15">
        <v>84</v>
      </c>
      <c r="N15">
        <v>155</v>
      </c>
      <c r="O15">
        <v>85</v>
      </c>
      <c r="P15">
        <v>0</v>
      </c>
      <c r="Q15">
        <v>66</v>
      </c>
      <c r="R15">
        <v>24</v>
      </c>
      <c r="S15">
        <v>26</v>
      </c>
      <c r="T15">
        <v>48</v>
      </c>
      <c r="U15">
        <v>39</v>
      </c>
      <c r="V15">
        <v>40</v>
      </c>
      <c r="W15">
        <v>128.6</v>
      </c>
      <c r="X15">
        <v>15</v>
      </c>
      <c r="Y15">
        <v>36</v>
      </c>
      <c r="Z15">
        <v>135.30000000000001</v>
      </c>
      <c r="AA15">
        <v>118</v>
      </c>
      <c r="AB15">
        <v>3</v>
      </c>
      <c r="AC15">
        <v>16</v>
      </c>
      <c r="AD15">
        <v>0</v>
      </c>
      <c r="AE15">
        <v>39</v>
      </c>
      <c r="AF15">
        <v>30</v>
      </c>
      <c r="AH15">
        <v>1623.8999999999999</v>
      </c>
    </row>
    <row r="16" spans="1:34" x14ac:dyDescent="0.25">
      <c r="A16" s="1">
        <v>12</v>
      </c>
      <c r="B16">
        <v>0</v>
      </c>
      <c r="C16">
        <v>73</v>
      </c>
      <c r="D16">
        <v>0</v>
      </c>
      <c r="E16">
        <v>33</v>
      </c>
      <c r="F16">
        <v>51</v>
      </c>
      <c r="G16">
        <v>116</v>
      </c>
      <c r="H16">
        <v>92</v>
      </c>
      <c r="I16">
        <v>28</v>
      </c>
      <c r="J16">
        <v>56</v>
      </c>
      <c r="K16">
        <v>50</v>
      </c>
      <c r="L16">
        <v>54</v>
      </c>
      <c r="M16">
        <v>94</v>
      </c>
      <c r="N16">
        <v>158</v>
      </c>
      <c r="O16">
        <v>90</v>
      </c>
      <c r="P16">
        <v>0</v>
      </c>
      <c r="Q16">
        <v>67</v>
      </c>
      <c r="R16">
        <v>24</v>
      </c>
      <c r="S16">
        <v>26</v>
      </c>
      <c r="T16">
        <v>50</v>
      </c>
      <c r="U16">
        <v>39</v>
      </c>
      <c r="V16">
        <v>41</v>
      </c>
      <c r="W16">
        <v>129.6</v>
      </c>
      <c r="X16">
        <v>15</v>
      </c>
      <c r="Y16">
        <v>36</v>
      </c>
      <c r="Z16">
        <v>142.5</v>
      </c>
      <c r="AA16">
        <v>121</v>
      </c>
      <c r="AB16">
        <v>3</v>
      </c>
      <c r="AC16">
        <v>16</v>
      </c>
      <c r="AD16">
        <v>0</v>
      </c>
      <c r="AE16">
        <v>40</v>
      </c>
      <c r="AF16">
        <v>31</v>
      </c>
      <c r="AH16">
        <v>1676.1</v>
      </c>
    </row>
    <row r="17" spans="1:34" x14ac:dyDescent="0.25">
      <c r="A17" s="1">
        <v>13</v>
      </c>
      <c r="B17">
        <v>0</v>
      </c>
      <c r="C17">
        <v>81</v>
      </c>
      <c r="D17">
        <v>0</v>
      </c>
      <c r="E17">
        <v>33</v>
      </c>
      <c r="F17">
        <v>53</v>
      </c>
      <c r="G17">
        <v>114</v>
      </c>
      <c r="H17">
        <v>96</v>
      </c>
      <c r="I17">
        <v>28</v>
      </c>
      <c r="J17">
        <v>61</v>
      </c>
      <c r="K17">
        <v>51</v>
      </c>
      <c r="L17">
        <v>53</v>
      </c>
      <c r="M17">
        <v>97</v>
      </c>
      <c r="N17">
        <v>161</v>
      </c>
      <c r="O17">
        <v>93</v>
      </c>
      <c r="P17">
        <v>0</v>
      </c>
      <c r="Q17">
        <v>59</v>
      </c>
      <c r="R17">
        <v>24</v>
      </c>
      <c r="S17">
        <v>26</v>
      </c>
      <c r="T17">
        <v>50</v>
      </c>
      <c r="U17">
        <v>34</v>
      </c>
      <c r="V17">
        <v>41</v>
      </c>
      <c r="W17">
        <v>129.6</v>
      </c>
      <c r="X17">
        <v>24</v>
      </c>
      <c r="Y17">
        <v>36</v>
      </c>
      <c r="Z17">
        <v>155.5</v>
      </c>
      <c r="AA17">
        <v>124</v>
      </c>
      <c r="AB17">
        <v>3</v>
      </c>
      <c r="AC17">
        <v>16</v>
      </c>
      <c r="AD17">
        <v>0</v>
      </c>
      <c r="AE17">
        <v>41</v>
      </c>
      <c r="AF17">
        <v>33</v>
      </c>
      <c r="AH17">
        <v>1717.1</v>
      </c>
    </row>
    <row r="18" spans="1:34" x14ac:dyDescent="0.25">
      <c r="A18" s="1">
        <v>14</v>
      </c>
      <c r="B18">
        <v>0</v>
      </c>
      <c r="C18">
        <v>83</v>
      </c>
      <c r="D18">
        <v>0</v>
      </c>
      <c r="E18">
        <v>34</v>
      </c>
      <c r="F18">
        <v>53</v>
      </c>
      <c r="G18">
        <v>118</v>
      </c>
      <c r="H18">
        <v>99</v>
      </c>
      <c r="I18">
        <v>29</v>
      </c>
      <c r="J18">
        <v>61</v>
      </c>
      <c r="K18">
        <v>56</v>
      </c>
      <c r="L18">
        <v>52</v>
      </c>
      <c r="M18">
        <v>101.9</v>
      </c>
      <c r="N18">
        <v>161</v>
      </c>
      <c r="O18">
        <v>90</v>
      </c>
      <c r="P18">
        <v>0</v>
      </c>
      <c r="Q18">
        <v>60</v>
      </c>
      <c r="R18">
        <v>22</v>
      </c>
      <c r="S18">
        <v>26</v>
      </c>
      <c r="T18">
        <v>54</v>
      </c>
      <c r="U18">
        <v>20</v>
      </c>
      <c r="V18">
        <v>42</v>
      </c>
      <c r="W18">
        <v>129.6</v>
      </c>
      <c r="X18">
        <v>25</v>
      </c>
      <c r="Y18">
        <v>0</v>
      </c>
      <c r="Z18">
        <v>168.5</v>
      </c>
      <c r="AA18">
        <v>124</v>
      </c>
      <c r="AB18">
        <v>3</v>
      </c>
      <c r="AC18">
        <v>16</v>
      </c>
      <c r="AD18">
        <v>0</v>
      </c>
      <c r="AE18">
        <v>41</v>
      </c>
      <c r="AF18">
        <v>34</v>
      </c>
      <c r="AH18">
        <v>1703</v>
      </c>
    </row>
    <row r="19" spans="1:34" x14ac:dyDescent="0.25">
      <c r="A19" s="1">
        <v>15</v>
      </c>
      <c r="B19">
        <v>0</v>
      </c>
      <c r="C19">
        <v>80</v>
      </c>
      <c r="D19">
        <v>0</v>
      </c>
      <c r="E19">
        <v>34</v>
      </c>
      <c r="F19">
        <v>53</v>
      </c>
      <c r="G19">
        <v>113</v>
      </c>
      <c r="H19">
        <v>103</v>
      </c>
      <c r="I19">
        <v>29</v>
      </c>
      <c r="J19">
        <v>62</v>
      </c>
      <c r="K19">
        <v>55</v>
      </c>
      <c r="L19">
        <v>53</v>
      </c>
      <c r="M19">
        <v>107.9</v>
      </c>
      <c r="N19">
        <v>166</v>
      </c>
      <c r="O19">
        <v>91</v>
      </c>
      <c r="P19">
        <v>0</v>
      </c>
      <c r="Q19">
        <v>62</v>
      </c>
      <c r="R19">
        <v>16</v>
      </c>
      <c r="S19">
        <v>26</v>
      </c>
      <c r="T19">
        <v>55</v>
      </c>
      <c r="U19">
        <v>2</v>
      </c>
      <c r="V19">
        <v>42</v>
      </c>
      <c r="W19">
        <v>129.6</v>
      </c>
      <c r="X19">
        <v>28</v>
      </c>
      <c r="Y19">
        <v>0</v>
      </c>
      <c r="Z19">
        <v>170.5</v>
      </c>
      <c r="AA19">
        <v>118</v>
      </c>
      <c r="AB19">
        <v>3</v>
      </c>
      <c r="AC19">
        <v>16</v>
      </c>
      <c r="AD19">
        <v>0</v>
      </c>
      <c r="AE19">
        <v>42</v>
      </c>
      <c r="AF19">
        <v>36</v>
      </c>
      <c r="AH19">
        <v>1693</v>
      </c>
    </row>
    <row r="20" spans="1:34" x14ac:dyDescent="0.25">
      <c r="A20" s="1">
        <v>16</v>
      </c>
      <c r="B20">
        <v>0</v>
      </c>
      <c r="C20">
        <v>80</v>
      </c>
      <c r="D20">
        <v>0</v>
      </c>
      <c r="E20">
        <v>35</v>
      </c>
      <c r="F20">
        <v>52</v>
      </c>
      <c r="G20">
        <v>120</v>
      </c>
      <c r="H20">
        <v>111</v>
      </c>
      <c r="I20">
        <v>29</v>
      </c>
      <c r="J20">
        <v>62</v>
      </c>
      <c r="K20">
        <v>64</v>
      </c>
      <c r="L20">
        <v>63</v>
      </c>
      <c r="M20">
        <v>116.9</v>
      </c>
      <c r="N20">
        <v>169</v>
      </c>
      <c r="O20">
        <v>96</v>
      </c>
      <c r="P20">
        <v>0</v>
      </c>
      <c r="Q20">
        <v>64</v>
      </c>
      <c r="R20">
        <v>17</v>
      </c>
      <c r="S20">
        <v>26</v>
      </c>
      <c r="T20">
        <v>38</v>
      </c>
      <c r="U20">
        <v>3</v>
      </c>
      <c r="V20">
        <v>41</v>
      </c>
      <c r="W20">
        <v>129.6</v>
      </c>
      <c r="X20">
        <v>28</v>
      </c>
      <c r="Y20">
        <v>0</v>
      </c>
      <c r="Z20">
        <v>183.2</v>
      </c>
      <c r="AA20">
        <v>103</v>
      </c>
      <c r="AB20">
        <v>3</v>
      </c>
      <c r="AC20">
        <v>16</v>
      </c>
      <c r="AD20">
        <v>0</v>
      </c>
      <c r="AE20">
        <v>45</v>
      </c>
      <c r="AF20">
        <v>36</v>
      </c>
      <c r="AH20">
        <v>1730.7</v>
      </c>
    </row>
    <row r="21" spans="1:34" x14ac:dyDescent="0.25">
      <c r="A21" s="1">
        <v>17</v>
      </c>
      <c r="B21">
        <v>0</v>
      </c>
      <c r="C21">
        <v>87</v>
      </c>
      <c r="D21">
        <v>0</v>
      </c>
      <c r="E21">
        <v>35</v>
      </c>
      <c r="F21">
        <v>53</v>
      </c>
      <c r="G21">
        <v>117</v>
      </c>
      <c r="H21">
        <v>118</v>
      </c>
      <c r="I21">
        <v>29</v>
      </c>
      <c r="J21">
        <v>58</v>
      </c>
      <c r="K21">
        <v>65</v>
      </c>
      <c r="L21">
        <v>63</v>
      </c>
      <c r="M21">
        <v>123.9</v>
      </c>
      <c r="N21">
        <v>170</v>
      </c>
      <c r="O21">
        <v>100</v>
      </c>
      <c r="P21">
        <v>0</v>
      </c>
      <c r="Q21">
        <v>65</v>
      </c>
      <c r="R21">
        <v>18</v>
      </c>
      <c r="S21">
        <v>26</v>
      </c>
      <c r="T21">
        <v>40</v>
      </c>
      <c r="U21">
        <v>8</v>
      </c>
      <c r="V21">
        <v>41</v>
      </c>
      <c r="W21">
        <v>137.6</v>
      </c>
      <c r="X21">
        <v>28</v>
      </c>
      <c r="Y21">
        <v>0</v>
      </c>
      <c r="Z21">
        <v>195.2</v>
      </c>
      <c r="AA21">
        <v>96</v>
      </c>
      <c r="AB21">
        <v>3</v>
      </c>
      <c r="AC21">
        <v>17</v>
      </c>
      <c r="AD21">
        <v>0</v>
      </c>
      <c r="AE21">
        <v>50</v>
      </c>
      <c r="AF21">
        <v>36</v>
      </c>
      <c r="AH21">
        <v>1779.7</v>
      </c>
    </row>
    <row r="22" spans="1:34" x14ac:dyDescent="0.25">
      <c r="A22" s="1">
        <v>18</v>
      </c>
      <c r="B22">
        <v>0</v>
      </c>
      <c r="C22">
        <v>87</v>
      </c>
      <c r="D22">
        <v>0</v>
      </c>
      <c r="E22">
        <v>35</v>
      </c>
      <c r="F22">
        <v>52</v>
      </c>
      <c r="G22">
        <v>105</v>
      </c>
      <c r="H22">
        <v>118</v>
      </c>
      <c r="I22">
        <v>29</v>
      </c>
      <c r="J22">
        <v>58</v>
      </c>
      <c r="K22">
        <v>65</v>
      </c>
      <c r="L22">
        <v>58</v>
      </c>
      <c r="M22">
        <v>124.9</v>
      </c>
      <c r="N22">
        <v>164</v>
      </c>
      <c r="O22">
        <v>103</v>
      </c>
      <c r="P22">
        <v>0</v>
      </c>
      <c r="Q22">
        <v>68</v>
      </c>
      <c r="R22">
        <v>20</v>
      </c>
      <c r="S22">
        <v>26</v>
      </c>
      <c r="T22">
        <v>40.799999999999997</v>
      </c>
      <c r="U22">
        <v>15</v>
      </c>
      <c r="V22">
        <v>41</v>
      </c>
      <c r="W22">
        <v>137.6</v>
      </c>
      <c r="X22">
        <v>28</v>
      </c>
      <c r="Y22">
        <v>0</v>
      </c>
      <c r="Z22">
        <v>188.5</v>
      </c>
      <c r="AA22">
        <v>87</v>
      </c>
      <c r="AB22">
        <v>3</v>
      </c>
      <c r="AC22">
        <v>17</v>
      </c>
      <c r="AD22">
        <v>0</v>
      </c>
      <c r="AE22">
        <v>50</v>
      </c>
      <c r="AF22">
        <v>35</v>
      </c>
      <c r="AH22">
        <v>1755.8</v>
      </c>
    </row>
    <row r="23" spans="1:34" x14ac:dyDescent="0.25">
      <c r="A23" s="1">
        <v>19</v>
      </c>
      <c r="B23">
        <v>0</v>
      </c>
      <c r="C23">
        <v>85</v>
      </c>
      <c r="D23">
        <v>0</v>
      </c>
      <c r="E23">
        <v>35</v>
      </c>
      <c r="F23">
        <v>58.1</v>
      </c>
      <c r="G23">
        <v>110</v>
      </c>
      <c r="H23">
        <v>119</v>
      </c>
      <c r="I23">
        <v>29</v>
      </c>
      <c r="J23">
        <v>61</v>
      </c>
      <c r="K23">
        <v>66</v>
      </c>
      <c r="L23">
        <v>0</v>
      </c>
      <c r="M23">
        <v>124.9</v>
      </c>
      <c r="N23">
        <v>175</v>
      </c>
      <c r="O23">
        <v>109</v>
      </c>
      <c r="P23">
        <v>0</v>
      </c>
      <c r="Q23">
        <v>69</v>
      </c>
      <c r="R23">
        <v>16</v>
      </c>
      <c r="S23">
        <v>26</v>
      </c>
      <c r="T23">
        <v>41.8</v>
      </c>
      <c r="U23">
        <v>16</v>
      </c>
      <c r="V23">
        <v>41</v>
      </c>
      <c r="W23">
        <v>142</v>
      </c>
      <c r="X23">
        <v>29</v>
      </c>
      <c r="Y23">
        <v>0</v>
      </c>
      <c r="Z23">
        <v>216.5</v>
      </c>
      <c r="AA23">
        <v>88</v>
      </c>
      <c r="AB23">
        <v>3</v>
      </c>
      <c r="AC23">
        <v>16</v>
      </c>
      <c r="AD23">
        <v>0</v>
      </c>
      <c r="AE23">
        <v>50</v>
      </c>
      <c r="AF23">
        <v>12</v>
      </c>
      <c r="AH23">
        <v>1738.3</v>
      </c>
    </row>
    <row r="24" spans="1:34" x14ac:dyDescent="0.25">
      <c r="A24" s="1">
        <v>20</v>
      </c>
      <c r="B24">
        <v>0</v>
      </c>
      <c r="C24">
        <v>85</v>
      </c>
      <c r="D24">
        <v>0</v>
      </c>
      <c r="E24">
        <v>35</v>
      </c>
      <c r="F24">
        <v>57.2</v>
      </c>
      <c r="G24">
        <v>104</v>
      </c>
      <c r="H24">
        <v>114.1</v>
      </c>
      <c r="I24">
        <v>29</v>
      </c>
      <c r="J24">
        <v>64</v>
      </c>
      <c r="K24">
        <v>67</v>
      </c>
      <c r="L24">
        <v>0</v>
      </c>
      <c r="M24">
        <v>124.9</v>
      </c>
      <c r="N24">
        <v>157</v>
      </c>
      <c r="O24">
        <v>109</v>
      </c>
      <c r="P24">
        <v>0</v>
      </c>
      <c r="Q24">
        <v>70</v>
      </c>
      <c r="R24">
        <v>18</v>
      </c>
      <c r="S24">
        <v>26</v>
      </c>
      <c r="T24">
        <v>46.8</v>
      </c>
      <c r="U24">
        <v>20</v>
      </c>
      <c r="V24">
        <v>42</v>
      </c>
      <c r="W24">
        <v>142.69999999999999</v>
      </c>
      <c r="X24">
        <v>29</v>
      </c>
      <c r="Y24">
        <v>0</v>
      </c>
      <c r="Z24">
        <v>222.6</v>
      </c>
      <c r="AA24">
        <v>97</v>
      </c>
      <c r="AB24">
        <v>3</v>
      </c>
      <c r="AC24">
        <v>16</v>
      </c>
      <c r="AD24">
        <v>0</v>
      </c>
      <c r="AE24">
        <v>50</v>
      </c>
      <c r="AF24">
        <v>4</v>
      </c>
      <c r="AH24">
        <v>1733.2999999999997</v>
      </c>
    </row>
    <row r="25" spans="1:34" x14ac:dyDescent="0.25">
      <c r="A25" s="1">
        <v>21</v>
      </c>
      <c r="B25">
        <v>0</v>
      </c>
      <c r="C25">
        <v>66</v>
      </c>
      <c r="D25">
        <v>0</v>
      </c>
      <c r="E25">
        <v>35</v>
      </c>
      <c r="F25">
        <v>57.3</v>
      </c>
      <c r="G25">
        <v>106.4</v>
      </c>
      <c r="H25">
        <v>105</v>
      </c>
      <c r="I25">
        <v>29</v>
      </c>
      <c r="J25">
        <v>56</v>
      </c>
      <c r="K25">
        <v>68</v>
      </c>
      <c r="L25">
        <v>0</v>
      </c>
      <c r="M25">
        <v>124.9</v>
      </c>
      <c r="N25">
        <v>159</v>
      </c>
      <c r="O25">
        <v>109</v>
      </c>
      <c r="P25">
        <v>0</v>
      </c>
      <c r="Q25">
        <v>70</v>
      </c>
      <c r="R25">
        <v>22</v>
      </c>
      <c r="S25">
        <v>26</v>
      </c>
      <c r="T25">
        <v>49.8</v>
      </c>
      <c r="U25">
        <v>24</v>
      </c>
      <c r="V25">
        <v>41</v>
      </c>
      <c r="W25">
        <v>152.69999999999999</v>
      </c>
      <c r="X25">
        <v>29</v>
      </c>
      <c r="Y25">
        <v>0</v>
      </c>
      <c r="Z25">
        <v>237.7</v>
      </c>
      <c r="AA25">
        <v>108</v>
      </c>
      <c r="AB25">
        <v>3</v>
      </c>
      <c r="AC25">
        <v>17</v>
      </c>
      <c r="AD25">
        <v>0</v>
      </c>
      <c r="AE25">
        <v>50</v>
      </c>
      <c r="AF25">
        <v>0</v>
      </c>
      <c r="AH25">
        <v>1745.8</v>
      </c>
    </row>
    <row r="26" spans="1:34" x14ac:dyDescent="0.25">
      <c r="A26" s="1">
        <v>22</v>
      </c>
      <c r="B26">
        <v>0</v>
      </c>
      <c r="C26">
        <v>75</v>
      </c>
      <c r="D26">
        <v>0</v>
      </c>
      <c r="E26">
        <v>35</v>
      </c>
      <c r="F26">
        <v>65.3</v>
      </c>
      <c r="G26">
        <v>100.4</v>
      </c>
      <c r="H26">
        <v>106</v>
      </c>
      <c r="I26">
        <v>29</v>
      </c>
      <c r="J26">
        <v>57.9</v>
      </c>
      <c r="K26">
        <v>68</v>
      </c>
      <c r="L26">
        <v>0</v>
      </c>
      <c r="M26">
        <v>124.9</v>
      </c>
      <c r="N26">
        <v>159</v>
      </c>
      <c r="O26">
        <v>110.2</v>
      </c>
      <c r="P26">
        <v>0</v>
      </c>
      <c r="Q26">
        <v>59</v>
      </c>
      <c r="R26">
        <v>21</v>
      </c>
      <c r="S26">
        <v>26</v>
      </c>
      <c r="T26">
        <v>62.9</v>
      </c>
      <c r="U26">
        <v>21</v>
      </c>
      <c r="V26">
        <v>41</v>
      </c>
      <c r="W26">
        <v>157.69999999999999</v>
      </c>
      <c r="X26">
        <v>29</v>
      </c>
      <c r="Y26">
        <v>0</v>
      </c>
      <c r="Z26">
        <v>248.8</v>
      </c>
      <c r="AA26">
        <v>100</v>
      </c>
      <c r="AB26">
        <v>3</v>
      </c>
      <c r="AC26">
        <v>16</v>
      </c>
      <c r="AD26">
        <v>0</v>
      </c>
      <c r="AE26">
        <v>54</v>
      </c>
      <c r="AF26">
        <v>0</v>
      </c>
      <c r="AH26">
        <v>1770.1000000000001</v>
      </c>
    </row>
    <row r="27" spans="1:34" x14ac:dyDescent="0.25">
      <c r="A27" s="1">
        <v>23</v>
      </c>
      <c r="B27">
        <v>0</v>
      </c>
      <c r="C27">
        <v>75</v>
      </c>
      <c r="D27">
        <v>0</v>
      </c>
      <c r="E27">
        <v>35</v>
      </c>
      <c r="F27">
        <v>64.3</v>
      </c>
      <c r="G27">
        <v>99.4</v>
      </c>
      <c r="H27">
        <v>109</v>
      </c>
      <c r="I27">
        <v>29</v>
      </c>
      <c r="J27">
        <v>57.9</v>
      </c>
      <c r="K27">
        <v>71</v>
      </c>
      <c r="L27">
        <v>0</v>
      </c>
      <c r="M27">
        <v>123.9</v>
      </c>
      <c r="N27">
        <v>160</v>
      </c>
      <c r="O27">
        <v>111.8</v>
      </c>
      <c r="P27">
        <v>0</v>
      </c>
      <c r="Q27">
        <v>61</v>
      </c>
      <c r="R27">
        <v>22</v>
      </c>
      <c r="S27">
        <v>26</v>
      </c>
      <c r="T27">
        <v>67</v>
      </c>
      <c r="U27">
        <v>30</v>
      </c>
      <c r="V27">
        <v>41</v>
      </c>
      <c r="W27">
        <v>157.69999999999999</v>
      </c>
      <c r="X27">
        <v>29</v>
      </c>
      <c r="Y27">
        <v>0</v>
      </c>
      <c r="Z27">
        <v>256.3</v>
      </c>
      <c r="AA27">
        <v>89</v>
      </c>
      <c r="AB27">
        <v>3</v>
      </c>
      <c r="AC27">
        <v>17</v>
      </c>
      <c r="AD27">
        <v>0</v>
      </c>
      <c r="AE27">
        <v>56</v>
      </c>
      <c r="AF27">
        <v>0</v>
      </c>
      <c r="AH27">
        <v>1791.3</v>
      </c>
    </row>
    <row r="28" spans="1:34" x14ac:dyDescent="0.25">
      <c r="A28" s="1">
        <v>24</v>
      </c>
      <c r="B28">
        <v>0</v>
      </c>
      <c r="C28">
        <v>75</v>
      </c>
      <c r="D28">
        <v>0</v>
      </c>
      <c r="E28">
        <v>35</v>
      </c>
      <c r="F28">
        <v>66.400000000000006</v>
      </c>
      <c r="G28">
        <v>102.4</v>
      </c>
      <c r="H28">
        <v>108</v>
      </c>
      <c r="I28">
        <v>29</v>
      </c>
      <c r="J28">
        <v>56.9</v>
      </c>
      <c r="K28">
        <v>75</v>
      </c>
      <c r="L28">
        <v>0</v>
      </c>
      <c r="M28">
        <v>126.9</v>
      </c>
      <c r="N28">
        <v>163</v>
      </c>
      <c r="O28">
        <v>111.8</v>
      </c>
      <c r="P28">
        <v>0</v>
      </c>
      <c r="Q28">
        <v>62</v>
      </c>
      <c r="R28">
        <v>21</v>
      </c>
      <c r="S28">
        <v>28</v>
      </c>
      <c r="T28">
        <v>68.2</v>
      </c>
      <c r="U28">
        <v>29</v>
      </c>
      <c r="V28">
        <v>41</v>
      </c>
      <c r="W28">
        <v>163.69999999999999</v>
      </c>
      <c r="X28">
        <v>29</v>
      </c>
      <c r="Y28">
        <v>0</v>
      </c>
      <c r="Z28">
        <v>278</v>
      </c>
      <c r="AA28">
        <v>103</v>
      </c>
      <c r="AB28">
        <v>3</v>
      </c>
      <c r="AC28">
        <v>16</v>
      </c>
      <c r="AD28">
        <v>0</v>
      </c>
      <c r="AE28">
        <v>0</v>
      </c>
      <c r="AF28">
        <v>0</v>
      </c>
      <c r="AH28">
        <v>1791.3000000000002</v>
      </c>
    </row>
    <row r="29" spans="1:34" x14ac:dyDescent="0.25">
      <c r="A29" s="1">
        <v>25</v>
      </c>
      <c r="B29">
        <v>0</v>
      </c>
      <c r="C29">
        <v>60</v>
      </c>
      <c r="D29">
        <v>0</v>
      </c>
      <c r="E29">
        <v>37</v>
      </c>
      <c r="F29">
        <v>71.8</v>
      </c>
      <c r="G29">
        <v>102.4</v>
      </c>
      <c r="H29">
        <v>118</v>
      </c>
      <c r="I29">
        <v>29</v>
      </c>
      <c r="J29">
        <v>57.9</v>
      </c>
      <c r="K29">
        <v>77</v>
      </c>
      <c r="L29">
        <v>0</v>
      </c>
      <c r="M29">
        <v>128.80000000000001</v>
      </c>
      <c r="N29">
        <v>170</v>
      </c>
      <c r="O29">
        <v>111.8</v>
      </c>
      <c r="P29">
        <v>0</v>
      </c>
      <c r="Q29">
        <v>63</v>
      </c>
      <c r="R29">
        <v>22</v>
      </c>
      <c r="S29">
        <v>28</v>
      </c>
      <c r="T29">
        <v>68.2</v>
      </c>
      <c r="U29">
        <v>32</v>
      </c>
      <c r="V29">
        <v>41</v>
      </c>
      <c r="W29">
        <v>167.5</v>
      </c>
      <c r="X29">
        <v>29</v>
      </c>
      <c r="Y29">
        <v>0</v>
      </c>
      <c r="Z29">
        <v>288.89999999999998</v>
      </c>
      <c r="AA29">
        <v>105</v>
      </c>
      <c r="AB29">
        <v>3</v>
      </c>
      <c r="AC29">
        <v>17</v>
      </c>
      <c r="AD29">
        <v>0</v>
      </c>
      <c r="AE29">
        <v>0</v>
      </c>
      <c r="AF29">
        <v>0</v>
      </c>
      <c r="AH29">
        <v>1828.3000000000002</v>
      </c>
    </row>
    <row r="30" spans="1:34" x14ac:dyDescent="0.25">
      <c r="A30" s="1">
        <v>26</v>
      </c>
      <c r="B30">
        <v>0</v>
      </c>
      <c r="C30">
        <v>60</v>
      </c>
      <c r="D30">
        <v>0</v>
      </c>
      <c r="E30">
        <v>37</v>
      </c>
      <c r="F30">
        <v>77.099999999999994</v>
      </c>
      <c r="G30">
        <v>101.4</v>
      </c>
      <c r="H30">
        <v>120</v>
      </c>
      <c r="I30">
        <v>30</v>
      </c>
      <c r="J30">
        <v>57.9</v>
      </c>
      <c r="K30">
        <v>76</v>
      </c>
      <c r="L30">
        <v>0</v>
      </c>
      <c r="M30">
        <v>134.69999999999999</v>
      </c>
      <c r="N30">
        <v>175</v>
      </c>
      <c r="O30">
        <v>111.8</v>
      </c>
      <c r="P30">
        <v>0</v>
      </c>
      <c r="Q30">
        <v>62</v>
      </c>
      <c r="R30">
        <v>22</v>
      </c>
      <c r="S30">
        <v>28</v>
      </c>
      <c r="T30">
        <v>64.900000000000006</v>
      </c>
      <c r="U30">
        <v>31</v>
      </c>
      <c r="V30">
        <v>41</v>
      </c>
      <c r="W30">
        <v>168.7</v>
      </c>
      <c r="X30">
        <v>29</v>
      </c>
      <c r="Y30">
        <v>0</v>
      </c>
      <c r="Z30">
        <v>305.8</v>
      </c>
      <c r="AA30">
        <v>103</v>
      </c>
      <c r="AB30">
        <v>3</v>
      </c>
      <c r="AC30">
        <v>17</v>
      </c>
      <c r="AD30">
        <v>0</v>
      </c>
      <c r="AE30">
        <v>0</v>
      </c>
      <c r="AF30">
        <v>0</v>
      </c>
      <c r="AH30">
        <v>1856.3</v>
      </c>
    </row>
    <row r="31" spans="1:34" x14ac:dyDescent="0.25">
      <c r="A31" s="1">
        <v>27</v>
      </c>
      <c r="B31">
        <v>0</v>
      </c>
      <c r="C31">
        <v>59</v>
      </c>
      <c r="D31">
        <v>0</v>
      </c>
      <c r="E31">
        <v>37</v>
      </c>
      <c r="F31">
        <v>81.5</v>
      </c>
      <c r="G31">
        <v>84.4</v>
      </c>
      <c r="H31">
        <v>123</v>
      </c>
      <c r="I31">
        <v>31</v>
      </c>
      <c r="J31">
        <v>57.9</v>
      </c>
      <c r="K31">
        <v>77</v>
      </c>
      <c r="L31">
        <v>0</v>
      </c>
      <c r="M31">
        <v>134.69999999999999</v>
      </c>
      <c r="N31">
        <v>178</v>
      </c>
      <c r="O31">
        <v>116.8</v>
      </c>
      <c r="P31">
        <v>0</v>
      </c>
      <c r="Q31">
        <v>63</v>
      </c>
      <c r="R31">
        <v>23</v>
      </c>
      <c r="S31">
        <v>28</v>
      </c>
      <c r="T31">
        <v>68.2</v>
      </c>
      <c r="U31">
        <v>19</v>
      </c>
      <c r="V31">
        <v>41</v>
      </c>
      <c r="W31">
        <v>179.7</v>
      </c>
      <c r="X31">
        <v>30</v>
      </c>
      <c r="Y31">
        <v>0</v>
      </c>
      <c r="Z31">
        <v>318</v>
      </c>
      <c r="AA31">
        <v>120</v>
      </c>
      <c r="AB31">
        <v>3</v>
      </c>
      <c r="AC31">
        <v>12</v>
      </c>
      <c r="AD31">
        <v>0</v>
      </c>
      <c r="AE31">
        <v>0</v>
      </c>
      <c r="AF31">
        <v>0</v>
      </c>
      <c r="AH31">
        <v>1885.2</v>
      </c>
    </row>
    <row r="32" spans="1:34" x14ac:dyDescent="0.25">
      <c r="A32" s="1">
        <v>28</v>
      </c>
      <c r="B32">
        <v>0</v>
      </c>
      <c r="C32">
        <v>57</v>
      </c>
      <c r="D32">
        <v>0</v>
      </c>
      <c r="E32">
        <v>38</v>
      </c>
      <c r="F32">
        <v>84.7</v>
      </c>
      <c r="G32">
        <v>86.4</v>
      </c>
      <c r="H32">
        <v>130</v>
      </c>
      <c r="I32">
        <v>34</v>
      </c>
      <c r="J32">
        <v>57.9</v>
      </c>
      <c r="K32">
        <v>77</v>
      </c>
      <c r="L32">
        <v>0</v>
      </c>
      <c r="M32">
        <v>132.80000000000001</v>
      </c>
      <c r="N32">
        <v>154</v>
      </c>
      <c r="O32">
        <v>117.9</v>
      </c>
      <c r="P32">
        <v>0</v>
      </c>
      <c r="Q32">
        <v>62</v>
      </c>
      <c r="R32">
        <v>22</v>
      </c>
      <c r="S32">
        <v>28</v>
      </c>
      <c r="T32">
        <v>70.599999999999994</v>
      </c>
      <c r="U32">
        <v>28</v>
      </c>
      <c r="V32">
        <v>41</v>
      </c>
      <c r="W32">
        <v>177.2</v>
      </c>
      <c r="X32">
        <v>30</v>
      </c>
      <c r="Y32">
        <v>0</v>
      </c>
      <c r="Z32">
        <v>322.7</v>
      </c>
      <c r="AA32">
        <v>97</v>
      </c>
      <c r="AB32">
        <v>3</v>
      </c>
      <c r="AC32">
        <v>14</v>
      </c>
      <c r="AD32">
        <v>0</v>
      </c>
      <c r="AE32">
        <v>0</v>
      </c>
      <c r="AF32">
        <v>0</v>
      </c>
      <c r="AH32">
        <v>1865.1999999999998</v>
      </c>
    </row>
    <row r="33" spans="1:34" x14ac:dyDescent="0.25">
      <c r="A33" s="1">
        <v>29</v>
      </c>
      <c r="B33">
        <v>0</v>
      </c>
      <c r="C33">
        <v>70</v>
      </c>
      <c r="D33">
        <v>0</v>
      </c>
      <c r="E33">
        <v>39</v>
      </c>
      <c r="F33">
        <v>85.7</v>
      </c>
      <c r="G33">
        <v>76</v>
      </c>
      <c r="H33">
        <v>130</v>
      </c>
      <c r="I33">
        <v>34</v>
      </c>
      <c r="J33">
        <v>57.9</v>
      </c>
      <c r="K33">
        <v>54</v>
      </c>
      <c r="L33">
        <v>0</v>
      </c>
      <c r="M33">
        <v>138.80000000000001</v>
      </c>
      <c r="N33">
        <v>156</v>
      </c>
      <c r="O33">
        <v>132.5</v>
      </c>
      <c r="P33">
        <v>0</v>
      </c>
      <c r="Q33">
        <v>64</v>
      </c>
      <c r="R33">
        <v>23</v>
      </c>
      <c r="S33">
        <v>28</v>
      </c>
      <c r="T33">
        <v>70.599999999999994</v>
      </c>
      <c r="U33">
        <v>29</v>
      </c>
      <c r="V33">
        <v>41</v>
      </c>
      <c r="W33">
        <v>179.4</v>
      </c>
      <c r="X33">
        <v>31</v>
      </c>
      <c r="Y33">
        <v>0</v>
      </c>
      <c r="Z33">
        <v>329.4</v>
      </c>
      <c r="AA33">
        <v>95</v>
      </c>
      <c r="AB33">
        <v>3</v>
      </c>
      <c r="AC33">
        <v>14</v>
      </c>
      <c r="AD33">
        <v>0</v>
      </c>
      <c r="AE33">
        <v>0</v>
      </c>
      <c r="AF33">
        <v>0</v>
      </c>
      <c r="AH33">
        <v>1881.2999999999997</v>
      </c>
    </row>
    <row r="34" spans="1:34" x14ac:dyDescent="0.25">
      <c r="A34" s="1">
        <v>30</v>
      </c>
      <c r="B34">
        <v>0</v>
      </c>
      <c r="C34">
        <v>67</v>
      </c>
      <c r="D34">
        <v>0</v>
      </c>
      <c r="E34">
        <v>39</v>
      </c>
      <c r="F34">
        <v>87.8</v>
      </c>
      <c r="G34">
        <v>78</v>
      </c>
      <c r="H34">
        <v>130</v>
      </c>
      <c r="I34">
        <v>34</v>
      </c>
      <c r="J34">
        <v>57.9</v>
      </c>
      <c r="K34">
        <v>56.1</v>
      </c>
      <c r="L34">
        <v>0</v>
      </c>
      <c r="M34">
        <v>131.4</v>
      </c>
      <c r="N34">
        <v>157</v>
      </c>
      <c r="O34">
        <v>137.5</v>
      </c>
      <c r="P34">
        <v>0</v>
      </c>
      <c r="Q34">
        <v>68</v>
      </c>
      <c r="R34">
        <v>22</v>
      </c>
      <c r="S34">
        <v>28</v>
      </c>
      <c r="T34">
        <v>70.599999999999994</v>
      </c>
      <c r="U34">
        <v>29</v>
      </c>
      <c r="V34">
        <v>41</v>
      </c>
      <c r="W34">
        <v>179.4</v>
      </c>
      <c r="X34">
        <v>30</v>
      </c>
      <c r="Y34">
        <v>0</v>
      </c>
      <c r="Z34">
        <v>342.4</v>
      </c>
      <c r="AA34">
        <v>112.1</v>
      </c>
      <c r="AB34">
        <v>3</v>
      </c>
      <c r="AC34">
        <v>14</v>
      </c>
      <c r="AD34">
        <v>0</v>
      </c>
      <c r="AE34">
        <v>0</v>
      </c>
      <c r="AF34">
        <v>0</v>
      </c>
      <c r="AH34">
        <v>1915.1999999999998</v>
      </c>
    </row>
    <row r="35" spans="1:34" x14ac:dyDescent="0.25">
      <c r="A35" s="1">
        <v>31</v>
      </c>
      <c r="B35">
        <v>0</v>
      </c>
      <c r="C35">
        <v>40</v>
      </c>
      <c r="D35">
        <v>0</v>
      </c>
      <c r="E35">
        <v>39</v>
      </c>
      <c r="F35">
        <v>87.8</v>
      </c>
      <c r="G35">
        <v>75</v>
      </c>
      <c r="H35">
        <v>147</v>
      </c>
      <c r="I35">
        <v>34</v>
      </c>
      <c r="J35">
        <v>57.9</v>
      </c>
      <c r="K35">
        <v>59.4</v>
      </c>
      <c r="L35">
        <v>0</v>
      </c>
      <c r="M35">
        <v>126.8</v>
      </c>
      <c r="N35">
        <v>158</v>
      </c>
      <c r="O35">
        <v>137.5</v>
      </c>
      <c r="P35">
        <v>0</v>
      </c>
      <c r="Q35">
        <v>73</v>
      </c>
      <c r="R35">
        <v>23</v>
      </c>
      <c r="S35">
        <v>28</v>
      </c>
      <c r="T35">
        <v>75.400000000000006</v>
      </c>
      <c r="U35">
        <v>29</v>
      </c>
      <c r="V35">
        <v>41</v>
      </c>
      <c r="W35">
        <v>176.4</v>
      </c>
      <c r="X35">
        <v>30</v>
      </c>
      <c r="Y35">
        <v>0</v>
      </c>
      <c r="Z35">
        <v>351.9</v>
      </c>
      <c r="AA35">
        <v>87</v>
      </c>
      <c r="AB35">
        <v>3</v>
      </c>
      <c r="AC35">
        <v>14</v>
      </c>
      <c r="AD35">
        <v>0</v>
      </c>
      <c r="AE35">
        <v>0</v>
      </c>
      <c r="AF35">
        <v>0</v>
      </c>
      <c r="AH35">
        <v>1894.1000000000004</v>
      </c>
    </row>
    <row r="36" spans="1:34" x14ac:dyDescent="0.25">
      <c r="A36" s="1">
        <v>32</v>
      </c>
      <c r="B36">
        <v>0</v>
      </c>
      <c r="C36">
        <v>36</v>
      </c>
      <c r="D36">
        <v>0</v>
      </c>
      <c r="E36">
        <v>39</v>
      </c>
      <c r="F36">
        <v>87.8</v>
      </c>
      <c r="G36">
        <v>75</v>
      </c>
      <c r="H36">
        <v>147</v>
      </c>
      <c r="I36">
        <v>34</v>
      </c>
      <c r="J36">
        <v>57.9</v>
      </c>
      <c r="K36">
        <v>65.3</v>
      </c>
      <c r="L36">
        <v>0</v>
      </c>
      <c r="M36">
        <v>137.80000000000001</v>
      </c>
      <c r="N36">
        <v>159</v>
      </c>
      <c r="O36">
        <v>137.1</v>
      </c>
      <c r="P36">
        <v>0</v>
      </c>
      <c r="Q36">
        <v>73</v>
      </c>
      <c r="R36">
        <v>23</v>
      </c>
      <c r="S36">
        <v>28</v>
      </c>
      <c r="T36">
        <v>78.3</v>
      </c>
      <c r="U36">
        <v>29</v>
      </c>
      <c r="V36">
        <v>42</v>
      </c>
      <c r="W36">
        <v>176.4</v>
      </c>
      <c r="X36">
        <v>35</v>
      </c>
      <c r="Y36">
        <v>0</v>
      </c>
      <c r="Z36">
        <v>357.8</v>
      </c>
      <c r="AA36">
        <v>88.1</v>
      </c>
      <c r="AB36">
        <v>3</v>
      </c>
      <c r="AC36">
        <v>14</v>
      </c>
      <c r="AD36">
        <v>0</v>
      </c>
      <c r="AE36">
        <v>0</v>
      </c>
      <c r="AF36">
        <v>0</v>
      </c>
      <c r="AH36">
        <v>1923.5</v>
      </c>
    </row>
    <row r="37" spans="1:34" x14ac:dyDescent="0.25">
      <c r="A37" s="1">
        <v>33</v>
      </c>
      <c r="B37">
        <v>0</v>
      </c>
      <c r="C37">
        <v>38</v>
      </c>
      <c r="D37">
        <v>0</v>
      </c>
      <c r="E37">
        <v>39</v>
      </c>
      <c r="F37">
        <v>87.8</v>
      </c>
      <c r="G37">
        <v>78</v>
      </c>
      <c r="H37">
        <v>150</v>
      </c>
      <c r="I37">
        <v>34</v>
      </c>
      <c r="J37">
        <v>56.9</v>
      </c>
      <c r="K37">
        <v>67.2</v>
      </c>
      <c r="L37">
        <v>0</v>
      </c>
      <c r="M37">
        <v>139.4</v>
      </c>
      <c r="N37">
        <v>160</v>
      </c>
      <c r="O37">
        <v>115.5</v>
      </c>
      <c r="P37">
        <v>0</v>
      </c>
      <c r="Q37">
        <v>73</v>
      </c>
      <c r="R37">
        <v>23</v>
      </c>
      <c r="S37">
        <v>28</v>
      </c>
      <c r="T37">
        <v>84</v>
      </c>
      <c r="U37">
        <v>20</v>
      </c>
      <c r="V37">
        <v>43</v>
      </c>
      <c r="W37">
        <v>176.4</v>
      </c>
      <c r="X37">
        <v>34</v>
      </c>
      <c r="Y37">
        <v>0</v>
      </c>
      <c r="Z37">
        <v>367.1</v>
      </c>
      <c r="AA37">
        <v>84.1</v>
      </c>
      <c r="AB37">
        <v>3</v>
      </c>
      <c r="AC37">
        <v>14</v>
      </c>
      <c r="AD37">
        <v>0</v>
      </c>
      <c r="AE37">
        <v>0</v>
      </c>
      <c r="AF37">
        <v>0</v>
      </c>
      <c r="AH37">
        <v>1915.4</v>
      </c>
    </row>
    <row r="38" spans="1:34" x14ac:dyDescent="0.25">
      <c r="A38" s="1">
        <v>34</v>
      </c>
      <c r="B38">
        <v>0</v>
      </c>
      <c r="C38">
        <v>40</v>
      </c>
      <c r="D38">
        <v>0</v>
      </c>
      <c r="E38">
        <v>40</v>
      </c>
      <c r="F38">
        <v>88.8</v>
      </c>
      <c r="G38">
        <v>70</v>
      </c>
      <c r="H38">
        <v>152</v>
      </c>
      <c r="I38">
        <v>34</v>
      </c>
      <c r="J38">
        <v>56.9</v>
      </c>
      <c r="K38">
        <v>70.2</v>
      </c>
      <c r="L38">
        <v>0</v>
      </c>
      <c r="M38">
        <v>144.19999999999999</v>
      </c>
      <c r="N38">
        <v>160</v>
      </c>
      <c r="O38">
        <v>116.9</v>
      </c>
      <c r="P38">
        <v>0</v>
      </c>
      <c r="Q38">
        <v>73</v>
      </c>
      <c r="R38">
        <v>23</v>
      </c>
      <c r="S38">
        <v>31</v>
      </c>
      <c r="T38">
        <v>75.5</v>
      </c>
      <c r="U38">
        <v>20</v>
      </c>
      <c r="V38">
        <v>43</v>
      </c>
      <c r="W38">
        <v>176.4</v>
      </c>
      <c r="X38">
        <v>34</v>
      </c>
      <c r="Y38">
        <v>0</v>
      </c>
      <c r="Z38">
        <v>381.29999999999899</v>
      </c>
      <c r="AA38">
        <v>84.1</v>
      </c>
      <c r="AB38">
        <v>3</v>
      </c>
      <c r="AC38">
        <v>14</v>
      </c>
      <c r="AD38">
        <v>0</v>
      </c>
      <c r="AE38">
        <v>0</v>
      </c>
      <c r="AF38">
        <v>0</v>
      </c>
      <c r="AH38">
        <v>1931.299999999999</v>
      </c>
    </row>
    <row r="39" spans="1:34" x14ac:dyDescent="0.25">
      <c r="A39" s="1">
        <v>35</v>
      </c>
      <c r="B39">
        <v>0</v>
      </c>
      <c r="C39">
        <v>29</v>
      </c>
      <c r="D39">
        <v>0</v>
      </c>
      <c r="E39">
        <v>40</v>
      </c>
      <c r="F39">
        <v>89.8</v>
      </c>
      <c r="G39">
        <v>72.099999999999994</v>
      </c>
      <c r="H39">
        <v>155</v>
      </c>
      <c r="I39">
        <v>34</v>
      </c>
      <c r="J39">
        <v>57.9</v>
      </c>
      <c r="K39">
        <v>74.3</v>
      </c>
      <c r="L39">
        <v>0</v>
      </c>
      <c r="M39">
        <v>140.4</v>
      </c>
      <c r="N39">
        <v>160</v>
      </c>
      <c r="O39">
        <v>126.3</v>
      </c>
      <c r="P39">
        <v>0</v>
      </c>
      <c r="Q39">
        <v>73</v>
      </c>
      <c r="R39">
        <v>23</v>
      </c>
      <c r="S39">
        <v>31</v>
      </c>
      <c r="T39">
        <v>79.7</v>
      </c>
      <c r="U39">
        <v>18</v>
      </c>
      <c r="V39">
        <v>43</v>
      </c>
      <c r="W39">
        <v>177.4</v>
      </c>
      <c r="X39">
        <v>34</v>
      </c>
      <c r="Y39">
        <v>0</v>
      </c>
      <c r="Z39">
        <v>396.29999999999899</v>
      </c>
      <c r="AA39">
        <v>76.099999999999994</v>
      </c>
      <c r="AB39">
        <v>3</v>
      </c>
      <c r="AC39">
        <v>14</v>
      </c>
      <c r="AD39">
        <v>0</v>
      </c>
      <c r="AE39">
        <v>0</v>
      </c>
      <c r="AF39">
        <v>0</v>
      </c>
      <c r="AH39">
        <v>1947.2999999999988</v>
      </c>
    </row>
    <row r="40" spans="1:34" x14ac:dyDescent="0.25">
      <c r="A40" s="1">
        <v>36</v>
      </c>
      <c r="B40">
        <v>0</v>
      </c>
      <c r="C40">
        <v>30</v>
      </c>
      <c r="D40">
        <v>0</v>
      </c>
      <c r="E40">
        <v>41</v>
      </c>
      <c r="F40">
        <v>89.8</v>
      </c>
      <c r="G40">
        <v>72.099999999999994</v>
      </c>
      <c r="H40">
        <v>158</v>
      </c>
      <c r="I40">
        <v>35</v>
      </c>
      <c r="J40">
        <v>56.9</v>
      </c>
      <c r="K40">
        <v>75.099999999999994</v>
      </c>
      <c r="L40">
        <v>0</v>
      </c>
      <c r="M40">
        <v>140.4</v>
      </c>
      <c r="N40">
        <v>160</v>
      </c>
      <c r="O40">
        <v>126.3</v>
      </c>
      <c r="P40">
        <v>0</v>
      </c>
      <c r="Q40">
        <v>73</v>
      </c>
      <c r="R40">
        <v>22</v>
      </c>
      <c r="S40">
        <v>31</v>
      </c>
      <c r="T40">
        <v>80.7</v>
      </c>
      <c r="U40">
        <v>18</v>
      </c>
      <c r="V40">
        <v>43</v>
      </c>
      <c r="W40">
        <v>177.4</v>
      </c>
      <c r="X40">
        <v>37</v>
      </c>
      <c r="Y40">
        <v>0</v>
      </c>
      <c r="Z40">
        <v>403.1</v>
      </c>
      <c r="AA40">
        <v>77.099999999999994</v>
      </c>
      <c r="AB40">
        <v>3</v>
      </c>
      <c r="AC40">
        <v>14</v>
      </c>
      <c r="AD40">
        <v>0</v>
      </c>
      <c r="AE40">
        <v>0</v>
      </c>
      <c r="AF40">
        <v>0</v>
      </c>
      <c r="AH40">
        <v>1963.9</v>
      </c>
    </row>
    <row r="41" spans="1:34" x14ac:dyDescent="0.25">
      <c r="A41" s="1">
        <v>37</v>
      </c>
      <c r="B41">
        <v>0</v>
      </c>
      <c r="C41">
        <v>35</v>
      </c>
      <c r="D41">
        <v>0</v>
      </c>
      <c r="E41">
        <v>44</v>
      </c>
      <c r="F41">
        <v>91.8</v>
      </c>
      <c r="G41">
        <v>55.6</v>
      </c>
      <c r="H41">
        <v>160.69999999999999</v>
      </c>
      <c r="I41">
        <v>41</v>
      </c>
      <c r="J41">
        <v>72.900000000000006</v>
      </c>
      <c r="K41">
        <v>78.099999999999994</v>
      </c>
      <c r="L41">
        <v>0</v>
      </c>
      <c r="M41">
        <v>143</v>
      </c>
      <c r="N41">
        <v>168</v>
      </c>
      <c r="O41">
        <v>126.3</v>
      </c>
      <c r="P41">
        <v>0</v>
      </c>
      <c r="Q41">
        <v>74.900000000000006</v>
      </c>
      <c r="R41">
        <v>0</v>
      </c>
      <c r="S41">
        <v>32</v>
      </c>
      <c r="T41">
        <v>81.7</v>
      </c>
      <c r="U41">
        <v>22</v>
      </c>
      <c r="V41">
        <v>24</v>
      </c>
      <c r="W41">
        <v>177.4</v>
      </c>
      <c r="X41">
        <v>40</v>
      </c>
      <c r="Y41">
        <v>0</v>
      </c>
      <c r="Z41">
        <v>416.1</v>
      </c>
      <c r="AA41">
        <v>64</v>
      </c>
      <c r="AB41">
        <v>3</v>
      </c>
      <c r="AC41">
        <v>8</v>
      </c>
      <c r="AD41">
        <v>0</v>
      </c>
      <c r="AE41">
        <v>0</v>
      </c>
      <c r="AF41">
        <v>0</v>
      </c>
      <c r="AH41">
        <v>1959.5</v>
      </c>
    </row>
    <row r="42" spans="1:34" x14ac:dyDescent="0.25">
      <c r="A42" s="1">
        <v>38</v>
      </c>
      <c r="B42">
        <v>0</v>
      </c>
      <c r="C42">
        <v>21</v>
      </c>
      <c r="D42">
        <v>0</v>
      </c>
      <c r="E42">
        <v>46</v>
      </c>
      <c r="F42">
        <v>92.8</v>
      </c>
      <c r="G42">
        <v>58.6</v>
      </c>
      <c r="H42">
        <v>161.69999999999999</v>
      </c>
      <c r="I42">
        <v>41</v>
      </c>
      <c r="J42">
        <v>73.900000000000006</v>
      </c>
      <c r="K42">
        <v>78.099999999999994</v>
      </c>
      <c r="L42">
        <v>0</v>
      </c>
      <c r="M42">
        <v>146</v>
      </c>
      <c r="N42">
        <v>164</v>
      </c>
      <c r="O42">
        <v>128</v>
      </c>
      <c r="P42">
        <v>0</v>
      </c>
      <c r="Q42">
        <v>77</v>
      </c>
      <c r="R42">
        <v>0</v>
      </c>
      <c r="S42">
        <v>31</v>
      </c>
      <c r="T42">
        <v>87.7</v>
      </c>
      <c r="U42">
        <v>20</v>
      </c>
      <c r="V42">
        <v>25</v>
      </c>
      <c r="W42">
        <v>177.4</v>
      </c>
      <c r="X42">
        <v>40</v>
      </c>
      <c r="Y42">
        <v>0</v>
      </c>
      <c r="Z42">
        <v>425.1</v>
      </c>
      <c r="AA42">
        <v>55</v>
      </c>
      <c r="AB42">
        <v>3</v>
      </c>
      <c r="AC42">
        <v>8</v>
      </c>
      <c r="AD42">
        <v>0</v>
      </c>
      <c r="AE42">
        <v>0</v>
      </c>
      <c r="AF42">
        <v>0</v>
      </c>
      <c r="AH42">
        <v>1960.3000000000002</v>
      </c>
    </row>
    <row r="43" spans="1:34" x14ac:dyDescent="0.25">
      <c r="A43" s="1">
        <v>39</v>
      </c>
      <c r="B43">
        <v>0</v>
      </c>
      <c r="C43">
        <v>21</v>
      </c>
      <c r="D43">
        <v>0</v>
      </c>
      <c r="E43">
        <v>46</v>
      </c>
      <c r="F43">
        <v>96.8</v>
      </c>
      <c r="G43">
        <v>58.6</v>
      </c>
      <c r="H43">
        <v>162.69999999999999</v>
      </c>
      <c r="I43">
        <v>43</v>
      </c>
      <c r="J43">
        <v>82.9</v>
      </c>
      <c r="K43">
        <v>81.400000000000006</v>
      </c>
      <c r="L43">
        <v>0</v>
      </c>
      <c r="M43">
        <v>155</v>
      </c>
      <c r="N43">
        <v>138</v>
      </c>
      <c r="O43">
        <v>131</v>
      </c>
      <c r="P43">
        <v>0</v>
      </c>
      <c r="Q43">
        <v>78</v>
      </c>
      <c r="R43">
        <v>0</v>
      </c>
      <c r="S43">
        <v>31</v>
      </c>
      <c r="T43">
        <v>104.69999999999899</v>
      </c>
      <c r="U43">
        <v>20</v>
      </c>
      <c r="V43">
        <v>27</v>
      </c>
      <c r="W43">
        <v>173</v>
      </c>
      <c r="X43">
        <v>41</v>
      </c>
      <c r="Y43">
        <v>0</v>
      </c>
      <c r="Z43">
        <v>427.1</v>
      </c>
      <c r="AA43">
        <v>55</v>
      </c>
      <c r="AB43">
        <v>3</v>
      </c>
      <c r="AC43">
        <v>8</v>
      </c>
      <c r="AD43">
        <v>0</v>
      </c>
      <c r="AE43">
        <v>0</v>
      </c>
      <c r="AF43">
        <v>0</v>
      </c>
      <c r="AH43">
        <v>1984.1999999999989</v>
      </c>
    </row>
    <row r="44" spans="1:34" x14ac:dyDescent="0.25">
      <c r="A44" s="1">
        <v>40</v>
      </c>
      <c r="B44">
        <v>0</v>
      </c>
      <c r="C44">
        <v>9</v>
      </c>
      <c r="D44">
        <v>0</v>
      </c>
      <c r="E44">
        <v>46</v>
      </c>
      <c r="F44">
        <v>98.8</v>
      </c>
      <c r="G44">
        <v>41</v>
      </c>
      <c r="H44">
        <v>168.7</v>
      </c>
      <c r="I44">
        <v>43</v>
      </c>
      <c r="J44">
        <v>88.9</v>
      </c>
      <c r="K44">
        <v>83.7</v>
      </c>
      <c r="L44">
        <v>0</v>
      </c>
      <c r="M44">
        <v>151.19999999999999</v>
      </c>
      <c r="N44">
        <v>132</v>
      </c>
      <c r="O44">
        <v>134</v>
      </c>
      <c r="P44">
        <v>0</v>
      </c>
      <c r="Q44">
        <v>78</v>
      </c>
      <c r="R44">
        <v>0</v>
      </c>
      <c r="S44">
        <v>32</v>
      </c>
      <c r="T44">
        <v>107.9</v>
      </c>
      <c r="U44">
        <v>1</v>
      </c>
      <c r="V44">
        <v>33</v>
      </c>
      <c r="W44">
        <v>178.4</v>
      </c>
      <c r="X44">
        <v>41</v>
      </c>
      <c r="Y44">
        <v>0</v>
      </c>
      <c r="Z44">
        <v>429.2</v>
      </c>
      <c r="AA44">
        <v>55</v>
      </c>
      <c r="AB44">
        <v>3</v>
      </c>
      <c r="AC44">
        <v>8</v>
      </c>
      <c r="AD44">
        <v>0</v>
      </c>
      <c r="AE44">
        <v>0</v>
      </c>
      <c r="AF44">
        <v>0</v>
      </c>
      <c r="AH44">
        <v>1962.8000000000002</v>
      </c>
    </row>
    <row r="45" spans="1:34" x14ac:dyDescent="0.25">
      <c r="A45" s="1">
        <v>41</v>
      </c>
      <c r="B45">
        <v>0</v>
      </c>
      <c r="C45">
        <v>0</v>
      </c>
      <c r="D45">
        <v>0</v>
      </c>
      <c r="E45">
        <v>47</v>
      </c>
      <c r="F45">
        <v>102.6</v>
      </c>
      <c r="G45">
        <v>44</v>
      </c>
      <c r="H45">
        <v>167.7</v>
      </c>
      <c r="I45">
        <v>43</v>
      </c>
      <c r="J45">
        <v>97.9</v>
      </c>
      <c r="K45">
        <v>83.7</v>
      </c>
      <c r="L45">
        <v>0</v>
      </c>
      <c r="M45">
        <v>153.80000000000001</v>
      </c>
      <c r="N45">
        <v>132</v>
      </c>
      <c r="O45">
        <v>140</v>
      </c>
      <c r="P45">
        <v>0</v>
      </c>
      <c r="Q45">
        <v>78</v>
      </c>
      <c r="R45">
        <v>0</v>
      </c>
      <c r="S45">
        <v>32</v>
      </c>
      <c r="T45">
        <v>95.6</v>
      </c>
      <c r="U45">
        <v>1</v>
      </c>
      <c r="V45">
        <v>38</v>
      </c>
      <c r="W45">
        <v>179.4</v>
      </c>
      <c r="X45">
        <v>42</v>
      </c>
      <c r="Y45">
        <v>0</v>
      </c>
      <c r="Z45">
        <v>421.2</v>
      </c>
      <c r="AA45">
        <v>70.8</v>
      </c>
      <c r="AB45">
        <v>3</v>
      </c>
      <c r="AC45">
        <v>8</v>
      </c>
      <c r="AD45">
        <v>0</v>
      </c>
      <c r="AE45">
        <v>0</v>
      </c>
      <c r="AF45">
        <v>0</v>
      </c>
      <c r="AH45">
        <v>1980.7</v>
      </c>
    </row>
    <row r="46" spans="1:34" x14ac:dyDescent="0.25">
      <c r="A46" s="1">
        <v>42</v>
      </c>
      <c r="B46">
        <v>0</v>
      </c>
      <c r="C46">
        <v>0</v>
      </c>
      <c r="D46">
        <v>0</v>
      </c>
      <c r="E46">
        <v>48</v>
      </c>
      <c r="F46">
        <v>106.6</v>
      </c>
      <c r="G46">
        <v>47</v>
      </c>
      <c r="H46">
        <v>177.5</v>
      </c>
      <c r="I46">
        <v>40</v>
      </c>
      <c r="J46">
        <v>101.6</v>
      </c>
      <c r="K46">
        <v>75.7</v>
      </c>
      <c r="L46">
        <v>0</v>
      </c>
      <c r="M46">
        <v>160.80000000000001</v>
      </c>
      <c r="N46">
        <v>137</v>
      </c>
      <c r="O46">
        <v>143.30000000000001</v>
      </c>
      <c r="P46">
        <v>0</v>
      </c>
      <c r="Q46">
        <v>84</v>
      </c>
      <c r="R46">
        <v>0</v>
      </c>
      <c r="S46">
        <v>32</v>
      </c>
      <c r="T46">
        <v>86.3</v>
      </c>
      <c r="U46">
        <v>1</v>
      </c>
      <c r="V46">
        <v>42</v>
      </c>
      <c r="W46">
        <v>191.8</v>
      </c>
      <c r="X46">
        <v>42</v>
      </c>
      <c r="Y46">
        <v>0</v>
      </c>
      <c r="Z46">
        <v>426.2</v>
      </c>
      <c r="AA46">
        <v>69.2</v>
      </c>
      <c r="AB46">
        <v>3</v>
      </c>
      <c r="AC46">
        <v>8</v>
      </c>
      <c r="AD46">
        <v>0</v>
      </c>
      <c r="AE46">
        <v>0</v>
      </c>
      <c r="AF46">
        <v>0</v>
      </c>
      <c r="AH46">
        <v>2023</v>
      </c>
    </row>
    <row r="47" spans="1:34" x14ac:dyDescent="0.25">
      <c r="A47" s="1">
        <v>43</v>
      </c>
      <c r="B47">
        <v>0</v>
      </c>
      <c r="C47">
        <v>0</v>
      </c>
      <c r="D47">
        <v>0</v>
      </c>
      <c r="E47">
        <v>48</v>
      </c>
      <c r="F47">
        <v>109.6</v>
      </c>
      <c r="G47">
        <v>48</v>
      </c>
      <c r="H47">
        <v>179.6</v>
      </c>
      <c r="I47">
        <v>40</v>
      </c>
      <c r="J47">
        <v>103.6</v>
      </c>
      <c r="K47">
        <v>57.7</v>
      </c>
      <c r="L47">
        <v>0</v>
      </c>
      <c r="M47">
        <v>161.80000000000001</v>
      </c>
      <c r="N47">
        <v>129</v>
      </c>
      <c r="O47">
        <v>149.69999999999999</v>
      </c>
      <c r="P47">
        <v>0</v>
      </c>
      <c r="Q47">
        <v>85</v>
      </c>
      <c r="R47">
        <v>0</v>
      </c>
      <c r="S47">
        <v>35</v>
      </c>
      <c r="T47">
        <v>92.8</v>
      </c>
      <c r="U47">
        <v>3</v>
      </c>
      <c r="V47">
        <v>45</v>
      </c>
      <c r="W47">
        <v>202.5</v>
      </c>
      <c r="X47">
        <v>42</v>
      </c>
      <c r="Y47">
        <v>0</v>
      </c>
      <c r="Z47">
        <v>430.4</v>
      </c>
      <c r="AA47">
        <v>70.2</v>
      </c>
      <c r="AB47">
        <v>3</v>
      </c>
      <c r="AC47">
        <v>8</v>
      </c>
      <c r="AD47">
        <v>0</v>
      </c>
      <c r="AE47">
        <v>0</v>
      </c>
      <c r="AF47">
        <v>0</v>
      </c>
      <c r="AH47">
        <v>2043.8999999999999</v>
      </c>
    </row>
    <row r="48" spans="1:34" x14ac:dyDescent="0.25">
      <c r="A48" s="1">
        <v>44</v>
      </c>
      <c r="B48">
        <v>0</v>
      </c>
      <c r="C48">
        <v>0</v>
      </c>
      <c r="D48">
        <v>0</v>
      </c>
      <c r="E48">
        <v>48</v>
      </c>
      <c r="F48">
        <v>113.6</v>
      </c>
      <c r="G48">
        <v>50.6</v>
      </c>
      <c r="H48">
        <v>180.7</v>
      </c>
      <c r="I48">
        <v>37</v>
      </c>
      <c r="J48">
        <v>104.6</v>
      </c>
      <c r="K48">
        <v>60.8</v>
      </c>
      <c r="L48">
        <v>0</v>
      </c>
      <c r="M48">
        <v>173.8</v>
      </c>
      <c r="N48">
        <v>118</v>
      </c>
      <c r="O48">
        <v>152.69999999999999</v>
      </c>
      <c r="P48">
        <v>0</v>
      </c>
      <c r="Q48">
        <v>85</v>
      </c>
      <c r="R48">
        <v>0</v>
      </c>
      <c r="S48">
        <v>38</v>
      </c>
      <c r="T48">
        <v>104.1</v>
      </c>
      <c r="U48">
        <v>0</v>
      </c>
      <c r="V48">
        <v>48</v>
      </c>
      <c r="W48">
        <v>204.3</v>
      </c>
      <c r="X48">
        <v>42</v>
      </c>
      <c r="Y48">
        <v>0</v>
      </c>
      <c r="Z48">
        <v>416.1</v>
      </c>
      <c r="AA48">
        <v>70.2</v>
      </c>
      <c r="AB48">
        <v>3</v>
      </c>
      <c r="AC48">
        <v>8</v>
      </c>
      <c r="AD48">
        <v>0</v>
      </c>
      <c r="AE48">
        <v>0</v>
      </c>
      <c r="AF48">
        <v>0</v>
      </c>
      <c r="AH48">
        <v>2058.5</v>
      </c>
    </row>
    <row r="49" spans="1:34" x14ac:dyDescent="0.25">
      <c r="A49" s="1">
        <v>45</v>
      </c>
      <c r="B49">
        <v>0</v>
      </c>
      <c r="C49">
        <v>0</v>
      </c>
      <c r="D49">
        <v>0</v>
      </c>
      <c r="E49">
        <v>48</v>
      </c>
      <c r="F49">
        <v>91.6</v>
      </c>
      <c r="G49">
        <v>49.6</v>
      </c>
      <c r="H49">
        <v>179.7</v>
      </c>
      <c r="I49">
        <v>37</v>
      </c>
      <c r="J49">
        <v>104.6</v>
      </c>
      <c r="K49">
        <v>72.8</v>
      </c>
      <c r="L49">
        <v>0</v>
      </c>
      <c r="M49">
        <v>173.8</v>
      </c>
      <c r="N49">
        <v>125</v>
      </c>
      <c r="O49">
        <v>161</v>
      </c>
      <c r="P49">
        <v>0</v>
      </c>
      <c r="Q49">
        <v>84</v>
      </c>
      <c r="R49">
        <v>0</v>
      </c>
      <c r="S49">
        <v>41</v>
      </c>
      <c r="T49">
        <v>111.8</v>
      </c>
      <c r="U49">
        <v>0</v>
      </c>
      <c r="V49">
        <v>48</v>
      </c>
      <c r="W49">
        <v>202.4</v>
      </c>
      <c r="X49">
        <v>43</v>
      </c>
      <c r="Y49">
        <v>0</v>
      </c>
      <c r="Z49">
        <v>425.5</v>
      </c>
      <c r="AA49">
        <v>78.2</v>
      </c>
      <c r="AB49">
        <v>3</v>
      </c>
      <c r="AC49">
        <v>8</v>
      </c>
      <c r="AD49">
        <v>0</v>
      </c>
      <c r="AE49">
        <v>0</v>
      </c>
      <c r="AF49">
        <v>0</v>
      </c>
      <c r="AH49">
        <v>2088</v>
      </c>
    </row>
    <row r="50" spans="1:34" x14ac:dyDescent="0.25">
      <c r="A50" s="1">
        <v>46</v>
      </c>
      <c r="B50">
        <v>0</v>
      </c>
      <c r="C50">
        <v>0</v>
      </c>
      <c r="D50">
        <v>0</v>
      </c>
      <c r="E50">
        <v>48</v>
      </c>
      <c r="F50">
        <v>91.6</v>
      </c>
      <c r="G50">
        <v>37.700000000000003</v>
      </c>
      <c r="H50">
        <v>180.7</v>
      </c>
      <c r="I50">
        <v>30</v>
      </c>
      <c r="J50">
        <v>122.6</v>
      </c>
      <c r="K50">
        <v>75.8</v>
      </c>
      <c r="L50">
        <v>0</v>
      </c>
      <c r="M50">
        <v>189.8</v>
      </c>
      <c r="N50">
        <v>123</v>
      </c>
      <c r="O50">
        <v>162</v>
      </c>
      <c r="P50">
        <v>0</v>
      </c>
      <c r="Q50">
        <v>85</v>
      </c>
      <c r="R50">
        <v>0</v>
      </c>
      <c r="S50">
        <v>41</v>
      </c>
      <c r="T50">
        <v>118.1</v>
      </c>
      <c r="U50">
        <v>0</v>
      </c>
      <c r="V50">
        <v>48</v>
      </c>
      <c r="W50">
        <v>207.3</v>
      </c>
      <c r="X50">
        <v>43</v>
      </c>
      <c r="Y50">
        <v>0</v>
      </c>
      <c r="Z50">
        <v>409.29999999999899</v>
      </c>
      <c r="AA50">
        <v>72.2</v>
      </c>
      <c r="AB50">
        <v>3</v>
      </c>
      <c r="AC50">
        <v>8</v>
      </c>
      <c r="AD50">
        <v>0</v>
      </c>
      <c r="AE50">
        <v>0</v>
      </c>
      <c r="AF50">
        <v>0</v>
      </c>
      <c r="AH50">
        <v>2096.099999999999</v>
      </c>
    </row>
    <row r="51" spans="1:34" x14ac:dyDescent="0.25">
      <c r="A51" s="1">
        <v>47</v>
      </c>
      <c r="B51">
        <v>0</v>
      </c>
      <c r="C51">
        <v>0</v>
      </c>
      <c r="D51">
        <v>0</v>
      </c>
      <c r="E51">
        <v>48</v>
      </c>
      <c r="F51">
        <v>90.6</v>
      </c>
      <c r="G51">
        <v>49.8</v>
      </c>
      <c r="H51">
        <v>180.7</v>
      </c>
      <c r="I51">
        <v>30</v>
      </c>
      <c r="J51">
        <v>122.8</v>
      </c>
      <c r="K51">
        <v>77.8</v>
      </c>
      <c r="L51">
        <v>0</v>
      </c>
      <c r="M51">
        <v>199.6</v>
      </c>
      <c r="N51">
        <v>125</v>
      </c>
      <c r="O51">
        <v>165.6</v>
      </c>
      <c r="P51">
        <v>0</v>
      </c>
      <c r="Q51">
        <v>85</v>
      </c>
      <c r="R51">
        <v>0</v>
      </c>
      <c r="S51">
        <v>41</v>
      </c>
      <c r="T51">
        <v>118.4</v>
      </c>
      <c r="U51">
        <v>0</v>
      </c>
      <c r="V51">
        <v>48</v>
      </c>
      <c r="W51">
        <v>213.7</v>
      </c>
      <c r="X51">
        <v>49</v>
      </c>
      <c r="Y51">
        <v>0</v>
      </c>
      <c r="Z51">
        <v>371.3</v>
      </c>
      <c r="AA51">
        <v>74.2</v>
      </c>
      <c r="AB51">
        <v>3</v>
      </c>
      <c r="AC51">
        <v>0</v>
      </c>
      <c r="AD51">
        <v>0</v>
      </c>
      <c r="AE51">
        <v>0</v>
      </c>
      <c r="AF51">
        <v>0</v>
      </c>
      <c r="AH51">
        <v>2093.5</v>
      </c>
    </row>
    <row r="52" spans="1:34" x14ac:dyDescent="0.25">
      <c r="A52" s="1">
        <v>48</v>
      </c>
      <c r="B52">
        <v>0</v>
      </c>
      <c r="C52">
        <v>0</v>
      </c>
      <c r="D52">
        <v>0</v>
      </c>
      <c r="E52">
        <v>48</v>
      </c>
      <c r="F52">
        <v>91.6</v>
      </c>
      <c r="G52">
        <v>49.6</v>
      </c>
      <c r="H52">
        <v>180.7</v>
      </c>
      <c r="I52">
        <v>12</v>
      </c>
      <c r="J52">
        <v>142.4</v>
      </c>
      <c r="K52">
        <v>82.8</v>
      </c>
      <c r="L52">
        <v>0</v>
      </c>
      <c r="M52">
        <v>200.6</v>
      </c>
      <c r="N52">
        <v>108</v>
      </c>
      <c r="O52">
        <v>178.3</v>
      </c>
      <c r="P52">
        <v>0</v>
      </c>
      <c r="Q52">
        <v>85</v>
      </c>
      <c r="R52">
        <v>0</v>
      </c>
      <c r="S52">
        <v>41</v>
      </c>
      <c r="T52">
        <v>120.8</v>
      </c>
      <c r="U52">
        <v>0</v>
      </c>
      <c r="V52">
        <v>48</v>
      </c>
      <c r="W52">
        <v>212.3</v>
      </c>
      <c r="X52">
        <v>49</v>
      </c>
      <c r="Y52">
        <v>0</v>
      </c>
      <c r="Z52">
        <v>362.7</v>
      </c>
      <c r="AA52">
        <v>62</v>
      </c>
      <c r="AB52">
        <v>3</v>
      </c>
      <c r="AC52">
        <v>0</v>
      </c>
      <c r="AD52">
        <v>0</v>
      </c>
      <c r="AE52">
        <v>0</v>
      </c>
      <c r="AF52">
        <v>0</v>
      </c>
      <c r="AH52">
        <v>2077.8000000000002</v>
      </c>
    </row>
    <row r="53" spans="1:34" x14ac:dyDescent="0.25">
      <c r="A53" s="1">
        <v>49</v>
      </c>
      <c r="B53">
        <v>0</v>
      </c>
      <c r="C53">
        <v>0</v>
      </c>
      <c r="D53">
        <v>0</v>
      </c>
      <c r="E53">
        <v>49</v>
      </c>
      <c r="F53">
        <v>90.6</v>
      </c>
      <c r="G53">
        <v>49.6</v>
      </c>
      <c r="H53">
        <v>182.7</v>
      </c>
      <c r="I53">
        <v>15</v>
      </c>
      <c r="J53">
        <v>137.4</v>
      </c>
      <c r="K53">
        <v>85.8</v>
      </c>
      <c r="L53">
        <v>0</v>
      </c>
      <c r="M53">
        <v>206.6</v>
      </c>
      <c r="N53">
        <v>115</v>
      </c>
      <c r="O53">
        <v>189.5</v>
      </c>
      <c r="P53">
        <v>0</v>
      </c>
      <c r="Q53">
        <v>87</v>
      </c>
      <c r="R53">
        <v>0</v>
      </c>
      <c r="S53">
        <v>41</v>
      </c>
      <c r="T53">
        <v>121.9</v>
      </c>
      <c r="U53">
        <v>0</v>
      </c>
      <c r="V53">
        <v>48</v>
      </c>
      <c r="W53">
        <v>209.2</v>
      </c>
      <c r="X53">
        <v>48</v>
      </c>
      <c r="Y53">
        <v>0</v>
      </c>
      <c r="Z53">
        <v>364.7</v>
      </c>
      <c r="AA53">
        <v>64</v>
      </c>
      <c r="AB53">
        <v>3</v>
      </c>
      <c r="AC53">
        <v>0</v>
      </c>
      <c r="AD53">
        <v>0</v>
      </c>
      <c r="AE53">
        <v>0</v>
      </c>
      <c r="AF53">
        <v>0</v>
      </c>
      <c r="AH53">
        <v>2108</v>
      </c>
    </row>
    <row r="54" spans="1:34" x14ac:dyDescent="0.25">
      <c r="A54" s="1">
        <v>50</v>
      </c>
      <c r="B54">
        <v>0</v>
      </c>
      <c r="C54">
        <v>0</v>
      </c>
      <c r="D54">
        <v>0</v>
      </c>
      <c r="E54">
        <v>52</v>
      </c>
      <c r="F54">
        <v>91.6</v>
      </c>
      <c r="G54">
        <v>49.6</v>
      </c>
      <c r="H54">
        <v>181.7</v>
      </c>
      <c r="I54">
        <v>18</v>
      </c>
      <c r="J54">
        <v>142.5</v>
      </c>
      <c r="K54">
        <v>90.1</v>
      </c>
      <c r="L54">
        <v>0</v>
      </c>
      <c r="M54">
        <v>207.6</v>
      </c>
      <c r="N54">
        <v>119</v>
      </c>
      <c r="O54">
        <v>189.5</v>
      </c>
      <c r="P54">
        <v>0</v>
      </c>
      <c r="Q54">
        <v>90</v>
      </c>
      <c r="R54">
        <v>0</v>
      </c>
      <c r="S54">
        <v>41</v>
      </c>
      <c r="T54">
        <v>120.3</v>
      </c>
      <c r="U54">
        <v>0</v>
      </c>
      <c r="V54">
        <v>48</v>
      </c>
      <c r="W54">
        <v>209.2</v>
      </c>
      <c r="X54">
        <v>52</v>
      </c>
      <c r="Y54">
        <v>0</v>
      </c>
      <c r="Z54">
        <v>365.7</v>
      </c>
      <c r="AA54">
        <v>63.8</v>
      </c>
      <c r="AB54">
        <v>3</v>
      </c>
      <c r="AC54">
        <v>0</v>
      </c>
      <c r="AD54">
        <v>0</v>
      </c>
      <c r="AE54">
        <v>0</v>
      </c>
      <c r="AF54">
        <v>0</v>
      </c>
      <c r="AH54">
        <v>2134.6</v>
      </c>
    </row>
    <row r="55" spans="1:34" x14ac:dyDescent="0.25">
      <c r="A55" s="1">
        <v>51</v>
      </c>
      <c r="B55">
        <v>0</v>
      </c>
      <c r="C55">
        <v>0</v>
      </c>
      <c r="D55">
        <v>0</v>
      </c>
      <c r="E55">
        <v>54</v>
      </c>
      <c r="F55">
        <v>91.6</v>
      </c>
      <c r="G55">
        <v>48.6</v>
      </c>
      <c r="H55">
        <v>181.7</v>
      </c>
      <c r="I55">
        <v>19</v>
      </c>
      <c r="J55">
        <v>141.5</v>
      </c>
      <c r="K55">
        <v>61.1</v>
      </c>
      <c r="L55">
        <v>0</v>
      </c>
      <c r="M55">
        <v>207.6</v>
      </c>
      <c r="N55">
        <v>122</v>
      </c>
      <c r="O55">
        <v>190</v>
      </c>
      <c r="P55">
        <v>0</v>
      </c>
      <c r="Q55">
        <v>100</v>
      </c>
      <c r="R55">
        <v>0</v>
      </c>
      <c r="S55">
        <v>41</v>
      </c>
      <c r="T55">
        <v>113.2</v>
      </c>
      <c r="U55">
        <v>0</v>
      </c>
      <c r="V55">
        <v>48</v>
      </c>
      <c r="W55">
        <v>210.2</v>
      </c>
      <c r="X55">
        <v>55</v>
      </c>
      <c r="Y55">
        <v>0</v>
      </c>
      <c r="Z55">
        <v>364.7</v>
      </c>
      <c r="AA55">
        <v>78.599999999999994</v>
      </c>
      <c r="AB55">
        <v>3</v>
      </c>
      <c r="AC55">
        <v>0</v>
      </c>
      <c r="AD55">
        <v>0</v>
      </c>
      <c r="AE55">
        <v>0</v>
      </c>
      <c r="AF55">
        <v>0</v>
      </c>
      <c r="AH55">
        <v>2130.7999999999997</v>
      </c>
    </row>
    <row r="56" spans="1:34" x14ac:dyDescent="0.25">
      <c r="A56" s="1">
        <v>52</v>
      </c>
      <c r="B56">
        <v>0</v>
      </c>
      <c r="C56">
        <v>0</v>
      </c>
      <c r="D56">
        <v>0</v>
      </c>
      <c r="E56">
        <v>57</v>
      </c>
      <c r="F56">
        <v>94</v>
      </c>
      <c r="G56">
        <v>49.6</v>
      </c>
      <c r="H56">
        <v>181.7</v>
      </c>
      <c r="I56">
        <v>18</v>
      </c>
      <c r="J56">
        <v>144.6</v>
      </c>
      <c r="K56">
        <v>51.1</v>
      </c>
      <c r="L56">
        <v>0</v>
      </c>
      <c r="M56">
        <v>212.6</v>
      </c>
      <c r="N56">
        <v>124</v>
      </c>
      <c r="O56">
        <v>194.8</v>
      </c>
      <c r="P56">
        <v>0</v>
      </c>
      <c r="Q56">
        <v>99</v>
      </c>
      <c r="R56">
        <v>0</v>
      </c>
      <c r="S56">
        <v>41</v>
      </c>
      <c r="T56">
        <v>114.5</v>
      </c>
      <c r="U56">
        <v>0</v>
      </c>
      <c r="V56">
        <v>48</v>
      </c>
      <c r="W56">
        <v>213.8</v>
      </c>
      <c r="X56">
        <v>55</v>
      </c>
      <c r="Y56">
        <v>0</v>
      </c>
      <c r="Z56">
        <v>365.7</v>
      </c>
      <c r="AA56">
        <v>60.599999999999902</v>
      </c>
      <c r="AB56">
        <v>3</v>
      </c>
      <c r="AC56">
        <v>0</v>
      </c>
      <c r="AD56">
        <v>0</v>
      </c>
      <c r="AE56">
        <v>0</v>
      </c>
      <c r="AF56">
        <v>0</v>
      </c>
      <c r="AH56">
        <v>2128</v>
      </c>
    </row>
    <row r="57" spans="1:34" x14ac:dyDescent="0.25">
      <c r="A57" s="1">
        <v>53</v>
      </c>
      <c r="B57">
        <v>0</v>
      </c>
      <c r="C57">
        <v>0</v>
      </c>
      <c r="D57">
        <v>0</v>
      </c>
      <c r="E57">
        <v>60</v>
      </c>
      <c r="F57">
        <v>100</v>
      </c>
      <c r="G57">
        <v>48.6</v>
      </c>
      <c r="H57">
        <v>181.7</v>
      </c>
      <c r="I57">
        <v>19</v>
      </c>
      <c r="J57">
        <v>146.80000000000001</v>
      </c>
      <c r="K57">
        <v>65.2</v>
      </c>
      <c r="L57">
        <v>0</v>
      </c>
      <c r="M57">
        <v>214.6</v>
      </c>
      <c r="N57">
        <v>126</v>
      </c>
      <c r="O57">
        <v>187.4</v>
      </c>
      <c r="P57">
        <v>0</v>
      </c>
      <c r="Q57">
        <v>102</v>
      </c>
      <c r="R57">
        <v>0</v>
      </c>
      <c r="S57">
        <v>41</v>
      </c>
      <c r="T57">
        <v>77.899999999999906</v>
      </c>
      <c r="U57">
        <v>0</v>
      </c>
      <c r="V57">
        <v>48</v>
      </c>
      <c r="W57">
        <v>214.8</v>
      </c>
      <c r="X57">
        <v>55</v>
      </c>
      <c r="Y57">
        <v>0</v>
      </c>
      <c r="Z57">
        <v>365.7</v>
      </c>
      <c r="AA57">
        <v>59.9</v>
      </c>
      <c r="AB57">
        <v>3</v>
      </c>
      <c r="AC57">
        <v>0</v>
      </c>
      <c r="AD57">
        <v>0</v>
      </c>
      <c r="AE57">
        <v>0</v>
      </c>
      <c r="AF57">
        <v>0</v>
      </c>
      <c r="AH57">
        <v>2116.6</v>
      </c>
    </row>
    <row r="58" spans="1:34" x14ac:dyDescent="0.25">
      <c r="A58" s="1">
        <v>54</v>
      </c>
      <c r="B58">
        <v>0</v>
      </c>
      <c r="C58">
        <v>0</v>
      </c>
      <c r="D58">
        <v>0</v>
      </c>
      <c r="E58">
        <v>63</v>
      </c>
      <c r="F58">
        <v>104.8</v>
      </c>
      <c r="G58">
        <v>48.6</v>
      </c>
      <c r="H58">
        <v>181.7</v>
      </c>
      <c r="I58">
        <v>12</v>
      </c>
      <c r="J58">
        <v>147.80000000000001</v>
      </c>
      <c r="K58">
        <v>26.1</v>
      </c>
      <c r="L58">
        <v>0</v>
      </c>
      <c r="M58">
        <v>228.6</v>
      </c>
      <c r="N58">
        <v>126</v>
      </c>
      <c r="O58">
        <v>191.4</v>
      </c>
      <c r="P58">
        <v>0</v>
      </c>
      <c r="Q58">
        <v>109</v>
      </c>
      <c r="R58">
        <v>0</v>
      </c>
      <c r="S58">
        <v>41</v>
      </c>
      <c r="T58">
        <v>86.3</v>
      </c>
      <c r="U58">
        <v>0</v>
      </c>
      <c r="V58">
        <v>48</v>
      </c>
      <c r="W58">
        <v>219.8</v>
      </c>
      <c r="X58">
        <v>55</v>
      </c>
      <c r="Y58">
        <v>0</v>
      </c>
      <c r="Z58">
        <v>372.7</v>
      </c>
      <c r="AA58">
        <v>43</v>
      </c>
      <c r="AB58">
        <v>3</v>
      </c>
      <c r="AC58">
        <v>0</v>
      </c>
      <c r="AD58">
        <v>0</v>
      </c>
      <c r="AE58">
        <v>0</v>
      </c>
      <c r="AF58">
        <v>0</v>
      </c>
      <c r="AH58">
        <v>2107.8000000000002</v>
      </c>
    </row>
    <row r="59" spans="1:34" x14ac:dyDescent="0.25">
      <c r="A59" s="1">
        <v>55</v>
      </c>
      <c r="B59">
        <v>0</v>
      </c>
      <c r="C59">
        <v>0</v>
      </c>
      <c r="D59">
        <v>0</v>
      </c>
      <c r="E59">
        <v>66</v>
      </c>
      <c r="F59">
        <v>110.8</v>
      </c>
      <c r="G59">
        <v>42.6</v>
      </c>
      <c r="H59">
        <v>185.7</v>
      </c>
      <c r="I59">
        <v>9</v>
      </c>
      <c r="J59">
        <v>147.80000000000001</v>
      </c>
      <c r="K59">
        <v>37.299999999999997</v>
      </c>
      <c r="L59">
        <v>0</v>
      </c>
      <c r="M59">
        <v>251.7</v>
      </c>
      <c r="N59">
        <v>126</v>
      </c>
      <c r="O59">
        <v>187.6</v>
      </c>
      <c r="P59">
        <v>0</v>
      </c>
      <c r="Q59">
        <v>121</v>
      </c>
      <c r="R59">
        <v>0</v>
      </c>
      <c r="S59">
        <v>41</v>
      </c>
      <c r="T59">
        <v>88.5</v>
      </c>
      <c r="U59">
        <v>0</v>
      </c>
      <c r="V59">
        <v>48</v>
      </c>
      <c r="W59">
        <v>219.8</v>
      </c>
      <c r="X59">
        <v>55</v>
      </c>
      <c r="Y59">
        <v>0</v>
      </c>
      <c r="Z59">
        <v>375.7</v>
      </c>
      <c r="AA59">
        <v>24</v>
      </c>
      <c r="AB59">
        <v>3</v>
      </c>
      <c r="AC59">
        <v>0</v>
      </c>
      <c r="AD59">
        <v>0</v>
      </c>
      <c r="AE59">
        <v>0</v>
      </c>
      <c r="AF59">
        <v>0</v>
      </c>
      <c r="AH59">
        <v>2140.5</v>
      </c>
    </row>
    <row r="60" spans="1:34" x14ac:dyDescent="0.25">
      <c r="A60" s="1">
        <v>56</v>
      </c>
      <c r="B60">
        <v>0</v>
      </c>
      <c r="C60">
        <v>0</v>
      </c>
      <c r="D60">
        <v>0</v>
      </c>
      <c r="E60">
        <v>69</v>
      </c>
      <c r="F60">
        <v>110.8</v>
      </c>
      <c r="G60">
        <v>50.6</v>
      </c>
      <c r="H60">
        <v>189.7</v>
      </c>
      <c r="I60">
        <v>9</v>
      </c>
      <c r="J60">
        <v>150.80000000000001</v>
      </c>
      <c r="K60">
        <v>37.1</v>
      </c>
      <c r="L60">
        <v>0</v>
      </c>
      <c r="M60">
        <v>254.7</v>
      </c>
      <c r="N60">
        <v>107</v>
      </c>
      <c r="O60">
        <v>196.6</v>
      </c>
      <c r="P60">
        <v>0</v>
      </c>
      <c r="Q60">
        <v>134</v>
      </c>
      <c r="R60">
        <v>0</v>
      </c>
      <c r="S60">
        <v>41</v>
      </c>
      <c r="T60">
        <v>91.3</v>
      </c>
      <c r="U60">
        <v>0</v>
      </c>
      <c r="V60">
        <v>40</v>
      </c>
      <c r="W60">
        <v>219.8</v>
      </c>
      <c r="X60">
        <v>55</v>
      </c>
      <c r="Y60">
        <v>0</v>
      </c>
      <c r="Z60">
        <v>367.7</v>
      </c>
      <c r="AA60">
        <v>39</v>
      </c>
      <c r="AB60">
        <v>3</v>
      </c>
      <c r="AC60">
        <v>0</v>
      </c>
      <c r="AD60">
        <v>0</v>
      </c>
      <c r="AE60">
        <v>0</v>
      </c>
      <c r="AF60">
        <v>0</v>
      </c>
      <c r="AH60">
        <v>2166.1</v>
      </c>
    </row>
    <row r="61" spans="1:34" x14ac:dyDescent="0.25">
      <c r="A61" s="1">
        <v>57</v>
      </c>
      <c r="B61">
        <v>0</v>
      </c>
      <c r="C61">
        <v>0</v>
      </c>
      <c r="D61">
        <v>0</v>
      </c>
      <c r="E61">
        <v>72</v>
      </c>
      <c r="F61">
        <v>110.8</v>
      </c>
      <c r="G61">
        <v>56.6</v>
      </c>
      <c r="H61">
        <v>196.6</v>
      </c>
      <c r="I61">
        <v>12</v>
      </c>
      <c r="J61">
        <v>151.80000000000001</v>
      </c>
      <c r="K61">
        <v>27</v>
      </c>
      <c r="L61">
        <v>0</v>
      </c>
      <c r="M61">
        <v>262.7</v>
      </c>
      <c r="N61">
        <v>94</v>
      </c>
      <c r="O61">
        <v>178.5</v>
      </c>
      <c r="P61">
        <v>0</v>
      </c>
      <c r="Q61">
        <v>119</v>
      </c>
      <c r="R61">
        <v>0</v>
      </c>
      <c r="S61">
        <v>41</v>
      </c>
      <c r="T61">
        <v>93.5</v>
      </c>
      <c r="U61">
        <v>0</v>
      </c>
      <c r="V61">
        <v>50</v>
      </c>
      <c r="W61">
        <v>220.7</v>
      </c>
      <c r="X61">
        <v>55</v>
      </c>
      <c r="Y61">
        <v>0</v>
      </c>
      <c r="Z61">
        <v>347.7</v>
      </c>
      <c r="AA61">
        <v>33.6</v>
      </c>
      <c r="AB61">
        <v>3</v>
      </c>
      <c r="AC61">
        <v>0</v>
      </c>
      <c r="AD61">
        <v>0</v>
      </c>
      <c r="AE61">
        <v>0</v>
      </c>
      <c r="AF61">
        <v>0</v>
      </c>
      <c r="AH61">
        <v>2125.5</v>
      </c>
    </row>
    <row r="62" spans="1:34" x14ac:dyDescent="0.25">
      <c r="A62" s="1">
        <v>58</v>
      </c>
      <c r="B62">
        <v>0</v>
      </c>
      <c r="C62">
        <v>0</v>
      </c>
      <c r="D62">
        <v>0</v>
      </c>
      <c r="E62">
        <v>72</v>
      </c>
      <c r="F62">
        <v>112</v>
      </c>
      <c r="G62">
        <v>63.4</v>
      </c>
      <c r="H62">
        <v>207.5</v>
      </c>
      <c r="I62">
        <v>17</v>
      </c>
      <c r="J62">
        <v>154.69999999999999</v>
      </c>
      <c r="K62">
        <v>26</v>
      </c>
      <c r="L62">
        <v>0</v>
      </c>
      <c r="M62">
        <v>263.89999999999998</v>
      </c>
      <c r="N62">
        <v>54</v>
      </c>
      <c r="O62">
        <v>178.5</v>
      </c>
      <c r="P62">
        <v>0</v>
      </c>
      <c r="Q62">
        <v>126</v>
      </c>
      <c r="R62">
        <v>0</v>
      </c>
      <c r="S62">
        <v>41</v>
      </c>
      <c r="T62">
        <v>107.4</v>
      </c>
      <c r="U62">
        <v>0</v>
      </c>
      <c r="V62">
        <v>44</v>
      </c>
      <c r="W62">
        <v>220.7</v>
      </c>
      <c r="X62">
        <v>55</v>
      </c>
      <c r="Y62">
        <v>0</v>
      </c>
      <c r="Z62">
        <v>348.7</v>
      </c>
      <c r="AA62">
        <v>16.600000000000001</v>
      </c>
      <c r="AB62">
        <v>3</v>
      </c>
      <c r="AC62">
        <v>0</v>
      </c>
      <c r="AD62">
        <v>0</v>
      </c>
      <c r="AE62">
        <v>0</v>
      </c>
      <c r="AF62">
        <v>0</v>
      </c>
      <c r="AH62">
        <v>2111.4</v>
      </c>
    </row>
    <row r="63" spans="1:34" x14ac:dyDescent="0.25">
      <c r="A63" s="1">
        <v>59</v>
      </c>
      <c r="B63">
        <v>0</v>
      </c>
      <c r="C63">
        <v>0</v>
      </c>
      <c r="D63">
        <v>0</v>
      </c>
      <c r="E63">
        <v>72</v>
      </c>
      <c r="F63">
        <v>114</v>
      </c>
      <c r="G63">
        <v>69.3</v>
      </c>
      <c r="H63">
        <v>203</v>
      </c>
      <c r="I63">
        <v>20</v>
      </c>
      <c r="J63">
        <v>155.69999999999999</v>
      </c>
      <c r="K63">
        <v>27</v>
      </c>
      <c r="L63">
        <v>0</v>
      </c>
      <c r="M63">
        <v>265</v>
      </c>
      <c r="N63">
        <v>52</v>
      </c>
      <c r="O63">
        <v>187.5</v>
      </c>
      <c r="P63">
        <v>0</v>
      </c>
      <c r="Q63">
        <v>125</v>
      </c>
      <c r="R63">
        <v>0</v>
      </c>
      <c r="S63">
        <v>41</v>
      </c>
      <c r="T63">
        <v>114.9</v>
      </c>
      <c r="U63">
        <v>0</v>
      </c>
      <c r="V63">
        <v>41</v>
      </c>
      <c r="W63">
        <v>219.4</v>
      </c>
      <c r="X63">
        <v>55</v>
      </c>
      <c r="Y63">
        <v>0</v>
      </c>
      <c r="Z63">
        <v>332.5</v>
      </c>
      <c r="AA63">
        <v>10.6</v>
      </c>
      <c r="AB63">
        <v>3</v>
      </c>
      <c r="AC63">
        <v>0</v>
      </c>
      <c r="AD63">
        <v>0</v>
      </c>
      <c r="AE63">
        <v>0</v>
      </c>
      <c r="AF63">
        <v>0</v>
      </c>
      <c r="AH63">
        <v>2107.9</v>
      </c>
    </row>
    <row r="64" spans="1:34" x14ac:dyDescent="0.25">
      <c r="A64" s="1">
        <v>60</v>
      </c>
      <c r="B64">
        <v>0</v>
      </c>
      <c r="C64">
        <v>0</v>
      </c>
      <c r="D64">
        <v>0</v>
      </c>
      <c r="E64">
        <v>72</v>
      </c>
      <c r="F64">
        <v>115</v>
      </c>
      <c r="G64">
        <v>69.3</v>
      </c>
      <c r="H64">
        <v>203</v>
      </c>
      <c r="I64">
        <v>21</v>
      </c>
      <c r="J64">
        <v>155.69999999999999</v>
      </c>
      <c r="K64">
        <v>32.200000000000003</v>
      </c>
      <c r="L64">
        <v>0</v>
      </c>
      <c r="M64">
        <v>271</v>
      </c>
      <c r="N64">
        <v>60</v>
      </c>
      <c r="O64">
        <v>187.5</v>
      </c>
      <c r="P64">
        <v>0</v>
      </c>
      <c r="Q64">
        <v>121</v>
      </c>
      <c r="R64">
        <v>0</v>
      </c>
      <c r="S64">
        <v>41</v>
      </c>
      <c r="T64">
        <v>125.7</v>
      </c>
      <c r="U64">
        <v>0</v>
      </c>
      <c r="V64">
        <v>44</v>
      </c>
      <c r="W64">
        <v>219.4</v>
      </c>
      <c r="X64">
        <v>55</v>
      </c>
      <c r="Y64">
        <v>0</v>
      </c>
      <c r="Z64">
        <v>344.2</v>
      </c>
      <c r="AA64">
        <v>10.6</v>
      </c>
      <c r="AB64">
        <v>3</v>
      </c>
      <c r="AC64">
        <v>0</v>
      </c>
      <c r="AD64">
        <v>0</v>
      </c>
      <c r="AE64">
        <v>0</v>
      </c>
      <c r="AF64">
        <v>0</v>
      </c>
      <c r="AH64">
        <v>2150.6</v>
      </c>
    </row>
    <row r="65" spans="1:34" x14ac:dyDescent="0.25">
      <c r="A65" s="1">
        <v>61</v>
      </c>
      <c r="B65">
        <v>0</v>
      </c>
      <c r="C65">
        <v>0</v>
      </c>
      <c r="D65">
        <v>0</v>
      </c>
      <c r="E65">
        <v>72</v>
      </c>
      <c r="F65">
        <v>116</v>
      </c>
      <c r="G65">
        <v>82.7</v>
      </c>
      <c r="H65">
        <v>203</v>
      </c>
      <c r="I65">
        <v>21</v>
      </c>
      <c r="J65">
        <v>164.7</v>
      </c>
      <c r="K65">
        <v>36.799999999999997</v>
      </c>
      <c r="L65">
        <v>0</v>
      </c>
      <c r="M65">
        <v>268.8</v>
      </c>
      <c r="N65">
        <v>64</v>
      </c>
      <c r="O65">
        <v>195</v>
      </c>
      <c r="P65">
        <v>0</v>
      </c>
      <c r="Q65">
        <v>119</v>
      </c>
      <c r="R65">
        <v>0</v>
      </c>
      <c r="S65">
        <v>41</v>
      </c>
      <c r="T65">
        <v>133.5</v>
      </c>
      <c r="U65">
        <v>0</v>
      </c>
      <c r="V65">
        <v>51</v>
      </c>
      <c r="W65">
        <v>218</v>
      </c>
      <c r="X65">
        <v>55</v>
      </c>
      <c r="Y65">
        <v>0</v>
      </c>
      <c r="Z65">
        <v>348.5</v>
      </c>
      <c r="AA65">
        <v>13.6</v>
      </c>
      <c r="AB65">
        <v>3</v>
      </c>
      <c r="AC65">
        <v>0</v>
      </c>
      <c r="AD65">
        <v>0</v>
      </c>
      <c r="AE65">
        <v>0</v>
      </c>
      <c r="AF65">
        <v>0</v>
      </c>
      <c r="AH65">
        <v>2206.6</v>
      </c>
    </row>
    <row r="66" spans="1:34" x14ac:dyDescent="0.25">
      <c r="A66" s="1">
        <v>62</v>
      </c>
      <c r="B66">
        <v>0</v>
      </c>
      <c r="C66">
        <v>0</v>
      </c>
      <c r="D66">
        <v>0</v>
      </c>
      <c r="E66">
        <v>72</v>
      </c>
      <c r="F66">
        <v>117</v>
      </c>
      <c r="G66">
        <v>92</v>
      </c>
      <c r="H66">
        <v>203.9</v>
      </c>
      <c r="I66">
        <v>21</v>
      </c>
      <c r="J66">
        <v>171</v>
      </c>
      <c r="K66">
        <v>37.4</v>
      </c>
      <c r="L66">
        <v>0</v>
      </c>
      <c r="M66">
        <v>280.8</v>
      </c>
      <c r="N66">
        <v>57</v>
      </c>
      <c r="O66">
        <v>205.8</v>
      </c>
      <c r="P66">
        <v>0</v>
      </c>
      <c r="Q66">
        <v>120</v>
      </c>
      <c r="R66">
        <v>0</v>
      </c>
      <c r="S66">
        <v>41</v>
      </c>
      <c r="T66">
        <v>136.9</v>
      </c>
      <c r="U66">
        <v>0</v>
      </c>
      <c r="V66">
        <v>50</v>
      </c>
      <c r="W66">
        <v>225.6</v>
      </c>
      <c r="X66">
        <v>57</v>
      </c>
      <c r="Y66">
        <v>0</v>
      </c>
      <c r="Z66">
        <v>351.5</v>
      </c>
      <c r="AA66">
        <v>13.6</v>
      </c>
      <c r="AB66">
        <v>3</v>
      </c>
      <c r="AC66">
        <v>0</v>
      </c>
      <c r="AD66">
        <v>0</v>
      </c>
      <c r="AE66">
        <v>0</v>
      </c>
      <c r="AF66">
        <v>0</v>
      </c>
      <c r="AH66">
        <v>2256.4999999999995</v>
      </c>
    </row>
    <row r="67" spans="1:34" x14ac:dyDescent="0.25">
      <c r="A67" s="1">
        <v>63</v>
      </c>
      <c r="B67">
        <v>0</v>
      </c>
      <c r="C67">
        <v>0</v>
      </c>
      <c r="D67">
        <v>0</v>
      </c>
      <c r="E67">
        <v>72</v>
      </c>
      <c r="F67">
        <v>117</v>
      </c>
      <c r="G67">
        <v>99.4</v>
      </c>
      <c r="H67">
        <v>217.9</v>
      </c>
      <c r="I67">
        <v>21</v>
      </c>
      <c r="J67">
        <v>176</v>
      </c>
      <c r="K67">
        <v>44</v>
      </c>
      <c r="L67">
        <v>0</v>
      </c>
      <c r="M67">
        <v>282.7</v>
      </c>
      <c r="N67">
        <v>51</v>
      </c>
      <c r="O67">
        <v>208.6</v>
      </c>
      <c r="P67">
        <v>0</v>
      </c>
      <c r="Q67">
        <v>121</v>
      </c>
      <c r="R67">
        <v>0</v>
      </c>
      <c r="S67">
        <v>41</v>
      </c>
      <c r="T67">
        <v>136.9</v>
      </c>
      <c r="U67">
        <v>0</v>
      </c>
      <c r="V67">
        <v>54</v>
      </c>
      <c r="W67">
        <v>225.6</v>
      </c>
      <c r="X67">
        <v>59</v>
      </c>
      <c r="Y67">
        <v>0</v>
      </c>
      <c r="Z67">
        <v>354.5</v>
      </c>
      <c r="AA67">
        <v>11.6</v>
      </c>
      <c r="AB67">
        <v>3</v>
      </c>
      <c r="AC67">
        <v>0</v>
      </c>
      <c r="AD67">
        <v>0</v>
      </c>
      <c r="AE67">
        <v>0</v>
      </c>
      <c r="AF67">
        <v>0</v>
      </c>
      <c r="AH67">
        <v>2296.1999999999998</v>
      </c>
    </row>
    <row r="68" spans="1:34" x14ac:dyDescent="0.25">
      <c r="A68" s="1">
        <v>64</v>
      </c>
      <c r="B68">
        <v>0</v>
      </c>
      <c r="C68">
        <v>0</v>
      </c>
      <c r="D68">
        <v>0</v>
      </c>
      <c r="E68">
        <v>72</v>
      </c>
      <c r="F68">
        <v>119</v>
      </c>
      <c r="G68">
        <v>82.8</v>
      </c>
      <c r="H68">
        <v>223.7</v>
      </c>
      <c r="I68">
        <v>12</v>
      </c>
      <c r="J68">
        <v>177</v>
      </c>
      <c r="K68">
        <v>44</v>
      </c>
      <c r="L68">
        <v>0</v>
      </c>
      <c r="M68">
        <v>284.7</v>
      </c>
      <c r="N68">
        <v>34</v>
      </c>
      <c r="O68">
        <v>214.8</v>
      </c>
      <c r="P68">
        <v>0</v>
      </c>
      <c r="Q68">
        <v>109</v>
      </c>
      <c r="R68">
        <v>0</v>
      </c>
      <c r="S68">
        <v>41</v>
      </c>
      <c r="T68">
        <v>138.9</v>
      </c>
      <c r="U68">
        <v>0</v>
      </c>
      <c r="V68">
        <v>49</v>
      </c>
      <c r="W68">
        <v>224.3</v>
      </c>
      <c r="X68">
        <v>58</v>
      </c>
      <c r="Y68">
        <v>0</v>
      </c>
      <c r="Z68">
        <v>361.3</v>
      </c>
      <c r="AA68">
        <v>2.6</v>
      </c>
      <c r="AB68">
        <v>3</v>
      </c>
      <c r="AC68">
        <v>0</v>
      </c>
      <c r="AD68">
        <v>0</v>
      </c>
      <c r="AE68">
        <v>0</v>
      </c>
      <c r="AF68">
        <v>0</v>
      </c>
      <c r="AH68">
        <v>2251.1</v>
      </c>
    </row>
    <row r="69" spans="1:34" x14ac:dyDescent="0.25">
      <c r="A69" s="1">
        <v>65</v>
      </c>
      <c r="B69">
        <v>0</v>
      </c>
      <c r="C69">
        <v>0</v>
      </c>
      <c r="D69">
        <v>0</v>
      </c>
      <c r="E69">
        <v>72</v>
      </c>
      <c r="F69">
        <v>125</v>
      </c>
      <c r="G69">
        <v>77.8</v>
      </c>
      <c r="H69">
        <v>222.7</v>
      </c>
      <c r="I69">
        <v>0</v>
      </c>
      <c r="J69">
        <v>188</v>
      </c>
      <c r="K69">
        <v>34</v>
      </c>
      <c r="L69">
        <v>0</v>
      </c>
      <c r="M69">
        <v>284.7</v>
      </c>
      <c r="N69">
        <v>14</v>
      </c>
      <c r="O69">
        <v>230.3</v>
      </c>
      <c r="P69">
        <v>0</v>
      </c>
      <c r="Q69">
        <v>109</v>
      </c>
      <c r="R69">
        <v>0</v>
      </c>
      <c r="S69">
        <v>41</v>
      </c>
      <c r="T69">
        <v>138.9</v>
      </c>
      <c r="U69">
        <v>0</v>
      </c>
      <c r="V69">
        <v>44</v>
      </c>
      <c r="W69">
        <v>234.3</v>
      </c>
      <c r="X69">
        <v>60</v>
      </c>
      <c r="Y69">
        <v>0</v>
      </c>
      <c r="Z69">
        <v>386.2</v>
      </c>
      <c r="AA69">
        <v>0</v>
      </c>
      <c r="AB69">
        <v>3</v>
      </c>
      <c r="AC69">
        <v>0</v>
      </c>
      <c r="AD69">
        <v>0</v>
      </c>
      <c r="AE69">
        <v>0</v>
      </c>
      <c r="AF69">
        <v>0</v>
      </c>
      <c r="AH69">
        <v>2264.9</v>
      </c>
    </row>
    <row r="70" spans="1:34" x14ac:dyDescent="0.25">
      <c r="A70" s="1">
        <v>66</v>
      </c>
      <c r="B70">
        <v>0</v>
      </c>
      <c r="C70">
        <v>0</v>
      </c>
      <c r="D70">
        <v>0</v>
      </c>
      <c r="E70">
        <v>72</v>
      </c>
      <c r="F70">
        <v>129</v>
      </c>
      <c r="G70">
        <v>82.6</v>
      </c>
      <c r="H70">
        <v>224.3</v>
      </c>
      <c r="I70">
        <v>0</v>
      </c>
      <c r="J70">
        <v>185</v>
      </c>
      <c r="K70">
        <v>34</v>
      </c>
      <c r="L70">
        <v>0</v>
      </c>
      <c r="M70">
        <v>285.7</v>
      </c>
      <c r="N70">
        <v>0</v>
      </c>
      <c r="O70">
        <v>231.7</v>
      </c>
      <c r="P70">
        <v>0</v>
      </c>
      <c r="Q70">
        <v>109</v>
      </c>
      <c r="R70">
        <v>0</v>
      </c>
      <c r="S70">
        <v>41</v>
      </c>
      <c r="T70">
        <v>137.6</v>
      </c>
      <c r="U70">
        <v>0</v>
      </c>
      <c r="V70">
        <v>44</v>
      </c>
      <c r="W70">
        <v>245.3</v>
      </c>
      <c r="X70">
        <v>64</v>
      </c>
      <c r="Y70">
        <v>0</v>
      </c>
      <c r="Z70">
        <v>402.8</v>
      </c>
      <c r="AA70">
        <v>0</v>
      </c>
      <c r="AB70">
        <v>3</v>
      </c>
      <c r="AC70">
        <v>0</v>
      </c>
      <c r="AD70">
        <v>0</v>
      </c>
      <c r="AE70">
        <v>0</v>
      </c>
      <c r="AF70">
        <v>0</v>
      </c>
      <c r="AH70">
        <v>2291</v>
      </c>
    </row>
    <row r="71" spans="1:34" x14ac:dyDescent="0.25">
      <c r="A71" s="1">
        <v>67</v>
      </c>
      <c r="B71">
        <v>0</v>
      </c>
      <c r="C71">
        <v>0</v>
      </c>
      <c r="D71">
        <v>0</v>
      </c>
      <c r="E71">
        <v>73</v>
      </c>
      <c r="F71">
        <v>132</v>
      </c>
      <c r="G71">
        <v>59</v>
      </c>
      <c r="H71">
        <v>221.9</v>
      </c>
      <c r="I71">
        <v>0</v>
      </c>
      <c r="J71">
        <v>191</v>
      </c>
      <c r="K71">
        <v>32</v>
      </c>
      <c r="L71">
        <v>0</v>
      </c>
      <c r="M71">
        <v>294.7</v>
      </c>
      <c r="N71">
        <v>0</v>
      </c>
      <c r="O71">
        <v>218.6</v>
      </c>
      <c r="P71">
        <v>0</v>
      </c>
      <c r="Q71">
        <v>119</v>
      </c>
      <c r="R71">
        <v>0</v>
      </c>
      <c r="S71">
        <v>41</v>
      </c>
      <c r="T71">
        <v>152.19999999999999</v>
      </c>
      <c r="U71">
        <v>0</v>
      </c>
      <c r="V71">
        <v>36</v>
      </c>
      <c r="W71">
        <v>254.3</v>
      </c>
      <c r="X71">
        <v>67</v>
      </c>
      <c r="Y71">
        <v>0</v>
      </c>
      <c r="Z71">
        <v>412.2</v>
      </c>
      <c r="AA71">
        <v>0</v>
      </c>
      <c r="AB71">
        <v>3</v>
      </c>
      <c r="AC71">
        <v>0</v>
      </c>
      <c r="AD71">
        <v>0</v>
      </c>
      <c r="AE71">
        <v>0</v>
      </c>
      <c r="AF71">
        <v>0</v>
      </c>
      <c r="AH71">
        <v>2306.8999999999996</v>
      </c>
    </row>
    <row r="72" spans="1:34" x14ac:dyDescent="0.25">
      <c r="A72" s="1">
        <v>68</v>
      </c>
      <c r="B72">
        <v>0</v>
      </c>
      <c r="C72">
        <v>0</v>
      </c>
      <c r="D72">
        <v>0</v>
      </c>
      <c r="E72">
        <v>73</v>
      </c>
      <c r="F72">
        <v>132</v>
      </c>
      <c r="G72">
        <v>59</v>
      </c>
      <c r="H72">
        <v>222.9</v>
      </c>
      <c r="I72">
        <v>0</v>
      </c>
      <c r="J72">
        <v>191</v>
      </c>
      <c r="K72">
        <v>27.6</v>
      </c>
      <c r="L72">
        <v>0</v>
      </c>
      <c r="M72">
        <v>303.7</v>
      </c>
      <c r="N72">
        <v>0</v>
      </c>
      <c r="O72">
        <v>233.6</v>
      </c>
      <c r="P72">
        <v>0</v>
      </c>
      <c r="Q72">
        <v>120</v>
      </c>
      <c r="R72">
        <v>0</v>
      </c>
      <c r="S72">
        <v>41</v>
      </c>
      <c r="T72">
        <v>155.1</v>
      </c>
      <c r="U72">
        <v>0</v>
      </c>
      <c r="V72">
        <v>34.4</v>
      </c>
      <c r="W72">
        <v>257.3</v>
      </c>
      <c r="X72">
        <v>68</v>
      </c>
      <c r="Y72">
        <v>0</v>
      </c>
      <c r="Z72">
        <v>426.2</v>
      </c>
      <c r="AA72">
        <v>0</v>
      </c>
      <c r="AB72">
        <v>3</v>
      </c>
      <c r="AC72">
        <v>0</v>
      </c>
      <c r="AD72">
        <v>0</v>
      </c>
      <c r="AE72">
        <v>0</v>
      </c>
      <c r="AF72">
        <v>0</v>
      </c>
      <c r="AH72">
        <v>2347.7999999999997</v>
      </c>
    </row>
    <row r="73" spans="1:34" x14ac:dyDescent="0.25">
      <c r="A73" s="1">
        <v>69</v>
      </c>
      <c r="B73">
        <v>0</v>
      </c>
      <c r="C73">
        <v>0</v>
      </c>
      <c r="D73">
        <v>0</v>
      </c>
      <c r="E73">
        <v>73</v>
      </c>
      <c r="F73">
        <v>138</v>
      </c>
      <c r="G73">
        <v>65</v>
      </c>
      <c r="H73">
        <v>221.9</v>
      </c>
      <c r="I73">
        <v>0</v>
      </c>
      <c r="J73">
        <v>191</v>
      </c>
      <c r="K73">
        <v>35.5</v>
      </c>
      <c r="L73">
        <v>0</v>
      </c>
      <c r="M73">
        <v>314.7</v>
      </c>
      <c r="N73">
        <v>0</v>
      </c>
      <c r="O73">
        <v>231.6</v>
      </c>
      <c r="P73">
        <v>0</v>
      </c>
      <c r="Q73">
        <v>120</v>
      </c>
      <c r="R73">
        <v>0</v>
      </c>
      <c r="S73">
        <v>41</v>
      </c>
      <c r="T73">
        <v>160.1</v>
      </c>
      <c r="U73">
        <v>0</v>
      </c>
      <c r="V73">
        <v>30.2</v>
      </c>
      <c r="W73">
        <v>257.3</v>
      </c>
      <c r="X73">
        <v>71</v>
      </c>
      <c r="Y73">
        <v>0</v>
      </c>
      <c r="Z73">
        <v>435.2</v>
      </c>
      <c r="AA73">
        <v>0</v>
      </c>
      <c r="AB73">
        <v>3</v>
      </c>
      <c r="AC73">
        <v>0</v>
      </c>
      <c r="AD73">
        <v>0</v>
      </c>
      <c r="AE73">
        <v>0</v>
      </c>
      <c r="AF73">
        <v>0</v>
      </c>
      <c r="AH73">
        <v>2388.4999999999995</v>
      </c>
    </row>
    <row r="74" spans="1:34" x14ac:dyDescent="0.25">
      <c r="A74" s="1">
        <v>70</v>
      </c>
      <c r="B74">
        <v>0</v>
      </c>
      <c r="C74">
        <v>0</v>
      </c>
      <c r="D74">
        <v>0</v>
      </c>
      <c r="E74">
        <v>73</v>
      </c>
      <c r="F74">
        <v>140</v>
      </c>
      <c r="G74">
        <v>69</v>
      </c>
      <c r="H74">
        <v>221.9</v>
      </c>
      <c r="I74">
        <v>0</v>
      </c>
      <c r="J74">
        <v>191</v>
      </c>
      <c r="K74">
        <v>40</v>
      </c>
      <c r="L74">
        <v>0</v>
      </c>
      <c r="M74">
        <v>328.7</v>
      </c>
      <c r="N74">
        <v>0</v>
      </c>
      <c r="O74">
        <v>229.2</v>
      </c>
      <c r="P74">
        <v>0</v>
      </c>
      <c r="Q74">
        <v>130</v>
      </c>
      <c r="R74">
        <v>0</v>
      </c>
      <c r="S74">
        <v>41</v>
      </c>
      <c r="T74">
        <v>165.1</v>
      </c>
      <c r="U74">
        <v>0</v>
      </c>
      <c r="V74">
        <v>28</v>
      </c>
      <c r="W74">
        <v>258.3</v>
      </c>
      <c r="X74">
        <v>71</v>
      </c>
      <c r="Y74">
        <v>0</v>
      </c>
      <c r="Z74">
        <v>397</v>
      </c>
      <c r="AA74">
        <v>0</v>
      </c>
      <c r="AB74">
        <v>3</v>
      </c>
      <c r="AC74">
        <v>0</v>
      </c>
      <c r="AD74">
        <v>0</v>
      </c>
      <c r="AE74">
        <v>0</v>
      </c>
      <c r="AF74">
        <v>0</v>
      </c>
      <c r="AH74">
        <v>2386.1999999999998</v>
      </c>
    </row>
    <row r="75" spans="1:34" x14ac:dyDescent="0.25">
      <c r="A75" s="1">
        <v>71</v>
      </c>
      <c r="B75">
        <v>0</v>
      </c>
      <c r="C75">
        <v>0</v>
      </c>
      <c r="D75">
        <v>0</v>
      </c>
      <c r="E75">
        <v>73</v>
      </c>
      <c r="F75">
        <v>143</v>
      </c>
      <c r="G75">
        <v>71</v>
      </c>
      <c r="H75">
        <v>221.9</v>
      </c>
      <c r="I75">
        <v>0</v>
      </c>
      <c r="J75">
        <v>191</v>
      </c>
      <c r="K75">
        <v>42.8</v>
      </c>
      <c r="L75">
        <v>0</v>
      </c>
      <c r="M75">
        <v>331.7</v>
      </c>
      <c r="N75">
        <v>0</v>
      </c>
      <c r="O75">
        <v>221.6</v>
      </c>
      <c r="P75">
        <v>0</v>
      </c>
      <c r="Q75">
        <v>130</v>
      </c>
      <c r="R75">
        <v>0</v>
      </c>
      <c r="S75">
        <v>41</v>
      </c>
      <c r="T75">
        <v>173.1</v>
      </c>
      <c r="U75">
        <v>0</v>
      </c>
      <c r="V75">
        <v>27</v>
      </c>
      <c r="W75">
        <v>258.3</v>
      </c>
      <c r="X75">
        <v>74</v>
      </c>
      <c r="Y75">
        <v>0</v>
      </c>
      <c r="Z75">
        <v>384.5</v>
      </c>
      <c r="AA75">
        <v>0</v>
      </c>
      <c r="AB75">
        <v>3</v>
      </c>
      <c r="AC75">
        <v>0</v>
      </c>
      <c r="AD75">
        <v>0</v>
      </c>
      <c r="AE75">
        <v>0</v>
      </c>
      <c r="AF75">
        <v>0</v>
      </c>
      <c r="AH75">
        <v>2386.8999999999996</v>
      </c>
    </row>
    <row r="76" spans="1:34" x14ac:dyDescent="0.25">
      <c r="A76" s="1">
        <v>72</v>
      </c>
      <c r="B76">
        <v>0</v>
      </c>
      <c r="C76">
        <v>0</v>
      </c>
      <c r="D76">
        <v>0</v>
      </c>
      <c r="E76">
        <v>72</v>
      </c>
      <c r="F76">
        <v>149.4</v>
      </c>
      <c r="G76">
        <v>39</v>
      </c>
      <c r="H76">
        <v>221.9</v>
      </c>
      <c r="I76">
        <v>0</v>
      </c>
      <c r="J76">
        <v>191</v>
      </c>
      <c r="K76">
        <v>46.4</v>
      </c>
      <c r="L76">
        <v>0</v>
      </c>
      <c r="M76">
        <v>342.3</v>
      </c>
      <c r="N76">
        <v>0</v>
      </c>
      <c r="O76">
        <v>220.6</v>
      </c>
      <c r="P76">
        <v>0</v>
      </c>
      <c r="Q76">
        <v>146</v>
      </c>
      <c r="R76">
        <v>0</v>
      </c>
      <c r="S76">
        <v>41</v>
      </c>
      <c r="T76">
        <v>175.1</v>
      </c>
      <c r="U76">
        <v>0</v>
      </c>
      <c r="V76">
        <v>11</v>
      </c>
      <c r="W76">
        <v>259.3</v>
      </c>
      <c r="X76">
        <v>74</v>
      </c>
      <c r="Y76">
        <v>0</v>
      </c>
      <c r="Z76">
        <v>402.2</v>
      </c>
      <c r="AA76">
        <v>0</v>
      </c>
      <c r="AB76">
        <v>3</v>
      </c>
      <c r="AC76">
        <v>0</v>
      </c>
      <c r="AD76">
        <v>0</v>
      </c>
      <c r="AE76">
        <v>0</v>
      </c>
      <c r="AF76">
        <v>0</v>
      </c>
      <c r="AH76">
        <v>2394.1999999999998</v>
      </c>
    </row>
    <row r="77" spans="1:34" x14ac:dyDescent="0.25">
      <c r="A77" s="1">
        <v>73</v>
      </c>
      <c r="B77">
        <v>0</v>
      </c>
      <c r="C77">
        <v>0</v>
      </c>
      <c r="D77">
        <v>0</v>
      </c>
      <c r="E77">
        <v>72</v>
      </c>
      <c r="F77">
        <v>153.4</v>
      </c>
      <c r="G77">
        <v>55</v>
      </c>
      <c r="H77">
        <v>221.9</v>
      </c>
      <c r="I77">
        <v>0</v>
      </c>
      <c r="J77">
        <v>191</v>
      </c>
      <c r="K77">
        <v>21.599999999999898</v>
      </c>
      <c r="L77">
        <v>0</v>
      </c>
      <c r="M77">
        <v>344.6</v>
      </c>
      <c r="N77">
        <v>0</v>
      </c>
      <c r="O77">
        <v>226.4</v>
      </c>
      <c r="P77">
        <v>0</v>
      </c>
      <c r="Q77">
        <v>141</v>
      </c>
      <c r="R77">
        <v>0</v>
      </c>
      <c r="S77">
        <v>41</v>
      </c>
      <c r="T77">
        <v>179</v>
      </c>
      <c r="U77">
        <v>0</v>
      </c>
      <c r="V77">
        <v>8.8000000000000007</v>
      </c>
      <c r="W77">
        <v>263.3</v>
      </c>
      <c r="X77">
        <v>75</v>
      </c>
      <c r="Y77">
        <v>0</v>
      </c>
      <c r="Z77">
        <v>409.5</v>
      </c>
      <c r="AA77">
        <v>0</v>
      </c>
      <c r="AB77">
        <v>3</v>
      </c>
      <c r="AC77">
        <v>0</v>
      </c>
      <c r="AD77">
        <v>0</v>
      </c>
      <c r="AE77">
        <v>0</v>
      </c>
      <c r="AF77">
        <v>0</v>
      </c>
      <c r="AH77">
        <v>2406.5</v>
      </c>
    </row>
    <row r="78" spans="1:34" x14ac:dyDescent="0.25">
      <c r="A78" s="1">
        <v>74</v>
      </c>
      <c r="B78">
        <v>0</v>
      </c>
      <c r="C78">
        <v>0</v>
      </c>
      <c r="D78">
        <v>0</v>
      </c>
      <c r="E78">
        <v>72</v>
      </c>
      <c r="F78">
        <v>156.80000000000001</v>
      </c>
      <c r="G78">
        <v>24.6</v>
      </c>
      <c r="H78">
        <v>222.9</v>
      </c>
      <c r="I78">
        <v>0</v>
      </c>
      <c r="J78">
        <v>191</v>
      </c>
      <c r="K78">
        <v>16.399999999999999</v>
      </c>
      <c r="L78">
        <v>0</v>
      </c>
      <c r="M78">
        <v>344.6</v>
      </c>
      <c r="N78">
        <v>0</v>
      </c>
      <c r="O78">
        <v>230.2</v>
      </c>
      <c r="P78">
        <v>0</v>
      </c>
      <c r="Q78">
        <v>147</v>
      </c>
      <c r="R78">
        <v>0</v>
      </c>
      <c r="S78">
        <v>41</v>
      </c>
      <c r="T78">
        <v>182</v>
      </c>
      <c r="U78">
        <v>0</v>
      </c>
      <c r="V78">
        <v>11</v>
      </c>
      <c r="W78">
        <v>263.3</v>
      </c>
      <c r="X78">
        <v>77</v>
      </c>
      <c r="Y78">
        <v>0</v>
      </c>
      <c r="Z78">
        <v>425.6</v>
      </c>
      <c r="AA78">
        <v>0</v>
      </c>
      <c r="AB78">
        <v>3</v>
      </c>
      <c r="AC78">
        <v>0</v>
      </c>
      <c r="AD78">
        <v>0</v>
      </c>
      <c r="AE78">
        <v>0</v>
      </c>
      <c r="AF78">
        <v>0</v>
      </c>
      <c r="AH78">
        <v>2408.4</v>
      </c>
    </row>
    <row r="79" spans="1:34" x14ac:dyDescent="0.25">
      <c r="A79" s="1">
        <v>75</v>
      </c>
      <c r="B79">
        <v>0</v>
      </c>
      <c r="C79">
        <v>0</v>
      </c>
      <c r="D79">
        <v>0</v>
      </c>
      <c r="E79">
        <v>73</v>
      </c>
      <c r="F79">
        <v>157.80000000000001</v>
      </c>
      <c r="G79">
        <v>24.6</v>
      </c>
      <c r="H79">
        <v>226.9</v>
      </c>
      <c r="I79">
        <v>0</v>
      </c>
      <c r="J79">
        <v>191</v>
      </c>
      <c r="K79">
        <v>18</v>
      </c>
      <c r="L79">
        <v>0</v>
      </c>
      <c r="M79">
        <v>346</v>
      </c>
      <c r="N79">
        <v>0</v>
      </c>
      <c r="O79">
        <v>231.3</v>
      </c>
      <c r="P79">
        <v>0</v>
      </c>
      <c r="Q79">
        <v>146</v>
      </c>
      <c r="R79">
        <v>0</v>
      </c>
      <c r="S79">
        <v>41</v>
      </c>
      <c r="T79">
        <v>184.4</v>
      </c>
      <c r="U79">
        <v>0</v>
      </c>
      <c r="V79">
        <v>12.1</v>
      </c>
      <c r="W79">
        <v>263.3</v>
      </c>
      <c r="X79">
        <v>77</v>
      </c>
      <c r="Y79">
        <v>0</v>
      </c>
      <c r="Z79">
        <v>433.3</v>
      </c>
      <c r="AA79">
        <v>0</v>
      </c>
      <c r="AB79">
        <v>3</v>
      </c>
      <c r="AC79">
        <v>0</v>
      </c>
      <c r="AD79">
        <v>0</v>
      </c>
      <c r="AE79">
        <v>0</v>
      </c>
      <c r="AF79">
        <v>0</v>
      </c>
      <c r="AH79">
        <v>2428.6999999999998</v>
      </c>
    </row>
    <row r="80" spans="1:34" x14ac:dyDescent="0.25">
      <c r="A80" s="1">
        <v>76</v>
      </c>
      <c r="B80">
        <v>0</v>
      </c>
      <c r="C80">
        <v>0</v>
      </c>
      <c r="D80">
        <v>0</v>
      </c>
      <c r="E80">
        <v>73</v>
      </c>
      <c r="F80">
        <v>156.80000000000001</v>
      </c>
      <c r="G80">
        <v>25.5</v>
      </c>
      <c r="H80">
        <v>226.9</v>
      </c>
      <c r="I80">
        <v>0</v>
      </c>
      <c r="J80">
        <v>191</v>
      </c>
      <c r="K80">
        <v>18</v>
      </c>
      <c r="L80">
        <v>0</v>
      </c>
      <c r="M80">
        <v>350.2</v>
      </c>
      <c r="N80">
        <v>0</v>
      </c>
      <c r="O80">
        <v>232.3</v>
      </c>
      <c r="P80">
        <v>0</v>
      </c>
      <c r="Q80">
        <v>149</v>
      </c>
      <c r="R80">
        <v>0</v>
      </c>
      <c r="S80">
        <v>40</v>
      </c>
      <c r="T80">
        <v>185.4</v>
      </c>
      <c r="U80">
        <v>0</v>
      </c>
      <c r="V80">
        <v>12.1</v>
      </c>
      <c r="W80">
        <v>263.3</v>
      </c>
      <c r="X80">
        <v>77</v>
      </c>
      <c r="Y80">
        <v>0</v>
      </c>
      <c r="Z80">
        <v>431</v>
      </c>
      <c r="AA80">
        <v>0</v>
      </c>
      <c r="AB80">
        <v>3</v>
      </c>
      <c r="AC80">
        <v>0</v>
      </c>
      <c r="AD80">
        <v>0</v>
      </c>
      <c r="AE80">
        <v>0</v>
      </c>
      <c r="AF80">
        <v>0</v>
      </c>
      <c r="AH80">
        <v>2434.5</v>
      </c>
    </row>
    <row r="81" spans="1:34" x14ac:dyDescent="0.25">
      <c r="A81" s="1">
        <v>77</v>
      </c>
      <c r="B81">
        <v>0</v>
      </c>
      <c r="C81">
        <v>0</v>
      </c>
      <c r="D81">
        <v>0</v>
      </c>
      <c r="E81">
        <v>38</v>
      </c>
      <c r="F81">
        <v>157.80000000000001</v>
      </c>
      <c r="G81">
        <v>25.5</v>
      </c>
      <c r="H81">
        <v>227.9</v>
      </c>
      <c r="I81">
        <v>0</v>
      </c>
      <c r="J81">
        <v>191</v>
      </c>
      <c r="K81">
        <v>0</v>
      </c>
      <c r="L81">
        <v>0</v>
      </c>
      <c r="M81">
        <v>353.6</v>
      </c>
      <c r="N81">
        <v>0</v>
      </c>
      <c r="O81">
        <v>241.6</v>
      </c>
      <c r="P81">
        <v>0</v>
      </c>
      <c r="Q81">
        <v>147</v>
      </c>
      <c r="R81">
        <v>0</v>
      </c>
      <c r="S81">
        <v>40</v>
      </c>
      <c r="T81">
        <v>189.6</v>
      </c>
      <c r="U81">
        <v>0</v>
      </c>
      <c r="V81">
        <v>12.1</v>
      </c>
      <c r="W81">
        <v>263.3</v>
      </c>
      <c r="X81">
        <v>77</v>
      </c>
      <c r="Y81">
        <v>0</v>
      </c>
      <c r="Z81">
        <v>433.8</v>
      </c>
      <c r="AA81">
        <v>0</v>
      </c>
      <c r="AB81">
        <v>3</v>
      </c>
      <c r="AC81">
        <v>0</v>
      </c>
      <c r="AD81">
        <v>0</v>
      </c>
      <c r="AE81">
        <v>0</v>
      </c>
      <c r="AF81">
        <v>0</v>
      </c>
      <c r="AH81">
        <v>2401.1999999999998</v>
      </c>
    </row>
    <row r="82" spans="1:34" x14ac:dyDescent="0.25">
      <c r="A82" s="1">
        <v>78</v>
      </c>
      <c r="B82">
        <v>0</v>
      </c>
      <c r="C82">
        <v>0</v>
      </c>
      <c r="D82">
        <v>0</v>
      </c>
      <c r="E82">
        <v>42</v>
      </c>
      <c r="F82">
        <v>156.80000000000001</v>
      </c>
      <c r="G82">
        <v>21.8</v>
      </c>
      <c r="H82">
        <v>227.9</v>
      </c>
      <c r="I82">
        <v>0</v>
      </c>
      <c r="J82">
        <v>191</v>
      </c>
      <c r="K82">
        <v>1.2</v>
      </c>
      <c r="L82">
        <v>0</v>
      </c>
      <c r="M82">
        <v>362.6</v>
      </c>
      <c r="N82">
        <v>0</v>
      </c>
      <c r="O82">
        <v>257.39999999999998</v>
      </c>
      <c r="P82">
        <v>0</v>
      </c>
      <c r="Q82">
        <v>150</v>
      </c>
      <c r="R82">
        <v>0</v>
      </c>
      <c r="S82">
        <v>40</v>
      </c>
      <c r="T82">
        <v>193</v>
      </c>
      <c r="U82">
        <v>0</v>
      </c>
      <c r="V82">
        <v>12.1</v>
      </c>
      <c r="W82">
        <v>263.3</v>
      </c>
      <c r="X82">
        <v>78</v>
      </c>
      <c r="Y82">
        <v>0</v>
      </c>
      <c r="Z82">
        <v>446.4</v>
      </c>
      <c r="AA82">
        <v>0</v>
      </c>
      <c r="AB82">
        <v>3</v>
      </c>
      <c r="AC82">
        <v>0</v>
      </c>
      <c r="AD82">
        <v>0</v>
      </c>
      <c r="AE82">
        <v>0</v>
      </c>
      <c r="AF82">
        <v>0</v>
      </c>
      <c r="AH82">
        <v>2446.5</v>
      </c>
    </row>
    <row r="83" spans="1:34" x14ac:dyDescent="0.25">
      <c r="A83" s="1">
        <v>79</v>
      </c>
      <c r="B83">
        <v>0</v>
      </c>
      <c r="C83">
        <v>0</v>
      </c>
      <c r="D83">
        <v>0</v>
      </c>
      <c r="E83">
        <v>42</v>
      </c>
      <c r="F83">
        <v>157.80000000000001</v>
      </c>
      <c r="G83">
        <v>28.4</v>
      </c>
      <c r="H83">
        <v>230.9</v>
      </c>
      <c r="I83">
        <v>0</v>
      </c>
      <c r="J83">
        <v>191</v>
      </c>
      <c r="K83">
        <v>0</v>
      </c>
      <c r="L83">
        <v>0</v>
      </c>
      <c r="M83">
        <v>365.6</v>
      </c>
      <c r="N83">
        <v>0</v>
      </c>
      <c r="O83">
        <v>285.8</v>
      </c>
      <c r="P83">
        <v>0</v>
      </c>
      <c r="Q83">
        <v>149</v>
      </c>
      <c r="R83">
        <v>0</v>
      </c>
      <c r="S83">
        <v>40</v>
      </c>
      <c r="T83">
        <v>193</v>
      </c>
      <c r="U83">
        <v>0</v>
      </c>
      <c r="V83">
        <v>12.1</v>
      </c>
      <c r="W83">
        <v>263.3</v>
      </c>
      <c r="X83">
        <v>78</v>
      </c>
      <c r="Y83">
        <v>0</v>
      </c>
      <c r="Z83">
        <v>432.1</v>
      </c>
      <c r="AA83">
        <v>0</v>
      </c>
      <c r="AB83">
        <v>3</v>
      </c>
      <c r="AC83">
        <v>0</v>
      </c>
      <c r="AD83">
        <v>0</v>
      </c>
      <c r="AE83">
        <v>0</v>
      </c>
      <c r="AF83">
        <v>0</v>
      </c>
      <c r="AH83">
        <v>2472</v>
      </c>
    </row>
    <row r="84" spans="1:34" x14ac:dyDescent="0.25">
      <c r="A84" s="1">
        <v>80</v>
      </c>
      <c r="B84">
        <v>0</v>
      </c>
      <c r="C84">
        <v>0</v>
      </c>
      <c r="D84">
        <v>0</v>
      </c>
      <c r="E84">
        <v>41</v>
      </c>
      <c r="F84">
        <v>161</v>
      </c>
      <c r="G84">
        <v>19.399999999999999</v>
      </c>
      <c r="H84">
        <v>224.9</v>
      </c>
      <c r="I84">
        <v>0</v>
      </c>
      <c r="J84">
        <v>191</v>
      </c>
      <c r="K84">
        <v>0</v>
      </c>
      <c r="L84">
        <v>0</v>
      </c>
      <c r="M84">
        <v>366.79999999999899</v>
      </c>
      <c r="N84">
        <v>0</v>
      </c>
      <c r="O84">
        <v>302</v>
      </c>
      <c r="P84">
        <v>0</v>
      </c>
      <c r="Q84">
        <v>149</v>
      </c>
      <c r="R84">
        <v>0</v>
      </c>
      <c r="S84">
        <v>40</v>
      </c>
      <c r="T84">
        <v>194</v>
      </c>
      <c r="U84">
        <v>0</v>
      </c>
      <c r="V84">
        <v>12.1</v>
      </c>
      <c r="W84">
        <v>263.3</v>
      </c>
      <c r="X84">
        <v>79</v>
      </c>
      <c r="Y84">
        <v>0</v>
      </c>
      <c r="Z84">
        <v>449.4</v>
      </c>
      <c r="AA84">
        <v>0</v>
      </c>
      <c r="AB84">
        <v>3</v>
      </c>
      <c r="AC84">
        <v>0</v>
      </c>
      <c r="AD84">
        <v>0</v>
      </c>
      <c r="AE84">
        <v>0</v>
      </c>
      <c r="AF84">
        <v>0</v>
      </c>
      <c r="AH84">
        <v>2495.8999999999987</v>
      </c>
    </row>
    <row r="85" spans="1:34" x14ac:dyDescent="0.25">
      <c r="A85" s="1">
        <v>81</v>
      </c>
      <c r="B85">
        <v>0</v>
      </c>
      <c r="C85">
        <v>0</v>
      </c>
      <c r="D85">
        <v>0</v>
      </c>
      <c r="E85">
        <v>44</v>
      </c>
      <c r="F85">
        <v>163</v>
      </c>
      <c r="G85">
        <v>17</v>
      </c>
      <c r="H85">
        <v>229.4</v>
      </c>
      <c r="I85">
        <v>0</v>
      </c>
      <c r="J85">
        <v>191</v>
      </c>
      <c r="K85">
        <v>0</v>
      </c>
      <c r="L85">
        <v>0</v>
      </c>
      <c r="M85">
        <v>372.2</v>
      </c>
      <c r="N85">
        <v>0</v>
      </c>
      <c r="O85">
        <v>307</v>
      </c>
      <c r="P85">
        <v>0</v>
      </c>
      <c r="Q85">
        <v>154</v>
      </c>
      <c r="R85">
        <v>0</v>
      </c>
      <c r="S85">
        <v>40</v>
      </c>
      <c r="T85">
        <v>194</v>
      </c>
      <c r="U85">
        <v>0</v>
      </c>
      <c r="V85">
        <v>0</v>
      </c>
      <c r="W85">
        <v>288.3</v>
      </c>
      <c r="X85">
        <v>79</v>
      </c>
      <c r="Y85">
        <v>0</v>
      </c>
      <c r="Z85">
        <v>456</v>
      </c>
      <c r="AA85">
        <v>0</v>
      </c>
      <c r="AB85">
        <v>3</v>
      </c>
      <c r="AC85">
        <v>0</v>
      </c>
      <c r="AD85">
        <v>0</v>
      </c>
      <c r="AE85">
        <v>0</v>
      </c>
      <c r="AF85">
        <v>0</v>
      </c>
      <c r="AH85">
        <v>2537.8999999999996</v>
      </c>
    </row>
    <row r="86" spans="1:34" x14ac:dyDescent="0.25">
      <c r="A86" s="1">
        <v>82</v>
      </c>
      <c r="B86">
        <v>0</v>
      </c>
      <c r="C86">
        <v>0</v>
      </c>
      <c r="D86">
        <v>0</v>
      </c>
      <c r="E86">
        <v>37.700000000000003</v>
      </c>
      <c r="F86">
        <v>162</v>
      </c>
      <c r="G86">
        <v>19.600000000000001</v>
      </c>
      <c r="H86">
        <v>254.1</v>
      </c>
      <c r="I86">
        <v>0</v>
      </c>
      <c r="J86">
        <v>191</v>
      </c>
      <c r="K86">
        <v>0</v>
      </c>
      <c r="L86">
        <v>0</v>
      </c>
      <c r="M86">
        <v>373.4</v>
      </c>
      <c r="N86">
        <v>0</v>
      </c>
      <c r="O86">
        <v>320.2</v>
      </c>
      <c r="P86">
        <v>0</v>
      </c>
      <c r="Q86">
        <v>162</v>
      </c>
      <c r="R86">
        <v>0</v>
      </c>
      <c r="S86">
        <v>40</v>
      </c>
      <c r="T86">
        <v>194</v>
      </c>
      <c r="U86">
        <v>0</v>
      </c>
      <c r="V86">
        <v>0</v>
      </c>
      <c r="W86">
        <v>292.89999999999998</v>
      </c>
      <c r="X86">
        <v>80</v>
      </c>
      <c r="Y86">
        <v>0</v>
      </c>
      <c r="Z86">
        <v>440.1</v>
      </c>
      <c r="AA86">
        <v>0</v>
      </c>
      <c r="AB86">
        <v>3</v>
      </c>
      <c r="AC86">
        <v>0</v>
      </c>
      <c r="AD86">
        <v>0</v>
      </c>
      <c r="AE86">
        <v>0</v>
      </c>
      <c r="AF86">
        <v>0</v>
      </c>
      <c r="AH86">
        <v>2570</v>
      </c>
    </row>
    <row r="87" spans="1:34" x14ac:dyDescent="0.25">
      <c r="A87" s="1">
        <v>83</v>
      </c>
      <c r="B87">
        <v>0</v>
      </c>
      <c r="C87">
        <v>0</v>
      </c>
      <c r="D87">
        <v>0</v>
      </c>
      <c r="E87">
        <v>38.700000000000003</v>
      </c>
      <c r="F87">
        <v>163</v>
      </c>
      <c r="G87">
        <v>14.6</v>
      </c>
      <c r="H87">
        <v>245.1</v>
      </c>
      <c r="I87">
        <v>0</v>
      </c>
      <c r="J87">
        <v>191</v>
      </c>
      <c r="K87">
        <v>0</v>
      </c>
      <c r="L87">
        <v>0</v>
      </c>
      <c r="M87">
        <v>376.4</v>
      </c>
      <c r="N87">
        <v>0</v>
      </c>
      <c r="O87">
        <v>319</v>
      </c>
      <c r="P87">
        <v>0</v>
      </c>
      <c r="Q87">
        <v>168</v>
      </c>
      <c r="R87">
        <v>0</v>
      </c>
      <c r="S87">
        <v>40</v>
      </c>
      <c r="T87">
        <v>194</v>
      </c>
      <c r="U87">
        <v>0</v>
      </c>
      <c r="V87">
        <v>0</v>
      </c>
      <c r="W87">
        <v>295.10000000000002</v>
      </c>
      <c r="X87">
        <v>81</v>
      </c>
      <c r="Y87">
        <v>0</v>
      </c>
      <c r="Z87">
        <v>461.9</v>
      </c>
      <c r="AA87">
        <v>0</v>
      </c>
      <c r="AB87">
        <v>3</v>
      </c>
      <c r="AC87">
        <v>0</v>
      </c>
      <c r="AD87">
        <v>0</v>
      </c>
      <c r="AE87">
        <v>0</v>
      </c>
      <c r="AF87">
        <v>0</v>
      </c>
      <c r="AH87">
        <v>2590.8000000000002</v>
      </c>
    </row>
    <row r="88" spans="1:34" x14ac:dyDescent="0.25">
      <c r="A88" s="1">
        <v>84</v>
      </c>
      <c r="B88">
        <v>0</v>
      </c>
      <c r="C88">
        <v>0</v>
      </c>
      <c r="D88">
        <v>0</v>
      </c>
      <c r="E88">
        <v>40.700000000000003</v>
      </c>
      <c r="F88">
        <v>162</v>
      </c>
      <c r="G88">
        <v>14.6</v>
      </c>
      <c r="H88">
        <v>249.1</v>
      </c>
      <c r="I88">
        <v>0</v>
      </c>
      <c r="J88">
        <v>191</v>
      </c>
      <c r="K88">
        <v>0</v>
      </c>
      <c r="L88">
        <v>0</v>
      </c>
      <c r="M88">
        <v>386.4</v>
      </c>
      <c r="N88">
        <v>0</v>
      </c>
      <c r="O88">
        <v>259.2</v>
      </c>
      <c r="P88">
        <v>0</v>
      </c>
      <c r="Q88">
        <v>173</v>
      </c>
      <c r="R88">
        <v>0</v>
      </c>
      <c r="S88">
        <v>42</v>
      </c>
      <c r="T88">
        <v>194</v>
      </c>
      <c r="U88">
        <v>0</v>
      </c>
      <c r="V88">
        <v>0</v>
      </c>
      <c r="W88">
        <v>295.10000000000002</v>
      </c>
      <c r="X88">
        <v>81</v>
      </c>
      <c r="Y88">
        <v>0</v>
      </c>
      <c r="Z88">
        <v>477.5</v>
      </c>
      <c r="AA88">
        <v>0</v>
      </c>
      <c r="AB88">
        <v>3</v>
      </c>
      <c r="AC88">
        <v>0</v>
      </c>
      <c r="AD88">
        <v>0</v>
      </c>
      <c r="AE88">
        <v>0</v>
      </c>
      <c r="AF88">
        <v>0</v>
      </c>
      <c r="AH88">
        <v>2568.6</v>
      </c>
    </row>
    <row r="89" spans="1:34" x14ac:dyDescent="0.25">
      <c r="A89" s="1">
        <v>86</v>
      </c>
      <c r="B89">
        <v>0</v>
      </c>
      <c r="C89">
        <v>0</v>
      </c>
      <c r="D89">
        <v>0</v>
      </c>
      <c r="E89">
        <v>34.200000000000003</v>
      </c>
      <c r="F89">
        <v>163</v>
      </c>
      <c r="G89">
        <v>14.6</v>
      </c>
      <c r="H89">
        <v>249.8</v>
      </c>
      <c r="I89">
        <v>0</v>
      </c>
      <c r="J89">
        <v>207</v>
      </c>
      <c r="K89">
        <v>0</v>
      </c>
      <c r="L89">
        <v>0</v>
      </c>
      <c r="M89">
        <v>397.2</v>
      </c>
      <c r="N89">
        <v>0</v>
      </c>
      <c r="O89">
        <v>270.60000000000002</v>
      </c>
      <c r="P89">
        <v>0</v>
      </c>
      <c r="Q89">
        <v>175</v>
      </c>
      <c r="R89">
        <v>0</v>
      </c>
      <c r="S89">
        <v>42</v>
      </c>
      <c r="T89">
        <v>194</v>
      </c>
      <c r="U89">
        <v>0</v>
      </c>
      <c r="V89">
        <v>0</v>
      </c>
      <c r="W89">
        <v>295.10000000000002</v>
      </c>
      <c r="X89">
        <v>81</v>
      </c>
      <c r="Y89">
        <v>0</v>
      </c>
      <c r="Z89">
        <v>490.9</v>
      </c>
      <c r="AA89">
        <v>0</v>
      </c>
      <c r="AB89">
        <v>3</v>
      </c>
      <c r="AC89">
        <v>0</v>
      </c>
      <c r="AD89">
        <v>0</v>
      </c>
      <c r="AE89">
        <v>0</v>
      </c>
      <c r="AF89">
        <v>0</v>
      </c>
      <c r="AH89">
        <v>2617.4</v>
      </c>
    </row>
    <row r="90" spans="1:34" x14ac:dyDescent="0.25">
      <c r="A90" s="1">
        <v>87</v>
      </c>
      <c r="B90">
        <v>0</v>
      </c>
      <c r="C90">
        <v>0</v>
      </c>
      <c r="D90">
        <v>0</v>
      </c>
      <c r="E90">
        <v>31.2</v>
      </c>
      <c r="F90">
        <v>162</v>
      </c>
      <c r="G90">
        <v>14.6</v>
      </c>
      <c r="H90">
        <v>234.4</v>
      </c>
      <c r="I90">
        <v>0</v>
      </c>
      <c r="J90">
        <v>213</v>
      </c>
      <c r="K90">
        <v>0</v>
      </c>
      <c r="L90">
        <v>0</v>
      </c>
      <c r="M90">
        <v>400.2</v>
      </c>
      <c r="N90">
        <v>0</v>
      </c>
      <c r="O90">
        <v>276.60000000000002</v>
      </c>
      <c r="P90">
        <v>0</v>
      </c>
      <c r="Q90">
        <v>177</v>
      </c>
      <c r="R90">
        <v>0</v>
      </c>
      <c r="S90">
        <v>43</v>
      </c>
      <c r="T90">
        <v>194</v>
      </c>
      <c r="U90">
        <v>0</v>
      </c>
      <c r="V90">
        <v>0</v>
      </c>
      <c r="W90">
        <v>295.10000000000002</v>
      </c>
      <c r="X90">
        <v>81</v>
      </c>
      <c r="Y90">
        <v>0</v>
      </c>
      <c r="Z90">
        <v>496.79999999999899</v>
      </c>
      <c r="AA90">
        <v>0</v>
      </c>
      <c r="AB90">
        <v>3</v>
      </c>
      <c r="AC90">
        <v>0</v>
      </c>
      <c r="AD90">
        <v>0</v>
      </c>
      <c r="AE90">
        <v>0</v>
      </c>
      <c r="AF90">
        <v>0</v>
      </c>
      <c r="AH90">
        <v>2621.8999999999987</v>
      </c>
    </row>
    <row r="91" spans="1:34" x14ac:dyDescent="0.25">
      <c r="A91" s="1">
        <v>88</v>
      </c>
      <c r="B91">
        <v>0</v>
      </c>
      <c r="C91">
        <v>0</v>
      </c>
      <c r="D91">
        <v>0</v>
      </c>
      <c r="E91">
        <v>30.2</v>
      </c>
      <c r="F91">
        <v>163</v>
      </c>
      <c r="G91">
        <v>14.6</v>
      </c>
      <c r="H91">
        <v>234.2</v>
      </c>
      <c r="I91">
        <v>0</v>
      </c>
      <c r="J91">
        <v>225</v>
      </c>
      <c r="K91">
        <v>0</v>
      </c>
      <c r="L91">
        <v>0</v>
      </c>
      <c r="M91">
        <v>404.2</v>
      </c>
      <c r="N91">
        <v>0</v>
      </c>
      <c r="O91">
        <v>267.8</v>
      </c>
      <c r="P91">
        <v>0</v>
      </c>
      <c r="Q91">
        <v>177</v>
      </c>
      <c r="R91">
        <v>0</v>
      </c>
      <c r="S91">
        <v>43</v>
      </c>
      <c r="T91">
        <v>194</v>
      </c>
      <c r="U91">
        <v>0</v>
      </c>
      <c r="V91">
        <v>0</v>
      </c>
      <c r="W91">
        <v>295.10000000000002</v>
      </c>
      <c r="X91">
        <v>81</v>
      </c>
      <c r="Y91">
        <v>0</v>
      </c>
      <c r="Z91">
        <v>498.79999999999899</v>
      </c>
      <c r="AA91">
        <v>0</v>
      </c>
      <c r="AB91">
        <v>3</v>
      </c>
      <c r="AC91">
        <v>0</v>
      </c>
      <c r="AD91">
        <v>0</v>
      </c>
      <c r="AE91">
        <v>0</v>
      </c>
      <c r="AF91">
        <v>0</v>
      </c>
      <c r="AH91">
        <v>2630.8999999999987</v>
      </c>
    </row>
    <row r="92" spans="1:34" x14ac:dyDescent="0.25">
      <c r="A92" s="1">
        <v>89</v>
      </c>
      <c r="B92">
        <v>0</v>
      </c>
      <c r="C92">
        <v>0</v>
      </c>
      <c r="D92">
        <v>0</v>
      </c>
      <c r="E92">
        <v>25.2</v>
      </c>
      <c r="F92">
        <v>162</v>
      </c>
      <c r="G92">
        <v>14.6</v>
      </c>
      <c r="H92">
        <v>250.4</v>
      </c>
      <c r="I92">
        <v>0</v>
      </c>
      <c r="J92">
        <v>230</v>
      </c>
      <c r="K92">
        <v>0</v>
      </c>
      <c r="L92">
        <v>0</v>
      </c>
      <c r="M92">
        <v>404.2</v>
      </c>
      <c r="N92">
        <v>0</v>
      </c>
      <c r="O92">
        <v>264.60000000000002</v>
      </c>
      <c r="P92">
        <v>0</v>
      </c>
      <c r="Q92">
        <v>190</v>
      </c>
      <c r="R92">
        <v>0</v>
      </c>
      <c r="S92">
        <v>43</v>
      </c>
      <c r="T92">
        <v>195.4</v>
      </c>
      <c r="U92">
        <v>0</v>
      </c>
      <c r="V92">
        <v>0</v>
      </c>
      <c r="W92">
        <v>297.10000000000002</v>
      </c>
      <c r="X92">
        <v>81</v>
      </c>
      <c r="Y92">
        <v>0</v>
      </c>
      <c r="Z92">
        <v>492.79999999999899</v>
      </c>
      <c r="AA92">
        <v>0</v>
      </c>
      <c r="AB92">
        <v>3</v>
      </c>
      <c r="AC92">
        <v>0</v>
      </c>
      <c r="AD92">
        <v>0</v>
      </c>
      <c r="AE92">
        <v>0</v>
      </c>
      <c r="AF92">
        <v>0</v>
      </c>
      <c r="AH92">
        <v>2653.2999999999988</v>
      </c>
    </row>
    <row r="93" spans="1:34" x14ac:dyDescent="0.25">
      <c r="A93" s="1">
        <v>90</v>
      </c>
      <c r="B93">
        <v>0</v>
      </c>
      <c r="C93">
        <v>0</v>
      </c>
      <c r="D93">
        <v>0</v>
      </c>
      <c r="E93">
        <v>23.2</v>
      </c>
      <c r="F93">
        <v>161</v>
      </c>
      <c r="G93">
        <v>14.6</v>
      </c>
      <c r="H93">
        <v>243.4</v>
      </c>
      <c r="I93">
        <v>0</v>
      </c>
      <c r="J93">
        <v>234</v>
      </c>
      <c r="K93">
        <v>0</v>
      </c>
      <c r="L93">
        <v>0</v>
      </c>
      <c r="M93">
        <v>404.2</v>
      </c>
      <c r="N93">
        <v>0</v>
      </c>
      <c r="O93">
        <v>221.2</v>
      </c>
      <c r="P93">
        <v>0</v>
      </c>
      <c r="Q93">
        <v>198</v>
      </c>
      <c r="R93">
        <v>0</v>
      </c>
      <c r="S93">
        <v>43</v>
      </c>
      <c r="T93">
        <v>195.4</v>
      </c>
      <c r="U93">
        <v>0</v>
      </c>
      <c r="V93">
        <v>0</v>
      </c>
      <c r="W93">
        <v>300.10000000000002</v>
      </c>
      <c r="X93">
        <v>81</v>
      </c>
      <c r="Y93">
        <v>0</v>
      </c>
      <c r="Z93">
        <v>493.79999999999899</v>
      </c>
      <c r="AA93">
        <v>0</v>
      </c>
      <c r="AB93">
        <v>3</v>
      </c>
      <c r="AC93">
        <v>0</v>
      </c>
      <c r="AD93">
        <v>0</v>
      </c>
      <c r="AE93">
        <v>0</v>
      </c>
      <c r="AF93">
        <v>0</v>
      </c>
      <c r="AH93">
        <v>2615.8999999999992</v>
      </c>
    </row>
    <row r="94" spans="1:34" x14ac:dyDescent="0.25">
      <c r="A94" s="1">
        <v>91</v>
      </c>
      <c r="B94">
        <v>0</v>
      </c>
      <c r="C94">
        <v>0</v>
      </c>
      <c r="D94">
        <v>0</v>
      </c>
      <c r="E94">
        <v>22.2</v>
      </c>
      <c r="F94">
        <v>161</v>
      </c>
      <c r="G94">
        <v>14.6</v>
      </c>
      <c r="H94">
        <v>222.4</v>
      </c>
      <c r="I94">
        <v>0</v>
      </c>
      <c r="J94">
        <v>238</v>
      </c>
      <c r="K94">
        <v>0</v>
      </c>
      <c r="L94">
        <v>0</v>
      </c>
      <c r="M94">
        <v>420.9</v>
      </c>
      <c r="N94">
        <v>0</v>
      </c>
      <c r="O94">
        <v>202.8</v>
      </c>
      <c r="P94">
        <v>0</v>
      </c>
      <c r="Q94">
        <v>209</v>
      </c>
      <c r="R94">
        <v>0</v>
      </c>
      <c r="S94">
        <v>43</v>
      </c>
      <c r="T94">
        <v>196.7</v>
      </c>
      <c r="U94">
        <v>0</v>
      </c>
      <c r="V94">
        <v>0</v>
      </c>
      <c r="W94">
        <v>300.10000000000002</v>
      </c>
      <c r="X94">
        <v>83</v>
      </c>
      <c r="Y94">
        <v>0</v>
      </c>
      <c r="Z94">
        <v>504.79999999999899</v>
      </c>
      <c r="AA94">
        <v>0</v>
      </c>
      <c r="AB94">
        <v>3</v>
      </c>
      <c r="AC94">
        <v>0</v>
      </c>
      <c r="AD94">
        <v>0</v>
      </c>
      <c r="AE94">
        <v>0</v>
      </c>
      <c r="AF94">
        <v>0</v>
      </c>
      <c r="AH94">
        <v>2621.4999999999986</v>
      </c>
    </row>
    <row r="95" spans="1:34" x14ac:dyDescent="0.25">
      <c r="A95" s="1">
        <v>92</v>
      </c>
      <c r="B95">
        <v>0</v>
      </c>
      <c r="C95">
        <v>0</v>
      </c>
      <c r="D95">
        <v>0</v>
      </c>
      <c r="E95">
        <v>21.2</v>
      </c>
      <c r="F95">
        <v>162</v>
      </c>
      <c r="G95">
        <v>14.6</v>
      </c>
      <c r="H95">
        <v>245.4</v>
      </c>
      <c r="I95">
        <v>0</v>
      </c>
      <c r="J95">
        <v>240</v>
      </c>
      <c r="K95">
        <v>0</v>
      </c>
      <c r="L95">
        <v>0</v>
      </c>
      <c r="M95">
        <v>415.9</v>
      </c>
      <c r="N95">
        <v>0</v>
      </c>
      <c r="O95">
        <v>141.19999999999999</v>
      </c>
      <c r="P95">
        <v>0</v>
      </c>
      <c r="Q95">
        <v>201.9</v>
      </c>
      <c r="R95">
        <v>0</v>
      </c>
      <c r="S95">
        <v>42</v>
      </c>
      <c r="T95">
        <v>196.7</v>
      </c>
      <c r="U95">
        <v>0</v>
      </c>
      <c r="V95">
        <v>0</v>
      </c>
      <c r="W95">
        <v>312.10000000000002</v>
      </c>
      <c r="X95">
        <v>83</v>
      </c>
      <c r="Y95">
        <v>0</v>
      </c>
      <c r="Z95">
        <v>441.6</v>
      </c>
      <c r="AA95">
        <v>0</v>
      </c>
      <c r="AB95">
        <v>3</v>
      </c>
      <c r="AC95">
        <v>0</v>
      </c>
      <c r="AD95">
        <v>0</v>
      </c>
      <c r="AE95">
        <v>0</v>
      </c>
      <c r="AF95">
        <v>0</v>
      </c>
      <c r="AH95">
        <v>2520.6</v>
      </c>
    </row>
    <row r="96" spans="1:34" x14ac:dyDescent="0.25">
      <c r="A96" s="1">
        <v>93</v>
      </c>
      <c r="B96">
        <v>0</v>
      </c>
      <c r="C96">
        <v>0</v>
      </c>
      <c r="D96">
        <v>0</v>
      </c>
      <c r="E96">
        <v>19.2</v>
      </c>
      <c r="F96">
        <v>162</v>
      </c>
      <c r="G96">
        <v>14.6</v>
      </c>
      <c r="H96">
        <v>250.4</v>
      </c>
      <c r="I96">
        <v>0</v>
      </c>
      <c r="J96">
        <v>244</v>
      </c>
      <c r="K96">
        <v>0</v>
      </c>
      <c r="L96">
        <v>0</v>
      </c>
      <c r="M96">
        <v>410.9</v>
      </c>
      <c r="N96">
        <v>0</v>
      </c>
      <c r="O96">
        <v>136.19999999999999</v>
      </c>
      <c r="P96">
        <v>0</v>
      </c>
      <c r="Q96">
        <v>211.9</v>
      </c>
      <c r="R96">
        <v>0</v>
      </c>
      <c r="S96">
        <v>42</v>
      </c>
      <c r="T96">
        <v>196.7</v>
      </c>
      <c r="U96">
        <v>0</v>
      </c>
      <c r="V96">
        <v>0</v>
      </c>
      <c r="W96">
        <v>303.10000000000002</v>
      </c>
      <c r="X96">
        <v>84</v>
      </c>
      <c r="Y96">
        <v>0</v>
      </c>
      <c r="Z96">
        <v>448.29999999999899</v>
      </c>
      <c r="AA96">
        <v>0</v>
      </c>
      <c r="AB96">
        <v>3</v>
      </c>
      <c r="AC96">
        <v>0</v>
      </c>
      <c r="AD96">
        <v>0</v>
      </c>
      <c r="AE96">
        <v>0</v>
      </c>
      <c r="AF96">
        <v>0</v>
      </c>
      <c r="AH96">
        <v>2526.2999999999988</v>
      </c>
    </row>
    <row r="97" spans="1:34" x14ac:dyDescent="0.25">
      <c r="A97" s="1">
        <v>94</v>
      </c>
      <c r="B97">
        <v>0</v>
      </c>
      <c r="C97">
        <v>0</v>
      </c>
      <c r="D97">
        <v>0</v>
      </c>
      <c r="E97">
        <v>19.2</v>
      </c>
      <c r="F97">
        <v>161</v>
      </c>
      <c r="G97">
        <v>14.6</v>
      </c>
      <c r="H97">
        <v>262.10000000000002</v>
      </c>
      <c r="I97">
        <v>0</v>
      </c>
      <c r="J97">
        <v>246</v>
      </c>
      <c r="K97">
        <v>0</v>
      </c>
      <c r="L97">
        <v>0</v>
      </c>
      <c r="M97">
        <v>415.599999999999</v>
      </c>
      <c r="N97">
        <v>0</v>
      </c>
      <c r="O97">
        <v>100.2</v>
      </c>
      <c r="P97">
        <v>0</v>
      </c>
      <c r="Q97">
        <v>198.6</v>
      </c>
      <c r="R97">
        <v>0</v>
      </c>
      <c r="S97">
        <v>42</v>
      </c>
      <c r="T97">
        <v>196.7</v>
      </c>
      <c r="U97">
        <v>0</v>
      </c>
      <c r="V97">
        <v>0</v>
      </c>
      <c r="W97">
        <v>320.5</v>
      </c>
      <c r="X97">
        <v>84</v>
      </c>
      <c r="Y97">
        <v>0</v>
      </c>
      <c r="Z97">
        <v>444.5</v>
      </c>
      <c r="AA97">
        <v>0</v>
      </c>
      <c r="AB97">
        <v>3</v>
      </c>
      <c r="AC97">
        <v>0</v>
      </c>
      <c r="AD97">
        <v>0</v>
      </c>
      <c r="AE97">
        <v>0</v>
      </c>
      <c r="AF97">
        <v>0</v>
      </c>
      <c r="AH97">
        <v>2507.9999999999991</v>
      </c>
    </row>
    <row r="98" spans="1:34" x14ac:dyDescent="0.25">
      <c r="A98" s="1">
        <v>95</v>
      </c>
      <c r="B98">
        <v>0</v>
      </c>
      <c r="C98">
        <v>0</v>
      </c>
      <c r="D98">
        <v>0</v>
      </c>
      <c r="E98">
        <v>18.2</v>
      </c>
      <c r="F98">
        <v>160</v>
      </c>
      <c r="G98">
        <v>14.6</v>
      </c>
      <c r="H98">
        <v>279.89999999999998</v>
      </c>
      <c r="I98">
        <v>0</v>
      </c>
      <c r="J98">
        <v>246</v>
      </c>
      <c r="K98">
        <v>0</v>
      </c>
      <c r="L98">
        <v>0</v>
      </c>
      <c r="M98">
        <v>387.7</v>
      </c>
      <c r="N98">
        <v>0</v>
      </c>
      <c r="O98">
        <v>108.8</v>
      </c>
      <c r="P98">
        <v>0</v>
      </c>
      <c r="Q98">
        <v>195.1</v>
      </c>
      <c r="R98">
        <v>0</v>
      </c>
      <c r="S98">
        <v>46</v>
      </c>
      <c r="T98">
        <v>199.3</v>
      </c>
      <c r="U98">
        <v>0</v>
      </c>
      <c r="V98">
        <v>0</v>
      </c>
      <c r="W98">
        <v>331.1</v>
      </c>
      <c r="X98">
        <v>85</v>
      </c>
      <c r="Y98">
        <v>0</v>
      </c>
      <c r="Z98">
        <v>451.29999999999899</v>
      </c>
      <c r="AA98">
        <v>0</v>
      </c>
      <c r="AB98">
        <v>3</v>
      </c>
      <c r="AC98">
        <v>0</v>
      </c>
      <c r="AD98">
        <v>0</v>
      </c>
      <c r="AE98">
        <v>0</v>
      </c>
      <c r="AF98">
        <v>0</v>
      </c>
      <c r="AH98">
        <v>2525.9999999999986</v>
      </c>
    </row>
    <row r="99" spans="1:34" x14ac:dyDescent="0.25">
      <c r="A99" s="1">
        <v>96</v>
      </c>
      <c r="B99">
        <v>0</v>
      </c>
      <c r="C99">
        <v>0</v>
      </c>
      <c r="D99">
        <v>0</v>
      </c>
      <c r="E99">
        <v>14.2</v>
      </c>
      <c r="F99">
        <v>161</v>
      </c>
      <c r="G99">
        <v>14.6</v>
      </c>
      <c r="H99">
        <v>289.39999999999998</v>
      </c>
      <c r="I99">
        <v>0</v>
      </c>
      <c r="J99">
        <v>246</v>
      </c>
      <c r="K99">
        <v>0</v>
      </c>
      <c r="L99">
        <v>0</v>
      </c>
      <c r="M99">
        <v>356.099999999999</v>
      </c>
      <c r="N99">
        <v>0</v>
      </c>
      <c r="O99">
        <v>108.2</v>
      </c>
      <c r="P99">
        <v>0</v>
      </c>
      <c r="Q99">
        <v>209.2</v>
      </c>
      <c r="R99">
        <v>0</v>
      </c>
      <c r="S99">
        <v>51</v>
      </c>
      <c r="T99">
        <v>200.6</v>
      </c>
      <c r="U99">
        <v>0</v>
      </c>
      <c r="V99">
        <v>0</v>
      </c>
      <c r="W99">
        <v>331.1</v>
      </c>
      <c r="X99">
        <v>85</v>
      </c>
      <c r="Y99">
        <v>0</v>
      </c>
      <c r="Z99">
        <v>436.7</v>
      </c>
      <c r="AA99">
        <v>0</v>
      </c>
      <c r="AB99">
        <v>3</v>
      </c>
      <c r="AC99">
        <v>0</v>
      </c>
      <c r="AD99">
        <v>0</v>
      </c>
      <c r="AE99">
        <v>0</v>
      </c>
      <c r="AF99">
        <v>0</v>
      </c>
      <c r="AH99">
        <v>2506.0999999999985</v>
      </c>
    </row>
    <row r="100" spans="1:34" x14ac:dyDescent="0.25">
      <c r="A100" s="1">
        <v>97</v>
      </c>
      <c r="B100">
        <v>0</v>
      </c>
      <c r="C100">
        <v>0</v>
      </c>
      <c r="D100">
        <v>0</v>
      </c>
      <c r="E100">
        <v>13.2</v>
      </c>
      <c r="F100">
        <v>161</v>
      </c>
      <c r="G100">
        <v>14.6</v>
      </c>
      <c r="H100">
        <v>293.2</v>
      </c>
      <c r="I100">
        <v>0</v>
      </c>
      <c r="J100">
        <v>247</v>
      </c>
      <c r="K100">
        <v>0</v>
      </c>
      <c r="L100">
        <v>0</v>
      </c>
      <c r="M100">
        <v>368.3</v>
      </c>
      <c r="N100">
        <v>0</v>
      </c>
      <c r="O100">
        <v>85.6</v>
      </c>
      <c r="P100">
        <v>0</v>
      </c>
      <c r="Q100">
        <v>210</v>
      </c>
      <c r="R100">
        <v>0</v>
      </c>
      <c r="S100">
        <v>55</v>
      </c>
      <c r="T100">
        <v>200.6</v>
      </c>
      <c r="U100">
        <v>0</v>
      </c>
      <c r="V100">
        <v>0</v>
      </c>
      <c r="W100">
        <v>331.1</v>
      </c>
      <c r="X100">
        <v>85</v>
      </c>
      <c r="Y100">
        <v>0</v>
      </c>
      <c r="Z100">
        <v>447.9</v>
      </c>
      <c r="AA100">
        <v>0</v>
      </c>
      <c r="AB100">
        <v>3</v>
      </c>
      <c r="AC100">
        <v>0</v>
      </c>
      <c r="AD100">
        <v>0</v>
      </c>
      <c r="AE100">
        <v>0</v>
      </c>
      <c r="AF100">
        <v>0</v>
      </c>
      <c r="AH100">
        <v>2515.5</v>
      </c>
    </row>
    <row r="101" spans="1:34" x14ac:dyDescent="0.25">
      <c r="A101" s="1">
        <v>98</v>
      </c>
      <c r="B101">
        <v>0</v>
      </c>
      <c r="C101">
        <v>0</v>
      </c>
      <c r="D101">
        <v>0</v>
      </c>
      <c r="E101">
        <v>17.399999999999999</v>
      </c>
      <c r="F101">
        <v>161</v>
      </c>
      <c r="G101">
        <v>5.6</v>
      </c>
      <c r="H101">
        <v>307.29999999999899</v>
      </c>
      <c r="I101">
        <v>0</v>
      </c>
      <c r="J101">
        <v>256</v>
      </c>
      <c r="K101">
        <v>0</v>
      </c>
      <c r="L101">
        <v>0</v>
      </c>
      <c r="M101">
        <v>376.9</v>
      </c>
      <c r="N101">
        <v>0</v>
      </c>
      <c r="O101">
        <v>84.8</v>
      </c>
      <c r="P101">
        <v>0</v>
      </c>
      <c r="Q101">
        <v>207.7</v>
      </c>
      <c r="R101">
        <v>0</v>
      </c>
      <c r="S101">
        <v>60</v>
      </c>
      <c r="T101">
        <v>200.6</v>
      </c>
      <c r="U101">
        <v>0</v>
      </c>
      <c r="V101">
        <v>0</v>
      </c>
      <c r="W101">
        <v>340.1</v>
      </c>
      <c r="X101">
        <v>85</v>
      </c>
      <c r="Y101">
        <v>0</v>
      </c>
      <c r="Z101">
        <v>450.4</v>
      </c>
      <c r="AA101">
        <v>0</v>
      </c>
      <c r="AB101">
        <v>3</v>
      </c>
      <c r="AC101">
        <v>0</v>
      </c>
      <c r="AD101">
        <v>0</v>
      </c>
      <c r="AE101">
        <v>0</v>
      </c>
      <c r="AF101">
        <v>0</v>
      </c>
      <c r="AH101">
        <v>2555.7999999999988</v>
      </c>
    </row>
    <row r="102" spans="1:34" x14ac:dyDescent="0.25">
      <c r="A102" s="1">
        <v>99</v>
      </c>
      <c r="B102">
        <v>0</v>
      </c>
      <c r="C102">
        <v>0</v>
      </c>
      <c r="D102">
        <v>0</v>
      </c>
      <c r="E102">
        <v>18.399999999999999</v>
      </c>
      <c r="F102">
        <v>163</v>
      </c>
      <c r="G102">
        <v>5.6</v>
      </c>
      <c r="H102">
        <v>312.7</v>
      </c>
      <c r="I102">
        <v>0</v>
      </c>
      <c r="J102">
        <v>258</v>
      </c>
      <c r="K102">
        <v>0</v>
      </c>
      <c r="L102">
        <v>0</v>
      </c>
      <c r="M102">
        <v>389.3</v>
      </c>
      <c r="N102">
        <v>0</v>
      </c>
      <c r="O102">
        <v>72.599999999999994</v>
      </c>
      <c r="P102">
        <v>0</v>
      </c>
      <c r="Q102">
        <v>214</v>
      </c>
      <c r="R102">
        <v>0</v>
      </c>
      <c r="S102">
        <v>54</v>
      </c>
      <c r="T102">
        <v>201.9</v>
      </c>
      <c r="U102">
        <v>0</v>
      </c>
      <c r="V102">
        <v>0</v>
      </c>
      <c r="W102">
        <v>341.1</v>
      </c>
      <c r="X102">
        <v>85</v>
      </c>
      <c r="Y102">
        <v>0</v>
      </c>
      <c r="Z102">
        <v>457.6</v>
      </c>
      <c r="AA102">
        <v>0</v>
      </c>
      <c r="AB102">
        <v>3</v>
      </c>
      <c r="AC102">
        <v>0</v>
      </c>
      <c r="AD102">
        <v>0</v>
      </c>
      <c r="AE102">
        <v>0</v>
      </c>
      <c r="AF102">
        <v>0</v>
      </c>
      <c r="AH102">
        <v>2576.1999999999998</v>
      </c>
    </row>
    <row r="103" spans="1:34" x14ac:dyDescent="0.25">
      <c r="A103" s="1">
        <v>100</v>
      </c>
      <c r="B103">
        <v>0</v>
      </c>
      <c r="C103">
        <v>0</v>
      </c>
      <c r="D103">
        <v>0</v>
      </c>
      <c r="E103">
        <v>19.5</v>
      </c>
      <c r="F103">
        <v>170</v>
      </c>
      <c r="G103">
        <v>5.6</v>
      </c>
      <c r="H103">
        <v>297.8</v>
      </c>
      <c r="I103">
        <v>0</v>
      </c>
      <c r="J103">
        <v>258</v>
      </c>
      <c r="K103">
        <v>0</v>
      </c>
      <c r="L103">
        <v>0</v>
      </c>
      <c r="M103">
        <v>394.3</v>
      </c>
      <c r="N103">
        <v>0</v>
      </c>
      <c r="O103">
        <v>79.400000000000006</v>
      </c>
      <c r="P103">
        <v>0</v>
      </c>
      <c r="Q103">
        <v>204.7</v>
      </c>
      <c r="R103">
        <v>0</v>
      </c>
      <c r="S103">
        <v>54</v>
      </c>
      <c r="T103">
        <v>204.5</v>
      </c>
      <c r="U103">
        <v>0</v>
      </c>
      <c r="V103">
        <v>0</v>
      </c>
      <c r="W103">
        <v>345.1</v>
      </c>
      <c r="X103">
        <v>87</v>
      </c>
      <c r="Y103">
        <v>0</v>
      </c>
      <c r="Z103">
        <v>424.9</v>
      </c>
      <c r="AA103">
        <v>0</v>
      </c>
      <c r="AB103">
        <v>3</v>
      </c>
      <c r="AC103">
        <v>0</v>
      </c>
      <c r="AD103">
        <v>0</v>
      </c>
      <c r="AE103">
        <v>0</v>
      </c>
      <c r="AF103">
        <v>0</v>
      </c>
      <c r="AH103">
        <v>2547.8000000000002</v>
      </c>
    </row>
    <row r="104" spans="1:34" x14ac:dyDescent="0.25">
      <c r="A104" s="1">
        <v>101</v>
      </c>
      <c r="B104">
        <v>0</v>
      </c>
      <c r="C104">
        <v>0</v>
      </c>
      <c r="D104">
        <v>0</v>
      </c>
      <c r="E104">
        <v>20.6</v>
      </c>
      <c r="F104">
        <v>173.7</v>
      </c>
      <c r="G104">
        <v>5.6</v>
      </c>
      <c r="H104">
        <v>306</v>
      </c>
      <c r="I104">
        <v>0</v>
      </c>
      <c r="J104">
        <v>258</v>
      </c>
      <c r="K104">
        <v>0</v>
      </c>
      <c r="L104">
        <v>0</v>
      </c>
      <c r="M104">
        <v>403.3</v>
      </c>
      <c r="N104">
        <v>0</v>
      </c>
      <c r="O104">
        <v>38.5</v>
      </c>
      <c r="P104">
        <v>0</v>
      </c>
      <c r="Q104">
        <v>206.9</v>
      </c>
      <c r="R104">
        <v>0</v>
      </c>
      <c r="S104">
        <v>62</v>
      </c>
      <c r="T104">
        <v>204.5</v>
      </c>
      <c r="U104">
        <v>0</v>
      </c>
      <c r="V104">
        <v>0</v>
      </c>
      <c r="W104">
        <v>349.1</v>
      </c>
      <c r="X104">
        <v>87</v>
      </c>
      <c r="Y104">
        <v>0</v>
      </c>
      <c r="Z104">
        <v>405.8</v>
      </c>
      <c r="AA104">
        <v>0</v>
      </c>
      <c r="AB104">
        <v>3</v>
      </c>
      <c r="AC104">
        <v>0</v>
      </c>
      <c r="AD104">
        <v>0</v>
      </c>
      <c r="AE104">
        <v>0</v>
      </c>
      <c r="AF104">
        <v>0</v>
      </c>
      <c r="AH104">
        <v>2524.0000000000005</v>
      </c>
    </row>
    <row r="105" spans="1:34" x14ac:dyDescent="0.25">
      <c r="A105" s="1">
        <v>102</v>
      </c>
      <c r="B105">
        <v>0</v>
      </c>
      <c r="C105">
        <v>0</v>
      </c>
      <c r="D105">
        <v>0</v>
      </c>
      <c r="E105">
        <v>20.6</v>
      </c>
      <c r="F105">
        <v>174.7</v>
      </c>
      <c r="G105">
        <v>0</v>
      </c>
      <c r="H105">
        <v>306</v>
      </c>
      <c r="I105">
        <v>0</v>
      </c>
      <c r="J105">
        <v>258</v>
      </c>
      <c r="K105">
        <v>0</v>
      </c>
      <c r="L105">
        <v>0</v>
      </c>
      <c r="M105">
        <v>408.3</v>
      </c>
      <c r="N105">
        <v>0</v>
      </c>
      <c r="O105">
        <v>37</v>
      </c>
      <c r="P105">
        <v>0</v>
      </c>
      <c r="Q105">
        <v>211.6</v>
      </c>
      <c r="R105">
        <v>0</v>
      </c>
      <c r="S105">
        <v>68</v>
      </c>
      <c r="T105">
        <v>205.8</v>
      </c>
      <c r="U105">
        <v>0</v>
      </c>
      <c r="V105">
        <v>0</v>
      </c>
      <c r="W105">
        <v>349.1</v>
      </c>
      <c r="X105">
        <v>90</v>
      </c>
      <c r="Y105">
        <v>0</v>
      </c>
      <c r="Z105">
        <v>411.9</v>
      </c>
      <c r="AA105">
        <v>0</v>
      </c>
      <c r="AB105">
        <v>3</v>
      </c>
      <c r="AC105">
        <v>0</v>
      </c>
      <c r="AD105">
        <v>0</v>
      </c>
      <c r="AE105">
        <v>0</v>
      </c>
      <c r="AF105">
        <v>0</v>
      </c>
      <c r="AH105">
        <v>2544</v>
      </c>
    </row>
    <row r="106" spans="1:34" x14ac:dyDescent="0.25">
      <c r="A106" s="1">
        <v>103</v>
      </c>
      <c r="B106">
        <v>0</v>
      </c>
      <c r="C106">
        <v>0</v>
      </c>
      <c r="D106">
        <v>0</v>
      </c>
      <c r="E106">
        <v>20.6</v>
      </c>
      <c r="F106">
        <v>175.7</v>
      </c>
      <c r="G106">
        <v>0</v>
      </c>
      <c r="H106">
        <v>311.5</v>
      </c>
      <c r="I106">
        <v>0</v>
      </c>
      <c r="J106">
        <v>258</v>
      </c>
      <c r="K106">
        <v>0</v>
      </c>
      <c r="L106">
        <v>0</v>
      </c>
      <c r="M106">
        <v>409.3</v>
      </c>
      <c r="N106">
        <v>0</v>
      </c>
      <c r="O106">
        <v>29.1</v>
      </c>
      <c r="P106">
        <v>0</v>
      </c>
      <c r="Q106">
        <v>217.8</v>
      </c>
      <c r="R106">
        <v>0</v>
      </c>
      <c r="S106">
        <v>45</v>
      </c>
      <c r="T106">
        <v>207.1</v>
      </c>
      <c r="U106">
        <v>0</v>
      </c>
      <c r="V106">
        <v>0</v>
      </c>
      <c r="W106">
        <v>351.1</v>
      </c>
      <c r="X106">
        <v>90</v>
      </c>
      <c r="Y106">
        <v>0</v>
      </c>
      <c r="Z106">
        <v>408.9</v>
      </c>
      <c r="AA106">
        <v>0</v>
      </c>
      <c r="AB106">
        <v>3</v>
      </c>
      <c r="AC106">
        <v>0</v>
      </c>
      <c r="AD106">
        <v>0</v>
      </c>
      <c r="AE106">
        <v>0</v>
      </c>
      <c r="AF106">
        <v>0</v>
      </c>
      <c r="AH106">
        <v>2527.1</v>
      </c>
    </row>
    <row r="107" spans="1:34" x14ac:dyDescent="0.25">
      <c r="A107" s="1">
        <v>104</v>
      </c>
      <c r="B107">
        <v>0</v>
      </c>
      <c r="C107">
        <v>0</v>
      </c>
      <c r="D107">
        <v>0</v>
      </c>
      <c r="E107">
        <v>20.6</v>
      </c>
      <c r="F107">
        <v>175.7</v>
      </c>
      <c r="G107">
        <v>0</v>
      </c>
      <c r="H107">
        <v>311.5</v>
      </c>
      <c r="I107">
        <v>0</v>
      </c>
      <c r="J107">
        <v>258</v>
      </c>
      <c r="K107">
        <v>0</v>
      </c>
      <c r="L107">
        <v>0</v>
      </c>
      <c r="M107">
        <v>409.3</v>
      </c>
      <c r="N107">
        <v>0</v>
      </c>
      <c r="O107">
        <v>35.9</v>
      </c>
      <c r="P107">
        <v>0</v>
      </c>
      <c r="Q107">
        <v>222</v>
      </c>
      <c r="R107">
        <v>0</v>
      </c>
      <c r="S107">
        <v>47</v>
      </c>
      <c r="T107">
        <v>207.1</v>
      </c>
      <c r="U107">
        <v>0</v>
      </c>
      <c r="V107">
        <v>0</v>
      </c>
      <c r="W107">
        <v>351.1</v>
      </c>
      <c r="X107">
        <v>90</v>
      </c>
      <c r="Y107">
        <v>0</v>
      </c>
      <c r="Z107">
        <v>413.1</v>
      </c>
      <c r="AA107">
        <v>0</v>
      </c>
      <c r="AB107">
        <v>3</v>
      </c>
      <c r="AC107">
        <v>0</v>
      </c>
      <c r="AD107">
        <v>0</v>
      </c>
      <c r="AE107">
        <v>0</v>
      </c>
      <c r="AF107">
        <v>0</v>
      </c>
      <c r="AH107">
        <v>2544.2999999999997</v>
      </c>
    </row>
    <row r="108" spans="1:34" x14ac:dyDescent="0.25">
      <c r="A108" s="1">
        <v>105</v>
      </c>
      <c r="B108">
        <v>0</v>
      </c>
      <c r="C108">
        <v>0</v>
      </c>
      <c r="D108">
        <v>0</v>
      </c>
      <c r="E108">
        <v>21.7</v>
      </c>
      <c r="F108">
        <v>183.7</v>
      </c>
      <c r="G108">
        <v>0</v>
      </c>
      <c r="H108">
        <v>312.2</v>
      </c>
      <c r="I108">
        <v>0</v>
      </c>
      <c r="J108">
        <v>258</v>
      </c>
      <c r="K108">
        <v>0</v>
      </c>
      <c r="L108">
        <v>0</v>
      </c>
      <c r="M108">
        <v>411.3</v>
      </c>
      <c r="N108">
        <v>0</v>
      </c>
      <c r="O108">
        <v>14.7</v>
      </c>
      <c r="P108">
        <v>0</v>
      </c>
      <c r="Q108">
        <v>230.3</v>
      </c>
      <c r="R108">
        <v>0</v>
      </c>
      <c r="S108">
        <v>48</v>
      </c>
      <c r="T108">
        <v>209.7</v>
      </c>
      <c r="U108">
        <v>0</v>
      </c>
      <c r="V108">
        <v>0</v>
      </c>
      <c r="W108">
        <v>351.1</v>
      </c>
      <c r="X108">
        <v>93</v>
      </c>
      <c r="Y108">
        <v>0</v>
      </c>
      <c r="Z108">
        <v>401.9</v>
      </c>
      <c r="AA108">
        <v>0</v>
      </c>
      <c r="AB108">
        <v>3</v>
      </c>
      <c r="AC108">
        <v>0</v>
      </c>
      <c r="AD108">
        <v>0</v>
      </c>
      <c r="AE108">
        <v>0</v>
      </c>
      <c r="AF108">
        <v>0</v>
      </c>
      <c r="AH108">
        <v>2538.6</v>
      </c>
    </row>
    <row r="109" spans="1:34" x14ac:dyDescent="0.25">
      <c r="A109" s="1">
        <v>106</v>
      </c>
      <c r="B109">
        <v>0</v>
      </c>
      <c r="C109">
        <v>0</v>
      </c>
      <c r="D109">
        <v>0</v>
      </c>
      <c r="E109">
        <v>22.8</v>
      </c>
      <c r="F109">
        <v>198.7</v>
      </c>
      <c r="G109">
        <v>0</v>
      </c>
      <c r="H109">
        <v>319.8</v>
      </c>
      <c r="I109">
        <v>0</v>
      </c>
      <c r="J109">
        <v>258</v>
      </c>
      <c r="K109">
        <v>0</v>
      </c>
      <c r="L109">
        <v>0</v>
      </c>
      <c r="M109">
        <v>411.3</v>
      </c>
      <c r="N109">
        <v>0</v>
      </c>
      <c r="O109">
        <v>0</v>
      </c>
      <c r="P109">
        <v>0</v>
      </c>
      <c r="Q109">
        <v>241.29999999999899</v>
      </c>
      <c r="R109">
        <v>0</v>
      </c>
      <c r="S109">
        <v>45</v>
      </c>
      <c r="T109">
        <v>210.7</v>
      </c>
      <c r="U109">
        <v>0</v>
      </c>
      <c r="V109">
        <v>0</v>
      </c>
      <c r="W109">
        <v>359.1</v>
      </c>
      <c r="X109">
        <v>94</v>
      </c>
      <c r="Y109">
        <v>0</v>
      </c>
      <c r="Z109">
        <v>417.9</v>
      </c>
      <c r="AA109">
        <v>0</v>
      </c>
      <c r="AB109">
        <v>3</v>
      </c>
      <c r="AC109">
        <v>0</v>
      </c>
      <c r="AD109">
        <v>0</v>
      </c>
      <c r="AE109">
        <v>0</v>
      </c>
      <c r="AF109">
        <v>0</v>
      </c>
      <c r="AH109">
        <v>2581.599999999999</v>
      </c>
    </row>
    <row r="110" spans="1:34" x14ac:dyDescent="0.25">
      <c r="A110" s="1">
        <v>107</v>
      </c>
      <c r="B110">
        <v>0</v>
      </c>
      <c r="C110">
        <v>0</v>
      </c>
      <c r="D110">
        <v>0</v>
      </c>
      <c r="E110">
        <v>26.4</v>
      </c>
      <c r="F110">
        <v>212.8</v>
      </c>
      <c r="G110">
        <v>0</v>
      </c>
      <c r="H110">
        <v>319.8</v>
      </c>
      <c r="I110">
        <v>0</v>
      </c>
      <c r="J110">
        <v>258</v>
      </c>
      <c r="K110">
        <v>0</v>
      </c>
      <c r="L110">
        <v>0</v>
      </c>
      <c r="M110">
        <v>411.3</v>
      </c>
      <c r="N110">
        <v>0</v>
      </c>
      <c r="O110">
        <v>0</v>
      </c>
      <c r="P110">
        <v>0</v>
      </c>
      <c r="Q110">
        <v>242.5</v>
      </c>
      <c r="R110">
        <v>0</v>
      </c>
      <c r="S110">
        <v>48</v>
      </c>
      <c r="T110">
        <v>218.7</v>
      </c>
      <c r="U110">
        <v>0</v>
      </c>
      <c r="V110">
        <v>0</v>
      </c>
      <c r="W110">
        <v>362.9</v>
      </c>
      <c r="X110">
        <v>94</v>
      </c>
      <c r="Y110">
        <v>0</v>
      </c>
      <c r="Z110">
        <v>421.7</v>
      </c>
      <c r="AA110">
        <v>0</v>
      </c>
      <c r="AB110">
        <v>3</v>
      </c>
      <c r="AC110">
        <v>0</v>
      </c>
      <c r="AD110">
        <v>0</v>
      </c>
      <c r="AE110">
        <v>0</v>
      </c>
      <c r="AF110">
        <v>0</v>
      </c>
      <c r="AH110">
        <v>2619.1</v>
      </c>
    </row>
    <row r="111" spans="1:34" x14ac:dyDescent="0.25">
      <c r="A111" s="1">
        <v>108</v>
      </c>
      <c r="B111">
        <v>0</v>
      </c>
      <c r="C111">
        <v>0</v>
      </c>
      <c r="D111">
        <v>0</v>
      </c>
      <c r="E111">
        <v>25.4</v>
      </c>
      <c r="F111">
        <v>219.8</v>
      </c>
      <c r="G111">
        <v>0</v>
      </c>
      <c r="H111">
        <v>321.8</v>
      </c>
      <c r="I111">
        <v>0</v>
      </c>
      <c r="J111">
        <v>258</v>
      </c>
      <c r="K111">
        <v>0</v>
      </c>
      <c r="L111">
        <v>0</v>
      </c>
      <c r="M111">
        <v>412.6</v>
      </c>
      <c r="N111">
        <v>0</v>
      </c>
      <c r="O111">
        <v>0</v>
      </c>
      <c r="P111">
        <v>0</v>
      </c>
      <c r="Q111">
        <v>256.89999999999998</v>
      </c>
      <c r="R111">
        <v>0</v>
      </c>
      <c r="S111">
        <v>48</v>
      </c>
      <c r="T111">
        <v>224.7</v>
      </c>
      <c r="U111">
        <v>0</v>
      </c>
      <c r="V111">
        <v>0</v>
      </c>
      <c r="W111">
        <v>379.7</v>
      </c>
      <c r="X111">
        <v>95</v>
      </c>
      <c r="Y111">
        <v>0</v>
      </c>
      <c r="Z111">
        <v>424.9</v>
      </c>
      <c r="AA111">
        <v>0</v>
      </c>
      <c r="AB111">
        <v>3</v>
      </c>
      <c r="AC111">
        <v>0</v>
      </c>
      <c r="AD111">
        <v>0</v>
      </c>
      <c r="AE111">
        <v>0</v>
      </c>
      <c r="AF111">
        <v>0</v>
      </c>
      <c r="AH111">
        <v>2669.8</v>
      </c>
    </row>
    <row r="112" spans="1:34" x14ac:dyDescent="0.25">
      <c r="A112" s="1">
        <v>109</v>
      </c>
      <c r="B112">
        <v>0</v>
      </c>
      <c r="C112">
        <v>0</v>
      </c>
      <c r="D112">
        <v>0</v>
      </c>
      <c r="E112">
        <v>26.5</v>
      </c>
      <c r="F112">
        <v>224.8</v>
      </c>
      <c r="G112">
        <v>0</v>
      </c>
      <c r="H112">
        <v>338.6</v>
      </c>
      <c r="I112">
        <v>0</v>
      </c>
      <c r="J112">
        <v>258</v>
      </c>
      <c r="K112">
        <v>0</v>
      </c>
      <c r="L112">
        <v>0</v>
      </c>
      <c r="M112">
        <v>430</v>
      </c>
      <c r="N112">
        <v>0</v>
      </c>
      <c r="O112">
        <v>0</v>
      </c>
      <c r="P112">
        <v>0</v>
      </c>
      <c r="Q112">
        <v>257.89999999999998</v>
      </c>
      <c r="R112">
        <v>0</v>
      </c>
      <c r="S112">
        <v>40</v>
      </c>
      <c r="T112">
        <v>228</v>
      </c>
      <c r="U112">
        <v>0</v>
      </c>
      <c r="V112">
        <v>0</v>
      </c>
      <c r="W112">
        <v>395.1</v>
      </c>
      <c r="X112">
        <v>95</v>
      </c>
      <c r="Y112">
        <v>0</v>
      </c>
      <c r="Z112">
        <v>379.9</v>
      </c>
      <c r="AA112">
        <v>0</v>
      </c>
      <c r="AB112">
        <v>3</v>
      </c>
      <c r="AC112">
        <v>0</v>
      </c>
      <c r="AD112">
        <v>0</v>
      </c>
      <c r="AE112">
        <v>0</v>
      </c>
      <c r="AF112">
        <v>0</v>
      </c>
      <c r="AH112">
        <v>2676.8</v>
      </c>
    </row>
    <row r="113" spans="1:34" x14ac:dyDescent="0.25">
      <c r="A113" s="1">
        <v>110</v>
      </c>
      <c r="B113">
        <v>0</v>
      </c>
      <c r="C113">
        <v>0</v>
      </c>
      <c r="D113">
        <v>0</v>
      </c>
      <c r="E113">
        <v>27.6</v>
      </c>
      <c r="F113">
        <v>230.8</v>
      </c>
      <c r="G113">
        <v>0</v>
      </c>
      <c r="H113">
        <v>358.1</v>
      </c>
      <c r="I113">
        <v>0</v>
      </c>
      <c r="J113">
        <v>258</v>
      </c>
      <c r="K113">
        <v>0</v>
      </c>
      <c r="L113">
        <v>0</v>
      </c>
      <c r="M113">
        <v>444</v>
      </c>
      <c r="N113">
        <v>0</v>
      </c>
      <c r="O113">
        <v>0</v>
      </c>
      <c r="P113">
        <v>0</v>
      </c>
      <c r="Q113">
        <v>256.89999999999998</v>
      </c>
      <c r="R113">
        <v>0</v>
      </c>
      <c r="S113">
        <v>35</v>
      </c>
      <c r="T113">
        <v>216</v>
      </c>
      <c r="U113">
        <v>0</v>
      </c>
      <c r="V113">
        <v>0</v>
      </c>
      <c r="W113">
        <v>400.1</v>
      </c>
      <c r="X113">
        <v>95</v>
      </c>
      <c r="Y113">
        <v>0</v>
      </c>
      <c r="Z113">
        <v>380.9</v>
      </c>
      <c r="AA113">
        <v>0</v>
      </c>
      <c r="AB113">
        <v>3</v>
      </c>
      <c r="AC113">
        <v>0</v>
      </c>
      <c r="AD113">
        <v>0</v>
      </c>
      <c r="AE113">
        <v>0</v>
      </c>
      <c r="AF113">
        <v>0</v>
      </c>
      <c r="AH113">
        <v>2705.4</v>
      </c>
    </row>
    <row r="114" spans="1:34" x14ac:dyDescent="0.25">
      <c r="A114" s="1">
        <v>111</v>
      </c>
      <c r="B114">
        <v>0</v>
      </c>
      <c r="C114">
        <v>0</v>
      </c>
      <c r="D114">
        <v>0</v>
      </c>
      <c r="E114">
        <v>29.7</v>
      </c>
      <c r="F114">
        <v>243.8</v>
      </c>
      <c r="G114">
        <v>0</v>
      </c>
      <c r="H114">
        <v>367.1</v>
      </c>
      <c r="I114">
        <v>0</v>
      </c>
      <c r="J114">
        <v>258</v>
      </c>
      <c r="K114">
        <v>0</v>
      </c>
      <c r="L114">
        <v>0</v>
      </c>
      <c r="M114">
        <v>473.79999999999899</v>
      </c>
      <c r="N114">
        <v>0</v>
      </c>
      <c r="O114">
        <v>0</v>
      </c>
      <c r="P114">
        <v>0</v>
      </c>
      <c r="Q114">
        <v>272.3</v>
      </c>
      <c r="R114">
        <v>0</v>
      </c>
      <c r="S114">
        <v>32</v>
      </c>
      <c r="T114">
        <v>199.3</v>
      </c>
      <c r="U114">
        <v>0</v>
      </c>
      <c r="V114">
        <v>0</v>
      </c>
      <c r="W114">
        <v>400.1</v>
      </c>
      <c r="X114">
        <v>95</v>
      </c>
      <c r="Y114">
        <v>0</v>
      </c>
      <c r="Z114">
        <v>377.3</v>
      </c>
      <c r="AA114">
        <v>0</v>
      </c>
      <c r="AB114">
        <v>3</v>
      </c>
      <c r="AC114">
        <v>0</v>
      </c>
      <c r="AD114">
        <v>0</v>
      </c>
      <c r="AE114">
        <v>0</v>
      </c>
      <c r="AF114">
        <v>0</v>
      </c>
      <c r="AH114">
        <v>2751.3999999999992</v>
      </c>
    </row>
    <row r="115" spans="1:34" x14ac:dyDescent="0.25">
      <c r="A115" s="1">
        <v>112</v>
      </c>
      <c r="B115">
        <v>0</v>
      </c>
      <c r="C115">
        <v>0</v>
      </c>
      <c r="D115">
        <v>0</v>
      </c>
      <c r="E115">
        <v>33</v>
      </c>
      <c r="F115">
        <v>241.8</v>
      </c>
      <c r="G115">
        <v>0</v>
      </c>
      <c r="H115">
        <v>367.1</v>
      </c>
      <c r="I115">
        <v>0</v>
      </c>
      <c r="J115">
        <v>253</v>
      </c>
      <c r="K115">
        <v>0</v>
      </c>
      <c r="L115">
        <v>0</v>
      </c>
      <c r="M115">
        <v>503.1</v>
      </c>
      <c r="N115">
        <v>0</v>
      </c>
      <c r="O115">
        <v>0</v>
      </c>
      <c r="P115">
        <v>0</v>
      </c>
      <c r="Q115">
        <v>274.3</v>
      </c>
      <c r="R115">
        <v>0</v>
      </c>
      <c r="S115">
        <v>29</v>
      </c>
      <c r="T115">
        <v>194.5</v>
      </c>
      <c r="U115">
        <v>0</v>
      </c>
      <c r="V115">
        <v>0</v>
      </c>
      <c r="W115">
        <v>390.4</v>
      </c>
      <c r="X115">
        <v>95</v>
      </c>
      <c r="Y115">
        <v>0</v>
      </c>
      <c r="Z115">
        <v>377.3</v>
      </c>
      <c r="AA115">
        <v>0</v>
      </c>
      <c r="AB115">
        <v>3</v>
      </c>
      <c r="AC115">
        <v>0</v>
      </c>
      <c r="AD115">
        <v>0</v>
      </c>
      <c r="AE115">
        <v>0</v>
      </c>
      <c r="AF115">
        <v>0</v>
      </c>
      <c r="AH115">
        <v>2761.5</v>
      </c>
    </row>
    <row r="116" spans="1:34" x14ac:dyDescent="0.25">
      <c r="A116" s="1">
        <v>113</v>
      </c>
      <c r="B116">
        <v>0</v>
      </c>
      <c r="C116">
        <v>0</v>
      </c>
      <c r="D116">
        <v>0</v>
      </c>
      <c r="E116">
        <v>35.200000000000003</v>
      </c>
      <c r="F116">
        <v>244.8</v>
      </c>
      <c r="G116">
        <v>0</v>
      </c>
      <c r="H116">
        <v>367.1</v>
      </c>
      <c r="I116">
        <v>0</v>
      </c>
      <c r="J116">
        <v>253</v>
      </c>
      <c r="K116">
        <v>0</v>
      </c>
      <c r="L116">
        <v>0</v>
      </c>
      <c r="M116">
        <v>515.5</v>
      </c>
      <c r="N116">
        <v>0</v>
      </c>
      <c r="O116">
        <v>0</v>
      </c>
      <c r="P116">
        <v>0</v>
      </c>
      <c r="Q116">
        <v>235.3</v>
      </c>
      <c r="R116">
        <v>0</v>
      </c>
      <c r="S116">
        <v>17</v>
      </c>
      <c r="T116">
        <v>168.89999999999901</v>
      </c>
      <c r="U116">
        <v>0</v>
      </c>
      <c r="V116">
        <v>0</v>
      </c>
      <c r="W116">
        <v>401.4</v>
      </c>
      <c r="X116">
        <v>95</v>
      </c>
      <c r="Y116">
        <v>0</v>
      </c>
      <c r="Z116">
        <v>368.9</v>
      </c>
      <c r="AA116">
        <v>0</v>
      </c>
      <c r="AB116">
        <v>3</v>
      </c>
      <c r="AC116">
        <v>0</v>
      </c>
      <c r="AD116">
        <v>0</v>
      </c>
      <c r="AE116">
        <v>0</v>
      </c>
      <c r="AF116">
        <v>0</v>
      </c>
      <c r="AH116">
        <v>2705.099999999999</v>
      </c>
    </row>
    <row r="117" spans="1:34" x14ac:dyDescent="0.25">
      <c r="A117" s="1">
        <v>114</v>
      </c>
      <c r="B117">
        <v>0</v>
      </c>
      <c r="C117">
        <v>0</v>
      </c>
      <c r="D117">
        <v>0</v>
      </c>
      <c r="E117">
        <v>41.2</v>
      </c>
      <c r="F117">
        <v>247.8</v>
      </c>
      <c r="G117">
        <v>0</v>
      </c>
      <c r="H117">
        <v>323.10000000000002</v>
      </c>
      <c r="I117">
        <v>0</v>
      </c>
      <c r="J117">
        <v>253</v>
      </c>
      <c r="K117">
        <v>0</v>
      </c>
      <c r="L117">
        <v>0</v>
      </c>
      <c r="M117">
        <v>522.5</v>
      </c>
      <c r="N117">
        <v>0</v>
      </c>
      <c r="O117">
        <v>0</v>
      </c>
      <c r="P117">
        <v>0</v>
      </c>
      <c r="Q117">
        <v>244.6</v>
      </c>
      <c r="R117">
        <v>0</v>
      </c>
      <c r="S117">
        <v>17</v>
      </c>
      <c r="T117">
        <v>173.8</v>
      </c>
      <c r="U117">
        <v>0</v>
      </c>
      <c r="V117">
        <v>0</v>
      </c>
      <c r="W117">
        <v>416.4</v>
      </c>
      <c r="X117">
        <v>95</v>
      </c>
      <c r="Y117">
        <v>0</v>
      </c>
      <c r="Z117">
        <v>368.6</v>
      </c>
      <c r="AA117">
        <v>0</v>
      </c>
      <c r="AB117">
        <v>3</v>
      </c>
      <c r="AC117">
        <v>0</v>
      </c>
      <c r="AD117">
        <v>0</v>
      </c>
      <c r="AE117">
        <v>0</v>
      </c>
      <c r="AF117">
        <v>0</v>
      </c>
      <c r="AH117">
        <v>2705.9999999999995</v>
      </c>
    </row>
    <row r="118" spans="1:34" x14ac:dyDescent="0.25">
      <c r="A118" s="1">
        <v>115</v>
      </c>
      <c r="B118">
        <v>0</v>
      </c>
      <c r="C118">
        <v>0</v>
      </c>
      <c r="D118">
        <v>0</v>
      </c>
      <c r="E118">
        <v>43.4</v>
      </c>
      <c r="F118">
        <v>247.8</v>
      </c>
      <c r="G118">
        <v>0</v>
      </c>
      <c r="H118">
        <v>323.10000000000002</v>
      </c>
      <c r="I118">
        <v>0</v>
      </c>
      <c r="J118">
        <v>247</v>
      </c>
      <c r="K118">
        <v>0</v>
      </c>
      <c r="L118">
        <v>0</v>
      </c>
      <c r="M118">
        <v>518.5</v>
      </c>
      <c r="N118">
        <v>0</v>
      </c>
      <c r="O118">
        <v>0</v>
      </c>
      <c r="P118">
        <v>0</v>
      </c>
      <c r="Q118">
        <v>227.5</v>
      </c>
      <c r="R118">
        <v>0</v>
      </c>
      <c r="S118">
        <v>17</v>
      </c>
      <c r="T118">
        <v>186</v>
      </c>
      <c r="U118">
        <v>0</v>
      </c>
      <c r="V118">
        <v>0</v>
      </c>
      <c r="W118">
        <v>438.4</v>
      </c>
      <c r="X118">
        <v>95</v>
      </c>
      <c r="Y118">
        <v>0</v>
      </c>
      <c r="Z118">
        <v>391</v>
      </c>
      <c r="AA118">
        <v>0</v>
      </c>
      <c r="AB118">
        <v>3</v>
      </c>
      <c r="AC118">
        <v>0</v>
      </c>
      <c r="AD118">
        <v>0</v>
      </c>
      <c r="AE118">
        <v>0</v>
      </c>
      <c r="AF118">
        <v>0</v>
      </c>
      <c r="AH118">
        <v>2737.7</v>
      </c>
    </row>
    <row r="119" spans="1:34" x14ac:dyDescent="0.25">
      <c r="A119" s="1">
        <v>116</v>
      </c>
      <c r="B119">
        <v>0</v>
      </c>
      <c r="C119">
        <v>0</v>
      </c>
      <c r="D119">
        <v>0</v>
      </c>
      <c r="E119">
        <v>45.6</v>
      </c>
      <c r="F119">
        <v>244.8</v>
      </c>
      <c r="G119">
        <v>0</v>
      </c>
      <c r="H119">
        <v>325.10000000000002</v>
      </c>
      <c r="I119">
        <v>0</v>
      </c>
      <c r="J119">
        <v>244.6</v>
      </c>
      <c r="K119">
        <v>0</v>
      </c>
      <c r="L119">
        <v>0</v>
      </c>
      <c r="M119">
        <v>530.5</v>
      </c>
      <c r="N119">
        <v>0</v>
      </c>
      <c r="O119">
        <v>0</v>
      </c>
      <c r="P119">
        <v>0</v>
      </c>
      <c r="Q119">
        <v>239</v>
      </c>
      <c r="R119">
        <v>0</v>
      </c>
      <c r="S119">
        <v>17</v>
      </c>
      <c r="T119">
        <v>179.2</v>
      </c>
      <c r="U119">
        <v>0</v>
      </c>
      <c r="V119">
        <v>0</v>
      </c>
      <c r="W119">
        <v>446.4</v>
      </c>
      <c r="X119">
        <v>95</v>
      </c>
      <c r="Y119">
        <v>0</v>
      </c>
      <c r="Z119">
        <v>416.7</v>
      </c>
      <c r="AA119">
        <v>0</v>
      </c>
      <c r="AB119">
        <v>3</v>
      </c>
      <c r="AC119">
        <v>0</v>
      </c>
      <c r="AD119">
        <v>0</v>
      </c>
      <c r="AE119">
        <v>0</v>
      </c>
      <c r="AF119">
        <v>0</v>
      </c>
      <c r="AH119">
        <v>2786.8999999999996</v>
      </c>
    </row>
    <row r="120" spans="1:34" x14ac:dyDescent="0.25">
      <c r="A120" s="1">
        <v>117</v>
      </c>
      <c r="B120">
        <v>0</v>
      </c>
      <c r="C120">
        <v>0</v>
      </c>
      <c r="D120">
        <v>0</v>
      </c>
      <c r="E120">
        <v>47.8</v>
      </c>
      <c r="F120">
        <v>245.8</v>
      </c>
      <c r="G120">
        <v>0</v>
      </c>
      <c r="H120">
        <v>325.10000000000002</v>
      </c>
      <c r="I120">
        <v>0</v>
      </c>
      <c r="J120">
        <v>227.39999999999901</v>
      </c>
      <c r="K120">
        <v>0</v>
      </c>
      <c r="L120">
        <v>0</v>
      </c>
      <c r="M120">
        <v>504.5</v>
      </c>
      <c r="N120">
        <v>0</v>
      </c>
      <c r="O120">
        <v>0</v>
      </c>
      <c r="P120">
        <v>0</v>
      </c>
      <c r="Q120">
        <v>208.1</v>
      </c>
      <c r="R120">
        <v>0</v>
      </c>
      <c r="S120">
        <v>17</v>
      </c>
      <c r="T120">
        <v>179</v>
      </c>
      <c r="U120">
        <v>0</v>
      </c>
      <c r="V120">
        <v>0</v>
      </c>
      <c r="W120">
        <v>467.2</v>
      </c>
      <c r="X120">
        <v>95</v>
      </c>
      <c r="Y120">
        <v>0</v>
      </c>
      <c r="Z120">
        <v>407.5</v>
      </c>
      <c r="AA120">
        <v>0</v>
      </c>
      <c r="AB120">
        <v>3</v>
      </c>
      <c r="AC120">
        <v>0</v>
      </c>
      <c r="AD120">
        <v>0</v>
      </c>
      <c r="AE120">
        <v>0</v>
      </c>
      <c r="AF120">
        <v>0</v>
      </c>
      <c r="AH120">
        <v>2727.3999999999987</v>
      </c>
    </row>
    <row r="121" spans="1:34" x14ac:dyDescent="0.25">
      <c r="A121" s="1">
        <v>118</v>
      </c>
      <c r="B121">
        <v>0</v>
      </c>
      <c r="C121">
        <v>0</v>
      </c>
      <c r="D121">
        <v>0</v>
      </c>
      <c r="E121">
        <v>47.8</v>
      </c>
      <c r="F121">
        <v>246.8</v>
      </c>
      <c r="G121">
        <v>0</v>
      </c>
      <c r="H121">
        <v>331.7</v>
      </c>
      <c r="I121">
        <v>0</v>
      </c>
      <c r="J121">
        <v>214.6</v>
      </c>
      <c r="K121">
        <v>0</v>
      </c>
      <c r="L121">
        <v>0</v>
      </c>
      <c r="M121">
        <v>504.5</v>
      </c>
      <c r="N121">
        <v>0</v>
      </c>
      <c r="O121">
        <v>0</v>
      </c>
      <c r="P121">
        <v>0</v>
      </c>
      <c r="Q121">
        <v>209.1</v>
      </c>
      <c r="R121">
        <v>0</v>
      </c>
      <c r="S121">
        <v>19</v>
      </c>
      <c r="T121">
        <v>167.6</v>
      </c>
      <c r="U121">
        <v>0</v>
      </c>
      <c r="V121">
        <v>0</v>
      </c>
      <c r="W121">
        <v>464.3</v>
      </c>
      <c r="X121">
        <v>96</v>
      </c>
      <c r="Y121">
        <v>0</v>
      </c>
      <c r="Z121">
        <v>414.9</v>
      </c>
      <c r="AA121">
        <v>0</v>
      </c>
      <c r="AB121">
        <v>3</v>
      </c>
      <c r="AC121">
        <v>0</v>
      </c>
      <c r="AD121">
        <v>0</v>
      </c>
      <c r="AE121">
        <v>0</v>
      </c>
      <c r="AF121">
        <v>0</v>
      </c>
      <c r="AH121">
        <v>2719.3</v>
      </c>
    </row>
    <row r="122" spans="1:34" x14ac:dyDescent="0.25">
      <c r="A122" s="1">
        <v>119</v>
      </c>
      <c r="B122">
        <v>0</v>
      </c>
      <c r="C122">
        <v>0</v>
      </c>
      <c r="D122">
        <v>0</v>
      </c>
      <c r="E122">
        <v>50</v>
      </c>
      <c r="F122">
        <v>245.8</v>
      </c>
      <c r="G122">
        <v>0</v>
      </c>
      <c r="H122">
        <v>330.6</v>
      </c>
      <c r="I122">
        <v>0</v>
      </c>
      <c r="J122">
        <v>217.6</v>
      </c>
      <c r="K122">
        <v>0</v>
      </c>
      <c r="L122">
        <v>0</v>
      </c>
      <c r="M122">
        <v>496.5</v>
      </c>
      <c r="N122">
        <v>0</v>
      </c>
      <c r="O122">
        <v>0</v>
      </c>
      <c r="P122">
        <v>0</v>
      </c>
      <c r="Q122">
        <v>212.7</v>
      </c>
      <c r="R122">
        <v>0</v>
      </c>
      <c r="S122">
        <v>19</v>
      </c>
      <c r="T122">
        <v>180.6</v>
      </c>
      <c r="U122">
        <v>0</v>
      </c>
      <c r="V122">
        <v>0</v>
      </c>
      <c r="W122">
        <v>484.3</v>
      </c>
      <c r="X122">
        <v>100</v>
      </c>
      <c r="Y122">
        <v>0</v>
      </c>
      <c r="Z122">
        <v>429.29999999999899</v>
      </c>
      <c r="AA122">
        <v>0</v>
      </c>
      <c r="AB122">
        <v>3</v>
      </c>
      <c r="AC122">
        <v>0</v>
      </c>
      <c r="AD122">
        <v>0</v>
      </c>
      <c r="AE122">
        <v>0</v>
      </c>
      <c r="AF122">
        <v>0</v>
      </c>
      <c r="AH122">
        <v>2769.3999999999987</v>
      </c>
    </row>
    <row r="123" spans="1:34" x14ac:dyDescent="0.25">
      <c r="A123" s="1">
        <v>120</v>
      </c>
      <c r="B123">
        <v>0</v>
      </c>
      <c r="C123">
        <v>0</v>
      </c>
      <c r="D123">
        <v>0</v>
      </c>
      <c r="E123">
        <v>51.1</v>
      </c>
      <c r="F123">
        <v>249.8</v>
      </c>
      <c r="G123">
        <v>0</v>
      </c>
      <c r="H123">
        <v>330.6</v>
      </c>
      <c r="I123">
        <v>0</v>
      </c>
      <c r="J123">
        <v>226.6</v>
      </c>
      <c r="K123">
        <v>0</v>
      </c>
      <c r="L123">
        <v>0</v>
      </c>
      <c r="M123">
        <v>496.5</v>
      </c>
      <c r="N123">
        <v>0</v>
      </c>
      <c r="O123">
        <v>0</v>
      </c>
      <c r="P123">
        <v>0</v>
      </c>
      <c r="Q123">
        <v>221.89999999999901</v>
      </c>
      <c r="R123">
        <v>0</v>
      </c>
      <c r="S123">
        <v>17</v>
      </c>
      <c r="T123">
        <v>185.2</v>
      </c>
      <c r="U123">
        <v>0</v>
      </c>
      <c r="V123">
        <v>0</v>
      </c>
      <c r="W123">
        <v>484.3</v>
      </c>
      <c r="X123">
        <v>101</v>
      </c>
      <c r="Y123">
        <v>0</v>
      </c>
      <c r="Z123">
        <v>430.9</v>
      </c>
      <c r="AA123">
        <v>0</v>
      </c>
      <c r="AB123">
        <v>3</v>
      </c>
      <c r="AC123">
        <v>0</v>
      </c>
      <c r="AD123">
        <v>0</v>
      </c>
      <c r="AE123">
        <v>0</v>
      </c>
      <c r="AF123">
        <v>0</v>
      </c>
      <c r="AH123">
        <v>2797.8999999999992</v>
      </c>
    </row>
    <row r="124" spans="1:34" x14ac:dyDescent="0.25">
      <c r="A124" s="1">
        <v>121</v>
      </c>
      <c r="B124">
        <v>0</v>
      </c>
      <c r="C124">
        <v>0</v>
      </c>
      <c r="D124">
        <v>0</v>
      </c>
      <c r="E124">
        <v>52.2</v>
      </c>
      <c r="F124">
        <v>253.8</v>
      </c>
      <c r="G124">
        <v>0</v>
      </c>
      <c r="H124">
        <v>335.6</v>
      </c>
      <c r="I124">
        <v>0</v>
      </c>
      <c r="J124">
        <v>234</v>
      </c>
      <c r="K124">
        <v>0</v>
      </c>
      <c r="L124">
        <v>0</v>
      </c>
      <c r="M124">
        <v>488.5</v>
      </c>
      <c r="N124">
        <v>0</v>
      </c>
      <c r="O124">
        <v>0</v>
      </c>
      <c r="P124">
        <v>0</v>
      </c>
      <c r="Q124">
        <v>220.8</v>
      </c>
      <c r="R124">
        <v>0</v>
      </c>
      <c r="S124">
        <v>17</v>
      </c>
      <c r="T124">
        <v>194.2</v>
      </c>
      <c r="U124">
        <v>0</v>
      </c>
      <c r="V124">
        <v>0</v>
      </c>
      <c r="W124">
        <v>478.3</v>
      </c>
      <c r="X124">
        <v>101</v>
      </c>
      <c r="Y124">
        <v>0</v>
      </c>
      <c r="Z124">
        <v>398.9</v>
      </c>
      <c r="AA124">
        <v>0</v>
      </c>
      <c r="AB124">
        <v>3</v>
      </c>
      <c r="AC124">
        <v>0</v>
      </c>
      <c r="AD124">
        <v>0</v>
      </c>
      <c r="AE124">
        <v>0</v>
      </c>
      <c r="AF124">
        <v>0</v>
      </c>
      <c r="AH124">
        <v>2777.3</v>
      </c>
    </row>
    <row r="125" spans="1:34" x14ac:dyDescent="0.25">
      <c r="A125" s="1">
        <v>122</v>
      </c>
      <c r="B125">
        <v>0</v>
      </c>
      <c r="C125">
        <v>0</v>
      </c>
      <c r="D125">
        <v>0</v>
      </c>
      <c r="E125">
        <v>53.2</v>
      </c>
      <c r="F125">
        <v>254.8</v>
      </c>
      <c r="G125">
        <v>0</v>
      </c>
      <c r="H125">
        <v>330.8</v>
      </c>
      <c r="I125">
        <v>0</v>
      </c>
      <c r="J125">
        <v>242</v>
      </c>
      <c r="K125">
        <v>0</v>
      </c>
      <c r="L125">
        <v>0</v>
      </c>
      <c r="M125">
        <v>449.5</v>
      </c>
      <c r="N125">
        <v>0</v>
      </c>
      <c r="O125">
        <v>0</v>
      </c>
      <c r="P125">
        <v>0</v>
      </c>
      <c r="Q125">
        <v>191.5</v>
      </c>
      <c r="R125">
        <v>0</v>
      </c>
      <c r="S125">
        <v>17</v>
      </c>
      <c r="T125">
        <v>177.6</v>
      </c>
      <c r="U125">
        <v>0</v>
      </c>
      <c r="V125">
        <v>0</v>
      </c>
      <c r="W125">
        <v>478.6</v>
      </c>
      <c r="X125">
        <v>103</v>
      </c>
      <c r="Y125">
        <v>0</v>
      </c>
      <c r="Z125">
        <v>371.5</v>
      </c>
      <c r="AA125">
        <v>0</v>
      </c>
      <c r="AB125">
        <v>3</v>
      </c>
      <c r="AC125">
        <v>0</v>
      </c>
      <c r="AD125">
        <v>0</v>
      </c>
      <c r="AE125">
        <v>0</v>
      </c>
      <c r="AF125">
        <v>0</v>
      </c>
      <c r="AH125">
        <v>2672.5</v>
      </c>
    </row>
    <row r="126" spans="1:34" x14ac:dyDescent="0.25">
      <c r="A126" s="1">
        <v>123</v>
      </c>
      <c r="B126">
        <v>0</v>
      </c>
      <c r="C126">
        <v>0</v>
      </c>
      <c r="D126">
        <v>0</v>
      </c>
      <c r="E126">
        <v>52.2</v>
      </c>
      <c r="F126">
        <v>260.8</v>
      </c>
      <c r="G126">
        <v>0</v>
      </c>
      <c r="H126">
        <v>316.60000000000002</v>
      </c>
      <c r="I126">
        <v>0</v>
      </c>
      <c r="J126">
        <v>249</v>
      </c>
      <c r="K126">
        <v>0</v>
      </c>
      <c r="L126">
        <v>0</v>
      </c>
      <c r="M126">
        <v>430.5</v>
      </c>
      <c r="N126">
        <v>0</v>
      </c>
      <c r="O126">
        <v>0</v>
      </c>
      <c r="P126">
        <v>0</v>
      </c>
      <c r="Q126">
        <v>199.2</v>
      </c>
      <c r="R126">
        <v>0</v>
      </c>
      <c r="S126">
        <v>17</v>
      </c>
      <c r="T126">
        <v>181.5</v>
      </c>
      <c r="U126">
        <v>0</v>
      </c>
      <c r="V126">
        <v>0</v>
      </c>
      <c r="W126">
        <v>488.8</v>
      </c>
      <c r="X126">
        <v>108</v>
      </c>
      <c r="Y126">
        <v>0</v>
      </c>
      <c r="Z126">
        <v>378</v>
      </c>
      <c r="AA126">
        <v>0</v>
      </c>
      <c r="AB126">
        <v>3</v>
      </c>
      <c r="AC126">
        <v>0</v>
      </c>
      <c r="AD126">
        <v>0</v>
      </c>
      <c r="AE126">
        <v>0</v>
      </c>
      <c r="AF126">
        <v>0</v>
      </c>
      <c r="AH126">
        <v>2684.6</v>
      </c>
    </row>
    <row r="127" spans="1:34" x14ac:dyDescent="0.25">
      <c r="A127" s="1">
        <v>124</v>
      </c>
      <c r="B127">
        <v>0</v>
      </c>
      <c r="C127">
        <v>0</v>
      </c>
      <c r="D127">
        <v>0</v>
      </c>
      <c r="E127">
        <v>52.2</v>
      </c>
      <c r="F127">
        <v>260.8</v>
      </c>
      <c r="G127">
        <v>0</v>
      </c>
      <c r="H127">
        <v>318.60000000000002</v>
      </c>
      <c r="I127">
        <v>0</v>
      </c>
      <c r="J127">
        <v>221</v>
      </c>
      <c r="K127">
        <v>0</v>
      </c>
      <c r="L127">
        <v>0</v>
      </c>
      <c r="M127">
        <v>431.5</v>
      </c>
      <c r="N127">
        <v>0</v>
      </c>
      <c r="O127">
        <v>0</v>
      </c>
      <c r="P127">
        <v>0</v>
      </c>
      <c r="Q127">
        <v>208.39999999999901</v>
      </c>
      <c r="R127">
        <v>0</v>
      </c>
      <c r="S127">
        <v>16</v>
      </c>
      <c r="T127">
        <v>184</v>
      </c>
      <c r="U127">
        <v>0</v>
      </c>
      <c r="V127">
        <v>0</v>
      </c>
      <c r="W127">
        <v>492.8</v>
      </c>
      <c r="X127">
        <v>110.6</v>
      </c>
      <c r="Y127">
        <v>0</v>
      </c>
      <c r="Z127">
        <v>396.29999999999899</v>
      </c>
      <c r="AA127">
        <v>0</v>
      </c>
      <c r="AB127">
        <v>3</v>
      </c>
      <c r="AC127">
        <v>0</v>
      </c>
      <c r="AD127">
        <v>0</v>
      </c>
      <c r="AE127">
        <v>0</v>
      </c>
      <c r="AF127">
        <v>0</v>
      </c>
      <c r="AH127">
        <v>2695.1999999999975</v>
      </c>
    </row>
    <row r="128" spans="1:34" x14ac:dyDescent="0.25">
      <c r="A128" s="1">
        <v>125</v>
      </c>
      <c r="B128">
        <v>0</v>
      </c>
      <c r="C128">
        <v>0</v>
      </c>
      <c r="D128">
        <v>0</v>
      </c>
      <c r="E128">
        <v>53.2</v>
      </c>
      <c r="F128">
        <v>260.8</v>
      </c>
      <c r="G128">
        <v>0</v>
      </c>
      <c r="H128">
        <v>325.10000000000002</v>
      </c>
      <c r="I128">
        <v>0</v>
      </c>
      <c r="J128">
        <v>222</v>
      </c>
      <c r="K128">
        <v>0</v>
      </c>
      <c r="L128">
        <v>0</v>
      </c>
      <c r="M128">
        <v>431.5</v>
      </c>
      <c r="N128">
        <v>0</v>
      </c>
      <c r="O128">
        <v>0</v>
      </c>
      <c r="P128">
        <v>0</v>
      </c>
      <c r="Q128">
        <v>219</v>
      </c>
      <c r="R128">
        <v>0</v>
      </c>
      <c r="S128">
        <v>18.100000000000001</v>
      </c>
      <c r="T128">
        <v>181.2</v>
      </c>
      <c r="U128">
        <v>0</v>
      </c>
      <c r="V128">
        <v>0</v>
      </c>
      <c r="W128">
        <v>486.8</v>
      </c>
      <c r="X128">
        <v>110.6</v>
      </c>
      <c r="Y128">
        <v>0</v>
      </c>
      <c r="Z128">
        <v>403.5</v>
      </c>
      <c r="AA128">
        <v>0</v>
      </c>
      <c r="AB128">
        <v>3</v>
      </c>
      <c r="AC128">
        <v>0</v>
      </c>
      <c r="AD128">
        <v>0</v>
      </c>
      <c r="AE128">
        <v>0</v>
      </c>
      <c r="AF128">
        <v>0</v>
      </c>
      <c r="AH128">
        <v>2714.7999999999997</v>
      </c>
    </row>
    <row r="129" spans="1:34" x14ac:dyDescent="0.25">
      <c r="A129" s="1">
        <v>126</v>
      </c>
      <c r="B129">
        <v>0</v>
      </c>
      <c r="C129">
        <v>0</v>
      </c>
      <c r="D129">
        <v>0</v>
      </c>
      <c r="E129">
        <v>57.7</v>
      </c>
      <c r="F129">
        <v>260.8</v>
      </c>
      <c r="G129">
        <v>0</v>
      </c>
      <c r="H129">
        <v>330.6</v>
      </c>
      <c r="I129">
        <v>0</v>
      </c>
      <c r="J129">
        <v>239.5</v>
      </c>
      <c r="K129">
        <v>0</v>
      </c>
      <c r="L129">
        <v>0</v>
      </c>
      <c r="M129">
        <v>418.5</v>
      </c>
      <c r="N129">
        <v>0</v>
      </c>
      <c r="O129">
        <v>0</v>
      </c>
      <c r="P129">
        <v>0</v>
      </c>
      <c r="Q129">
        <v>231.6</v>
      </c>
      <c r="R129">
        <v>0</v>
      </c>
      <c r="S129">
        <v>18.100000000000001</v>
      </c>
      <c r="T129">
        <v>161.6</v>
      </c>
      <c r="U129">
        <v>0</v>
      </c>
      <c r="V129">
        <v>0</v>
      </c>
      <c r="W129">
        <v>496.8</v>
      </c>
      <c r="X129">
        <v>65.099999999999994</v>
      </c>
      <c r="Y129">
        <v>0</v>
      </c>
      <c r="Z129">
        <v>408.2</v>
      </c>
      <c r="AA129">
        <v>0</v>
      </c>
      <c r="AB129">
        <v>3</v>
      </c>
      <c r="AC129">
        <v>0</v>
      </c>
      <c r="AD129">
        <v>0</v>
      </c>
      <c r="AE129">
        <v>0</v>
      </c>
      <c r="AF129">
        <v>0</v>
      </c>
      <c r="AH129">
        <v>2691.4999999999995</v>
      </c>
    </row>
    <row r="130" spans="1:34" x14ac:dyDescent="0.25">
      <c r="A130" s="1">
        <v>127</v>
      </c>
      <c r="B130">
        <v>0</v>
      </c>
      <c r="C130">
        <v>0</v>
      </c>
      <c r="D130">
        <v>0</v>
      </c>
      <c r="E130">
        <v>63.099999999999902</v>
      </c>
      <c r="F130">
        <v>238</v>
      </c>
      <c r="G130">
        <v>0</v>
      </c>
      <c r="H130">
        <v>350.4</v>
      </c>
      <c r="I130">
        <v>0</v>
      </c>
      <c r="J130">
        <v>246.5</v>
      </c>
      <c r="K130">
        <v>0</v>
      </c>
      <c r="L130">
        <v>0</v>
      </c>
      <c r="M130">
        <v>413.5</v>
      </c>
      <c r="N130">
        <v>0</v>
      </c>
      <c r="O130">
        <v>0</v>
      </c>
      <c r="P130">
        <v>0</v>
      </c>
      <c r="Q130">
        <v>237.8</v>
      </c>
      <c r="R130">
        <v>0</v>
      </c>
      <c r="S130">
        <v>18.100000000000001</v>
      </c>
      <c r="T130">
        <v>129</v>
      </c>
      <c r="U130">
        <v>0</v>
      </c>
      <c r="V130">
        <v>0</v>
      </c>
      <c r="W130">
        <v>516.9</v>
      </c>
      <c r="X130">
        <v>68.5</v>
      </c>
      <c r="Y130">
        <v>0</v>
      </c>
      <c r="Z130">
        <v>410</v>
      </c>
      <c r="AA130">
        <v>0</v>
      </c>
      <c r="AB130">
        <v>3</v>
      </c>
      <c r="AC130">
        <v>0</v>
      </c>
      <c r="AD130">
        <v>0</v>
      </c>
      <c r="AE130">
        <v>0</v>
      </c>
      <c r="AF130">
        <v>0</v>
      </c>
      <c r="AH130">
        <v>2694.7999999999997</v>
      </c>
    </row>
    <row r="131" spans="1:34" x14ac:dyDescent="0.25">
      <c r="A131" s="1">
        <v>128</v>
      </c>
      <c r="B131">
        <v>0</v>
      </c>
      <c r="C131">
        <v>0</v>
      </c>
      <c r="D131">
        <v>0</v>
      </c>
      <c r="E131">
        <v>67.400000000000006</v>
      </c>
      <c r="F131">
        <v>246.1</v>
      </c>
      <c r="G131">
        <v>0</v>
      </c>
      <c r="H131">
        <v>363.6</v>
      </c>
      <c r="I131">
        <v>0</v>
      </c>
      <c r="J131">
        <v>262.10000000000002</v>
      </c>
      <c r="K131">
        <v>0</v>
      </c>
      <c r="L131">
        <v>0</v>
      </c>
      <c r="M131">
        <v>390.1</v>
      </c>
      <c r="N131">
        <v>0</v>
      </c>
      <c r="O131">
        <v>0</v>
      </c>
      <c r="P131">
        <v>0</v>
      </c>
      <c r="Q131">
        <v>209.5</v>
      </c>
      <c r="R131">
        <v>0</v>
      </c>
      <c r="S131">
        <v>18.100000000000001</v>
      </c>
      <c r="T131">
        <v>136</v>
      </c>
      <c r="U131">
        <v>0</v>
      </c>
      <c r="V131">
        <v>0</v>
      </c>
      <c r="W131">
        <v>519.9</v>
      </c>
      <c r="X131">
        <v>58.5</v>
      </c>
      <c r="Y131">
        <v>0</v>
      </c>
      <c r="Z131">
        <v>390.7</v>
      </c>
      <c r="AA131">
        <v>0</v>
      </c>
      <c r="AB131">
        <v>3</v>
      </c>
      <c r="AC131">
        <v>0</v>
      </c>
      <c r="AD131">
        <v>0</v>
      </c>
      <c r="AE131">
        <v>0</v>
      </c>
      <c r="AF131">
        <v>0</v>
      </c>
      <c r="AH131">
        <v>2665</v>
      </c>
    </row>
    <row r="132" spans="1:34" x14ac:dyDescent="0.25">
      <c r="A132" s="1">
        <v>129</v>
      </c>
      <c r="B132">
        <v>0</v>
      </c>
      <c r="C132">
        <v>0</v>
      </c>
      <c r="D132">
        <v>0</v>
      </c>
      <c r="E132">
        <v>67.400000000000006</v>
      </c>
      <c r="F132">
        <v>237.1</v>
      </c>
      <c r="G132">
        <v>0</v>
      </c>
      <c r="H132">
        <v>380.2</v>
      </c>
      <c r="I132">
        <v>0</v>
      </c>
      <c r="J132">
        <v>281</v>
      </c>
      <c r="K132">
        <v>0</v>
      </c>
      <c r="L132">
        <v>0</v>
      </c>
      <c r="M132">
        <v>281.8</v>
      </c>
      <c r="N132">
        <v>0</v>
      </c>
      <c r="O132">
        <v>0</v>
      </c>
      <c r="P132">
        <v>0</v>
      </c>
      <c r="Q132">
        <v>210.5</v>
      </c>
      <c r="R132">
        <v>0</v>
      </c>
      <c r="S132">
        <v>18.100000000000001</v>
      </c>
      <c r="T132">
        <v>152.5</v>
      </c>
      <c r="U132">
        <v>0</v>
      </c>
      <c r="V132">
        <v>0</v>
      </c>
      <c r="W132">
        <v>532.1</v>
      </c>
      <c r="X132">
        <v>21.2</v>
      </c>
      <c r="Y132">
        <v>0</v>
      </c>
      <c r="Z132">
        <v>394.8</v>
      </c>
      <c r="AA132">
        <v>0</v>
      </c>
      <c r="AB132">
        <v>3</v>
      </c>
      <c r="AC132">
        <v>0</v>
      </c>
      <c r="AD132">
        <v>0</v>
      </c>
      <c r="AE132">
        <v>0</v>
      </c>
      <c r="AF132">
        <v>0</v>
      </c>
      <c r="AH132">
        <v>2579.6999999999998</v>
      </c>
    </row>
    <row r="133" spans="1:34" x14ac:dyDescent="0.25">
      <c r="A133" s="1">
        <v>130</v>
      </c>
      <c r="B133">
        <v>0</v>
      </c>
      <c r="C133">
        <v>0</v>
      </c>
      <c r="D133">
        <v>0</v>
      </c>
      <c r="E133">
        <v>73.400000000000006</v>
      </c>
      <c r="F133">
        <v>243.4</v>
      </c>
      <c r="G133">
        <v>0</v>
      </c>
      <c r="H133">
        <v>411.1</v>
      </c>
      <c r="I133">
        <v>0</v>
      </c>
      <c r="J133">
        <v>290.3</v>
      </c>
      <c r="K133">
        <v>0</v>
      </c>
      <c r="L133">
        <v>0</v>
      </c>
      <c r="M133">
        <v>254.8</v>
      </c>
      <c r="N133">
        <v>0</v>
      </c>
      <c r="O133">
        <v>0</v>
      </c>
      <c r="P133">
        <v>0</v>
      </c>
      <c r="Q133">
        <v>211.5</v>
      </c>
      <c r="R133">
        <v>0</v>
      </c>
      <c r="S133">
        <v>17.100000000000001</v>
      </c>
      <c r="T133">
        <v>137.6</v>
      </c>
      <c r="U133">
        <v>0</v>
      </c>
      <c r="V133">
        <v>0</v>
      </c>
      <c r="W133">
        <v>523.29999999999995</v>
      </c>
      <c r="X133">
        <v>21.2</v>
      </c>
      <c r="Y133">
        <v>0</v>
      </c>
      <c r="Z133">
        <v>370.29999999999899</v>
      </c>
      <c r="AA133">
        <v>0</v>
      </c>
      <c r="AB133">
        <v>3</v>
      </c>
      <c r="AC133">
        <v>0</v>
      </c>
      <c r="AD133">
        <v>0</v>
      </c>
      <c r="AE133">
        <v>0</v>
      </c>
      <c r="AF133">
        <v>0</v>
      </c>
      <c r="AH133">
        <v>2556.9999999999986</v>
      </c>
    </row>
    <row r="134" spans="1:34" x14ac:dyDescent="0.25">
      <c r="A134" s="1">
        <v>131</v>
      </c>
      <c r="B134">
        <v>0</v>
      </c>
      <c r="C134">
        <v>0</v>
      </c>
      <c r="D134">
        <v>0</v>
      </c>
      <c r="E134">
        <v>78.8</v>
      </c>
      <c r="F134">
        <v>251.89999999999901</v>
      </c>
      <c r="G134">
        <v>0</v>
      </c>
      <c r="H134">
        <v>437</v>
      </c>
      <c r="I134">
        <v>0</v>
      </c>
      <c r="J134">
        <v>299.3</v>
      </c>
      <c r="K134">
        <v>0</v>
      </c>
      <c r="L134">
        <v>0</v>
      </c>
      <c r="M134">
        <v>220.8</v>
      </c>
      <c r="N134">
        <v>0</v>
      </c>
      <c r="O134">
        <v>0</v>
      </c>
      <c r="P134">
        <v>0</v>
      </c>
      <c r="Q134">
        <v>220.1</v>
      </c>
      <c r="R134">
        <v>0</v>
      </c>
      <c r="S134">
        <v>17.100000000000001</v>
      </c>
      <c r="T134">
        <v>152</v>
      </c>
      <c r="U134">
        <v>0</v>
      </c>
      <c r="V134">
        <v>0</v>
      </c>
      <c r="W134">
        <v>546.9</v>
      </c>
      <c r="X134">
        <v>21.2</v>
      </c>
      <c r="Y134">
        <v>0</v>
      </c>
      <c r="Z134">
        <v>342.4</v>
      </c>
      <c r="AA134">
        <v>0</v>
      </c>
      <c r="AB134">
        <v>3</v>
      </c>
      <c r="AC134">
        <v>0</v>
      </c>
      <c r="AD134">
        <v>0</v>
      </c>
      <c r="AE134">
        <v>0</v>
      </c>
      <c r="AF134">
        <v>0</v>
      </c>
      <c r="AH134">
        <v>2590.4999999999986</v>
      </c>
    </row>
    <row r="135" spans="1:34" x14ac:dyDescent="0.25">
      <c r="A135" s="1">
        <v>132</v>
      </c>
      <c r="B135">
        <v>0</v>
      </c>
      <c r="C135">
        <v>0</v>
      </c>
      <c r="D135">
        <v>0</v>
      </c>
      <c r="E135">
        <v>84</v>
      </c>
      <c r="F135">
        <v>249.29999999999899</v>
      </c>
      <c r="G135">
        <v>0</v>
      </c>
      <c r="H135">
        <v>448</v>
      </c>
      <c r="I135">
        <v>0</v>
      </c>
      <c r="J135">
        <v>281.3</v>
      </c>
      <c r="K135">
        <v>0</v>
      </c>
      <c r="L135">
        <v>0</v>
      </c>
      <c r="M135">
        <v>226.3</v>
      </c>
      <c r="N135">
        <v>0</v>
      </c>
      <c r="O135">
        <v>0</v>
      </c>
      <c r="P135">
        <v>0</v>
      </c>
      <c r="Q135">
        <v>223.2</v>
      </c>
      <c r="R135">
        <v>0</v>
      </c>
      <c r="S135">
        <v>20.399999999999999</v>
      </c>
      <c r="T135">
        <v>128</v>
      </c>
      <c r="U135">
        <v>0</v>
      </c>
      <c r="V135">
        <v>0</v>
      </c>
      <c r="W135">
        <v>562.70000000000005</v>
      </c>
      <c r="X135">
        <v>19</v>
      </c>
      <c r="Y135">
        <v>0</v>
      </c>
      <c r="Z135">
        <v>311.2</v>
      </c>
      <c r="AA135">
        <v>0</v>
      </c>
      <c r="AB135">
        <v>3</v>
      </c>
      <c r="AC135">
        <v>0</v>
      </c>
      <c r="AD135">
        <v>0</v>
      </c>
      <c r="AE135">
        <v>0</v>
      </c>
      <c r="AF135">
        <v>0</v>
      </c>
      <c r="AH135">
        <v>2556.3999999999987</v>
      </c>
    </row>
    <row r="136" spans="1:34" x14ac:dyDescent="0.25">
      <c r="A136" s="1">
        <v>133</v>
      </c>
      <c r="B136">
        <v>0</v>
      </c>
      <c r="C136">
        <v>0</v>
      </c>
      <c r="D136">
        <v>0</v>
      </c>
      <c r="E136">
        <v>84</v>
      </c>
      <c r="F136">
        <v>247.7</v>
      </c>
      <c r="G136">
        <v>0</v>
      </c>
      <c r="H136">
        <v>454.6</v>
      </c>
      <c r="I136">
        <v>0</v>
      </c>
      <c r="J136">
        <v>284.89999999999998</v>
      </c>
      <c r="K136">
        <v>0</v>
      </c>
      <c r="L136">
        <v>0</v>
      </c>
      <c r="M136">
        <v>180.1</v>
      </c>
      <c r="N136">
        <v>0</v>
      </c>
      <c r="O136">
        <v>0</v>
      </c>
      <c r="P136">
        <v>0</v>
      </c>
      <c r="Q136">
        <v>231.2</v>
      </c>
      <c r="R136">
        <v>0</v>
      </c>
      <c r="S136">
        <v>23.7</v>
      </c>
      <c r="T136">
        <v>133</v>
      </c>
      <c r="U136">
        <v>0</v>
      </c>
      <c r="V136">
        <v>0</v>
      </c>
      <c r="W136">
        <v>587.9</v>
      </c>
      <c r="X136">
        <v>20.100000000000001</v>
      </c>
      <c r="Y136">
        <v>0</v>
      </c>
      <c r="Z136">
        <v>321</v>
      </c>
      <c r="AA136">
        <v>0</v>
      </c>
      <c r="AB136">
        <v>3</v>
      </c>
      <c r="AC136">
        <v>0</v>
      </c>
      <c r="AD136">
        <v>0</v>
      </c>
      <c r="AE136">
        <v>0</v>
      </c>
      <c r="AF136">
        <v>0</v>
      </c>
      <c r="AH136">
        <v>2571.1999999999998</v>
      </c>
    </row>
    <row r="137" spans="1:34" x14ac:dyDescent="0.25">
      <c r="A137" s="1">
        <v>134</v>
      </c>
      <c r="B137">
        <v>0</v>
      </c>
      <c r="C137">
        <v>0</v>
      </c>
      <c r="D137">
        <v>0</v>
      </c>
      <c r="E137">
        <v>83</v>
      </c>
      <c r="F137">
        <v>256</v>
      </c>
      <c r="G137">
        <v>0</v>
      </c>
      <c r="H137">
        <v>448.6</v>
      </c>
      <c r="I137">
        <v>0</v>
      </c>
      <c r="J137">
        <v>271.10000000000002</v>
      </c>
      <c r="K137">
        <v>0</v>
      </c>
      <c r="L137">
        <v>0</v>
      </c>
      <c r="M137">
        <v>161.30000000000001</v>
      </c>
      <c r="N137">
        <v>0</v>
      </c>
      <c r="O137">
        <v>0</v>
      </c>
      <c r="P137">
        <v>0</v>
      </c>
      <c r="Q137">
        <v>238.7</v>
      </c>
      <c r="R137">
        <v>0</v>
      </c>
      <c r="S137">
        <v>22</v>
      </c>
      <c r="T137">
        <v>64.5</v>
      </c>
      <c r="U137">
        <v>0</v>
      </c>
      <c r="V137">
        <v>0</v>
      </c>
      <c r="W137">
        <v>613.9</v>
      </c>
      <c r="X137">
        <v>20.100000000000001</v>
      </c>
      <c r="Y137">
        <v>0</v>
      </c>
      <c r="Z137">
        <v>325.60000000000002</v>
      </c>
      <c r="AA137">
        <v>0</v>
      </c>
      <c r="AB137">
        <v>3</v>
      </c>
      <c r="AC137">
        <v>0</v>
      </c>
      <c r="AD137">
        <v>0</v>
      </c>
      <c r="AE137">
        <v>0</v>
      </c>
      <c r="AF137">
        <v>0</v>
      </c>
      <c r="AH137">
        <v>2507.7999999999997</v>
      </c>
    </row>
    <row r="138" spans="1:34" x14ac:dyDescent="0.25">
      <c r="A138" s="1">
        <v>135</v>
      </c>
      <c r="B138">
        <v>0</v>
      </c>
      <c r="C138">
        <v>0</v>
      </c>
      <c r="D138">
        <v>0</v>
      </c>
      <c r="E138">
        <v>83</v>
      </c>
      <c r="F138">
        <v>257</v>
      </c>
      <c r="G138">
        <v>0</v>
      </c>
      <c r="H138">
        <v>424.8</v>
      </c>
      <c r="I138">
        <v>0</v>
      </c>
      <c r="J138">
        <v>277.10000000000002</v>
      </c>
      <c r="K138">
        <v>0</v>
      </c>
      <c r="L138">
        <v>0</v>
      </c>
      <c r="M138">
        <v>160.1</v>
      </c>
      <c r="N138">
        <v>0</v>
      </c>
      <c r="O138">
        <v>0</v>
      </c>
      <c r="P138">
        <v>0</v>
      </c>
      <c r="Q138">
        <v>246.39999999999901</v>
      </c>
      <c r="R138">
        <v>0</v>
      </c>
      <c r="S138">
        <v>30.3</v>
      </c>
      <c r="T138">
        <v>40.5</v>
      </c>
      <c r="U138">
        <v>0</v>
      </c>
      <c r="V138">
        <v>0</v>
      </c>
      <c r="W138">
        <v>621.6</v>
      </c>
      <c r="X138">
        <v>20.100000000000001</v>
      </c>
      <c r="Y138">
        <v>0</v>
      </c>
      <c r="Z138">
        <v>326.60000000000002</v>
      </c>
      <c r="AA138">
        <v>0</v>
      </c>
      <c r="AB138">
        <v>3</v>
      </c>
      <c r="AC138">
        <v>0</v>
      </c>
      <c r="AD138">
        <v>0</v>
      </c>
      <c r="AE138">
        <v>0</v>
      </c>
      <c r="AF138">
        <v>0</v>
      </c>
      <c r="AH138">
        <v>2490.4999999999986</v>
      </c>
    </row>
    <row r="139" spans="1:34" x14ac:dyDescent="0.25">
      <c r="A139" s="1">
        <v>136</v>
      </c>
      <c r="B139">
        <v>0</v>
      </c>
      <c r="C139">
        <v>0</v>
      </c>
      <c r="D139">
        <v>0</v>
      </c>
      <c r="E139">
        <v>83</v>
      </c>
      <c r="F139">
        <v>262.2</v>
      </c>
      <c r="G139">
        <v>0</v>
      </c>
      <c r="H139">
        <v>441.4</v>
      </c>
      <c r="I139">
        <v>0</v>
      </c>
      <c r="J139">
        <v>279.10000000000002</v>
      </c>
      <c r="K139">
        <v>0</v>
      </c>
      <c r="L139">
        <v>0</v>
      </c>
      <c r="M139">
        <v>102.5</v>
      </c>
      <c r="N139">
        <v>0</v>
      </c>
      <c r="O139">
        <v>0</v>
      </c>
      <c r="P139">
        <v>0</v>
      </c>
      <c r="Q139">
        <v>255.5</v>
      </c>
      <c r="R139">
        <v>0</v>
      </c>
      <c r="S139">
        <v>34.6</v>
      </c>
      <c r="T139">
        <v>62.2</v>
      </c>
      <c r="U139">
        <v>0</v>
      </c>
      <c r="V139">
        <v>0</v>
      </c>
      <c r="W139">
        <v>633.9</v>
      </c>
      <c r="X139">
        <v>20.100000000000001</v>
      </c>
      <c r="Y139">
        <v>0</v>
      </c>
      <c r="Z139">
        <v>339.7</v>
      </c>
      <c r="AA139">
        <v>0</v>
      </c>
      <c r="AB139">
        <v>3</v>
      </c>
      <c r="AC139">
        <v>0</v>
      </c>
      <c r="AD139">
        <v>0</v>
      </c>
      <c r="AE139">
        <v>0</v>
      </c>
      <c r="AF139">
        <v>0</v>
      </c>
      <c r="AH139">
        <v>2517.1999999999994</v>
      </c>
    </row>
    <row r="140" spans="1:34" x14ac:dyDescent="0.25">
      <c r="A140" s="1">
        <v>137</v>
      </c>
      <c r="B140">
        <v>0</v>
      </c>
      <c r="C140">
        <v>0</v>
      </c>
      <c r="D140">
        <v>0</v>
      </c>
      <c r="E140">
        <v>64</v>
      </c>
      <c r="F140">
        <v>213.2</v>
      </c>
      <c r="G140">
        <v>0</v>
      </c>
      <c r="H140">
        <v>435.4</v>
      </c>
      <c r="I140">
        <v>0</v>
      </c>
      <c r="J140">
        <v>277</v>
      </c>
      <c r="K140">
        <v>0</v>
      </c>
      <c r="L140">
        <v>0</v>
      </c>
      <c r="M140">
        <v>68.5</v>
      </c>
      <c r="N140">
        <v>0</v>
      </c>
      <c r="O140">
        <v>0</v>
      </c>
      <c r="P140">
        <v>0</v>
      </c>
      <c r="Q140">
        <v>262.10000000000002</v>
      </c>
      <c r="R140">
        <v>0</v>
      </c>
      <c r="S140">
        <v>38.6</v>
      </c>
      <c r="T140">
        <v>79.900000000000006</v>
      </c>
      <c r="U140">
        <v>0</v>
      </c>
      <c r="V140">
        <v>0</v>
      </c>
      <c r="W140">
        <v>656.1</v>
      </c>
      <c r="X140">
        <v>20.100000000000001</v>
      </c>
      <c r="Y140">
        <v>0</v>
      </c>
      <c r="Z140">
        <v>304.5</v>
      </c>
      <c r="AA140">
        <v>0</v>
      </c>
      <c r="AB140">
        <v>3</v>
      </c>
      <c r="AC140">
        <v>0</v>
      </c>
      <c r="AD140">
        <v>0</v>
      </c>
      <c r="AE140">
        <v>0</v>
      </c>
      <c r="AF140">
        <v>0</v>
      </c>
      <c r="AH140">
        <v>2422.3999999999996</v>
      </c>
    </row>
    <row r="141" spans="1:34" x14ac:dyDescent="0.25">
      <c r="A141" s="1">
        <v>138</v>
      </c>
      <c r="B141">
        <v>0</v>
      </c>
      <c r="C141">
        <v>0</v>
      </c>
      <c r="D141">
        <v>0</v>
      </c>
      <c r="E141">
        <v>64</v>
      </c>
      <c r="F141">
        <v>214.2</v>
      </c>
      <c r="G141">
        <v>0</v>
      </c>
      <c r="H141">
        <v>441.4</v>
      </c>
      <c r="I141">
        <v>0</v>
      </c>
      <c r="J141">
        <v>250.39999999999901</v>
      </c>
      <c r="K141">
        <v>0</v>
      </c>
      <c r="L141">
        <v>0</v>
      </c>
      <c r="M141">
        <v>40.5</v>
      </c>
      <c r="N141">
        <v>0</v>
      </c>
      <c r="O141">
        <v>0</v>
      </c>
      <c r="P141">
        <v>0</v>
      </c>
      <c r="Q141">
        <v>268.2</v>
      </c>
      <c r="R141">
        <v>0</v>
      </c>
      <c r="S141">
        <v>42.6</v>
      </c>
      <c r="T141">
        <v>100.7</v>
      </c>
      <c r="U141">
        <v>0</v>
      </c>
      <c r="V141">
        <v>0</v>
      </c>
      <c r="W141">
        <v>692.9</v>
      </c>
      <c r="X141">
        <v>16.100000000000001</v>
      </c>
      <c r="Y141">
        <v>0</v>
      </c>
      <c r="Z141">
        <v>309.3</v>
      </c>
      <c r="AA141">
        <v>0</v>
      </c>
      <c r="AB141">
        <v>3</v>
      </c>
      <c r="AC141">
        <v>0</v>
      </c>
      <c r="AD141">
        <v>0</v>
      </c>
      <c r="AE141">
        <v>0</v>
      </c>
      <c r="AF141">
        <v>0</v>
      </c>
      <c r="AH141">
        <v>2443.2999999999988</v>
      </c>
    </row>
    <row r="142" spans="1:34" x14ac:dyDescent="0.25">
      <c r="A142" s="1">
        <v>139</v>
      </c>
      <c r="B142">
        <v>0</v>
      </c>
      <c r="C142">
        <v>0</v>
      </c>
      <c r="D142">
        <v>0</v>
      </c>
      <c r="E142">
        <v>65</v>
      </c>
      <c r="F142">
        <v>213.1</v>
      </c>
      <c r="G142">
        <v>0</v>
      </c>
      <c r="H142">
        <v>454.4</v>
      </c>
      <c r="I142">
        <v>0</v>
      </c>
      <c r="J142">
        <v>257.89999999999998</v>
      </c>
      <c r="K142">
        <v>0</v>
      </c>
      <c r="L142">
        <v>0</v>
      </c>
      <c r="M142">
        <v>31.9</v>
      </c>
      <c r="N142">
        <v>0</v>
      </c>
      <c r="O142">
        <v>0</v>
      </c>
      <c r="P142">
        <v>0</v>
      </c>
      <c r="Q142">
        <v>272.39999999999998</v>
      </c>
      <c r="R142">
        <v>0</v>
      </c>
      <c r="S142">
        <v>42.6</v>
      </c>
      <c r="T142">
        <v>114.4</v>
      </c>
      <c r="U142">
        <v>0</v>
      </c>
      <c r="V142">
        <v>0</v>
      </c>
      <c r="W142">
        <v>693.6</v>
      </c>
      <c r="X142">
        <v>9.1</v>
      </c>
      <c r="Y142">
        <v>0</v>
      </c>
      <c r="Z142">
        <v>303.89999999999998</v>
      </c>
      <c r="AA142">
        <v>0</v>
      </c>
      <c r="AB142">
        <v>3</v>
      </c>
      <c r="AC142">
        <v>0</v>
      </c>
      <c r="AD142">
        <v>0</v>
      </c>
      <c r="AE142">
        <v>0</v>
      </c>
      <c r="AF142">
        <v>0</v>
      </c>
      <c r="AH142">
        <v>2461.2999999999997</v>
      </c>
    </row>
    <row r="143" spans="1:34" x14ac:dyDescent="0.25">
      <c r="A143" s="1">
        <v>140</v>
      </c>
      <c r="B143">
        <v>0</v>
      </c>
      <c r="C143">
        <v>0</v>
      </c>
      <c r="D143">
        <v>0</v>
      </c>
      <c r="E143">
        <v>64</v>
      </c>
      <c r="F143">
        <v>212.39999999999901</v>
      </c>
      <c r="G143">
        <v>0</v>
      </c>
      <c r="H143">
        <v>432.4</v>
      </c>
      <c r="I143">
        <v>0</v>
      </c>
      <c r="J143">
        <v>234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256.39999999999998</v>
      </c>
      <c r="R143">
        <v>0</v>
      </c>
      <c r="S143">
        <v>45.6</v>
      </c>
      <c r="T143">
        <v>63.2</v>
      </c>
      <c r="U143">
        <v>0</v>
      </c>
      <c r="V143">
        <v>0</v>
      </c>
      <c r="W143">
        <v>744.6</v>
      </c>
      <c r="X143">
        <v>8</v>
      </c>
      <c r="Y143">
        <v>0</v>
      </c>
      <c r="Z143">
        <v>291</v>
      </c>
      <c r="AA143">
        <v>0</v>
      </c>
      <c r="AB143">
        <v>3</v>
      </c>
      <c r="AC143">
        <v>0</v>
      </c>
      <c r="AD143">
        <v>0</v>
      </c>
      <c r="AE143">
        <v>0</v>
      </c>
      <c r="AF143">
        <v>0</v>
      </c>
      <c r="AH143">
        <v>2354.599999999999</v>
      </c>
    </row>
    <row r="144" spans="1:34" x14ac:dyDescent="0.25">
      <c r="A144" s="1">
        <v>141</v>
      </c>
      <c r="B144">
        <v>0</v>
      </c>
      <c r="C144">
        <v>0</v>
      </c>
      <c r="D144">
        <v>0</v>
      </c>
      <c r="E144">
        <v>65</v>
      </c>
      <c r="F144">
        <v>221.89999999999901</v>
      </c>
      <c r="G144">
        <v>0</v>
      </c>
      <c r="H144">
        <v>436.4</v>
      </c>
      <c r="I144">
        <v>0</v>
      </c>
      <c r="J144">
        <v>245.7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258.39999999999998</v>
      </c>
      <c r="R144">
        <v>0</v>
      </c>
      <c r="S144">
        <v>48.6</v>
      </c>
      <c r="T144">
        <v>48.3</v>
      </c>
      <c r="U144">
        <v>0</v>
      </c>
      <c r="V144">
        <v>0</v>
      </c>
      <c r="W144">
        <v>742.7</v>
      </c>
      <c r="X144">
        <v>0</v>
      </c>
      <c r="Y144">
        <v>0</v>
      </c>
      <c r="Z144">
        <v>298.7</v>
      </c>
      <c r="AA144">
        <v>0</v>
      </c>
      <c r="AB144">
        <v>3</v>
      </c>
      <c r="AC144">
        <v>0</v>
      </c>
      <c r="AD144">
        <v>0</v>
      </c>
      <c r="AE144">
        <v>0</v>
      </c>
      <c r="AF144">
        <v>0</v>
      </c>
      <c r="AH144">
        <v>2368.6999999999989</v>
      </c>
    </row>
    <row r="145" spans="1:34" x14ac:dyDescent="0.25">
      <c r="A145" s="1">
        <v>142</v>
      </c>
      <c r="B145">
        <v>0</v>
      </c>
      <c r="C145">
        <v>0</v>
      </c>
      <c r="D145">
        <v>0</v>
      </c>
      <c r="E145">
        <v>67.099999999999994</v>
      </c>
      <c r="F145">
        <v>225.1</v>
      </c>
      <c r="G145">
        <v>0</v>
      </c>
      <c r="H145">
        <v>436.4</v>
      </c>
      <c r="I145">
        <v>0</v>
      </c>
      <c r="J145">
        <v>252.5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265.8</v>
      </c>
      <c r="R145">
        <v>0</v>
      </c>
      <c r="S145">
        <v>48.6</v>
      </c>
      <c r="T145">
        <v>0</v>
      </c>
      <c r="U145">
        <v>0</v>
      </c>
      <c r="V145">
        <v>0</v>
      </c>
      <c r="W145">
        <v>758.6</v>
      </c>
      <c r="X145">
        <v>0</v>
      </c>
      <c r="Y145">
        <v>0</v>
      </c>
      <c r="Z145">
        <v>264.7</v>
      </c>
      <c r="AA145">
        <v>0</v>
      </c>
      <c r="AB145">
        <v>3</v>
      </c>
      <c r="AC145">
        <v>0</v>
      </c>
      <c r="AD145">
        <v>0</v>
      </c>
      <c r="AE145">
        <v>0</v>
      </c>
      <c r="AF145">
        <v>0</v>
      </c>
      <c r="AH145">
        <v>2321.7999999999997</v>
      </c>
    </row>
    <row r="146" spans="1:34" x14ac:dyDescent="0.25">
      <c r="A146" s="1">
        <v>143</v>
      </c>
      <c r="B146">
        <v>0</v>
      </c>
      <c r="C146">
        <v>0</v>
      </c>
      <c r="D146">
        <v>0</v>
      </c>
      <c r="E146">
        <v>68.099999999999994</v>
      </c>
      <c r="F146">
        <v>235.3</v>
      </c>
      <c r="G146">
        <v>0</v>
      </c>
      <c r="H146">
        <v>437.4</v>
      </c>
      <c r="I146">
        <v>0</v>
      </c>
      <c r="J146">
        <v>209.8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262.8</v>
      </c>
      <c r="R146">
        <v>0</v>
      </c>
      <c r="S146">
        <v>48.6</v>
      </c>
      <c r="T146">
        <v>0</v>
      </c>
      <c r="U146">
        <v>0</v>
      </c>
      <c r="V146">
        <v>0</v>
      </c>
      <c r="W146">
        <v>757.6</v>
      </c>
      <c r="X146">
        <v>0</v>
      </c>
      <c r="Y146">
        <v>0</v>
      </c>
      <c r="Z146">
        <v>274.2</v>
      </c>
      <c r="AA146">
        <v>0</v>
      </c>
      <c r="AB146">
        <v>3</v>
      </c>
      <c r="AC146">
        <v>0</v>
      </c>
      <c r="AD146">
        <v>0</v>
      </c>
      <c r="AE146">
        <v>0</v>
      </c>
      <c r="AF146">
        <v>0</v>
      </c>
      <c r="AH146">
        <v>2296.7999999999997</v>
      </c>
    </row>
    <row r="147" spans="1:34" x14ac:dyDescent="0.25">
      <c r="A147" s="1">
        <v>144</v>
      </c>
      <c r="B147">
        <v>0</v>
      </c>
      <c r="C147">
        <v>0</v>
      </c>
      <c r="D147">
        <v>0</v>
      </c>
      <c r="E147">
        <v>66.099999999999994</v>
      </c>
      <c r="F147">
        <v>239.3</v>
      </c>
      <c r="G147">
        <v>0</v>
      </c>
      <c r="H147">
        <v>447.6</v>
      </c>
      <c r="I147">
        <v>0</v>
      </c>
      <c r="J147">
        <v>216.7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275.10000000000002</v>
      </c>
      <c r="R147">
        <v>0</v>
      </c>
      <c r="S147">
        <v>48.6</v>
      </c>
      <c r="T147">
        <v>0</v>
      </c>
      <c r="U147">
        <v>0</v>
      </c>
      <c r="V147">
        <v>0</v>
      </c>
      <c r="W147">
        <v>766.6</v>
      </c>
      <c r="X147">
        <v>0</v>
      </c>
      <c r="Y147">
        <v>0</v>
      </c>
      <c r="Z147">
        <v>267.5</v>
      </c>
      <c r="AA147">
        <v>0</v>
      </c>
      <c r="AB147">
        <v>3</v>
      </c>
      <c r="AC147">
        <v>0</v>
      </c>
      <c r="AD147">
        <v>0</v>
      </c>
      <c r="AE147">
        <v>0</v>
      </c>
      <c r="AF147">
        <v>0</v>
      </c>
      <c r="AH147">
        <v>2330.5</v>
      </c>
    </row>
    <row r="148" spans="1:34" x14ac:dyDescent="0.25">
      <c r="A148" s="1">
        <v>145</v>
      </c>
      <c r="B148">
        <v>0</v>
      </c>
      <c r="C148">
        <v>0</v>
      </c>
      <c r="D148">
        <v>0</v>
      </c>
      <c r="E148">
        <v>73.099999999999994</v>
      </c>
      <c r="F148">
        <v>238.8</v>
      </c>
      <c r="G148">
        <v>0</v>
      </c>
      <c r="H148">
        <v>448.8</v>
      </c>
      <c r="I148">
        <v>0</v>
      </c>
      <c r="J148">
        <v>229.6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278.10000000000002</v>
      </c>
      <c r="R148">
        <v>0</v>
      </c>
      <c r="S148">
        <v>48.6</v>
      </c>
      <c r="T148">
        <v>0</v>
      </c>
      <c r="U148">
        <v>0</v>
      </c>
      <c r="V148">
        <v>0</v>
      </c>
      <c r="W148">
        <v>784.6</v>
      </c>
      <c r="X148">
        <v>0</v>
      </c>
      <c r="Y148">
        <v>0</v>
      </c>
      <c r="Z148">
        <v>278.5</v>
      </c>
      <c r="AA148">
        <v>0</v>
      </c>
      <c r="AB148">
        <v>3</v>
      </c>
      <c r="AC148">
        <v>0</v>
      </c>
      <c r="AD148">
        <v>0</v>
      </c>
      <c r="AE148">
        <v>0</v>
      </c>
      <c r="AF148">
        <v>0</v>
      </c>
      <c r="AH148">
        <v>2383.1</v>
      </c>
    </row>
    <row r="149" spans="1:34" x14ac:dyDescent="0.25">
      <c r="A149" s="1">
        <v>146</v>
      </c>
      <c r="B149">
        <v>0</v>
      </c>
      <c r="C149">
        <v>0</v>
      </c>
      <c r="D149">
        <v>0</v>
      </c>
      <c r="E149">
        <v>74.199999999999903</v>
      </c>
      <c r="F149">
        <v>233.2</v>
      </c>
      <c r="G149">
        <v>0</v>
      </c>
      <c r="H149">
        <v>452.8</v>
      </c>
      <c r="I149">
        <v>0</v>
      </c>
      <c r="J149">
        <v>234.5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292.3</v>
      </c>
      <c r="R149">
        <v>0</v>
      </c>
      <c r="S149">
        <v>49.6</v>
      </c>
      <c r="T149">
        <v>0</v>
      </c>
      <c r="U149">
        <v>0</v>
      </c>
      <c r="V149">
        <v>0</v>
      </c>
      <c r="W149">
        <v>818.6</v>
      </c>
      <c r="X149">
        <v>0</v>
      </c>
      <c r="Y149">
        <v>0</v>
      </c>
      <c r="Z149">
        <v>251.5</v>
      </c>
      <c r="AA149">
        <v>0</v>
      </c>
      <c r="AB149">
        <v>3</v>
      </c>
      <c r="AC149">
        <v>0</v>
      </c>
      <c r="AD149">
        <v>0</v>
      </c>
      <c r="AE149">
        <v>0</v>
      </c>
      <c r="AF149">
        <v>0</v>
      </c>
      <c r="AH149">
        <v>2409.6999999999998</v>
      </c>
    </row>
    <row r="150" spans="1:34" x14ac:dyDescent="0.25">
      <c r="A150" s="1">
        <v>147</v>
      </c>
      <c r="B150">
        <v>0</v>
      </c>
      <c r="C150">
        <v>0</v>
      </c>
      <c r="D150">
        <v>0</v>
      </c>
      <c r="E150">
        <v>79.7</v>
      </c>
      <c r="F150">
        <v>242.6</v>
      </c>
      <c r="G150">
        <v>0</v>
      </c>
      <c r="H150">
        <v>453.8</v>
      </c>
      <c r="I150">
        <v>0</v>
      </c>
      <c r="J150">
        <v>233.89999999999901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314.8</v>
      </c>
      <c r="R150">
        <v>0</v>
      </c>
      <c r="S150">
        <v>51.9</v>
      </c>
      <c r="T150">
        <v>0</v>
      </c>
      <c r="U150">
        <v>0</v>
      </c>
      <c r="V150">
        <v>0</v>
      </c>
      <c r="W150">
        <v>820.2</v>
      </c>
      <c r="X150">
        <v>0</v>
      </c>
      <c r="Y150">
        <v>0</v>
      </c>
      <c r="Z150">
        <v>263</v>
      </c>
      <c r="AA150">
        <v>0</v>
      </c>
      <c r="AB150">
        <v>3</v>
      </c>
      <c r="AC150">
        <v>0</v>
      </c>
      <c r="AD150">
        <v>0</v>
      </c>
      <c r="AE150">
        <v>0</v>
      </c>
      <c r="AF150">
        <v>0</v>
      </c>
      <c r="AH150">
        <v>2462.8999999999992</v>
      </c>
    </row>
    <row r="151" spans="1:34" x14ac:dyDescent="0.25">
      <c r="A151" s="1">
        <v>148</v>
      </c>
      <c r="B151">
        <v>0</v>
      </c>
      <c r="C151">
        <v>0</v>
      </c>
      <c r="D151">
        <v>0</v>
      </c>
      <c r="E151">
        <v>82</v>
      </c>
      <c r="F151">
        <v>249.6</v>
      </c>
      <c r="G151">
        <v>0</v>
      </c>
      <c r="H151">
        <v>454.9</v>
      </c>
      <c r="I151">
        <v>0</v>
      </c>
      <c r="J151">
        <v>198.6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329.3</v>
      </c>
      <c r="R151">
        <v>0</v>
      </c>
      <c r="S151">
        <v>52.9</v>
      </c>
      <c r="T151">
        <v>0</v>
      </c>
      <c r="U151">
        <v>0</v>
      </c>
      <c r="V151">
        <v>0</v>
      </c>
      <c r="W151">
        <v>833.6</v>
      </c>
      <c r="X151">
        <v>0</v>
      </c>
      <c r="Y151">
        <v>0</v>
      </c>
      <c r="Z151">
        <v>285.39999999999998</v>
      </c>
      <c r="AA151">
        <v>0</v>
      </c>
      <c r="AB151">
        <v>3</v>
      </c>
      <c r="AC151">
        <v>0</v>
      </c>
      <c r="AD151">
        <v>0</v>
      </c>
      <c r="AE151">
        <v>0</v>
      </c>
      <c r="AF151">
        <v>0</v>
      </c>
      <c r="AH151">
        <v>2489.3000000000002</v>
      </c>
    </row>
    <row r="152" spans="1:34" x14ac:dyDescent="0.25">
      <c r="A152" s="1">
        <v>149</v>
      </c>
      <c r="B152">
        <v>0</v>
      </c>
      <c r="C152">
        <v>0</v>
      </c>
      <c r="D152">
        <v>0</v>
      </c>
      <c r="E152">
        <v>84.2</v>
      </c>
      <c r="F152">
        <v>239.4</v>
      </c>
      <c r="G152">
        <v>0</v>
      </c>
      <c r="H152">
        <v>457.9</v>
      </c>
      <c r="I152">
        <v>0</v>
      </c>
      <c r="J152">
        <v>177.5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335.5</v>
      </c>
      <c r="R152">
        <v>0</v>
      </c>
      <c r="S152">
        <v>54</v>
      </c>
      <c r="T152">
        <v>0</v>
      </c>
      <c r="U152">
        <v>0</v>
      </c>
      <c r="V152">
        <v>0</v>
      </c>
      <c r="W152">
        <v>843.6</v>
      </c>
      <c r="X152">
        <v>0</v>
      </c>
      <c r="Y152">
        <v>0</v>
      </c>
      <c r="Z152">
        <v>275.3</v>
      </c>
      <c r="AA152">
        <v>0</v>
      </c>
      <c r="AB152">
        <v>3</v>
      </c>
      <c r="AC152">
        <v>0</v>
      </c>
      <c r="AD152">
        <v>0</v>
      </c>
      <c r="AE152">
        <v>0</v>
      </c>
      <c r="AF152">
        <v>0</v>
      </c>
      <c r="AH152">
        <v>2470.4</v>
      </c>
    </row>
    <row r="153" spans="1:34" x14ac:dyDescent="0.25">
      <c r="A153" s="1">
        <v>150</v>
      </c>
      <c r="B153">
        <v>0</v>
      </c>
      <c r="C153">
        <v>0</v>
      </c>
      <c r="D153">
        <v>0</v>
      </c>
      <c r="E153">
        <v>87.8</v>
      </c>
      <c r="F153">
        <v>240.2</v>
      </c>
      <c r="G153">
        <v>0</v>
      </c>
      <c r="H153">
        <v>454.2</v>
      </c>
      <c r="I153">
        <v>0</v>
      </c>
      <c r="J153">
        <v>167.6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339.5</v>
      </c>
      <c r="R153">
        <v>0</v>
      </c>
      <c r="S153">
        <v>58</v>
      </c>
      <c r="T153">
        <v>0</v>
      </c>
      <c r="U153">
        <v>0</v>
      </c>
      <c r="V153">
        <v>0</v>
      </c>
      <c r="W153">
        <v>860.6</v>
      </c>
      <c r="X153">
        <v>0</v>
      </c>
      <c r="Y153">
        <v>0</v>
      </c>
      <c r="Z153">
        <v>255.6</v>
      </c>
      <c r="AA153">
        <v>0</v>
      </c>
      <c r="AB153">
        <v>3</v>
      </c>
      <c r="AC153">
        <v>0</v>
      </c>
      <c r="AD153">
        <v>0</v>
      </c>
      <c r="AE153">
        <v>0</v>
      </c>
      <c r="AF153">
        <v>0</v>
      </c>
      <c r="AH153">
        <v>2466.5</v>
      </c>
    </row>
    <row r="154" spans="1:34" x14ac:dyDescent="0.25">
      <c r="A154" s="1">
        <v>151</v>
      </c>
      <c r="B154">
        <v>0</v>
      </c>
      <c r="C154">
        <v>0</v>
      </c>
      <c r="D154">
        <v>0</v>
      </c>
      <c r="E154">
        <v>92.499999999999901</v>
      </c>
      <c r="F154">
        <v>245.8</v>
      </c>
      <c r="G154">
        <v>0</v>
      </c>
      <c r="H154">
        <v>428.79999999999899</v>
      </c>
      <c r="I154">
        <v>0</v>
      </c>
      <c r="J154">
        <v>174.2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346.5</v>
      </c>
      <c r="R154">
        <v>0</v>
      </c>
      <c r="S154">
        <v>64</v>
      </c>
      <c r="T154">
        <v>0</v>
      </c>
      <c r="U154">
        <v>0</v>
      </c>
      <c r="V154">
        <v>0</v>
      </c>
      <c r="W154">
        <v>880.6</v>
      </c>
      <c r="X154">
        <v>0</v>
      </c>
      <c r="Y154">
        <v>0</v>
      </c>
      <c r="Z154">
        <v>218.5</v>
      </c>
      <c r="AA154">
        <v>0</v>
      </c>
      <c r="AB154">
        <v>3</v>
      </c>
      <c r="AC154">
        <v>0</v>
      </c>
      <c r="AD154">
        <v>0</v>
      </c>
      <c r="AE154">
        <v>0</v>
      </c>
      <c r="AF154">
        <v>0</v>
      </c>
      <c r="AH154">
        <v>2453.8999999999987</v>
      </c>
    </row>
    <row r="155" spans="1:34" x14ac:dyDescent="0.25">
      <c r="A155" s="1">
        <v>152</v>
      </c>
      <c r="B155">
        <v>0</v>
      </c>
      <c r="C155">
        <v>0</v>
      </c>
      <c r="D155">
        <v>0</v>
      </c>
      <c r="E155">
        <v>90.3</v>
      </c>
      <c r="F155">
        <v>254.6</v>
      </c>
      <c r="G155">
        <v>0</v>
      </c>
      <c r="H155">
        <v>402.8</v>
      </c>
      <c r="I155">
        <v>0</v>
      </c>
      <c r="J155">
        <v>144.6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354.5</v>
      </c>
      <c r="R155">
        <v>0</v>
      </c>
      <c r="S155">
        <v>69</v>
      </c>
      <c r="T155">
        <v>0</v>
      </c>
      <c r="U155">
        <v>0</v>
      </c>
      <c r="V155">
        <v>0</v>
      </c>
      <c r="W155">
        <v>881.6</v>
      </c>
      <c r="X155">
        <v>0</v>
      </c>
      <c r="Y155">
        <v>0</v>
      </c>
      <c r="Z155">
        <v>192.4</v>
      </c>
      <c r="AA155">
        <v>0</v>
      </c>
      <c r="AB155">
        <v>3</v>
      </c>
      <c r="AC155">
        <v>0</v>
      </c>
      <c r="AD155">
        <v>0</v>
      </c>
      <c r="AE155">
        <v>0</v>
      </c>
      <c r="AF155">
        <v>0</v>
      </c>
      <c r="AH155">
        <v>2392.8000000000002</v>
      </c>
    </row>
    <row r="156" spans="1:34" x14ac:dyDescent="0.25">
      <c r="A156" s="1">
        <v>153</v>
      </c>
      <c r="B156">
        <v>0</v>
      </c>
      <c r="C156">
        <v>0</v>
      </c>
      <c r="D156">
        <v>0</v>
      </c>
      <c r="E156">
        <v>91.3</v>
      </c>
      <c r="F156">
        <v>264.10000000000002</v>
      </c>
      <c r="G156">
        <v>0</v>
      </c>
      <c r="H156">
        <v>414.6</v>
      </c>
      <c r="I156">
        <v>0</v>
      </c>
      <c r="J156">
        <v>149.6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329.4</v>
      </c>
      <c r="R156">
        <v>0</v>
      </c>
      <c r="S156">
        <v>72</v>
      </c>
      <c r="T156">
        <v>0</v>
      </c>
      <c r="U156">
        <v>0</v>
      </c>
      <c r="V156">
        <v>0</v>
      </c>
      <c r="W156">
        <v>905.6</v>
      </c>
      <c r="X156">
        <v>0</v>
      </c>
      <c r="Y156">
        <v>0</v>
      </c>
      <c r="Z156">
        <v>178.1</v>
      </c>
      <c r="AA156">
        <v>0</v>
      </c>
      <c r="AB156">
        <v>3</v>
      </c>
      <c r="AC156">
        <v>0</v>
      </c>
      <c r="AD156">
        <v>0</v>
      </c>
      <c r="AE156">
        <v>0</v>
      </c>
      <c r="AF156">
        <v>0</v>
      </c>
      <c r="AH156">
        <v>2407.6999999999998</v>
      </c>
    </row>
    <row r="157" spans="1:34" x14ac:dyDescent="0.25">
      <c r="A157" s="1">
        <v>154</v>
      </c>
      <c r="B157">
        <v>0</v>
      </c>
      <c r="C157">
        <v>0</v>
      </c>
      <c r="D157">
        <v>0</v>
      </c>
      <c r="E157">
        <v>91.3</v>
      </c>
      <c r="F157">
        <v>275.2</v>
      </c>
      <c r="G157">
        <v>0</v>
      </c>
      <c r="H157">
        <v>386.6</v>
      </c>
      <c r="I157">
        <v>0</v>
      </c>
      <c r="J157">
        <v>151.69999999999999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332.4</v>
      </c>
      <c r="R157">
        <v>0</v>
      </c>
      <c r="S157">
        <v>78</v>
      </c>
      <c r="T157">
        <v>0</v>
      </c>
      <c r="U157">
        <v>0</v>
      </c>
      <c r="V157">
        <v>0</v>
      </c>
      <c r="W157">
        <v>907.6</v>
      </c>
      <c r="X157">
        <v>0</v>
      </c>
      <c r="Y157">
        <v>0</v>
      </c>
      <c r="Z157">
        <v>177.1</v>
      </c>
      <c r="AA157">
        <v>0</v>
      </c>
      <c r="AB157">
        <v>3</v>
      </c>
      <c r="AC157">
        <v>0</v>
      </c>
      <c r="AD157">
        <v>0</v>
      </c>
      <c r="AE157">
        <v>0</v>
      </c>
      <c r="AF157">
        <v>0</v>
      </c>
      <c r="AH157">
        <v>2402.8999999999996</v>
      </c>
    </row>
    <row r="158" spans="1:34" x14ac:dyDescent="0.25">
      <c r="A158" s="1">
        <v>155</v>
      </c>
      <c r="B158">
        <v>0</v>
      </c>
      <c r="C158">
        <v>0</v>
      </c>
      <c r="D158">
        <v>0</v>
      </c>
      <c r="E158">
        <v>95.6</v>
      </c>
      <c r="F158">
        <v>274.2</v>
      </c>
      <c r="G158">
        <v>0</v>
      </c>
      <c r="H158">
        <v>387.6</v>
      </c>
      <c r="I158">
        <v>0</v>
      </c>
      <c r="J158">
        <v>159.6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334.4</v>
      </c>
      <c r="R158">
        <v>0</v>
      </c>
      <c r="S158">
        <v>95</v>
      </c>
      <c r="T158">
        <v>0</v>
      </c>
      <c r="U158">
        <v>0</v>
      </c>
      <c r="V158">
        <v>0</v>
      </c>
      <c r="W158">
        <v>912.6</v>
      </c>
      <c r="X158">
        <v>0</v>
      </c>
      <c r="Y158">
        <v>0</v>
      </c>
      <c r="Z158">
        <v>155.5</v>
      </c>
      <c r="AA158">
        <v>0</v>
      </c>
      <c r="AB158">
        <v>3</v>
      </c>
      <c r="AC158">
        <v>0</v>
      </c>
      <c r="AD158">
        <v>0</v>
      </c>
      <c r="AE158">
        <v>0</v>
      </c>
      <c r="AF158">
        <v>0</v>
      </c>
      <c r="AH158">
        <v>2417.5</v>
      </c>
    </row>
    <row r="159" spans="1:34" x14ac:dyDescent="0.25">
      <c r="A159" s="1">
        <v>156</v>
      </c>
      <c r="B159">
        <v>0</v>
      </c>
      <c r="C159">
        <v>0</v>
      </c>
      <c r="D159">
        <v>0</v>
      </c>
      <c r="E159">
        <v>98.6</v>
      </c>
      <c r="F159">
        <v>279.7</v>
      </c>
      <c r="G159">
        <v>0</v>
      </c>
      <c r="H159">
        <v>388.6</v>
      </c>
      <c r="I159">
        <v>0</v>
      </c>
      <c r="J159">
        <v>165.8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331.7</v>
      </c>
      <c r="R159">
        <v>0</v>
      </c>
      <c r="S159">
        <v>105</v>
      </c>
      <c r="T159">
        <v>0</v>
      </c>
      <c r="U159">
        <v>0</v>
      </c>
      <c r="V159">
        <v>0</v>
      </c>
      <c r="W159">
        <v>914.6</v>
      </c>
      <c r="X159">
        <v>0</v>
      </c>
      <c r="Y159">
        <v>0</v>
      </c>
      <c r="Z159">
        <v>110.1</v>
      </c>
      <c r="AA159">
        <v>0</v>
      </c>
      <c r="AB159">
        <v>3</v>
      </c>
      <c r="AC159">
        <v>0</v>
      </c>
      <c r="AD159">
        <v>0</v>
      </c>
      <c r="AE159">
        <v>0</v>
      </c>
      <c r="AF159">
        <v>0</v>
      </c>
      <c r="AH159">
        <v>2397.1</v>
      </c>
    </row>
    <row r="160" spans="1:34" x14ac:dyDescent="0.25">
      <c r="A160" s="1">
        <v>157</v>
      </c>
      <c r="B160">
        <v>0</v>
      </c>
      <c r="C160">
        <v>0</v>
      </c>
      <c r="D160">
        <v>0</v>
      </c>
      <c r="E160">
        <v>98</v>
      </c>
      <c r="F160">
        <v>287.5</v>
      </c>
      <c r="G160">
        <v>0</v>
      </c>
      <c r="H160">
        <v>387.6</v>
      </c>
      <c r="I160">
        <v>0</v>
      </c>
      <c r="J160">
        <v>172.6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331.7</v>
      </c>
      <c r="R160">
        <v>0</v>
      </c>
      <c r="S160">
        <v>111</v>
      </c>
      <c r="T160">
        <v>0</v>
      </c>
      <c r="U160">
        <v>0</v>
      </c>
      <c r="V160">
        <v>0</v>
      </c>
      <c r="W160">
        <v>916.6</v>
      </c>
      <c r="X160">
        <v>0</v>
      </c>
      <c r="Y160">
        <v>0</v>
      </c>
      <c r="Z160">
        <v>79.8</v>
      </c>
      <c r="AA160">
        <v>0</v>
      </c>
      <c r="AB160">
        <v>3</v>
      </c>
      <c r="AC160">
        <v>0</v>
      </c>
      <c r="AD160">
        <v>0</v>
      </c>
      <c r="AE160">
        <v>0</v>
      </c>
      <c r="AF160">
        <v>0</v>
      </c>
      <c r="AH160">
        <v>2387.8000000000002</v>
      </c>
    </row>
    <row r="161" spans="1:34" x14ac:dyDescent="0.25">
      <c r="A161" s="1">
        <v>158</v>
      </c>
      <c r="B161">
        <v>0</v>
      </c>
      <c r="C161">
        <v>0</v>
      </c>
      <c r="D161">
        <v>0</v>
      </c>
      <c r="E161">
        <v>101</v>
      </c>
      <c r="F161">
        <v>293.79999999999899</v>
      </c>
      <c r="G161">
        <v>0</v>
      </c>
      <c r="H161">
        <v>389.6</v>
      </c>
      <c r="I161">
        <v>0</v>
      </c>
      <c r="J161">
        <v>180.1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336.9</v>
      </c>
      <c r="R161">
        <v>0</v>
      </c>
      <c r="S161">
        <v>114</v>
      </c>
      <c r="T161">
        <v>0</v>
      </c>
      <c r="U161">
        <v>0</v>
      </c>
      <c r="V161">
        <v>0</v>
      </c>
      <c r="W161">
        <v>919.6</v>
      </c>
      <c r="X161">
        <v>0</v>
      </c>
      <c r="Y161">
        <v>0</v>
      </c>
      <c r="Z161">
        <v>79.7</v>
      </c>
      <c r="AA161">
        <v>0</v>
      </c>
      <c r="AB161">
        <v>3</v>
      </c>
      <c r="AC161">
        <v>0</v>
      </c>
      <c r="AD161">
        <v>0</v>
      </c>
      <c r="AE161">
        <v>0</v>
      </c>
      <c r="AF161">
        <v>0</v>
      </c>
      <c r="AH161">
        <v>2417.6999999999989</v>
      </c>
    </row>
    <row r="162" spans="1:34" x14ac:dyDescent="0.25">
      <c r="A162" s="1">
        <v>159</v>
      </c>
      <c r="B162">
        <v>0</v>
      </c>
      <c r="C162">
        <v>0</v>
      </c>
      <c r="D162">
        <v>0</v>
      </c>
      <c r="E162">
        <v>108.3</v>
      </c>
      <c r="F162">
        <v>306.10000000000002</v>
      </c>
      <c r="G162">
        <v>0</v>
      </c>
      <c r="H162">
        <v>368.2</v>
      </c>
      <c r="I162">
        <v>0</v>
      </c>
      <c r="J162">
        <v>162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343.9</v>
      </c>
      <c r="R162">
        <v>0</v>
      </c>
      <c r="S162">
        <v>118</v>
      </c>
      <c r="T162">
        <v>0</v>
      </c>
      <c r="U162">
        <v>0</v>
      </c>
      <c r="V162">
        <v>0</v>
      </c>
      <c r="W162">
        <v>926.6</v>
      </c>
      <c r="X162">
        <v>0</v>
      </c>
      <c r="Y162">
        <v>0</v>
      </c>
      <c r="Z162">
        <v>88.7</v>
      </c>
      <c r="AA162">
        <v>0</v>
      </c>
      <c r="AB162">
        <v>3</v>
      </c>
      <c r="AC162">
        <v>0</v>
      </c>
      <c r="AD162">
        <v>0</v>
      </c>
      <c r="AE162">
        <v>0</v>
      </c>
      <c r="AF162">
        <v>0</v>
      </c>
      <c r="AH162">
        <v>2424.7999999999997</v>
      </c>
    </row>
    <row r="163" spans="1:34" x14ac:dyDescent="0.25">
      <c r="A163" s="1">
        <v>160</v>
      </c>
      <c r="B163">
        <v>0</v>
      </c>
      <c r="C163">
        <v>0</v>
      </c>
      <c r="D163">
        <v>0</v>
      </c>
      <c r="E163">
        <v>108.3</v>
      </c>
      <c r="F163">
        <v>310.39999999999998</v>
      </c>
      <c r="G163">
        <v>0</v>
      </c>
      <c r="H163">
        <v>360.2</v>
      </c>
      <c r="I163">
        <v>0</v>
      </c>
      <c r="J163">
        <v>160.89999999999901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344.9</v>
      </c>
      <c r="R163">
        <v>0</v>
      </c>
      <c r="S163">
        <v>129</v>
      </c>
      <c r="T163">
        <v>0</v>
      </c>
      <c r="U163">
        <v>0</v>
      </c>
      <c r="V163">
        <v>0</v>
      </c>
      <c r="W163">
        <v>928.6</v>
      </c>
      <c r="X163">
        <v>0</v>
      </c>
      <c r="Y163">
        <v>0</v>
      </c>
      <c r="Z163">
        <v>81.7</v>
      </c>
      <c r="AA163">
        <v>0</v>
      </c>
      <c r="AB163">
        <v>3</v>
      </c>
      <c r="AC163">
        <v>0</v>
      </c>
      <c r="AD163">
        <v>0</v>
      </c>
      <c r="AE163">
        <v>0</v>
      </c>
      <c r="AF163">
        <v>0</v>
      </c>
      <c r="AH163">
        <v>2426.9999999999986</v>
      </c>
    </row>
    <row r="164" spans="1:34" x14ac:dyDescent="0.25">
      <c r="A164" s="1">
        <v>161</v>
      </c>
      <c r="B164">
        <v>0</v>
      </c>
      <c r="C164">
        <v>0</v>
      </c>
      <c r="D164">
        <v>0</v>
      </c>
      <c r="E164">
        <v>116.6</v>
      </c>
      <c r="F164">
        <v>308.60000000000002</v>
      </c>
      <c r="G164">
        <v>0</v>
      </c>
      <c r="H164">
        <v>358.5</v>
      </c>
      <c r="I164">
        <v>0</v>
      </c>
      <c r="J164">
        <v>173.099999999999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354</v>
      </c>
      <c r="R164">
        <v>0</v>
      </c>
      <c r="S164">
        <v>140</v>
      </c>
      <c r="T164">
        <v>0</v>
      </c>
      <c r="U164">
        <v>0</v>
      </c>
      <c r="V164">
        <v>0</v>
      </c>
      <c r="W164">
        <v>928.6</v>
      </c>
      <c r="X164">
        <v>0</v>
      </c>
      <c r="Y164">
        <v>0</v>
      </c>
      <c r="Z164">
        <v>52.7</v>
      </c>
      <c r="AA164">
        <v>0</v>
      </c>
      <c r="AB164">
        <v>3</v>
      </c>
      <c r="AC164">
        <v>0</v>
      </c>
      <c r="AD164">
        <v>0</v>
      </c>
      <c r="AE164">
        <v>0</v>
      </c>
      <c r="AF164">
        <v>0</v>
      </c>
      <c r="AH164">
        <v>2435.099999999999</v>
      </c>
    </row>
    <row r="165" spans="1:34" x14ac:dyDescent="0.25">
      <c r="A165" s="1">
        <v>162</v>
      </c>
      <c r="B165">
        <v>0</v>
      </c>
      <c r="C165">
        <v>0</v>
      </c>
      <c r="D165">
        <v>0</v>
      </c>
      <c r="E165">
        <v>120.9</v>
      </c>
      <c r="F165">
        <v>316.60000000000002</v>
      </c>
      <c r="G165">
        <v>0</v>
      </c>
      <c r="H165">
        <v>370.6</v>
      </c>
      <c r="I165">
        <v>0</v>
      </c>
      <c r="J165">
        <v>105.8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356</v>
      </c>
      <c r="R165">
        <v>0</v>
      </c>
      <c r="S165">
        <v>150</v>
      </c>
      <c r="T165">
        <v>0</v>
      </c>
      <c r="U165">
        <v>0</v>
      </c>
      <c r="V165">
        <v>0</v>
      </c>
      <c r="W165">
        <v>928.2</v>
      </c>
      <c r="X165">
        <v>0</v>
      </c>
      <c r="Y165">
        <v>0</v>
      </c>
      <c r="Z165">
        <v>36</v>
      </c>
      <c r="AA165">
        <v>0</v>
      </c>
      <c r="AB165">
        <v>3</v>
      </c>
      <c r="AC165">
        <v>0</v>
      </c>
      <c r="AD165">
        <v>0</v>
      </c>
      <c r="AE165">
        <v>0</v>
      </c>
      <c r="AF165">
        <v>0</v>
      </c>
      <c r="AH165">
        <v>2387.1000000000004</v>
      </c>
    </row>
    <row r="166" spans="1:34" x14ac:dyDescent="0.25">
      <c r="A166" s="1">
        <v>163</v>
      </c>
      <c r="B166">
        <v>0</v>
      </c>
      <c r="C166">
        <v>0</v>
      </c>
      <c r="D166">
        <v>0</v>
      </c>
      <c r="E166">
        <v>131.5</v>
      </c>
      <c r="F166">
        <v>314.60000000000002</v>
      </c>
      <c r="G166">
        <v>0</v>
      </c>
      <c r="H166">
        <v>368.5</v>
      </c>
      <c r="I166">
        <v>0</v>
      </c>
      <c r="J166">
        <v>106.8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371</v>
      </c>
      <c r="R166">
        <v>0</v>
      </c>
      <c r="S166">
        <v>154</v>
      </c>
      <c r="T166">
        <v>0</v>
      </c>
      <c r="U166">
        <v>0</v>
      </c>
      <c r="V166">
        <v>0</v>
      </c>
      <c r="W166">
        <v>930.2</v>
      </c>
      <c r="X166">
        <v>0</v>
      </c>
      <c r="Y166">
        <v>0</v>
      </c>
      <c r="Z166">
        <v>36</v>
      </c>
      <c r="AA166">
        <v>0</v>
      </c>
      <c r="AB166">
        <v>3</v>
      </c>
      <c r="AC166">
        <v>0</v>
      </c>
      <c r="AD166">
        <v>0</v>
      </c>
      <c r="AE166">
        <v>0</v>
      </c>
      <c r="AF166">
        <v>0</v>
      </c>
      <c r="AH166">
        <v>2415.6000000000004</v>
      </c>
    </row>
    <row r="167" spans="1:34" x14ac:dyDescent="0.25">
      <c r="A167" s="1">
        <v>164</v>
      </c>
      <c r="B167">
        <v>0</v>
      </c>
      <c r="C167">
        <v>0</v>
      </c>
      <c r="D167">
        <v>0</v>
      </c>
      <c r="E167">
        <v>133.5</v>
      </c>
      <c r="F167">
        <v>313.60000000000002</v>
      </c>
      <c r="G167">
        <v>0</v>
      </c>
      <c r="H167">
        <v>355.7</v>
      </c>
      <c r="I167">
        <v>0</v>
      </c>
      <c r="J167">
        <v>107.8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379</v>
      </c>
      <c r="R167">
        <v>0</v>
      </c>
      <c r="S167">
        <v>152</v>
      </c>
      <c r="T167">
        <v>0</v>
      </c>
      <c r="U167">
        <v>0</v>
      </c>
      <c r="V167">
        <v>0</v>
      </c>
      <c r="W167">
        <v>943.2</v>
      </c>
      <c r="X167">
        <v>0</v>
      </c>
      <c r="Y167">
        <v>0</v>
      </c>
      <c r="Z167">
        <v>29</v>
      </c>
      <c r="AA167">
        <v>0</v>
      </c>
      <c r="AB167">
        <v>3</v>
      </c>
      <c r="AC167">
        <v>0</v>
      </c>
      <c r="AD167">
        <v>0</v>
      </c>
      <c r="AE167">
        <v>0</v>
      </c>
      <c r="AF167">
        <v>0</v>
      </c>
      <c r="AH167">
        <v>2416.8000000000002</v>
      </c>
    </row>
    <row r="168" spans="1:34" x14ac:dyDescent="0.25">
      <c r="A168" s="1">
        <v>165</v>
      </c>
      <c r="B168">
        <v>0</v>
      </c>
      <c r="C168">
        <v>0</v>
      </c>
      <c r="D168">
        <v>0</v>
      </c>
      <c r="E168">
        <v>133.5</v>
      </c>
      <c r="F168">
        <v>313.60000000000002</v>
      </c>
      <c r="G168">
        <v>0</v>
      </c>
      <c r="H168">
        <v>376.6</v>
      </c>
      <c r="I168">
        <v>0</v>
      </c>
      <c r="J168">
        <v>109.399999999999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368</v>
      </c>
      <c r="R168">
        <v>0</v>
      </c>
      <c r="S168">
        <v>152</v>
      </c>
      <c r="T168">
        <v>0</v>
      </c>
      <c r="U168">
        <v>0</v>
      </c>
      <c r="V168">
        <v>0</v>
      </c>
      <c r="W168">
        <v>944.2</v>
      </c>
      <c r="X168">
        <v>0</v>
      </c>
      <c r="Y168">
        <v>0</v>
      </c>
      <c r="Z168">
        <v>12</v>
      </c>
      <c r="AA168">
        <v>0</v>
      </c>
      <c r="AB168">
        <v>3</v>
      </c>
      <c r="AC168">
        <v>0</v>
      </c>
      <c r="AD168">
        <v>0</v>
      </c>
      <c r="AE168">
        <v>0</v>
      </c>
      <c r="AF168">
        <v>0</v>
      </c>
      <c r="AH168">
        <v>2412.2999999999993</v>
      </c>
    </row>
    <row r="169" spans="1:34" x14ac:dyDescent="0.25">
      <c r="A169" s="1">
        <v>166</v>
      </c>
      <c r="B169">
        <v>0</v>
      </c>
      <c r="C169">
        <v>0</v>
      </c>
      <c r="D169">
        <v>0</v>
      </c>
      <c r="E169">
        <v>133.5</v>
      </c>
      <c r="F169">
        <v>323.60000000000002</v>
      </c>
      <c r="G169">
        <v>0</v>
      </c>
      <c r="H169">
        <v>406</v>
      </c>
      <c r="I169">
        <v>0</v>
      </c>
      <c r="J169">
        <v>97.2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381</v>
      </c>
      <c r="R169">
        <v>0</v>
      </c>
      <c r="S169">
        <v>152</v>
      </c>
      <c r="T169">
        <v>0</v>
      </c>
      <c r="U169">
        <v>0</v>
      </c>
      <c r="V169">
        <v>0</v>
      </c>
      <c r="W169">
        <v>950.2</v>
      </c>
      <c r="X169">
        <v>0</v>
      </c>
      <c r="Y169">
        <v>0</v>
      </c>
      <c r="Z169">
        <v>0</v>
      </c>
      <c r="AA169">
        <v>0</v>
      </c>
      <c r="AB169">
        <v>3</v>
      </c>
      <c r="AC169">
        <v>0</v>
      </c>
      <c r="AD169">
        <v>0</v>
      </c>
      <c r="AE169">
        <v>0</v>
      </c>
      <c r="AF169">
        <v>0</v>
      </c>
      <c r="AH169">
        <v>2446.5</v>
      </c>
    </row>
    <row r="170" spans="1:34" x14ac:dyDescent="0.25">
      <c r="A170" s="1">
        <v>167</v>
      </c>
      <c r="B170">
        <v>0</v>
      </c>
      <c r="C170">
        <v>0</v>
      </c>
      <c r="D170">
        <v>0</v>
      </c>
      <c r="E170">
        <v>135.5</v>
      </c>
      <c r="F170">
        <v>324.60000000000002</v>
      </c>
      <c r="G170">
        <v>0</v>
      </c>
      <c r="H170">
        <v>420</v>
      </c>
      <c r="I170">
        <v>0</v>
      </c>
      <c r="J170">
        <v>53.1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381</v>
      </c>
      <c r="R170">
        <v>0</v>
      </c>
      <c r="S170">
        <v>157</v>
      </c>
      <c r="T170">
        <v>0</v>
      </c>
      <c r="U170">
        <v>0</v>
      </c>
      <c r="V170">
        <v>0</v>
      </c>
      <c r="W170">
        <v>962.1</v>
      </c>
      <c r="X170">
        <v>0</v>
      </c>
      <c r="Y170">
        <v>0</v>
      </c>
      <c r="Z170">
        <v>0</v>
      </c>
      <c r="AA170">
        <v>0</v>
      </c>
      <c r="AB170">
        <v>3</v>
      </c>
      <c r="AC170">
        <v>0</v>
      </c>
      <c r="AD170">
        <v>0</v>
      </c>
      <c r="AE170">
        <v>0</v>
      </c>
      <c r="AF170">
        <v>0</v>
      </c>
      <c r="AH170">
        <v>2436.3000000000002</v>
      </c>
    </row>
    <row r="171" spans="1:34" x14ac:dyDescent="0.25">
      <c r="A171" s="1">
        <v>168</v>
      </c>
      <c r="B171">
        <v>0</v>
      </c>
      <c r="C171">
        <v>0</v>
      </c>
      <c r="D171">
        <v>0</v>
      </c>
      <c r="E171">
        <v>135.5</v>
      </c>
      <c r="F171">
        <v>325.60000000000002</v>
      </c>
      <c r="G171">
        <v>0</v>
      </c>
      <c r="H171">
        <v>421.4</v>
      </c>
      <c r="I171">
        <v>0</v>
      </c>
      <c r="J171">
        <v>37.1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384.4</v>
      </c>
      <c r="R171">
        <v>0</v>
      </c>
      <c r="S171">
        <v>158</v>
      </c>
      <c r="T171">
        <v>0</v>
      </c>
      <c r="U171">
        <v>0</v>
      </c>
      <c r="V171">
        <v>0</v>
      </c>
      <c r="W171">
        <v>981.1</v>
      </c>
      <c r="X171">
        <v>0</v>
      </c>
      <c r="Y171">
        <v>0</v>
      </c>
      <c r="Z171">
        <v>0</v>
      </c>
      <c r="AA171">
        <v>0</v>
      </c>
      <c r="AB171">
        <v>3</v>
      </c>
      <c r="AC171">
        <v>0</v>
      </c>
      <c r="AD171">
        <v>0</v>
      </c>
      <c r="AE171">
        <v>0</v>
      </c>
      <c r="AF171">
        <v>0</v>
      </c>
      <c r="AH171">
        <v>2446.1</v>
      </c>
    </row>
    <row r="172" spans="1:34" x14ac:dyDescent="0.25">
      <c r="A172" s="1">
        <v>169</v>
      </c>
      <c r="B172">
        <v>0</v>
      </c>
      <c r="C172">
        <v>0</v>
      </c>
      <c r="D172">
        <v>0</v>
      </c>
      <c r="E172">
        <v>138.5</v>
      </c>
      <c r="F172">
        <v>330.6</v>
      </c>
      <c r="G172">
        <v>0</v>
      </c>
      <c r="H172">
        <v>437.2</v>
      </c>
      <c r="I172">
        <v>0</v>
      </c>
      <c r="J172">
        <v>1.1000000000000001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390.1</v>
      </c>
      <c r="R172">
        <v>0</v>
      </c>
      <c r="S172">
        <v>159</v>
      </c>
      <c r="T172">
        <v>0</v>
      </c>
      <c r="U172">
        <v>0</v>
      </c>
      <c r="V172">
        <v>0</v>
      </c>
      <c r="W172">
        <v>1003.1</v>
      </c>
      <c r="X172">
        <v>0</v>
      </c>
      <c r="Y172">
        <v>0</v>
      </c>
      <c r="Z172">
        <v>0</v>
      </c>
      <c r="AA172">
        <v>0</v>
      </c>
      <c r="AB172">
        <v>3</v>
      </c>
      <c r="AC172">
        <v>0</v>
      </c>
      <c r="AD172">
        <v>0</v>
      </c>
      <c r="AE172">
        <v>0</v>
      </c>
      <c r="AF172">
        <v>0</v>
      </c>
      <c r="AH172">
        <v>2462.6</v>
      </c>
    </row>
    <row r="173" spans="1:34" x14ac:dyDescent="0.25">
      <c r="A173" s="1">
        <v>170</v>
      </c>
      <c r="B173">
        <v>0</v>
      </c>
      <c r="C173">
        <v>0</v>
      </c>
      <c r="D173">
        <v>0</v>
      </c>
      <c r="E173">
        <v>145.1</v>
      </c>
      <c r="F173">
        <v>335.6</v>
      </c>
      <c r="G173">
        <v>0</v>
      </c>
      <c r="H173">
        <v>446</v>
      </c>
      <c r="I173">
        <v>0</v>
      </c>
      <c r="J173">
        <v>1.1000000000000001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392.2</v>
      </c>
      <c r="R173">
        <v>0</v>
      </c>
      <c r="S173">
        <v>163</v>
      </c>
      <c r="T173">
        <v>0</v>
      </c>
      <c r="U173">
        <v>0</v>
      </c>
      <c r="V173">
        <v>0</v>
      </c>
      <c r="W173">
        <v>1028.0999999999999</v>
      </c>
      <c r="X173">
        <v>0</v>
      </c>
      <c r="Y173">
        <v>0</v>
      </c>
      <c r="Z173">
        <v>0</v>
      </c>
      <c r="AA173">
        <v>0</v>
      </c>
      <c r="AB173">
        <v>3</v>
      </c>
      <c r="AC173">
        <v>0</v>
      </c>
      <c r="AD173">
        <v>0</v>
      </c>
      <c r="AE173">
        <v>0</v>
      </c>
      <c r="AF173">
        <v>0</v>
      </c>
      <c r="AH173">
        <v>2514.1</v>
      </c>
    </row>
    <row r="174" spans="1:34" x14ac:dyDescent="0.25">
      <c r="A174" s="1" t="s">
        <v>101</v>
      </c>
    </row>
    <row r="175" spans="1:34" x14ac:dyDescent="0.25">
      <c r="A175" s="1" t="s">
        <v>3</v>
      </c>
      <c r="B175">
        <v>0</v>
      </c>
      <c r="C175">
        <v>2579</v>
      </c>
      <c r="D175">
        <v>95</v>
      </c>
      <c r="E175">
        <v>9417.7999999999975</v>
      </c>
      <c r="F175">
        <v>28217.199999999964</v>
      </c>
      <c r="G175">
        <v>6110.4000000000106</v>
      </c>
      <c r="H175">
        <v>44280.299999999952</v>
      </c>
      <c r="I175">
        <v>1721</v>
      </c>
      <c r="J175">
        <v>27798.299999999959</v>
      </c>
      <c r="K175">
        <v>4087.7</v>
      </c>
      <c r="L175">
        <v>839</v>
      </c>
      <c r="M175">
        <v>37011.200000000019</v>
      </c>
      <c r="N175">
        <v>8939</v>
      </c>
      <c r="O175">
        <v>15938.000000000007</v>
      </c>
      <c r="P175">
        <v>70</v>
      </c>
      <c r="Q175">
        <v>30221.5</v>
      </c>
      <c r="R175">
        <v>780</v>
      </c>
      <c r="S175">
        <v>7699.5000000000055</v>
      </c>
      <c r="T175">
        <v>18004.500000000007</v>
      </c>
      <c r="U175">
        <v>971</v>
      </c>
      <c r="V175">
        <v>2966.9999999999995</v>
      </c>
      <c r="W175">
        <v>67128.599999999904</v>
      </c>
      <c r="X175">
        <v>7812.6000000000031</v>
      </c>
      <c r="Y175">
        <v>392</v>
      </c>
      <c r="Z175">
        <v>53428.699999999983</v>
      </c>
      <c r="AA175">
        <v>5032.3000000000011</v>
      </c>
      <c r="AB175">
        <v>507</v>
      </c>
      <c r="AC175">
        <v>640</v>
      </c>
      <c r="AD175">
        <v>0</v>
      </c>
      <c r="AE175">
        <v>899</v>
      </c>
      <c r="AF175">
        <v>599</v>
      </c>
      <c r="AH175">
        <v>384186.5999999998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80A22-7357-444A-9F22-9048A108CDCB}">
  <dimension ref="A2:AH176"/>
  <sheetViews>
    <sheetView zoomScaleNormal="100" workbookViewId="0">
      <selection activeCell="N12" sqref="N12"/>
    </sheetView>
  </sheetViews>
  <sheetFormatPr defaultRowHeight="15" x14ac:dyDescent="0.25"/>
  <cols>
    <col min="1" max="1" width="15.140625" bestFit="1" customWidth="1"/>
    <col min="2" max="2" width="16.85546875" bestFit="1" customWidth="1"/>
    <col min="3" max="3" width="11.5703125" bestFit="1" customWidth="1"/>
    <col min="4" max="4" width="8.85546875" bestFit="1" customWidth="1"/>
    <col min="5" max="5" width="26.5703125" bestFit="1" customWidth="1"/>
    <col min="6" max="6" width="17.42578125" bestFit="1" customWidth="1"/>
    <col min="7" max="7" width="5.140625" bestFit="1" customWidth="1"/>
    <col min="8" max="8" width="10.7109375" bestFit="1" customWidth="1"/>
    <col min="9" max="9" width="9.28515625" bestFit="1" customWidth="1"/>
    <col min="10" max="10" width="12.42578125" bestFit="1" customWidth="1"/>
    <col min="11" max="11" width="7" bestFit="1" customWidth="1"/>
    <col min="12" max="12" width="9.140625" bestFit="1" customWidth="1"/>
    <col min="13" max="13" width="8" bestFit="1" customWidth="1"/>
    <col min="14" max="14" width="7.7109375" bestFit="1" customWidth="1"/>
    <col min="15" max="15" width="10.140625" bestFit="1" customWidth="1"/>
    <col min="16" max="16" width="8.28515625" bestFit="1" customWidth="1"/>
    <col min="17" max="17" width="9.28515625" bestFit="1" customWidth="1"/>
    <col min="18" max="18" width="9.42578125" bestFit="1" customWidth="1"/>
    <col min="19" max="19" width="23.42578125" bestFit="1" customWidth="1"/>
    <col min="20" max="20" width="8.7109375" bestFit="1" customWidth="1"/>
    <col min="21" max="21" width="10.28515625" bestFit="1" customWidth="1"/>
    <col min="22" max="22" width="7" bestFit="1" customWidth="1"/>
    <col min="23" max="23" width="7.42578125" bestFit="1" customWidth="1"/>
    <col min="24" max="24" width="19.28515625" bestFit="1" customWidth="1"/>
    <col min="25" max="25" width="21.85546875" bestFit="1" customWidth="1"/>
    <col min="26" max="26" width="13.140625" bestFit="1" customWidth="1"/>
    <col min="27" max="27" width="6.7109375" bestFit="1" customWidth="1"/>
    <col min="28" max="28" width="15.7109375" bestFit="1" customWidth="1"/>
    <col min="29" max="29" width="19.42578125" bestFit="1" customWidth="1"/>
    <col min="30" max="30" width="17.42578125" bestFit="1" customWidth="1"/>
    <col min="31" max="31" width="15" bestFit="1" customWidth="1"/>
    <col min="32" max="32" width="16.42578125" bestFit="1" customWidth="1"/>
    <col min="33" max="33" width="5.28515625" bestFit="1" customWidth="1"/>
    <col min="34" max="34" width="11.28515625" bestFit="1" customWidth="1"/>
    <col min="35" max="35" width="19.42578125" bestFit="1" customWidth="1"/>
    <col min="36" max="36" width="17.42578125" bestFit="1" customWidth="1"/>
    <col min="37" max="37" width="17.7109375" bestFit="1" customWidth="1"/>
    <col min="38" max="38" width="15" bestFit="1" customWidth="1"/>
    <col min="39" max="39" width="20.7109375" bestFit="1" customWidth="1"/>
    <col min="40" max="40" width="16.42578125" bestFit="1" customWidth="1"/>
    <col min="41" max="42" width="11.28515625" bestFit="1" customWidth="1"/>
    <col min="43" max="43" width="15.140625" bestFit="1" customWidth="1"/>
    <col min="44" max="44" width="28.42578125" bestFit="1" customWidth="1"/>
    <col min="45" max="45" width="15.140625" bestFit="1" customWidth="1"/>
    <col min="46" max="46" width="15.85546875" bestFit="1" customWidth="1"/>
    <col min="47" max="47" width="15.140625" bestFit="1" customWidth="1"/>
    <col min="48" max="48" width="15.28515625" bestFit="1" customWidth="1"/>
    <col min="49" max="49" width="15.140625" bestFit="1" customWidth="1"/>
    <col min="50" max="50" width="28.7109375" bestFit="1" customWidth="1"/>
    <col min="51" max="51" width="15.140625" bestFit="1" customWidth="1"/>
    <col min="52" max="52" width="15.5703125" bestFit="1" customWidth="1"/>
    <col min="53" max="53" width="15.140625" bestFit="1" customWidth="1"/>
    <col min="54" max="54" width="19.42578125" bestFit="1" customWidth="1"/>
    <col min="55" max="55" width="15.140625" bestFit="1" customWidth="1"/>
    <col min="56" max="56" width="24.85546875" bestFit="1" customWidth="1"/>
    <col min="57" max="57" width="15.140625" bestFit="1" customWidth="1"/>
    <col min="58" max="58" width="20.28515625" bestFit="1" customWidth="1"/>
    <col min="59" max="59" width="20.140625" bestFit="1" customWidth="1"/>
  </cols>
  <sheetData>
    <row r="2" spans="1:34" x14ac:dyDescent="0.25">
      <c r="A2" s="2" t="s">
        <v>1</v>
      </c>
      <c r="B2" t="s">
        <v>102</v>
      </c>
    </row>
    <row r="4" spans="1:34" x14ac:dyDescent="0.25">
      <c r="A4" s="2" t="s">
        <v>58</v>
      </c>
      <c r="B4" s="2" t="s">
        <v>50</v>
      </c>
    </row>
    <row r="5" spans="1:34" x14ac:dyDescent="0.25">
      <c r="A5" s="2" t="s">
        <v>2</v>
      </c>
      <c r="B5" t="s">
        <v>103</v>
      </c>
      <c r="C5" t="s">
        <v>73</v>
      </c>
      <c r="D5" t="s">
        <v>70</v>
      </c>
      <c r="E5" t="s">
        <v>82</v>
      </c>
      <c r="F5" t="s">
        <v>76</v>
      </c>
      <c r="G5" t="s">
        <v>63</v>
      </c>
      <c r="H5" t="s">
        <v>72</v>
      </c>
      <c r="I5" t="s">
        <v>83</v>
      </c>
      <c r="J5" t="s">
        <v>79</v>
      </c>
      <c r="K5" t="s">
        <v>64</v>
      </c>
      <c r="L5" t="s">
        <v>71</v>
      </c>
      <c r="M5" t="s">
        <v>69</v>
      </c>
      <c r="N5" t="s">
        <v>62</v>
      </c>
      <c r="O5" t="s">
        <v>86</v>
      </c>
      <c r="P5" t="s">
        <v>68</v>
      </c>
      <c r="Q5" t="s">
        <v>78</v>
      </c>
      <c r="R5" t="s">
        <v>84</v>
      </c>
      <c r="S5" t="s">
        <v>87</v>
      </c>
      <c r="T5" t="s">
        <v>66</v>
      </c>
      <c r="U5" t="s">
        <v>67</v>
      </c>
      <c r="V5" t="s">
        <v>77</v>
      </c>
      <c r="W5" t="s">
        <v>61</v>
      </c>
      <c r="X5" t="s">
        <v>88</v>
      </c>
      <c r="Y5" t="s">
        <v>81</v>
      </c>
      <c r="Z5" t="s">
        <v>80</v>
      </c>
      <c r="AA5" t="s">
        <v>65</v>
      </c>
      <c r="AB5" t="s">
        <v>99</v>
      </c>
      <c r="AC5" t="s">
        <v>85</v>
      </c>
      <c r="AD5" t="s">
        <v>89</v>
      </c>
      <c r="AE5" t="s">
        <v>75</v>
      </c>
      <c r="AF5" t="s">
        <v>74</v>
      </c>
      <c r="AG5" t="s">
        <v>100</v>
      </c>
      <c r="AH5" t="s">
        <v>3</v>
      </c>
    </row>
    <row r="6" spans="1:34" x14ac:dyDescent="0.25">
      <c r="A6" s="1">
        <v>1</v>
      </c>
      <c r="B6">
        <v>0</v>
      </c>
      <c r="C6">
        <v>9</v>
      </c>
      <c r="D6">
        <v>4</v>
      </c>
      <c r="E6">
        <v>3</v>
      </c>
      <c r="F6">
        <v>5</v>
      </c>
      <c r="G6">
        <v>12</v>
      </c>
      <c r="H6">
        <v>6</v>
      </c>
      <c r="I6">
        <v>2</v>
      </c>
      <c r="J6">
        <v>4</v>
      </c>
      <c r="K6">
        <v>3</v>
      </c>
      <c r="L6">
        <v>4</v>
      </c>
      <c r="M6">
        <v>6</v>
      </c>
      <c r="N6">
        <v>19</v>
      </c>
      <c r="O6">
        <v>5</v>
      </c>
      <c r="P6">
        <v>4</v>
      </c>
      <c r="Q6">
        <v>6</v>
      </c>
      <c r="R6">
        <v>2</v>
      </c>
      <c r="S6">
        <v>2</v>
      </c>
      <c r="T6">
        <v>1</v>
      </c>
      <c r="U6">
        <v>3</v>
      </c>
      <c r="V6">
        <v>3</v>
      </c>
      <c r="W6">
        <v>11</v>
      </c>
      <c r="X6">
        <v>1</v>
      </c>
      <c r="Y6">
        <v>3</v>
      </c>
      <c r="Z6">
        <v>4</v>
      </c>
      <c r="AA6">
        <v>14</v>
      </c>
      <c r="AB6">
        <v>0</v>
      </c>
      <c r="AC6">
        <v>2</v>
      </c>
      <c r="AD6">
        <v>0</v>
      </c>
      <c r="AE6">
        <v>3</v>
      </c>
      <c r="AF6">
        <v>3</v>
      </c>
      <c r="AH6">
        <v>144</v>
      </c>
    </row>
    <row r="7" spans="1:34" x14ac:dyDescent="0.25">
      <c r="A7" s="1">
        <v>2</v>
      </c>
      <c r="B7">
        <v>0</v>
      </c>
      <c r="C7">
        <v>9</v>
      </c>
      <c r="D7">
        <v>4</v>
      </c>
      <c r="E7">
        <v>3</v>
      </c>
      <c r="F7">
        <v>5</v>
      </c>
      <c r="G7">
        <v>12</v>
      </c>
      <c r="H7">
        <v>6</v>
      </c>
      <c r="I7">
        <v>2</v>
      </c>
      <c r="J7">
        <v>4</v>
      </c>
      <c r="K7">
        <v>3</v>
      </c>
      <c r="L7">
        <v>4</v>
      </c>
      <c r="M7">
        <v>6</v>
      </c>
      <c r="N7">
        <v>19</v>
      </c>
      <c r="O7">
        <v>5</v>
      </c>
      <c r="P7">
        <v>4</v>
      </c>
      <c r="Q7">
        <v>6</v>
      </c>
      <c r="R7">
        <v>2</v>
      </c>
      <c r="S7">
        <v>2</v>
      </c>
      <c r="T7">
        <v>1</v>
      </c>
      <c r="U7">
        <v>3</v>
      </c>
      <c r="V7">
        <v>3</v>
      </c>
      <c r="W7">
        <v>11</v>
      </c>
      <c r="X7">
        <v>1</v>
      </c>
      <c r="Y7">
        <v>3</v>
      </c>
      <c r="Z7">
        <v>4</v>
      </c>
      <c r="AA7">
        <v>14</v>
      </c>
      <c r="AB7">
        <v>0</v>
      </c>
      <c r="AC7">
        <v>2</v>
      </c>
      <c r="AD7">
        <v>0</v>
      </c>
      <c r="AE7">
        <v>3</v>
      </c>
      <c r="AF7">
        <v>3</v>
      </c>
      <c r="AH7">
        <v>144</v>
      </c>
    </row>
    <row r="8" spans="1:34" x14ac:dyDescent="0.25">
      <c r="A8" s="1">
        <v>3</v>
      </c>
      <c r="B8">
        <v>0</v>
      </c>
      <c r="C8">
        <v>11</v>
      </c>
      <c r="D8">
        <v>4</v>
      </c>
      <c r="E8">
        <v>3</v>
      </c>
      <c r="F8">
        <v>5</v>
      </c>
      <c r="G8">
        <v>12</v>
      </c>
      <c r="H8">
        <v>6</v>
      </c>
      <c r="I8">
        <v>2</v>
      </c>
      <c r="J8">
        <v>4</v>
      </c>
      <c r="K8">
        <v>3</v>
      </c>
      <c r="L8">
        <v>4</v>
      </c>
      <c r="M8">
        <v>6</v>
      </c>
      <c r="N8">
        <v>19</v>
      </c>
      <c r="O8">
        <v>5</v>
      </c>
      <c r="P8">
        <v>0</v>
      </c>
      <c r="Q8">
        <v>6</v>
      </c>
      <c r="R8">
        <v>2</v>
      </c>
      <c r="S8">
        <v>2</v>
      </c>
      <c r="T8">
        <v>1</v>
      </c>
      <c r="U8">
        <v>3</v>
      </c>
      <c r="V8">
        <v>3</v>
      </c>
      <c r="W8">
        <v>11</v>
      </c>
      <c r="X8">
        <v>2</v>
      </c>
      <c r="Y8">
        <v>3</v>
      </c>
      <c r="Z8">
        <v>8</v>
      </c>
      <c r="AA8">
        <v>14</v>
      </c>
      <c r="AB8">
        <v>0</v>
      </c>
      <c r="AC8">
        <v>2</v>
      </c>
      <c r="AD8">
        <v>0</v>
      </c>
      <c r="AE8">
        <v>3</v>
      </c>
      <c r="AF8">
        <v>3</v>
      </c>
      <c r="AH8">
        <v>147</v>
      </c>
    </row>
    <row r="9" spans="1:34" x14ac:dyDescent="0.25">
      <c r="A9" s="1">
        <v>4</v>
      </c>
      <c r="B9">
        <v>0</v>
      </c>
      <c r="C9">
        <v>11</v>
      </c>
      <c r="D9">
        <v>0</v>
      </c>
      <c r="E9">
        <v>3</v>
      </c>
      <c r="F9">
        <v>5</v>
      </c>
      <c r="G9">
        <v>12</v>
      </c>
      <c r="H9">
        <v>6</v>
      </c>
      <c r="I9">
        <v>3</v>
      </c>
      <c r="J9">
        <v>4</v>
      </c>
      <c r="K9">
        <v>3</v>
      </c>
      <c r="L9">
        <v>4</v>
      </c>
      <c r="M9">
        <v>6</v>
      </c>
      <c r="N9">
        <v>19</v>
      </c>
      <c r="O9">
        <v>5</v>
      </c>
      <c r="P9">
        <v>0</v>
      </c>
      <c r="Q9">
        <v>6</v>
      </c>
      <c r="R9">
        <v>2</v>
      </c>
      <c r="S9">
        <v>2</v>
      </c>
      <c r="T9">
        <v>1</v>
      </c>
      <c r="U9">
        <v>3</v>
      </c>
      <c r="V9">
        <v>3</v>
      </c>
      <c r="W9">
        <v>11</v>
      </c>
      <c r="X9">
        <v>3</v>
      </c>
      <c r="Y9">
        <v>3</v>
      </c>
      <c r="Z9">
        <v>12</v>
      </c>
      <c r="AA9">
        <v>14</v>
      </c>
      <c r="AB9">
        <v>0</v>
      </c>
      <c r="AC9">
        <v>2</v>
      </c>
      <c r="AD9">
        <v>0</v>
      </c>
      <c r="AE9">
        <v>3</v>
      </c>
      <c r="AF9">
        <v>3</v>
      </c>
      <c r="AH9">
        <v>149</v>
      </c>
    </row>
    <row r="10" spans="1:34" x14ac:dyDescent="0.25">
      <c r="A10" s="1">
        <v>5</v>
      </c>
      <c r="B10">
        <v>0</v>
      </c>
      <c r="C10">
        <v>11</v>
      </c>
      <c r="D10">
        <v>0</v>
      </c>
      <c r="E10">
        <v>3</v>
      </c>
      <c r="F10">
        <v>5</v>
      </c>
      <c r="G10">
        <v>12</v>
      </c>
      <c r="H10">
        <v>6</v>
      </c>
      <c r="I10">
        <v>3</v>
      </c>
      <c r="J10">
        <v>4</v>
      </c>
      <c r="K10">
        <v>3</v>
      </c>
      <c r="L10">
        <v>4</v>
      </c>
      <c r="M10">
        <v>7</v>
      </c>
      <c r="N10">
        <v>19</v>
      </c>
      <c r="O10">
        <v>5</v>
      </c>
      <c r="P10">
        <v>0</v>
      </c>
      <c r="Q10">
        <v>6</v>
      </c>
      <c r="R10">
        <v>2</v>
      </c>
      <c r="S10">
        <v>2</v>
      </c>
      <c r="T10">
        <v>1</v>
      </c>
      <c r="U10">
        <v>3</v>
      </c>
      <c r="V10">
        <v>3</v>
      </c>
      <c r="W10">
        <v>11</v>
      </c>
      <c r="X10">
        <v>3</v>
      </c>
      <c r="Y10">
        <v>3</v>
      </c>
      <c r="Z10">
        <v>12</v>
      </c>
      <c r="AA10">
        <v>14</v>
      </c>
      <c r="AB10">
        <v>0</v>
      </c>
      <c r="AC10">
        <v>2</v>
      </c>
      <c r="AD10">
        <v>0</v>
      </c>
      <c r="AE10">
        <v>3</v>
      </c>
      <c r="AF10">
        <v>3</v>
      </c>
      <c r="AH10">
        <v>150</v>
      </c>
    </row>
    <row r="11" spans="1:34" x14ac:dyDescent="0.25">
      <c r="A11" s="1">
        <v>6</v>
      </c>
      <c r="B11">
        <v>0</v>
      </c>
      <c r="C11">
        <v>12</v>
      </c>
      <c r="D11">
        <v>0</v>
      </c>
      <c r="E11">
        <v>3</v>
      </c>
      <c r="F11">
        <v>5</v>
      </c>
      <c r="G11">
        <v>12</v>
      </c>
      <c r="H11">
        <v>6</v>
      </c>
      <c r="I11">
        <v>3</v>
      </c>
      <c r="J11">
        <v>4</v>
      </c>
      <c r="K11">
        <v>3</v>
      </c>
      <c r="L11">
        <v>5</v>
      </c>
      <c r="M11">
        <v>7</v>
      </c>
      <c r="N11">
        <v>19</v>
      </c>
      <c r="O11">
        <v>5</v>
      </c>
      <c r="P11">
        <v>0</v>
      </c>
      <c r="Q11">
        <v>6</v>
      </c>
      <c r="R11">
        <v>2</v>
      </c>
      <c r="S11">
        <v>2</v>
      </c>
      <c r="T11">
        <v>1</v>
      </c>
      <c r="U11">
        <v>3</v>
      </c>
      <c r="V11">
        <v>3</v>
      </c>
      <c r="W11">
        <v>11</v>
      </c>
      <c r="X11">
        <v>3</v>
      </c>
      <c r="Y11">
        <v>3</v>
      </c>
      <c r="Z11">
        <v>12</v>
      </c>
      <c r="AA11">
        <v>14</v>
      </c>
      <c r="AB11">
        <v>0</v>
      </c>
      <c r="AC11">
        <v>2</v>
      </c>
      <c r="AD11">
        <v>0</v>
      </c>
      <c r="AE11">
        <v>3</v>
      </c>
      <c r="AF11">
        <v>3</v>
      </c>
      <c r="AH11">
        <v>152</v>
      </c>
    </row>
    <row r="12" spans="1:34" x14ac:dyDescent="0.25">
      <c r="A12" s="1">
        <v>7</v>
      </c>
      <c r="B12">
        <v>0</v>
      </c>
      <c r="C12">
        <v>12</v>
      </c>
      <c r="D12">
        <v>0</v>
      </c>
      <c r="E12">
        <v>3</v>
      </c>
      <c r="F12">
        <v>5</v>
      </c>
      <c r="G12">
        <v>12</v>
      </c>
      <c r="H12">
        <v>6</v>
      </c>
      <c r="I12">
        <v>3</v>
      </c>
      <c r="J12">
        <v>4</v>
      </c>
      <c r="K12">
        <v>3</v>
      </c>
      <c r="L12">
        <v>5</v>
      </c>
      <c r="M12">
        <v>7</v>
      </c>
      <c r="N12">
        <v>16</v>
      </c>
      <c r="O12">
        <v>5</v>
      </c>
      <c r="P12">
        <v>0</v>
      </c>
      <c r="Q12">
        <v>6</v>
      </c>
      <c r="R12">
        <v>2</v>
      </c>
      <c r="S12">
        <v>2</v>
      </c>
      <c r="T12">
        <v>1</v>
      </c>
      <c r="U12">
        <v>3</v>
      </c>
      <c r="V12">
        <v>3</v>
      </c>
      <c r="W12">
        <v>14</v>
      </c>
      <c r="X12">
        <v>3</v>
      </c>
      <c r="Y12">
        <v>3</v>
      </c>
      <c r="Z12">
        <v>12</v>
      </c>
      <c r="AA12">
        <v>14</v>
      </c>
      <c r="AB12">
        <v>0</v>
      </c>
      <c r="AC12">
        <v>2</v>
      </c>
      <c r="AD12">
        <v>0</v>
      </c>
      <c r="AE12">
        <v>3</v>
      </c>
      <c r="AF12">
        <v>3</v>
      </c>
      <c r="AH12">
        <v>152</v>
      </c>
    </row>
    <row r="13" spans="1:34" x14ac:dyDescent="0.25">
      <c r="A13" s="1">
        <v>8</v>
      </c>
      <c r="B13">
        <v>0</v>
      </c>
      <c r="C13">
        <v>12</v>
      </c>
      <c r="D13">
        <v>0</v>
      </c>
      <c r="E13">
        <v>3</v>
      </c>
      <c r="F13">
        <v>5</v>
      </c>
      <c r="G13">
        <v>12</v>
      </c>
      <c r="H13">
        <v>6</v>
      </c>
      <c r="I13">
        <v>3</v>
      </c>
      <c r="J13">
        <v>4</v>
      </c>
      <c r="K13">
        <v>3</v>
      </c>
      <c r="L13">
        <v>6</v>
      </c>
      <c r="M13">
        <v>7</v>
      </c>
      <c r="N13">
        <v>16</v>
      </c>
      <c r="O13">
        <v>5</v>
      </c>
      <c r="P13">
        <v>0</v>
      </c>
      <c r="Q13">
        <v>6</v>
      </c>
      <c r="R13">
        <v>2</v>
      </c>
      <c r="S13">
        <v>2</v>
      </c>
      <c r="T13">
        <v>1</v>
      </c>
      <c r="U13">
        <v>3</v>
      </c>
      <c r="V13">
        <v>3</v>
      </c>
      <c r="W13">
        <v>14</v>
      </c>
      <c r="X13">
        <v>3</v>
      </c>
      <c r="Y13">
        <v>3</v>
      </c>
      <c r="Z13">
        <v>12</v>
      </c>
      <c r="AA13">
        <v>14</v>
      </c>
      <c r="AB13">
        <v>0</v>
      </c>
      <c r="AC13">
        <v>2</v>
      </c>
      <c r="AD13">
        <v>0</v>
      </c>
      <c r="AE13">
        <v>3</v>
      </c>
      <c r="AF13">
        <v>3</v>
      </c>
      <c r="AH13">
        <v>153</v>
      </c>
    </row>
    <row r="14" spans="1:34" x14ac:dyDescent="0.25">
      <c r="A14" s="1">
        <v>9</v>
      </c>
      <c r="B14">
        <v>0</v>
      </c>
      <c r="C14">
        <v>12</v>
      </c>
      <c r="D14">
        <v>0</v>
      </c>
      <c r="E14">
        <v>3</v>
      </c>
      <c r="F14">
        <v>5</v>
      </c>
      <c r="G14">
        <v>11</v>
      </c>
      <c r="H14">
        <v>7</v>
      </c>
      <c r="I14">
        <v>3</v>
      </c>
      <c r="J14">
        <v>4</v>
      </c>
      <c r="K14">
        <v>3</v>
      </c>
      <c r="L14">
        <v>6</v>
      </c>
      <c r="M14">
        <v>7</v>
      </c>
      <c r="N14">
        <v>15</v>
      </c>
      <c r="O14">
        <v>5</v>
      </c>
      <c r="P14">
        <v>0</v>
      </c>
      <c r="Q14">
        <v>6</v>
      </c>
      <c r="R14">
        <v>2</v>
      </c>
      <c r="S14">
        <v>2</v>
      </c>
      <c r="T14">
        <v>1</v>
      </c>
      <c r="U14">
        <v>3</v>
      </c>
      <c r="V14">
        <v>3</v>
      </c>
      <c r="W14">
        <v>15</v>
      </c>
      <c r="X14">
        <v>3</v>
      </c>
      <c r="Y14">
        <v>4</v>
      </c>
      <c r="Z14">
        <v>12</v>
      </c>
      <c r="AA14">
        <v>14</v>
      </c>
      <c r="AB14">
        <v>0</v>
      </c>
      <c r="AC14">
        <v>2</v>
      </c>
      <c r="AD14">
        <v>0</v>
      </c>
      <c r="AE14">
        <v>3</v>
      </c>
      <c r="AF14">
        <v>2</v>
      </c>
      <c r="AH14">
        <v>153</v>
      </c>
    </row>
    <row r="15" spans="1:34" x14ac:dyDescent="0.25">
      <c r="A15" s="1">
        <v>10</v>
      </c>
      <c r="B15">
        <v>0</v>
      </c>
      <c r="C15">
        <v>11</v>
      </c>
      <c r="D15">
        <v>0</v>
      </c>
      <c r="E15">
        <v>3</v>
      </c>
      <c r="F15">
        <v>5</v>
      </c>
      <c r="G15">
        <v>11</v>
      </c>
      <c r="H15">
        <v>7</v>
      </c>
      <c r="I15">
        <v>3</v>
      </c>
      <c r="J15">
        <v>4</v>
      </c>
      <c r="K15">
        <v>3</v>
      </c>
      <c r="L15">
        <v>6</v>
      </c>
      <c r="M15">
        <v>7</v>
      </c>
      <c r="N15">
        <v>15</v>
      </c>
      <c r="O15">
        <v>6</v>
      </c>
      <c r="P15">
        <v>0</v>
      </c>
      <c r="Q15">
        <v>6</v>
      </c>
      <c r="R15">
        <v>2</v>
      </c>
      <c r="S15">
        <v>2</v>
      </c>
      <c r="T15">
        <v>1</v>
      </c>
      <c r="U15">
        <v>3</v>
      </c>
      <c r="V15">
        <v>3</v>
      </c>
      <c r="W15">
        <v>15</v>
      </c>
      <c r="X15">
        <v>3</v>
      </c>
      <c r="Y15">
        <v>4</v>
      </c>
      <c r="Z15">
        <v>12</v>
      </c>
      <c r="AA15">
        <v>14</v>
      </c>
      <c r="AB15">
        <v>0</v>
      </c>
      <c r="AC15">
        <v>2</v>
      </c>
      <c r="AD15">
        <v>0</v>
      </c>
      <c r="AE15">
        <v>3</v>
      </c>
      <c r="AF15">
        <v>2</v>
      </c>
      <c r="AH15">
        <v>153</v>
      </c>
    </row>
    <row r="16" spans="1:34" x14ac:dyDescent="0.25">
      <c r="A16" s="1">
        <v>11</v>
      </c>
      <c r="B16">
        <v>0</v>
      </c>
      <c r="C16">
        <v>11</v>
      </c>
      <c r="D16">
        <v>0</v>
      </c>
      <c r="E16">
        <v>3</v>
      </c>
      <c r="F16">
        <v>5</v>
      </c>
      <c r="G16">
        <v>11</v>
      </c>
      <c r="H16">
        <v>7</v>
      </c>
      <c r="I16">
        <v>3</v>
      </c>
      <c r="J16">
        <v>5</v>
      </c>
      <c r="K16">
        <v>3</v>
      </c>
      <c r="L16">
        <v>6</v>
      </c>
      <c r="M16">
        <v>7</v>
      </c>
      <c r="N16">
        <v>15</v>
      </c>
      <c r="O16">
        <v>6</v>
      </c>
      <c r="P16">
        <v>0</v>
      </c>
      <c r="Q16">
        <v>6</v>
      </c>
      <c r="R16">
        <v>2</v>
      </c>
      <c r="S16">
        <v>2</v>
      </c>
      <c r="T16">
        <v>1</v>
      </c>
      <c r="U16">
        <v>3</v>
      </c>
      <c r="V16">
        <v>3</v>
      </c>
      <c r="W16">
        <v>15</v>
      </c>
      <c r="X16">
        <v>3</v>
      </c>
      <c r="Y16">
        <v>4</v>
      </c>
      <c r="Z16">
        <v>12</v>
      </c>
      <c r="AA16">
        <v>13</v>
      </c>
      <c r="AB16">
        <v>0</v>
      </c>
      <c r="AC16">
        <v>2</v>
      </c>
      <c r="AD16">
        <v>0</v>
      </c>
      <c r="AE16">
        <v>3</v>
      </c>
      <c r="AF16">
        <v>2</v>
      </c>
      <c r="AH16">
        <v>153</v>
      </c>
    </row>
    <row r="17" spans="1:34" x14ac:dyDescent="0.25">
      <c r="A17" s="1">
        <v>12</v>
      </c>
      <c r="B17">
        <v>0</v>
      </c>
      <c r="C17">
        <v>10</v>
      </c>
      <c r="D17">
        <v>0</v>
      </c>
      <c r="E17">
        <v>3</v>
      </c>
      <c r="F17">
        <v>5</v>
      </c>
      <c r="G17">
        <v>10</v>
      </c>
      <c r="H17">
        <v>7</v>
      </c>
      <c r="I17">
        <v>3</v>
      </c>
      <c r="J17">
        <v>5</v>
      </c>
      <c r="K17">
        <v>3</v>
      </c>
      <c r="L17">
        <v>6</v>
      </c>
      <c r="M17">
        <v>8</v>
      </c>
      <c r="N17">
        <v>15</v>
      </c>
      <c r="O17">
        <v>6</v>
      </c>
      <c r="P17">
        <v>0</v>
      </c>
      <c r="Q17">
        <v>6</v>
      </c>
      <c r="R17">
        <v>2</v>
      </c>
      <c r="S17">
        <v>2</v>
      </c>
      <c r="T17">
        <v>1</v>
      </c>
      <c r="U17">
        <v>3</v>
      </c>
      <c r="V17">
        <v>3</v>
      </c>
      <c r="W17">
        <v>15</v>
      </c>
      <c r="X17">
        <v>3</v>
      </c>
      <c r="Y17">
        <v>5</v>
      </c>
      <c r="Z17">
        <v>12</v>
      </c>
      <c r="AA17">
        <v>13</v>
      </c>
      <c r="AB17">
        <v>0</v>
      </c>
      <c r="AC17">
        <v>2</v>
      </c>
      <c r="AD17">
        <v>0</v>
      </c>
      <c r="AE17">
        <v>3</v>
      </c>
      <c r="AF17">
        <v>2</v>
      </c>
      <c r="AH17">
        <v>153</v>
      </c>
    </row>
    <row r="18" spans="1:34" x14ac:dyDescent="0.25">
      <c r="A18" s="1">
        <v>13</v>
      </c>
      <c r="B18">
        <v>0</v>
      </c>
      <c r="C18">
        <v>10</v>
      </c>
      <c r="D18">
        <v>0</v>
      </c>
      <c r="E18">
        <v>3</v>
      </c>
      <c r="F18">
        <v>5</v>
      </c>
      <c r="G18">
        <v>9</v>
      </c>
      <c r="H18">
        <v>7</v>
      </c>
      <c r="I18">
        <v>3</v>
      </c>
      <c r="J18">
        <v>5</v>
      </c>
      <c r="K18">
        <v>3</v>
      </c>
      <c r="L18">
        <v>6</v>
      </c>
      <c r="M18">
        <v>9</v>
      </c>
      <c r="N18">
        <v>15</v>
      </c>
      <c r="O18">
        <v>6</v>
      </c>
      <c r="P18">
        <v>0</v>
      </c>
      <c r="Q18">
        <v>5</v>
      </c>
      <c r="R18">
        <v>2</v>
      </c>
      <c r="S18">
        <v>2</v>
      </c>
      <c r="T18">
        <v>1</v>
      </c>
      <c r="U18">
        <v>2</v>
      </c>
      <c r="V18">
        <v>3</v>
      </c>
      <c r="W18">
        <v>15</v>
      </c>
      <c r="X18">
        <v>3</v>
      </c>
      <c r="Y18">
        <v>5</v>
      </c>
      <c r="Z18">
        <v>13</v>
      </c>
      <c r="AA18">
        <v>13</v>
      </c>
      <c r="AB18">
        <v>0</v>
      </c>
      <c r="AC18">
        <v>2</v>
      </c>
      <c r="AD18">
        <v>0</v>
      </c>
      <c r="AE18">
        <v>4</v>
      </c>
      <c r="AF18">
        <v>2</v>
      </c>
      <c r="AH18">
        <v>153</v>
      </c>
    </row>
    <row r="19" spans="1:34" x14ac:dyDescent="0.25">
      <c r="A19" s="1">
        <v>14</v>
      </c>
      <c r="B19">
        <v>0</v>
      </c>
      <c r="C19">
        <v>10</v>
      </c>
      <c r="D19">
        <v>0</v>
      </c>
      <c r="E19">
        <v>3</v>
      </c>
      <c r="F19">
        <v>5</v>
      </c>
      <c r="G19">
        <v>9</v>
      </c>
      <c r="H19">
        <v>7</v>
      </c>
      <c r="I19">
        <v>3</v>
      </c>
      <c r="J19">
        <v>5</v>
      </c>
      <c r="K19">
        <v>4</v>
      </c>
      <c r="L19">
        <v>6</v>
      </c>
      <c r="M19">
        <v>10</v>
      </c>
      <c r="N19">
        <v>15</v>
      </c>
      <c r="O19">
        <v>5</v>
      </c>
      <c r="P19">
        <v>0</v>
      </c>
      <c r="Q19">
        <v>5</v>
      </c>
      <c r="R19">
        <v>2</v>
      </c>
      <c r="S19">
        <v>2</v>
      </c>
      <c r="T19">
        <v>1</v>
      </c>
      <c r="U19">
        <v>1</v>
      </c>
      <c r="V19">
        <v>3</v>
      </c>
      <c r="W19">
        <v>15</v>
      </c>
      <c r="X19">
        <v>3</v>
      </c>
      <c r="Y19">
        <v>0</v>
      </c>
      <c r="Z19">
        <v>18</v>
      </c>
      <c r="AA19">
        <v>13</v>
      </c>
      <c r="AB19">
        <v>0</v>
      </c>
      <c r="AC19">
        <v>2</v>
      </c>
      <c r="AD19">
        <v>0</v>
      </c>
      <c r="AE19">
        <v>4</v>
      </c>
      <c r="AF19">
        <v>2</v>
      </c>
      <c r="AH19">
        <v>153</v>
      </c>
    </row>
    <row r="20" spans="1:34" x14ac:dyDescent="0.25">
      <c r="A20" s="1">
        <v>15</v>
      </c>
      <c r="B20">
        <v>0</v>
      </c>
      <c r="C20">
        <v>9</v>
      </c>
      <c r="D20">
        <v>0</v>
      </c>
      <c r="E20">
        <v>3</v>
      </c>
      <c r="F20">
        <v>5</v>
      </c>
      <c r="G20">
        <v>8</v>
      </c>
      <c r="H20">
        <v>7</v>
      </c>
      <c r="I20">
        <v>3</v>
      </c>
      <c r="J20">
        <v>5</v>
      </c>
      <c r="K20">
        <v>4</v>
      </c>
      <c r="L20">
        <v>6</v>
      </c>
      <c r="M20">
        <v>10</v>
      </c>
      <c r="N20">
        <v>15</v>
      </c>
      <c r="O20">
        <v>6</v>
      </c>
      <c r="P20">
        <v>0</v>
      </c>
      <c r="Q20">
        <v>5</v>
      </c>
      <c r="R20">
        <v>2</v>
      </c>
      <c r="S20">
        <v>2</v>
      </c>
      <c r="T20">
        <v>1</v>
      </c>
      <c r="U20">
        <v>1</v>
      </c>
      <c r="V20">
        <v>3</v>
      </c>
      <c r="W20">
        <v>15</v>
      </c>
      <c r="X20">
        <v>3</v>
      </c>
      <c r="Y20">
        <v>0</v>
      </c>
      <c r="Z20">
        <v>19</v>
      </c>
      <c r="AA20">
        <v>13</v>
      </c>
      <c r="AB20">
        <v>0</v>
      </c>
      <c r="AC20">
        <v>2</v>
      </c>
      <c r="AD20">
        <v>0</v>
      </c>
      <c r="AE20">
        <v>4</v>
      </c>
      <c r="AF20">
        <v>2</v>
      </c>
      <c r="AH20">
        <v>153</v>
      </c>
    </row>
    <row r="21" spans="1:34" x14ac:dyDescent="0.25">
      <c r="A21" s="1">
        <v>16</v>
      </c>
      <c r="B21">
        <v>0</v>
      </c>
      <c r="C21">
        <v>9</v>
      </c>
      <c r="D21">
        <v>0</v>
      </c>
      <c r="E21">
        <v>3</v>
      </c>
      <c r="F21">
        <v>5</v>
      </c>
      <c r="G21">
        <v>9</v>
      </c>
      <c r="H21">
        <v>7</v>
      </c>
      <c r="I21">
        <v>3</v>
      </c>
      <c r="J21">
        <v>5</v>
      </c>
      <c r="K21">
        <v>4</v>
      </c>
      <c r="L21">
        <v>6</v>
      </c>
      <c r="M21">
        <v>10</v>
      </c>
      <c r="N21">
        <v>15</v>
      </c>
      <c r="O21">
        <v>6</v>
      </c>
      <c r="P21">
        <v>0</v>
      </c>
      <c r="Q21">
        <v>5</v>
      </c>
      <c r="R21">
        <v>2</v>
      </c>
      <c r="S21">
        <v>2</v>
      </c>
      <c r="T21">
        <v>1</v>
      </c>
      <c r="U21">
        <v>1</v>
      </c>
      <c r="V21">
        <v>3</v>
      </c>
      <c r="W21">
        <v>15</v>
      </c>
      <c r="X21">
        <v>3</v>
      </c>
      <c r="Y21">
        <v>0</v>
      </c>
      <c r="Z21">
        <v>18</v>
      </c>
      <c r="AA21">
        <v>13</v>
      </c>
      <c r="AB21">
        <v>0</v>
      </c>
      <c r="AC21">
        <v>2</v>
      </c>
      <c r="AD21">
        <v>0</v>
      </c>
      <c r="AE21">
        <v>4</v>
      </c>
      <c r="AF21">
        <v>2</v>
      </c>
      <c r="AH21">
        <v>153</v>
      </c>
    </row>
    <row r="22" spans="1:34" x14ac:dyDescent="0.25">
      <c r="A22" s="1">
        <v>17</v>
      </c>
      <c r="B22">
        <v>0</v>
      </c>
      <c r="C22">
        <v>9</v>
      </c>
      <c r="D22">
        <v>0</v>
      </c>
      <c r="E22">
        <v>3</v>
      </c>
      <c r="F22">
        <v>5</v>
      </c>
      <c r="G22">
        <v>9</v>
      </c>
      <c r="H22">
        <v>7</v>
      </c>
      <c r="I22">
        <v>3</v>
      </c>
      <c r="J22">
        <v>4</v>
      </c>
      <c r="K22">
        <v>4</v>
      </c>
      <c r="L22">
        <v>6</v>
      </c>
      <c r="M22">
        <v>9</v>
      </c>
      <c r="N22">
        <v>15</v>
      </c>
      <c r="O22">
        <v>6</v>
      </c>
      <c r="P22">
        <v>0</v>
      </c>
      <c r="Q22">
        <v>5</v>
      </c>
      <c r="R22">
        <v>2</v>
      </c>
      <c r="S22">
        <v>2</v>
      </c>
      <c r="T22">
        <v>2</v>
      </c>
      <c r="U22">
        <v>2</v>
      </c>
      <c r="V22">
        <v>3</v>
      </c>
      <c r="W22">
        <v>15</v>
      </c>
      <c r="X22">
        <v>3</v>
      </c>
      <c r="Y22">
        <v>0</v>
      </c>
      <c r="Z22">
        <v>18</v>
      </c>
      <c r="AA22">
        <v>13</v>
      </c>
      <c r="AB22">
        <v>0</v>
      </c>
      <c r="AC22">
        <v>2</v>
      </c>
      <c r="AD22">
        <v>0</v>
      </c>
      <c r="AE22">
        <v>4</v>
      </c>
      <c r="AF22">
        <v>2</v>
      </c>
      <c r="AH22">
        <v>153</v>
      </c>
    </row>
    <row r="23" spans="1:34" x14ac:dyDescent="0.25">
      <c r="A23" s="1">
        <v>18</v>
      </c>
      <c r="B23">
        <v>0</v>
      </c>
      <c r="C23">
        <v>8</v>
      </c>
      <c r="D23">
        <v>0</v>
      </c>
      <c r="E23">
        <v>3</v>
      </c>
      <c r="F23">
        <v>5</v>
      </c>
      <c r="G23">
        <v>9</v>
      </c>
      <c r="H23">
        <v>7</v>
      </c>
      <c r="I23">
        <v>3</v>
      </c>
      <c r="J23">
        <v>4</v>
      </c>
      <c r="K23">
        <v>4</v>
      </c>
      <c r="L23">
        <v>6</v>
      </c>
      <c r="M23">
        <v>8</v>
      </c>
      <c r="N23">
        <v>15</v>
      </c>
      <c r="O23">
        <v>7</v>
      </c>
      <c r="P23">
        <v>0</v>
      </c>
      <c r="Q23">
        <v>5</v>
      </c>
      <c r="R23">
        <v>2</v>
      </c>
      <c r="S23">
        <v>2</v>
      </c>
      <c r="T23">
        <v>3</v>
      </c>
      <c r="U23">
        <v>3</v>
      </c>
      <c r="V23">
        <v>3</v>
      </c>
      <c r="W23">
        <v>15</v>
      </c>
      <c r="X23">
        <v>3</v>
      </c>
      <c r="Y23">
        <v>0</v>
      </c>
      <c r="Z23">
        <v>18</v>
      </c>
      <c r="AA23">
        <v>12</v>
      </c>
      <c r="AB23">
        <v>0</v>
      </c>
      <c r="AC23">
        <v>2</v>
      </c>
      <c r="AD23">
        <v>0</v>
      </c>
      <c r="AE23">
        <v>4</v>
      </c>
      <c r="AF23">
        <v>2</v>
      </c>
      <c r="AH23">
        <v>153</v>
      </c>
    </row>
    <row r="24" spans="1:34" x14ac:dyDescent="0.25">
      <c r="A24" s="1">
        <v>19</v>
      </c>
      <c r="B24">
        <v>0</v>
      </c>
      <c r="C24">
        <v>8</v>
      </c>
      <c r="D24">
        <v>0</v>
      </c>
      <c r="E24">
        <v>3</v>
      </c>
      <c r="F24">
        <v>6</v>
      </c>
      <c r="G24">
        <v>9</v>
      </c>
      <c r="H24">
        <v>9</v>
      </c>
      <c r="I24">
        <v>3</v>
      </c>
      <c r="J24">
        <v>4</v>
      </c>
      <c r="K24">
        <v>4</v>
      </c>
      <c r="L24">
        <v>0</v>
      </c>
      <c r="M24">
        <v>8</v>
      </c>
      <c r="N24">
        <v>15</v>
      </c>
      <c r="O24">
        <v>7</v>
      </c>
      <c r="P24">
        <v>0</v>
      </c>
      <c r="Q24">
        <v>5</v>
      </c>
      <c r="R24">
        <v>1</v>
      </c>
      <c r="S24">
        <v>2</v>
      </c>
      <c r="T24">
        <v>3</v>
      </c>
      <c r="U24">
        <v>3</v>
      </c>
      <c r="V24">
        <v>3</v>
      </c>
      <c r="W24">
        <v>15</v>
      </c>
      <c r="X24">
        <v>3</v>
      </c>
      <c r="Y24">
        <v>0</v>
      </c>
      <c r="Z24">
        <v>24</v>
      </c>
      <c r="AA24">
        <v>12</v>
      </c>
      <c r="AB24">
        <v>0</v>
      </c>
      <c r="AC24">
        <v>2</v>
      </c>
      <c r="AD24">
        <v>0</v>
      </c>
      <c r="AE24">
        <v>4</v>
      </c>
      <c r="AF24">
        <v>1</v>
      </c>
      <c r="AH24">
        <v>154</v>
      </c>
    </row>
    <row r="25" spans="1:34" x14ac:dyDescent="0.25">
      <c r="A25" s="1">
        <v>20</v>
      </c>
      <c r="B25">
        <v>0</v>
      </c>
      <c r="C25">
        <v>8</v>
      </c>
      <c r="D25">
        <v>0</v>
      </c>
      <c r="E25">
        <v>3</v>
      </c>
      <c r="F25">
        <v>6</v>
      </c>
      <c r="G25">
        <v>9</v>
      </c>
      <c r="H25">
        <v>10</v>
      </c>
      <c r="I25">
        <v>3</v>
      </c>
      <c r="J25">
        <v>4</v>
      </c>
      <c r="K25">
        <v>4</v>
      </c>
      <c r="L25">
        <v>0</v>
      </c>
      <c r="M25">
        <v>8</v>
      </c>
      <c r="N25">
        <v>13</v>
      </c>
      <c r="O25">
        <v>7</v>
      </c>
      <c r="P25">
        <v>0</v>
      </c>
      <c r="Q25">
        <v>5</v>
      </c>
      <c r="R25">
        <v>1</v>
      </c>
      <c r="S25">
        <v>2</v>
      </c>
      <c r="T25">
        <v>3</v>
      </c>
      <c r="U25">
        <v>3</v>
      </c>
      <c r="V25">
        <v>3</v>
      </c>
      <c r="W25">
        <v>17</v>
      </c>
      <c r="X25">
        <v>3</v>
      </c>
      <c r="Y25">
        <v>0</v>
      </c>
      <c r="Z25">
        <v>24</v>
      </c>
      <c r="AA25">
        <v>12</v>
      </c>
      <c r="AB25">
        <v>0</v>
      </c>
      <c r="AC25">
        <v>2</v>
      </c>
      <c r="AD25">
        <v>0</v>
      </c>
      <c r="AE25">
        <v>4</v>
      </c>
      <c r="AF25">
        <v>0</v>
      </c>
      <c r="AH25">
        <v>154</v>
      </c>
    </row>
    <row r="26" spans="1:34" x14ac:dyDescent="0.25">
      <c r="A26" s="1">
        <v>21</v>
      </c>
      <c r="B26">
        <v>0</v>
      </c>
      <c r="C26">
        <v>8</v>
      </c>
      <c r="D26">
        <v>0</v>
      </c>
      <c r="E26">
        <v>3</v>
      </c>
      <c r="F26">
        <v>6</v>
      </c>
      <c r="G26">
        <v>9</v>
      </c>
      <c r="H26">
        <v>11</v>
      </c>
      <c r="I26">
        <v>3</v>
      </c>
      <c r="J26">
        <v>3</v>
      </c>
      <c r="K26">
        <v>4</v>
      </c>
      <c r="L26">
        <v>0</v>
      </c>
      <c r="M26">
        <v>8</v>
      </c>
      <c r="N26">
        <v>13</v>
      </c>
      <c r="O26">
        <v>7</v>
      </c>
      <c r="P26">
        <v>0</v>
      </c>
      <c r="Q26">
        <v>5</v>
      </c>
      <c r="R26">
        <v>1</v>
      </c>
      <c r="S26">
        <v>2</v>
      </c>
      <c r="T26">
        <v>3</v>
      </c>
      <c r="U26">
        <v>3</v>
      </c>
      <c r="V26">
        <v>3</v>
      </c>
      <c r="W26">
        <v>17</v>
      </c>
      <c r="X26">
        <v>3</v>
      </c>
      <c r="Y26">
        <v>0</v>
      </c>
      <c r="Z26">
        <v>24</v>
      </c>
      <c r="AA26">
        <v>13</v>
      </c>
      <c r="AB26">
        <v>0</v>
      </c>
      <c r="AC26">
        <v>2</v>
      </c>
      <c r="AD26">
        <v>0</v>
      </c>
      <c r="AE26">
        <v>4</v>
      </c>
      <c r="AF26">
        <v>0</v>
      </c>
      <c r="AH26">
        <v>155</v>
      </c>
    </row>
    <row r="27" spans="1:34" x14ac:dyDescent="0.25">
      <c r="A27" s="1">
        <v>22</v>
      </c>
      <c r="B27">
        <v>0</v>
      </c>
      <c r="C27">
        <v>8</v>
      </c>
      <c r="D27">
        <v>0</v>
      </c>
      <c r="E27">
        <v>3</v>
      </c>
      <c r="F27">
        <v>6</v>
      </c>
      <c r="G27">
        <v>9</v>
      </c>
      <c r="H27">
        <v>11</v>
      </c>
      <c r="I27">
        <v>3</v>
      </c>
      <c r="J27">
        <v>4</v>
      </c>
      <c r="K27">
        <v>4</v>
      </c>
      <c r="L27">
        <v>0</v>
      </c>
      <c r="M27">
        <v>8</v>
      </c>
      <c r="N27">
        <v>13</v>
      </c>
      <c r="O27">
        <v>7</v>
      </c>
      <c r="P27">
        <v>0</v>
      </c>
      <c r="Q27">
        <v>4</v>
      </c>
      <c r="R27">
        <v>1</v>
      </c>
      <c r="S27">
        <v>2</v>
      </c>
      <c r="T27">
        <v>3</v>
      </c>
      <c r="U27">
        <v>3</v>
      </c>
      <c r="V27">
        <v>3</v>
      </c>
      <c r="W27">
        <v>17</v>
      </c>
      <c r="X27">
        <v>3</v>
      </c>
      <c r="Y27">
        <v>0</v>
      </c>
      <c r="Z27">
        <v>24</v>
      </c>
      <c r="AA27">
        <v>12</v>
      </c>
      <c r="AB27">
        <v>0</v>
      </c>
      <c r="AC27">
        <v>2</v>
      </c>
      <c r="AD27">
        <v>0</v>
      </c>
      <c r="AE27">
        <v>5</v>
      </c>
      <c r="AF27">
        <v>0</v>
      </c>
      <c r="AH27">
        <v>155</v>
      </c>
    </row>
    <row r="28" spans="1:34" x14ac:dyDescent="0.25">
      <c r="A28" s="1">
        <v>23</v>
      </c>
      <c r="B28">
        <v>0</v>
      </c>
      <c r="C28">
        <v>8</v>
      </c>
      <c r="D28">
        <v>0</v>
      </c>
      <c r="E28">
        <v>3</v>
      </c>
      <c r="F28">
        <v>6</v>
      </c>
      <c r="G28">
        <v>8</v>
      </c>
      <c r="H28">
        <v>11</v>
      </c>
      <c r="I28">
        <v>3</v>
      </c>
      <c r="J28">
        <v>4</v>
      </c>
      <c r="K28">
        <v>4</v>
      </c>
      <c r="L28">
        <v>0</v>
      </c>
      <c r="M28">
        <v>8</v>
      </c>
      <c r="N28">
        <v>13</v>
      </c>
      <c r="O28">
        <v>7</v>
      </c>
      <c r="P28">
        <v>0</v>
      </c>
      <c r="Q28">
        <v>4</v>
      </c>
      <c r="R28">
        <v>1</v>
      </c>
      <c r="S28">
        <v>2</v>
      </c>
      <c r="T28">
        <v>4</v>
      </c>
      <c r="U28">
        <v>3</v>
      </c>
      <c r="V28">
        <v>3</v>
      </c>
      <c r="W28">
        <v>17</v>
      </c>
      <c r="X28">
        <v>3</v>
      </c>
      <c r="Y28">
        <v>0</v>
      </c>
      <c r="Z28">
        <v>25</v>
      </c>
      <c r="AA28">
        <v>11</v>
      </c>
      <c r="AB28">
        <v>0</v>
      </c>
      <c r="AC28">
        <v>2</v>
      </c>
      <c r="AD28">
        <v>0</v>
      </c>
      <c r="AE28">
        <v>5</v>
      </c>
      <c r="AF28">
        <v>0</v>
      </c>
      <c r="AH28">
        <v>155</v>
      </c>
    </row>
    <row r="29" spans="1:34" x14ac:dyDescent="0.25">
      <c r="A29" s="1">
        <v>24</v>
      </c>
      <c r="B29">
        <v>0</v>
      </c>
      <c r="C29">
        <v>8</v>
      </c>
      <c r="D29">
        <v>0</v>
      </c>
      <c r="E29">
        <v>3</v>
      </c>
      <c r="F29">
        <v>6</v>
      </c>
      <c r="G29">
        <v>7</v>
      </c>
      <c r="H29">
        <v>11</v>
      </c>
      <c r="I29">
        <v>3</v>
      </c>
      <c r="J29">
        <v>4</v>
      </c>
      <c r="K29">
        <v>4</v>
      </c>
      <c r="L29">
        <v>0</v>
      </c>
      <c r="M29">
        <v>8</v>
      </c>
      <c r="N29">
        <v>13</v>
      </c>
      <c r="O29">
        <v>7</v>
      </c>
      <c r="P29">
        <v>0</v>
      </c>
      <c r="Q29">
        <v>4</v>
      </c>
      <c r="R29">
        <v>1</v>
      </c>
      <c r="S29">
        <v>2</v>
      </c>
      <c r="T29">
        <v>4</v>
      </c>
      <c r="U29">
        <v>3</v>
      </c>
      <c r="V29">
        <v>3</v>
      </c>
      <c r="W29">
        <v>17</v>
      </c>
      <c r="X29">
        <v>3</v>
      </c>
      <c r="Y29">
        <v>0</v>
      </c>
      <c r="Z29">
        <v>31</v>
      </c>
      <c r="AA29">
        <v>11</v>
      </c>
      <c r="AB29">
        <v>0</v>
      </c>
      <c r="AC29">
        <v>2</v>
      </c>
      <c r="AD29">
        <v>0</v>
      </c>
      <c r="AE29">
        <v>0</v>
      </c>
      <c r="AF29">
        <v>0</v>
      </c>
      <c r="AH29">
        <v>155</v>
      </c>
    </row>
    <row r="30" spans="1:34" x14ac:dyDescent="0.25">
      <c r="A30" s="1">
        <v>25</v>
      </c>
      <c r="B30">
        <v>0</v>
      </c>
      <c r="C30">
        <v>6</v>
      </c>
      <c r="D30">
        <v>0</v>
      </c>
      <c r="E30">
        <v>3</v>
      </c>
      <c r="F30">
        <v>6</v>
      </c>
      <c r="G30">
        <v>7</v>
      </c>
      <c r="H30">
        <v>11</v>
      </c>
      <c r="I30">
        <v>3</v>
      </c>
      <c r="J30">
        <v>4</v>
      </c>
      <c r="K30">
        <v>4</v>
      </c>
      <c r="L30">
        <v>0</v>
      </c>
      <c r="M30">
        <v>10</v>
      </c>
      <c r="N30">
        <v>13</v>
      </c>
      <c r="O30">
        <v>8</v>
      </c>
      <c r="P30">
        <v>0</v>
      </c>
      <c r="Q30">
        <v>4</v>
      </c>
      <c r="R30">
        <v>1</v>
      </c>
      <c r="S30">
        <v>2</v>
      </c>
      <c r="T30">
        <v>4</v>
      </c>
      <c r="U30">
        <v>2</v>
      </c>
      <c r="V30">
        <v>3</v>
      </c>
      <c r="W30">
        <v>17</v>
      </c>
      <c r="X30">
        <v>3</v>
      </c>
      <c r="Y30">
        <v>0</v>
      </c>
      <c r="Z30">
        <v>31</v>
      </c>
      <c r="AA30">
        <v>11</v>
      </c>
      <c r="AB30">
        <v>0</v>
      </c>
      <c r="AC30">
        <v>2</v>
      </c>
      <c r="AD30">
        <v>0</v>
      </c>
      <c r="AE30">
        <v>0</v>
      </c>
      <c r="AF30">
        <v>0</v>
      </c>
      <c r="AH30">
        <v>155</v>
      </c>
    </row>
    <row r="31" spans="1:34" x14ac:dyDescent="0.25">
      <c r="A31" s="1">
        <v>26</v>
      </c>
      <c r="B31">
        <v>0</v>
      </c>
      <c r="C31">
        <v>6</v>
      </c>
      <c r="D31">
        <v>0</v>
      </c>
      <c r="E31">
        <v>3</v>
      </c>
      <c r="F31">
        <v>6</v>
      </c>
      <c r="G31">
        <v>7</v>
      </c>
      <c r="H31">
        <v>11</v>
      </c>
      <c r="I31">
        <v>3</v>
      </c>
      <c r="J31">
        <v>4</v>
      </c>
      <c r="K31">
        <v>4</v>
      </c>
      <c r="L31">
        <v>0</v>
      </c>
      <c r="M31">
        <v>10</v>
      </c>
      <c r="N31">
        <v>13</v>
      </c>
      <c r="O31">
        <v>8</v>
      </c>
      <c r="P31">
        <v>0</v>
      </c>
      <c r="Q31">
        <v>4</v>
      </c>
      <c r="R31">
        <v>1</v>
      </c>
      <c r="S31">
        <v>2</v>
      </c>
      <c r="T31">
        <v>4</v>
      </c>
      <c r="U31">
        <v>2</v>
      </c>
      <c r="V31">
        <v>3</v>
      </c>
      <c r="W31">
        <v>17</v>
      </c>
      <c r="X31">
        <v>3</v>
      </c>
      <c r="Y31">
        <v>0</v>
      </c>
      <c r="Z31">
        <v>31</v>
      </c>
      <c r="AA31">
        <v>11</v>
      </c>
      <c r="AB31">
        <v>0</v>
      </c>
      <c r="AC31">
        <v>2</v>
      </c>
      <c r="AD31">
        <v>0</v>
      </c>
      <c r="AE31">
        <v>0</v>
      </c>
      <c r="AF31">
        <v>0</v>
      </c>
      <c r="AH31">
        <v>155</v>
      </c>
    </row>
    <row r="32" spans="1:34" x14ac:dyDescent="0.25">
      <c r="A32" s="1">
        <v>27</v>
      </c>
      <c r="B32">
        <v>0</v>
      </c>
      <c r="C32">
        <v>7</v>
      </c>
      <c r="D32">
        <v>0</v>
      </c>
      <c r="E32">
        <v>3</v>
      </c>
      <c r="F32">
        <v>6</v>
      </c>
      <c r="G32">
        <v>6</v>
      </c>
      <c r="H32">
        <v>11</v>
      </c>
      <c r="I32">
        <v>3</v>
      </c>
      <c r="J32">
        <v>3</v>
      </c>
      <c r="K32">
        <v>4</v>
      </c>
      <c r="L32">
        <v>0</v>
      </c>
      <c r="M32">
        <v>9</v>
      </c>
      <c r="N32">
        <v>13</v>
      </c>
      <c r="O32">
        <v>8</v>
      </c>
      <c r="P32">
        <v>0</v>
      </c>
      <c r="Q32">
        <v>4</v>
      </c>
      <c r="R32">
        <v>1</v>
      </c>
      <c r="S32">
        <v>2</v>
      </c>
      <c r="T32">
        <v>4</v>
      </c>
      <c r="U32">
        <v>2</v>
      </c>
      <c r="V32">
        <v>3</v>
      </c>
      <c r="W32">
        <v>17</v>
      </c>
      <c r="X32">
        <v>3</v>
      </c>
      <c r="Y32">
        <v>0</v>
      </c>
      <c r="Z32">
        <v>32</v>
      </c>
      <c r="AA32">
        <v>12</v>
      </c>
      <c r="AB32">
        <v>0</v>
      </c>
      <c r="AC32">
        <v>2</v>
      </c>
      <c r="AD32">
        <v>0</v>
      </c>
      <c r="AE32">
        <v>0</v>
      </c>
      <c r="AF32">
        <v>0</v>
      </c>
      <c r="AH32">
        <v>155</v>
      </c>
    </row>
    <row r="33" spans="1:34" x14ac:dyDescent="0.25">
      <c r="A33" s="1">
        <v>28</v>
      </c>
      <c r="B33">
        <v>0</v>
      </c>
      <c r="C33">
        <v>7</v>
      </c>
      <c r="D33">
        <v>0</v>
      </c>
      <c r="E33">
        <v>3</v>
      </c>
      <c r="F33">
        <v>6</v>
      </c>
      <c r="G33">
        <v>6</v>
      </c>
      <c r="H33">
        <v>11</v>
      </c>
      <c r="I33">
        <v>3</v>
      </c>
      <c r="J33">
        <v>3</v>
      </c>
      <c r="K33">
        <v>5</v>
      </c>
      <c r="L33">
        <v>0</v>
      </c>
      <c r="M33">
        <v>9</v>
      </c>
      <c r="N33">
        <v>12</v>
      </c>
      <c r="O33">
        <v>7</v>
      </c>
      <c r="P33">
        <v>0</v>
      </c>
      <c r="Q33">
        <v>4</v>
      </c>
      <c r="R33">
        <v>1</v>
      </c>
      <c r="S33">
        <v>2</v>
      </c>
      <c r="T33">
        <v>4</v>
      </c>
      <c r="U33">
        <v>2</v>
      </c>
      <c r="V33">
        <v>3</v>
      </c>
      <c r="W33">
        <v>18</v>
      </c>
      <c r="X33">
        <v>3</v>
      </c>
      <c r="Y33">
        <v>0</v>
      </c>
      <c r="Z33">
        <v>32</v>
      </c>
      <c r="AA33">
        <v>12</v>
      </c>
      <c r="AB33">
        <v>0</v>
      </c>
      <c r="AC33">
        <v>2</v>
      </c>
      <c r="AD33">
        <v>0</v>
      </c>
      <c r="AE33">
        <v>0</v>
      </c>
      <c r="AF33">
        <v>0</v>
      </c>
      <c r="AH33">
        <v>155</v>
      </c>
    </row>
    <row r="34" spans="1:34" x14ac:dyDescent="0.25">
      <c r="A34" s="1">
        <v>29</v>
      </c>
      <c r="B34">
        <v>0</v>
      </c>
      <c r="C34">
        <v>7</v>
      </c>
      <c r="D34">
        <v>0</v>
      </c>
      <c r="E34">
        <v>3</v>
      </c>
      <c r="F34">
        <v>6</v>
      </c>
      <c r="G34">
        <v>7</v>
      </c>
      <c r="H34">
        <v>11</v>
      </c>
      <c r="I34">
        <v>3</v>
      </c>
      <c r="J34">
        <v>3</v>
      </c>
      <c r="K34">
        <v>4</v>
      </c>
      <c r="L34">
        <v>0</v>
      </c>
      <c r="M34">
        <v>9</v>
      </c>
      <c r="N34">
        <v>12</v>
      </c>
      <c r="O34">
        <v>8</v>
      </c>
      <c r="P34">
        <v>0</v>
      </c>
      <c r="Q34">
        <v>4</v>
      </c>
      <c r="R34">
        <v>1</v>
      </c>
      <c r="S34">
        <v>2</v>
      </c>
      <c r="T34">
        <v>4</v>
      </c>
      <c r="U34">
        <v>2</v>
      </c>
      <c r="V34">
        <v>3</v>
      </c>
      <c r="W34">
        <v>18</v>
      </c>
      <c r="X34">
        <v>3</v>
      </c>
      <c r="Y34">
        <v>0</v>
      </c>
      <c r="Z34">
        <v>31</v>
      </c>
      <c r="AA34">
        <v>12</v>
      </c>
      <c r="AB34">
        <v>0</v>
      </c>
      <c r="AC34">
        <v>2</v>
      </c>
      <c r="AD34">
        <v>0</v>
      </c>
      <c r="AE34">
        <v>0</v>
      </c>
      <c r="AF34">
        <v>0</v>
      </c>
      <c r="AH34">
        <v>155</v>
      </c>
    </row>
    <row r="35" spans="1:34" x14ac:dyDescent="0.25">
      <c r="A35" s="1">
        <v>30</v>
      </c>
      <c r="B35">
        <v>0</v>
      </c>
      <c r="C35">
        <v>6</v>
      </c>
      <c r="D35">
        <v>0</v>
      </c>
      <c r="E35">
        <v>3</v>
      </c>
      <c r="F35">
        <v>6</v>
      </c>
      <c r="G35">
        <v>5</v>
      </c>
      <c r="H35">
        <v>12</v>
      </c>
      <c r="I35">
        <v>3</v>
      </c>
      <c r="J35">
        <v>3</v>
      </c>
      <c r="K35">
        <v>4</v>
      </c>
      <c r="L35">
        <v>0</v>
      </c>
      <c r="M35">
        <v>9</v>
      </c>
      <c r="N35">
        <v>12</v>
      </c>
      <c r="O35">
        <v>9</v>
      </c>
      <c r="P35">
        <v>0</v>
      </c>
      <c r="Q35">
        <v>4</v>
      </c>
      <c r="R35">
        <v>1</v>
      </c>
      <c r="S35">
        <v>2</v>
      </c>
      <c r="T35">
        <v>4</v>
      </c>
      <c r="U35">
        <v>2</v>
      </c>
      <c r="V35">
        <v>3</v>
      </c>
      <c r="W35">
        <v>18</v>
      </c>
      <c r="X35">
        <v>3</v>
      </c>
      <c r="Y35">
        <v>0</v>
      </c>
      <c r="Z35">
        <v>32</v>
      </c>
      <c r="AA35">
        <v>12</v>
      </c>
      <c r="AB35">
        <v>0</v>
      </c>
      <c r="AC35">
        <v>2</v>
      </c>
      <c r="AD35">
        <v>0</v>
      </c>
      <c r="AE35">
        <v>0</v>
      </c>
      <c r="AF35">
        <v>0</v>
      </c>
      <c r="AH35">
        <v>155</v>
      </c>
    </row>
    <row r="36" spans="1:34" x14ac:dyDescent="0.25">
      <c r="A36" s="1">
        <v>31</v>
      </c>
      <c r="B36">
        <v>0</v>
      </c>
      <c r="C36">
        <v>4</v>
      </c>
      <c r="D36">
        <v>0</v>
      </c>
      <c r="E36">
        <v>3</v>
      </c>
      <c r="F36">
        <v>6</v>
      </c>
      <c r="G36">
        <v>6</v>
      </c>
      <c r="H36">
        <v>12</v>
      </c>
      <c r="I36">
        <v>3</v>
      </c>
      <c r="J36">
        <v>3</v>
      </c>
      <c r="K36">
        <v>4</v>
      </c>
      <c r="L36">
        <v>0</v>
      </c>
      <c r="M36">
        <v>9</v>
      </c>
      <c r="N36">
        <v>12</v>
      </c>
      <c r="O36">
        <v>11</v>
      </c>
      <c r="P36">
        <v>0</v>
      </c>
      <c r="Q36">
        <v>4</v>
      </c>
      <c r="R36">
        <v>1</v>
      </c>
      <c r="S36">
        <v>2</v>
      </c>
      <c r="T36">
        <v>4</v>
      </c>
      <c r="U36">
        <v>2</v>
      </c>
      <c r="V36">
        <v>3</v>
      </c>
      <c r="W36">
        <v>18</v>
      </c>
      <c r="X36">
        <v>3</v>
      </c>
      <c r="Y36">
        <v>0</v>
      </c>
      <c r="Z36">
        <v>31</v>
      </c>
      <c r="AA36">
        <v>12</v>
      </c>
      <c r="AB36">
        <v>0</v>
      </c>
      <c r="AC36">
        <v>2</v>
      </c>
      <c r="AD36">
        <v>0</v>
      </c>
      <c r="AE36">
        <v>0</v>
      </c>
      <c r="AF36">
        <v>0</v>
      </c>
      <c r="AH36">
        <v>155</v>
      </c>
    </row>
    <row r="37" spans="1:34" x14ac:dyDescent="0.25">
      <c r="A37" s="1">
        <v>32</v>
      </c>
      <c r="B37">
        <v>0</v>
      </c>
      <c r="C37">
        <v>3</v>
      </c>
      <c r="D37">
        <v>0</v>
      </c>
      <c r="E37">
        <v>3</v>
      </c>
      <c r="F37">
        <v>6</v>
      </c>
      <c r="G37">
        <v>7</v>
      </c>
      <c r="H37">
        <v>12</v>
      </c>
      <c r="I37">
        <v>3</v>
      </c>
      <c r="J37">
        <v>4</v>
      </c>
      <c r="K37">
        <v>4</v>
      </c>
      <c r="L37">
        <v>0</v>
      </c>
      <c r="M37">
        <v>10</v>
      </c>
      <c r="N37">
        <v>12</v>
      </c>
      <c r="O37">
        <v>11</v>
      </c>
      <c r="P37">
        <v>0</v>
      </c>
      <c r="Q37">
        <v>4</v>
      </c>
      <c r="R37">
        <v>1</v>
      </c>
      <c r="S37">
        <v>2</v>
      </c>
      <c r="T37">
        <v>4</v>
      </c>
      <c r="U37">
        <v>2</v>
      </c>
      <c r="V37">
        <v>3</v>
      </c>
      <c r="W37">
        <v>18</v>
      </c>
      <c r="X37">
        <v>3</v>
      </c>
      <c r="Y37">
        <v>0</v>
      </c>
      <c r="Z37">
        <v>30</v>
      </c>
      <c r="AA37">
        <v>11</v>
      </c>
      <c r="AB37">
        <v>0</v>
      </c>
      <c r="AC37">
        <v>2</v>
      </c>
      <c r="AD37">
        <v>0</v>
      </c>
      <c r="AE37">
        <v>0</v>
      </c>
      <c r="AF37">
        <v>0</v>
      </c>
      <c r="AH37">
        <v>155</v>
      </c>
    </row>
    <row r="38" spans="1:34" x14ac:dyDescent="0.25">
      <c r="A38" s="1">
        <v>33</v>
      </c>
      <c r="B38">
        <v>0</v>
      </c>
      <c r="C38">
        <v>3</v>
      </c>
      <c r="D38">
        <v>0</v>
      </c>
      <c r="E38">
        <v>3</v>
      </c>
      <c r="F38">
        <v>6</v>
      </c>
      <c r="G38">
        <v>7</v>
      </c>
      <c r="H38">
        <v>12</v>
      </c>
      <c r="I38">
        <v>3</v>
      </c>
      <c r="J38">
        <v>4</v>
      </c>
      <c r="K38">
        <v>4</v>
      </c>
      <c r="L38">
        <v>0</v>
      </c>
      <c r="M38">
        <v>10</v>
      </c>
      <c r="N38">
        <v>12</v>
      </c>
      <c r="O38">
        <v>11</v>
      </c>
      <c r="P38">
        <v>0</v>
      </c>
      <c r="Q38">
        <v>4</v>
      </c>
      <c r="R38">
        <v>1</v>
      </c>
      <c r="S38">
        <v>2</v>
      </c>
      <c r="T38">
        <v>4</v>
      </c>
      <c r="U38">
        <v>2</v>
      </c>
      <c r="V38">
        <v>3</v>
      </c>
      <c r="W38">
        <v>18</v>
      </c>
      <c r="X38">
        <v>3</v>
      </c>
      <c r="Y38">
        <v>0</v>
      </c>
      <c r="Z38">
        <v>30</v>
      </c>
      <c r="AA38">
        <v>11</v>
      </c>
      <c r="AB38">
        <v>0</v>
      </c>
      <c r="AC38">
        <v>2</v>
      </c>
      <c r="AD38">
        <v>0</v>
      </c>
      <c r="AE38">
        <v>0</v>
      </c>
      <c r="AF38">
        <v>0</v>
      </c>
      <c r="AH38">
        <v>155</v>
      </c>
    </row>
    <row r="39" spans="1:34" x14ac:dyDescent="0.25">
      <c r="A39" s="1">
        <v>34</v>
      </c>
      <c r="B39">
        <v>0</v>
      </c>
      <c r="C39">
        <v>3</v>
      </c>
      <c r="D39">
        <v>0</v>
      </c>
      <c r="E39">
        <v>3</v>
      </c>
      <c r="F39">
        <v>6</v>
      </c>
      <c r="G39">
        <v>5</v>
      </c>
      <c r="H39">
        <v>12</v>
      </c>
      <c r="I39">
        <v>3</v>
      </c>
      <c r="J39">
        <v>4</v>
      </c>
      <c r="K39">
        <v>4</v>
      </c>
      <c r="L39">
        <v>0</v>
      </c>
      <c r="M39">
        <v>11</v>
      </c>
      <c r="N39">
        <v>12</v>
      </c>
      <c r="O39">
        <v>11</v>
      </c>
      <c r="P39">
        <v>0</v>
      </c>
      <c r="Q39">
        <v>4</v>
      </c>
      <c r="R39">
        <v>1</v>
      </c>
      <c r="S39">
        <v>2</v>
      </c>
      <c r="T39">
        <v>4</v>
      </c>
      <c r="U39">
        <v>1</v>
      </c>
      <c r="V39">
        <v>3</v>
      </c>
      <c r="W39">
        <v>18</v>
      </c>
      <c r="X39">
        <v>3</v>
      </c>
      <c r="Y39">
        <v>0</v>
      </c>
      <c r="Z39">
        <v>31</v>
      </c>
      <c r="AA39">
        <v>11</v>
      </c>
      <c r="AB39">
        <v>0</v>
      </c>
      <c r="AC39">
        <v>2</v>
      </c>
      <c r="AD39">
        <v>0</v>
      </c>
      <c r="AE39">
        <v>0</v>
      </c>
      <c r="AF39">
        <v>0</v>
      </c>
      <c r="AH39">
        <v>154</v>
      </c>
    </row>
    <row r="40" spans="1:34" x14ac:dyDescent="0.25">
      <c r="A40" s="1">
        <v>35</v>
      </c>
      <c r="B40">
        <v>0</v>
      </c>
      <c r="C40">
        <v>2</v>
      </c>
      <c r="D40">
        <v>0</v>
      </c>
      <c r="E40">
        <v>3</v>
      </c>
      <c r="F40">
        <v>6</v>
      </c>
      <c r="G40">
        <v>5</v>
      </c>
      <c r="H40">
        <v>12</v>
      </c>
      <c r="I40">
        <v>3</v>
      </c>
      <c r="J40">
        <v>5</v>
      </c>
      <c r="K40">
        <v>4</v>
      </c>
      <c r="L40">
        <v>0</v>
      </c>
      <c r="M40">
        <v>11</v>
      </c>
      <c r="N40">
        <v>12</v>
      </c>
      <c r="O40">
        <v>11</v>
      </c>
      <c r="P40">
        <v>0</v>
      </c>
      <c r="Q40">
        <v>4</v>
      </c>
      <c r="R40">
        <v>1</v>
      </c>
      <c r="S40">
        <v>2</v>
      </c>
      <c r="T40">
        <v>4</v>
      </c>
      <c r="U40">
        <v>1</v>
      </c>
      <c r="V40">
        <v>3</v>
      </c>
      <c r="W40">
        <v>18</v>
      </c>
      <c r="X40">
        <v>3</v>
      </c>
      <c r="Y40">
        <v>0</v>
      </c>
      <c r="Z40">
        <v>31</v>
      </c>
      <c r="AA40">
        <v>10</v>
      </c>
      <c r="AB40">
        <v>0</v>
      </c>
      <c r="AC40">
        <v>2</v>
      </c>
      <c r="AD40">
        <v>0</v>
      </c>
      <c r="AE40">
        <v>0</v>
      </c>
      <c r="AF40">
        <v>0</v>
      </c>
      <c r="AH40">
        <v>153</v>
      </c>
    </row>
    <row r="41" spans="1:34" x14ac:dyDescent="0.25">
      <c r="A41" s="1">
        <v>36</v>
      </c>
      <c r="B41">
        <v>0</v>
      </c>
      <c r="C41">
        <v>2</v>
      </c>
      <c r="D41">
        <v>0</v>
      </c>
      <c r="E41">
        <v>3</v>
      </c>
      <c r="F41">
        <v>6</v>
      </c>
      <c r="G41">
        <v>5</v>
      </c>
      <c r="H41">
        <v>12</v>
      </c>
      <c r="I41">
        <v>3</v>
      </c>
      <c r="J41">
        <v>5</v>
      </c>
      <c r="K41">
        <v>4</v>
      </c>
      <c r="L41">
        <v>0</v>
      </c>
      <c r="M41">
        <v>12</v>
      </c>
      <c r="N41">
        <v>12</v>
      </c>
      <c r="O41">
        <v>11</v>
      </c>
      <c r="P41">
        <v>0</v>
      </c>
      <c r="Q41">
        <v>4</v>
      </c>
      <c r="R41">
        <v>1</v>
      </c>
      <c r="S41">
        <v>2</v>
      </c>
      <c r="T41">
        <v>4</v>
      </c>
      <c r="U41">
        <v>1</v>
      </c>
      <c r="V41">
        <v>3</v>
      </c>
      <c r="W41">
        <v>18</v>
      </c>
      <c r="X41">
        <v>3</v>
      </c>
      <c r="Y41">
        <v>0</v>
      </c>
      <c r="Z41">
        <v>31</v>
      </c>
      <c r="AA41">
        <v>10</v>
      </c>
      <c r="AB41">
        <v>0</v>
      </c>
      <c r="AC41">
        <v>2</v>
      </c>
      <c r="AD41">
        <v>0</v>
      </c>
      <c r="AE41">
        <v>0</v>
      </c>
      <c r="AF41">
        <v>0</v>
      </c>
      <c r="AH41">
        <v>154</v>
      </c>
    </row>
    <row r="42" spans="1:34" x14ac:dyDescent="0.25">
      <c r="A42" s="1">
        <v>37</v>
      </c>
      <c r="B42">
        <v>0</v>
      </c>
      <c r="C42">
        <v>2</v>
      </c>
      <c r="D42">
        <v>0</v>
      </c>
      <c r="E42">
        <v>3</v>
      </c>
      <c r="F42">
        <v>7</v>
      </c>
      <c r="G42">
        <v>5</v>
      </c>
      <c r="H42">
        <v>13</v>
      </c>
      <c r="I42">
        <v>4</v>
      </c>
      <c r="J42">
        <v>6</v>
      </c>
      <c r="K42">
        <v>4</v>
      </c>
      <c r="L42">
        <v>0</v>
      </c>
      <c r="M42">
        <v>11</v>
      </c>
      <c r="N42">
        <v>12</v>
      </c>
      <c r="O42">
        <v>11</v>
      </c>
      <c r="P42">
        <v>0</v>
      </c>
      <c r="Q42">
        <v>5</v>
      </c>
      <c r="R42">
        <v>0</v>
      </c>
      <c r="S42">
        <v>2</v>
      </c>
      <c r="T42">
        <v>5</v>
      </c>
      <c r="U42">
        <v>2</v>
      </c>
      <c r="V42">
        <v>3</v>
      </c>
      <c r="W42">
        <v>18</v>
      </c>
      <c r="X42">
        <v>3</v>
      </c>
      <c r="Y42">
        <v>0</v>
      </c>
      <c r="Z42">
        <v>30</v>
      </c>
      <c r="AA42">
        <v>8</v>
      </c>
      <c r="AB42">
        <v>0</v>
      </c>
      <c r="AC42">
        <v>1</v>
      </c>
      <c r="AD42">
        <v>0</v>
      </c>
      <c r="AE42">
        <v>0</v>
      </c>
      <c r="AF42">
        <v>0</v>
      </c>
      <c r="AH42">
        <v>155</v>
      </c>
    </row>
    <row r="43" spans="1:34" x14ac:dyDescent="0.25">
      <c r="A43" s="1">
        <v>38</v>
      </c>
      <c r="B43">
        <v>0</v>
      </c>
      <c r="C43">
        <v>2</v>
      </c>
      <c r="D43">
        <v>0</v>
      </c>
      <c r="E43">
        <v>3</v>
      </c>
      <c r="F43">
        <v>7</v>
      </c>
      <c r="G43">
        <v>4</v>
      </c>
      <c r="H43">
        <v>13</v>
      </c>
      <c r="I43">
        <v>4</v>
      </c>
      <c r="J43">
        <v>6</v>
      </c>
      <c r="K43">
        <v>4</v>
      </c>
      <c r="L43">
        <v>0</v>
      </c>
      <c r="M43">
        <v>11</v>
      </c>
      <c r="N43">
        <v>12</v>
      </c>
      <c r="O43">
        <v>11</v>
      </c>
      <c r="P43">
        <v>0</v>
      </c>
      <c r="Q43">
        <v>5</v>
      </c>
      <c r="R43">
        <v>0</v>
      </c>
      <c r="S43">
        <v>2</v>
      </c>
      <c r="T43">
        <v>5</v>
      </c>
      <c r="U43">
        <v>2</v>
      </c>
      <c r="V43">
        <v>3</v>
      </c>
      <c r="W43">
        <v>18</v>
      </c>
      <c r="X43">
        <v>3</v>
      </c>
      <c r="Y43">
        <v>0</v>
      </c>
      <c r="Z43">
        <v>31</v>
      </c>
      <c r="AA43">
        <v>8</v>
      </c>
      <c r="AB43">
        <v>0</v>
      </c>
      <c r="AC43">
        <v>1</v>
      </c>
      <c r="AD43">
        <v>0</v>
      </c>
      <c r="AE43">
        <v>0</v>
      </c>
      <c r="AF43">
        <v>0</v>
      </c>
      <c r="AH43">
        <v>155</v>
      </c>
    </row>
    <row r="44" spans="1:34" x14ac:dyDescent="0.25">
      <c r="A44" s="1">
        <v>39</v>
      </c>
      <c r="B44">
        <v>0</v>
      </c>
      <c r="C44">
        <v>2</v>
      </c>
      <c r="D44">
        <v>0</v>
      </c>
      <c r="E44">
        <v>3</v>
      </c>
      <c r="F44">
        <v>7</v>
      </c>
      <c r="G44">
        <v>3</v>
      </c>
      <c r="H44">
        <v>13</v>
      </c>
      <c r="I44">
        <v>4</v>
      </c>
      <c r="J44">
        <v>6</v>
      </c>
      <c r="K44">
        <v>4</v>
      </c>
      <c r="L44">
        <v>0</v>
      </c>
      <c r="M44">
        <v>11</v>
      </c>
      <c r="N44">
        <v>10</v>
      </c>
      <c r="O44">
        <v>11</v>
      </c>
      <c r="P44">
        <v>0</v>
      </c>
      <c r="Q44">
        <v>5</v>
      </c>
      <c r="R44">
        <v>0</v>
      </c>
      <c r="S44">
        <v>2</v>
      </c>
      <c r="T44">
        <v>6</v>
      </c>
      <c r="U44">
        <v>2</v>
      </c>
      <c r="V44">
        <v>3</v>
      </c>
      <c r="W44">
        <v>20</v>
      </c>
      <c r="X44">
        <v>3</v>
      </c>
      <c r="Y44">
        <v>0</v>
      </c>
      <c r="Z44">
        <v>32</v>
      </c>
      <c r="AA44">
        <v>7</v>
      </c>
      <c r="AB44">
        <v>0</v>
      </c>
      <c r="AC44">
        <v>1</v>
      </c>
      <c r="AD44">
        <v>0</v>
      </c>
      <c r="AE44">
        <v>0</v>
      </c>
      <c r="AF44">
        <v>0</v>
      </c>
      <c r="AH44">
        <v>155</v>
      </c>
    </row>
    <row r="45" spans="1:34" x14ac:dyDescent="0.25">
      <c r="A45" s="1">
        <v>40</v>
      </c>
      <c r="B45">
        <v>0</v>
      </c>
      <c r="C45">
        <v>0</v>
      </c>
      <c r="D45">
        <v>0</v>
      </c>
      <c r="E45">
        <v>3</v>
      </c>
      <c r="F45">
        <v>7</v>
      </c>
      <c r="G45">
        <v>3</v>
      </c>
      <c r="H45">
        <v>14</v>
      </c>
      <c r="I45">
        <v>4</v>
      </c>
      <c r="J45">
        <v>6</v>
      </c>
      <c r="K45">
        <v>4</v>
      </c>
      <c r="L45">
        <v>0</v>
      </c>
      <c r="M45">
        <v>13</v>
      </c>
      <c r="N45">
        <v>9</v>
      </c>
      <c r="O45">
        <v>12</v>
      </c>
      <c r="P45">
        <v>0</v>
      </c>
      <c r="Q45">
        <v>5</v>
      </c>
      <c r="R45">
        <v>0</v>
      </c>
      <c r="S45">
        <v>2</v>
      </c>
      <c r="T45">
        <v>6</v>
      </c>
      <c r="U45">
        <v>1</v>
      </c>
      <c r="V45">
        <v>3</v>
      </c>
      <c r="W45">
        <v>20</v>
      </c>
      <c r="X45">
        <v>3</v>
      </c>
      <c r="Y45">
        <v>0</v>
      </c>
      <c r="Z45">
        <v>33</v>
      </c>
      <c r="AA45">
        <v>7</v>
      </c>
      <c r="AB45">
        <v>0</v>
      </c>
      <c r="AC45">
        <v>1</v>
      </c>
      <c r="AD45">
        <v>0</v>
      </c>
      <c r="AE45">
        <v>0</v>
      </c>
      <c r="AF45">
        <v>0</v>
      </c>
      <c r="AH45">
        <v>156</v>
      </c>
    </row>
    <row r="46" spans="1:34" x14ac:dyDescent="0.25">
      <c r="A46" s="1">
        <v>41</v>
      </c>
      <c r="B46">
        <v>0</v>
      </c>
      <c r="C46">
        <v>0</v>
      </c>
      <c r="D46">
        <v>0</v>
      </c>
      <c r="E46">
        <v>3</v>
      </c>
      <c r="F46">
        <v>7</v>
      </c>
      <c r="G46">
        <v>3</v>
      </c>
      <c r="H46">
        <v>14</v>
      </c>
      <c r="I46">
        <v>4</v>
      </c>
      <c r="J46">
        <v>6</v>
      </c>
      <c r="K46">
        <v>4</v>
      </c>
      <c r="L46">
        <v>0</v>
      </c>
      <c r="M46">
        <v>13</v>
      </c>
      <c r="N46">
        <v>9</v>
      </c>
      <c r="O46">
        <v>12</v>
      </c>
      <c r="P46">
        <v>0</v>
      </c>
      <c r="Q46">
        <v>5</v>
      </c>
      <c r="R46">
        <v>0</v>
      </c>
      <c r="S46">
        <v>2</v>
      </c>
      <c r="T46">
        <v>6</v>
      </c>
      <c r="U46">
        <v>1</v>
      </c>
      <c r="V46">
        <v>3</v>
      </c>
      <c r="W46">
        <v>20</v>
      </c>
      <c r="X46">
        <v>3</v>
      </c>
      <c r="Y46">
        <v>0</v>
      </c>
      <c r="Z46">
        <v>33</v>
      </c>
      <c r="AA46">
        <v>7</v>
      </c>
      <c r="AB46">
        <v>0</v>
      </c>
      <c r="AC46">
        <v>1</v>
      </c>
      <c r="AD46">
        <v>0</v>
      </c>
      <c r="AE46">
        <v>0</v>
      </c>
      <c r="AF46">
        <v>0</v>
      </c>
      <c r="AH46">
        <v>156</v>
      </c>
    </row>
    <row r="47" spans="1:34" x14ac:dyDescent="0.25">
      <c r="A47" s="1">
        <v>42</v>
      </c>
      <c r="B47">
        <v>0</v>
      </c>
      <c r="C47">
        <v>0</v>
      </c>
      <c r="D47">
        <v>0</v>
      </c>
      <c r="E47">
        <v>3</v>
      </c>
      <c r="F47">
        <v>7</v>
      </c>
      <c r="G47">
        <v>3</v>
      </c>
      <c r="H47">
        <v>14</v>
      </c>
      <c r="I47">
        <v>4</v>
      </c>
      <c r="J47">
        <v>6</v>
      </c>
      <c r="K47">
        <v>4</v>
      </c>
      <c r="L47">
        <v>0</v>
      </c>
      <c r="M47">
        <v>14</v>
      </c>
      <c r="N47">
        <v>9</v>
      </c>
      <c r="O47">
        <v>12</v>
      </c>
      <c r="P47">
        <v>0</v>
      </c>
      <c r="Q47">
        <v>5</v>
      </c>
      <c r="R47">
        <v>0</v>
      </c>
      <c r="S47">
        <v>2</v>
      </c>
      <c r="T47">
        <v>6</v>
      </c>
      <c r="U47">
        <v>0</v>
      </c>
      <c r="V47">
        <v>3</v>
      </c>
      <c r="W47">
        <v>20</v>
      </c>
      <c r="X47">
        <v>3</v>
      </c>
      <c r="Y47">
        <v>0</v>
      </c>
      <c r="Z47">
        <v>33</v>
      </c>
      <c r="AA47">
        <v>7</v>
      </c>
      <c r="AB47">
        <v>0</v>
      </c>
      <c r="AC47">
        <v>1</v>
      </c>
      <c r="AD47">
        <v>0</v>
      </c>
      <c r="AE47">
        <v>0</v>
      </c>
      <c r="AF47">
        <v>0</v>
      </c>
      <c r="AH47">
        <v>156</v>
      </c>
    </row>
    <row r="48" spans="1:34" x14ac:dyDescent="0.25">
      <c r="A48" s="1">
        <v>43</v>
      </c>
      <c r="B48">
        <v>0</v>
      </c>
      <c r="C48">
        <v>0</v>
      </c>
      <c r="D48">
        <v>0</v>
      </c>
      <c r="E48">
        <v>3</v>
      </c>
      <c r="F48">
        <v>7</v>
      </c>
      <c r="G48">
        <v>3</v>
      </c>
      <c r="H48">
        <v>14</v>
      </c>
      <c r="I48">
        <v>4</v>
      </c>
      <c r="J48">
        <v>6</v>
      </c>
      <c r="K48">
        <v>4</v>
      </c>
      <c r="L48">
        <v>0</v>
      </c>
      <c r="M48">
        <v>14</v>
      </c>
      <c r="N48">
        <v>8</v>
      </c>
      <c r="O48">
        <v>12</v>
      </c>
      <c r="P48">
        <v>0</v>
      </c>
      <c r="Q48">
        <v>5</v>
      </c>
      <c r="R48">
        <v>0</v>
      </c>
      <c r="S48">
        <v>2</v>
      </c>
      <c r="T48">
        <v>5</v>
      </c>
      <c r="U48">
        <v>0</v>
      </c>
      <c r="V48">
        <v>3</v>
      </c>
      <c r="W48">
        <v>21</v>
      </c>
      <c r="X48">
        <v>3</v>
      </c>
      <c r="Y48">
        <v>0</v>
      </c>
      <c r="Z48">
        <v>33</v>
      </c>
      <c r="AA48">
        <v>8</v>
      </c>
      <c r="AB48">
        <v>0</v>
      </c>
      <c r="AC48">
        <v>1</v>
      </c>
      <c r="AD48">
        <v>0</v>
      </c>
      <c r="AE48">
        <v>0</v>
      </c>
      <c r="AF48">
        <v>0</v>
      </c>
      <c r="AH48">
        <v>156</v>
      </c>
    </row>
    <row r="49" spans="1:34" x14ac:dyDescent="0.25">
      <c r="A49" s="1">
        <v>44</v>
      </c>
      <c r="B49">
        <v>0</v>
      </c>
      <c r="C49">
        <v>0</v>
      </c>
      <c r="D49">
        <v>0</v>
      </c>
      <c r="E49">
        <v>3</v>
      </c>
      <c r="F49">
        <v>7</v>
      </c>
      <c r="G49">
        <v>3</v>
      </c>
      <c r="H49">
        <v>14</v>
      </c>
      <c r="I49">
        <v>4</v>
      </c>
      <c r="J49">
        <v>6</v>
      </c>
      <c r="K49">
        <v>4</v>
      </c>
      <c r="L49">
        <v>0</v>
      </c>
      <c r="M49">
        <v>14</v>
      </c>
      <c r="N49">
        <v>7</v>
      </c>
      <c r="O49">
        <v>12</v>
      </c>
      <c r="P49">
        <v>0</v>
      </c>
      <c r="Q49">
        <v>5</v>
      </c>
      <c r="R49">
        <v>0</v>
      </c>
      <c r="S49">
        <v>2</v>
      </c>
      <c r="T49">
        <v>5</v>
      </c>
      <c r="U49">
        <v>0</v>
      </c>
      <c r="V49">
        <v>3</v>
      </c>
      <c r="W49">
        <v>22</v>
      </c>
      <c r="X49">
        <v>3</v>
      </c>
      <c r="Y49">
        <v>0</v>
      </c>
      <c r="Z49">
        <v>33</v>
      </c>
      <c r="AA49">
        <v>8</v>
      </c>
      <c r="AB49">
        <v>0</v>
      </c>
      <c r="AC49">
        <v>1</v>
      </c>
      <c r="AD49">
        <v>0</v>
      </c>
      <c r="AE49">
        <v>0</v>
      </c>
      <c r="AF49">
        <v>0</v>
      </c>
      <c r="AH49">
        <v>156</v>
      </c>
    </row>
    <row r="50" spans="1:34" x14ac:dyDescent="0.25">
      <c r="A50" s="1">
        <v>45</v>
      </c>
      <c r="B50">
        <v>0</v>
      </c>
      <c r="C50">
        <v>0</v>
      </c>
      <c r="D50">
        <v>0</v>
      </c>
      <c r="E50">
        <v>3</v>
      </c>
      <c r="F50">
        <v>7</v>
      </c>
      <c r="G50">
        <v>3</v>
      </c>
      <c r="H50">
        <v>14</v>
      </c>
      <c r="I50">
        <v>4</v>
      </c>
      <c r="J50">
        <v>6</v>
      </c>
      <c r="K50">
        <v>4</v>
      </c>
      <c r="L50">
        <v>0</v>
      </c>
      <c r="M50">
        <v>14</v>
      </c>
      <c r="N50">
        <v>7</v>
      </c>
      <c r="O50">
        <v>12</v>
      </c>
      <c r="P50">
        <v>0</v>
      </c>
      <c r="Q50">
        <v>5</v>
      </c>
      <c r="R50">
        <v>0</v>
      </c>
      <c r="S50">
        <v>2</v>
      </c>
      <c r="T50">
        <v>5</v>
      </c>
      <c r="U50">
        <v>0</v>
      </c>
      <c r="V50">
        <v>3</v>
      </c>
      <c r="W50">
        <v>21</v>
      </c>
      <c r="X50">
        <v>3</v>
      </c>
      <c r="Y50">
        <v>0</v>
      </c>
      <c r="Z50">
        <v>33</v>
      </c>
      <c r="AA50">
        <v>8</v>
      </c>
      <c r="AB50">
        <v>0</v>
      </c>
      <c r="AC50">
        <v>1</v>
      </c>
      <c r="AD50">
        <v>0</v>
      </c>
      <c r="AE50">
        <v>0</v>
      </c>
      <c r="AF50">
        <v>0</v>
      </c>
      <c r="AH50">
        <v>155</v>
      </c>
    </row>
    <row r="51" spans="1:34" x14ac:dyDescent="0.25">
      <c r="A51" s="1">
        <v>46</v>
      </c>
      <c r="B51">
        <v>0</v>
      </c>
      <c r="C51">
        <v>0</v>
      </c>
      <c r="D51">
        <v>0</v>
      </c>
      <c r="E51">
        <v>3</v>
      </c>
      <c r="F51">
        <v>7</v>
      </c>
      <c r="G51">
        <v>3</v>
      </c>
      <c r="H51">
        <v>14</v>
      </c>
      <c r="I51">
        <v>2</v>
      </c>
      <c r="J51">
        <v>8</v>
      </c>
      <c r="K51">
        <v>4</v>
      </c>
      <c r="L51">
        <v>0</v>
      </c>
      <c r="M51">
        <v>14</v>
      </c>
      <c r="N51">
        <v>7</v>
      </c>
      <c r="O51">
        <v>12</v>
      </c>
      <c r="P51">
        <v>0</v>
      </c>
      <c r="Q51">
        <v>5</v>
      </c>
      <c r="R51">
        <v>0</v>
      </c>
      <c r="S51">
        <v>2</v>
      </c>
      <c r="T51">
        <v>5</v>
      </c>
      <c r="U51">
        <v>0</v>
      </c>
      <c r="V51">
        <v>3</v>
      </c>
      <c r="W51">
        <v>21</v>
      </c>
      <c r="X51">
        <v>3</v>
      </c>
      <c r="Y51">
        <v>0</v>
      </c>
      <c r="Z51">
        <v>33</v>
      </c>
      <c r="AA51">
        <v>8</v>
      </c>
      <c r="AB51">
        <v>0</v>
      </c>
      <c r="AC51">
        <v>1</v>
      </c>
      <c r="AD51">
        <v>0</v>
      </c>
      <c r="AE51">
        <v>0</v>
      </c>
      <c r="AF51">
        <v>0</v>
      </c>
      <c r="AH51">
        <v>155</v>
      </c>
    </row>
    <row r="52" spans="1:34" x14ac:dyDescent="0.25">
      <c r="A52" s="1">
        <v>47</v>
      </c>
      <c r="B52">
        <v>0</v>
      </c>
      <c r="C52">
        <v>0</v>
      </c>
      <c r="D52">
        <v>0</v>
      </c>
      <c r="E52">
        <v>3</v>
      </c>
      <c r="F52">
        <v>7</v>
      </c>
      <c r="G52">
        <v>3</v>
      </c>
      <c r="H52">
        <v>14</v>
      </c>
      <c r="I52">
        <v>2</v>
      </c>
      <c r="J52">
        <v>8</v>
      </c>
      <c r="K52">
        <v>4</v>
      </c>
      <c r="L52">
        <v>0</v>
      </c>
      <c r="M52">
        <v>14</v>
      </c>
      <c r="N52">
        <v>7</v>
      </c>
      <c r="O52">
        <v>12</v>
      </c>
      <c r="P52">
        <v>0</v>
      </c>
      <c r="Q52">
        <v>5</v>
      </c>
      <c r="R52">
        <v>0</v>
      </c>
      <c r="S52">
        <v>2</v>
      </c>
      <c r="T52">
        <v>5</v>
      </c>
      <c r="U52">
        <v>0</v>
      </c>
      <c r="V52">
        <v>3</v>
      </c>
      <c r="W52">
        <v>21</v>
      </c>
      <c r="X52">
        <v>4</v>
      </c>
      <c r="Y52">
        <v>0</v>
      </c>
      <c r="Z52">
        <v>33</v>
      </c>
      <c r="AA52">
        <v>8</v>
      </c>
      <c r="AB52">
        <v>0</v>
      </c>
      <c r="AC52">
        <v>0</v>
      </c>
      <c r="AD52">
        <v>0</v>
      </c>
      <c r="AE52">
        <v>0</v>
      </c>
      <c r="AF52">
        <v>0</v>
      </c>
      <c r="AH52">
        <v>155</v>
      </c>
    </row>
    <row r="53" spans="1:34" x14ac:dyDescent="0.25">
      <c r="A53" s="1">
        <v>48</v>
      </c>
      <c r="B53">
        <v>0</v>
      </c>
      <c r="C53">
        <v>0</v>
      </c>
      <c r="D53">
        <v>0</v>
      </c>
      <c r="E53">
        <v>3</v>
      </c>
      <c r="F53">
        <v>7</v>
      </c>
      <c r="G53">
        <v>3</v>
      </c>
      <c r="H53">
        <v>14</v>
      </c>
      <c r="I53">
        <v>1</v>
      </c>
      <c r="J53">
        <v>9</v>
      </c>
      <c r="K53">
        <v>4</v>
      </c>
      <c r="L53">
        <v>0</v>
      </c>
      <c r="M53">
        <v>15</v>
      </c>
      <c r="N53">
        <v>7</v>
      </c>
      <c r="O53">
        <v>12</v>
      </c>
      <c r="P53">
        <v>0</v>
      </c>
      <c r="Q53">
        <v>6</v>
      </c>
      <c r="R53">
        <v>0</v>
      </c>
      <c r="S53">
        <v>2</v>
      </c>
      <c r="T53">
        <v>5</v>
      </c>
      <c r="U53">
        <v>0</v>
      </c>
      <c r="V53">
        <v>3</v>
      </c>
      <c r="W53">
        <v>21</v>
      </c>
      <c r="X53">
        <v>4</v>
      </c>
      <c r="Y53">
        <v>0</v>
      </c>
      <c r="Z53">
        <v>32</v>
      </c>
      <c r="AA53">
        <v>7</v>
      </c>
      <c r="AB53">
        <v>0</v>
      </c>
      <c r="AC53">
        <v>0</v>
      </c>
      <c r="AD53">
        <v>0</v>
      </c>
      <c r="AE53">
        <v>0</v>
      </c>
      <c r="AF53">
        <v>0</v>
      </c>
      <c r="AH53">
        <v>155</v>
      </c>
    </row>
    <row r="54" spans="1:34" x14ac:dyDescent="0.25">
      <c r="A54" s="1">
        <v>49</v>
      </c>
      <c r="B54">
        <v>0</v>
      </c>
      <c r="C54">
        <v>0</v>
      </c>
      <c r="D54">
        <v>0</v>
      </c>
      <c r="E54">
        <v>3</v>
      </c>
      <c r="F54">
        <v>7</v>
      </c>
      <c r="G54">
        <v>3</v>
      </c>
      <c r="H54">
        <v>14</v>
      </c>
      <c r="I54">
        <v>1</v>
      </c>
      <c r="J54">
        <v>9</v>
      </c>
      <c r="K54">
        <v>4</v>
      </c>
      <c r="L54">
        <v>0</v>
      </c>
      <c r="M54">
        <v>15</v>
      </c>
      <c r="N54">
        <v>7</v>
      </c>
      <c r="O54">
        <v>12</v>
      </c>
      <c r="P54">
        <v>0</v>
      </c>
      <c r="Q54">
        <v>6</v>
      </c>
      <c r="R54">
        <v>0</v>
      </c>
      <c r="S54">
        <v>2</v>
      </c>
      <c r="T54">
        <v>5</v>
      </c>
      <c r="U54">
        <v>0</v>
      </c>
      <c r="V54">
        <v>3</v>
      </c>
      <c r="W54">
        <v>21</v>
      </c>
      <c r="X54">
        <v>4</v>
      </c>
      <c r="Y54">
        <v>0</v>
      </c>
      <c r="Z54">
        <v>32</v>
      </c>
      <c r="AA54">
        <v>7</v>
      </c>
      <c r="AB54">
        <v>0</v>
      </c>
      <c r="AC54">
        <v>0</v>
      </c>
      <c r="AD54">
        <v>0</v>
      </c>
      <c r="AE54">
        <v>0</v>
      </c>
      <c r="AF54">
        <v>0</v>
      </c>
      <c r="AH54">
        <v>155</v>
      </c>
    </row>
    <row r="55" spans="1:34" x14ac:dyDescent="0.25">
      <c r="A55" s="1">
        <v>50</v>
      </c>
      <c r="B55">
        <v>0</v>
      </c>
      <c r="C55">
        <v>0</v>
      </c>
      <c r="D55">
        <v>0</v>
      </c>
      <c r="E55">
        <v>3</v>
      </c>
      <c r="F55">
        <v>7</v>
      </c>
      <c r="G55">
        <v>3</v>
      </c>
      <c r="H55">
        <v>14</v>
      </c>
      <c r="I55">
        <v>1</v>
      </c>
      <c r="J55">
        <v>9</v>
      </c>
      <c r="K55">
        <v>4</v>
      </c>
      <c r="L55">
        <v>0</v>
      </c>
      <c r="M55">
        <v>15</v>
      </c>
      <c r="N55">
        <v>7</v>
      </c>
      <c r="O55">
        <v>12</v>
      </c>
      <c r="P55">
        <v>0</v>
      </c>
      <c r="Q55">
        <v>6</v>
      </c>
      <c r="R55">
        <v>0</v>
      </c>
      <c r="S55">
        <v>2</v>
      </c>
      <c r="T55">
        <v>5</v>
      </c>
      <c r="U55">
        <v>0</v>
      </c>
      <c r="V55">
        <v>3</v>
      </c>
      <c r="W55">
        <v>21</v>
      </c>
      <c r="X55">
        <v>4</v>
      </c>
      <c r="Y55">
        <v>0</v>
      </c>
      <c r="Z55">
        <v>32</v>
      </c>
      <c r="AA55">
        <v>7</v>
      </c>
      <c r="AB55">
        <v>0</v>
      </c>
      <c r="AC55">
        <v>0</v>
      </c>
      <c r="AD55">
        <v>0</v>
      </c>
      <c r="AE55">
        <v>0</v>
      </c>
      <c r="AF55">
        <v>0</v>
      </c>
      <c r="AH55">
        <v>155</v>
      </c>
    </row>
    <row r="56" spans="1:34" x14ac:dyDescent="0.25">
      <c r="A56" s="1">
        <v>51</v>
      </c>
      <c r="B56">
        <v>0</v>
      </c>
      <c r="C56">
        <v>0</v>
      </c>
      <c r="D56">
        <v>0</v>
      </c>
      <c r="E56">
        <v>3</v>
      </c>
      <c r="F56">
        <v>7</v>
      </c>
      <c r="G56">
        <v>3</v>
      </c>
      <c r="H56">
        <v>13</v>
      </c>
      <c r="I56">
        <v>1</v>
      </c>
      <c r="J56">
        <v>9</v>
      </c>
      <c r="K56">
        <v>4</v>
      </c>
      <c r="L56">
        <v>0</v>
      </c>
      <c r="M56">
        <v>15</v>
      </c>
      <c r="N56">
        <v>7</v>
      </c>
      <c r="O56">
        <v>12</v>
      </c>
      <c r="P56">
        <v>0</v>
      </c>
      <c r="Q56">
        <v>7</v>
      </c>
      <c r="R56">
        <v>0</v>
      </c>
      <c r="S56">
        <v>2</v>
      </c>
      <c r="T56">
        <v>6</v>
      </c>
      <c r="U56">
        <v>0</v>
      </c>
      <c r="V56">
        <v>3</v>
      </c>
      <c r="W56">
        <v>21</v>
      </c>
      <c r="X56">
        <v>4</v>
      </c>
      <c r="Y56">
        <v>0</v>
      </c>
      <c r="Z56">
        <v>31</v>
      </c>
      <c r="AA56">
        <v>6</v>
      </c>
      <c r="AB56">
        <v>0</v>
      </c>
      <c r="AC56">
        <v>0</v>
      </c>
      <c r="AD56">
        <v>0</v>
      </c>
      <c r="AE56">
        <v>0</v>
      </c>
      <c r="AF56">
        <v>0</v>
      </c>
      <c r="AH56">
        <v>154</v>
      </c>
    </row>
    <row r="57" spans="1:34" x14ac:dyDescent="0.25">
      <c r="A57" s="1">
        <v>52</v>
      </c>
      <c r="B57">
        <v>0</v>
      </c>
      <c r="C57">
        <v>0</v>
      </c>
      <c r="D57">
        <v>0</v>
      </c>
      <c r="E57">
        <v>3</v>
      </c>
      <c r="F57">
        <v>7</v>
      </c>
      <c r="G57">
        <v>3</v>
      </c>
      <c r="H57">
        <v>13</v>
      </c>
      <c r="I57">
        <v>1</v>
      </c>
      <c r="J57">
        <v>9</v>
      </c>
      <c r="K57">
        <v>4</v>
      </c>
      <c r="L57">
        <v>0</v>
      </c>
      <c r="M57">
        <v>16</v>
      </c>
      <c r="N57">
        <v>7</v>
      </c>
      <c r="O57">
        <v>12</v>
      </c>
      <c r="P57">
        <v>0</v>
      </c>
      <c r="Q57">
        <v>7</v>
      </c>
      <c r="R57">
        <v>0</v>
      </c>
      <c r="S57">
        <v>2</v>
      </c>
      <c r="T57">
        <v>6</v>
      </c>
      <c r="U57">
        <v>0</v>
      </c>
      <c r="V57">
        <v>3</v>
      </c>
      <c r="W57">
        <v>22</v>
      </c>
      <c r="X57">
        <v>4</v>
      </c>
      <c r="Y57">
        <v>0</v>
      </c>
      <c r="Z57">
        <v>31</v>
      </c>
      <c r="AA57">
        <v>5</v>
      </c>
      <c r="AB57">
        <v>0</v>
      </c>
      <c r="AC57">
        <v>0</v>
      </c>
      <c r="AD57">
        <v>0</v>
      </c>
      <c r="AE57">
        <v>0</v>
      </c>
      <c r="AF57">
        <v>0</v>
      </c>
      <c r="AH57">
        <v>155</v>
      </c>
    </row>
    <row r="58" spans="1:34" x14ac:dyDescent="0.25">
      <c r="A58" s="1">
        <v>53</v>
      </c>
      <c r="B58">
        <v>0</v>
      </c>
      <c r="C58">
        <v>0</v>
      </c>
      <c r="D58">
        <v>0</v>
      </c>
      <c r="E58">
        <v>3</v>
      </c>
      <c r="F58">
        <v>7</v>
      </c>
      <c r="G58">
        <v>3</v>
      </c>
      <c r="H58">
        <v>13</v>
      </c>
      <c r="I58">
        <v>1</v>
      </c>
      <c r="J58">
        <v>9</v>
      </c>
      <c r="K58">
        <v>4</v>
      </c>
      <c r="L58">
        <v>0</v>
      </c>
      <c r="M58">
        <v>16</v>
      </c>
      <c r="N58">
        <v>7</v>
      </c>
      <c r="O58">
        <v>12</v>
      </c>
      <c r="P58">
        <v>0</v>
      </c>
      <c r="Q58">
        <v>7</v>
      </c>
      <c r="R58">
        <v>0</v>
      </c>
      <c r="S58">
        <v>2</v>
      </c>
      <c r="T58">
        <v>6</v>
      </c>
      <c r="U58">
        <v>0</v>
      </c>
      <c r="V58">
        <v>3</v>
      </c>
      <c r="W58">
        <v>22</v>
      </c>
      <c r="X58">
        <v>4</v>
      </c>
      <c r="Y58">
        <v>0</v>
      </c>
      <c r="Z58">
        <v>31</v>
      </c>
      <c r="AA58">
        <v>5</v>
      </c>
      <c r="AB58">
        <v>0</v>
      </c>
      <c r="AC58">
        <v>0</v>
      </c>
      <c r="AD58">
        <v>0</v>
      </c>
      <c r="AE58">
        <v>0</v>
      </c>
      <c r="AF58">
        <v>0</v>
      </c>
      <c r="AH58">
        <v>155</v>
      </c>
    </row>
    <row r="59" spans="1:34" x14ac:dyDescent="0.25">
      <c r="A59" s="1">
        <v>54</v>
      </c>
      <c r="B59">
        <v>0</v>
      </c>
      <c r="C59">
        <v>0</v>
      </c>
      <c r="D59">
        <v>0</v>
      </c>
      <c r="E59">
        <v>3</v>
      </c>
      <c r="F59">
        <v>7</v>
      </c>
      <c r="G59">
        <v>3</v>
      </c>
      <c r="H59">
        <v>13</v>
      </c>
      <c r="I59">
        <v>1</v>
      </c>
      <c r="J59">
        <v>9</v>
      </c>
      <c r="K59">
        <v>4</v>
      </c>
      <c r="L59">
        <v>0</v>
      </c>
      <c r="M59">
        <v>16</v>
      </c>
      <c r="N59">
        <v>7</v>
      </c>
      <c r="O59">
        <v>12</v>
      </c>
      <c r="P59">
        <v>0</v>
      </c>
      <c r="Q59">
        <v>7</v>
      </c>
      <c r="R59">
        <v>0</v>
      </c>
      <c r="S59">
        <v>2</v>
      </c>
      <c r="T59">
        <v>6</v>
      </c>
      <c r="U59">
        <v>0</v>
      </c>
      <c r="V59">
        <v>3</v>
      </c>
      <c r="W59">
        <v>22</v>
      </c>
      <c r="X59">
        <v>4</v>
      </c>
      <c r="Y59">
        <v>0</v>
      </c>
      <c r="Z59">
        <v>31</v>
      </c>
      <c r="AA59">
        <v>5</v>
      </c>
      <c r="AB59">
        <v>0</v>
      </c>
      <c r="AC59">
        <v>0</v>
      </c>
      <c r="AD59">
        <v>0</v>
      </c>
      <c r="AE59">
        <v>0</v>
      </c>
      <c r="AF59">
        <v>0</v>
      </c>
      <c r="AH59">
        <v>155</v>
      </c>
    </row>
    <row r="60" spans="1:34" x14ac:dyDescent="0.25">
      <c r="A60" s="1">
        <v>55</v>
      </c>
      <c r="B60">
        <v>0</v>
      </c>
      <c r="C60">
        <v>0</v>
      </c>
      <c r="D60">
        <v>0</v>
      </c>
      <c r="E60">
        <v>3</v>
      </c>
      <c r="F60">
        <v>7</v>
      </c>
      <c r="G60">
        <v>3</v>
      </c>
      <c r="H60">
        <v>13</v>
      </c>
      <c r="I60">
        <v>1</v>
      </c>
      <c r="J60">
        <v>9</v>
      </c>
      <c r="K60">
        <v>4</v>
      </c>
      <c r="L60">
        <v>0</v>
      </c>
      <c r="M60">
        <v>17</v>
      </c>
      <c r="N60">
        <v>7</v>
      </c>
      <c r="O60">
        <v>12</v>
      </c>
      <c r="P60">
        <v>0</v>
      </c>
      <c r="Q60">
        <v>7</v>
      </c>
      <c r="R60">
        <v>0</v>
      </c>
      <c r="S60">
        <v>2</v>
      </c>
      <c r="T60">
        <v>6</v>
      </c>
      <c r="U60">
        <v>0</v>
      </c>
      <c r="V60">
        <v>3</v>
      </c>
      <c r="W60">
        <v>22</v>
      </c>
      <c r="X60">
        <v>4</v>
      </c>
      <c r="Y60">
        <v>0</v>
      </c>
      <c r="Z60">
        <v>31</v>
      </c>
      <c r="AA60">
        <v>4</v>
      </c>
      <c r="AB60">
        <v>0</v>
      </c>
      <c r="AC60">
        <v>0</v>
      </c>
      <c r="AD60">
        <v>0</v>
      </c>
      <c r="AE60">
        <v>0</v>
      </c>
      <c r="AF60">
        <v>0</v>
      </c>
      <c r="AH60">
        <v>155</v>
      </c>
    </row>
    <row r="61" spans="1:34" x14ac:dyDescent="0.25">
      <c r="A61" s="1">
        <v>56</v>
      </c>
      <c r="B61">
        <v>0</v>
      </c>
      <c r="C61">
        <v>0</v>
      </c>
      <c r="D61">
        <v>0</v>
      </c>
      <c r="E61">
        <v>3</v>
      </c>
      <c r="F61">
        <v>7</v>
      </c>
      <c r="G61">
        <v>3</v>
      </c>
      <c r="H61">
        <v>13</v>
      </c>
      <c r="I61">
        <v>1</v>
      </c>
      <c r="J61">
        <v>9</v>
      </c>
      <c r="K61">
        <v>4</v>
      </c>
      <c r="L61">
        <v>0</v>
      </c>
      <c r="M61">
        <v>17</v>
      </c>
      <c r="N61">
        <v>7</v>
      </c>
      <c r="O61">
        <v>12</v>
      </c>
      <c r="P61">
        <v>0</v>
      </c>
      <c r="Q61">
        <v>8</v>
      </c>
      <c r="R61">
        <v>0</v>
      </c>
      <c r="S61">
        <v>2</v>
      </c>
      <c r="T61">
        <v>6</v>
      </c>
      <c r="U61">
        <v>0</v>
      </c>
      <c r="V61">
        <v>2</v>
      </c>
      <c r="W61">
        <v>22</v>
      </c>
      <c r="X61">
        <v>4</v>
      </c>
      <c r="Y61">
        <v>0</v>
      </c>
      <c r="Z61">
        <v>30</v>
      </c>
      <c r="AA61">
        <v>4</v>
      </c>
      <c r="AB61">
        <v>0</v>
      </c>
      <c r="AC61">
        <v>0</v>
      </c>
      <c r="AD61">
        <v>0</v>
      </c>
      <c r="AE61">
        <v>0</v>
      </c>
      <c r="AF61">
        <v>0</v>
      </c>
      <c r="AH61">
        <v>154</v>
      </c>
    </row>
    <row r="62" spans="1:34" x14ac:dyDescent="0.25">
      <c r="A62" s="1">
        <v>57</v>
      </c>
      <c r="B62">
        <v>0</v>
      </c>
      <c r="C62">
        <v>0</v>
      </c>
      <c r="D62">
        <v>0</v>
      </c>
      <c r="E62">
        <v>3</v>
      </c>
      <c r="F62">
        <v>7</v>
      </c>
      <c r="G62">
        <v>3</v>
      </c>
      <c r="H62">
        <v>13</v>
      </c>
      <c r="I62">
        <v>1</v>
      </c>
      <c r="J62">
        <v>9</v>
      </c>
      <c r="K62">
        <v>4</v>
      </c>
      <c r="L62">
        <v>0</v>
      </c>
      <c r="M62">
        <v>17</v>
      </c>
      <c r="N62">
        <v>7</v>
      </c>
      <c r="O62">
        <v>12</v>
      </c>
      <c r="P62">
        <v>0</v>
      </c>
      <c r="Q62">
        <v>6</v>
      </c>
      <c r="R62">
        <v>0</v>
      </c>
      <c r="S62">
        <v>2</v>
      </c>
      <c r="T62">
        <v>6</v>
      </c>
      <c r="U62">
        <v>0</v>
      </c>
      <c r="V62">
        <v>3</v>
      </c>
      <c r="W62">
        <v>22</v>
      </c>
      <c r="X62">
        <v>4</v>
      </c>
      <c r="Y62">
        <v>0</v>
      </c>
      <c r="Z62">
        <v>31</v>
      </c>
      <c r="AA62">
        <v>4</v>
      </c>
      <c r="AB62">
        <v>0</v>
      </c>
      <c r="AC62">
        <v>0</v>
      </c>
      <c r="AD62">
        <v>0</v>
      </c>
      <c r="AE62">
        <v>0</v>
      </c>
      <c r="AF62">
        <v>0</v>
      </c>
      <c r="AH62">
        <v>154</v>
      </c>
    </row>
    <row r="63" spans="1:34" x14ac:dyDescent="0.25">
      <c r="A63" s="1">
        <v>58</v>
      </c>
      <c r="B63">
        <v>0</v>
      </c>
      <c r="C63">
        <v>0</v>
      </c>
      <c r="D63">
        <v>0</v>
      </c>
      <c r="E63">
        <v>3</v>
      </c>
      <c r="F63">
        <v>7</v>
      </c>
      <c r="G63">
        <v>3</v>
      </c>
      <c r="H63">
        <v>14</v>
      </c>
      <c r="I63">
        <v>1</v>
      </c>
      <c r="J63">
        <v>11</v>
      </c>
      <c r="K63">
        <v>4</v>
      </c>
      <c r="L63">
        <v>0</v>
      </c>
      <c r="M63">
        <v>19</v>
      </c>
      <c r="N63">
        <v>4</v>
      </c>
      <c r="O63">
        <v>12</v>
      </c>
      <c r="P63">
        <v>0</v>
      </c>
      <c r="Q63">
        <v>6</v>
      </c>
      <c r="R63">
        <v>0</v>
      </c>
      <c r="S63">
        <v>2</v>
      </c>
      <c r="T63">
        <v>6</v>
      </c>
      <c r="U63">
        <v>0</v>
      </c>
      <c r="V63">
        <v>3</v>
      </c>
      <c r="W63">
        <v>22</v>
      </c>
      <c r="X63">
        <v>4</v>
      </c>
      <c r="Y63">
        <v>0</v>
      </c>
      <c r="Z63">
        <v>31</v>
      </c>
      <c r="AA63">
        <v>2</v>
      </c>
      <c r="AB63">
        <v>0</v>
      </c>
      <c r="AC63">
        <v>0</v>
      </c>
      <c r="AD63">
        <v>0</v>
      </c>
      <c r="AE63">
        <v>0</v>
      </c>
      <c r="AF63">
        <v>0</v>
      </c>
      <c r="AH63">
        <v>154</v>
      </c>
    </row>
    <row r="64" spans="1:34" x14ac:dyDescent="0.25">
      <c r="A64" s="1">
        <v>59</v>
      </c>
      <c r="B64">
        <v>0</v>
      </c>
      <c r="C64">
        <v>0</v>
      </c>
      <c r="D64">
        <v>0</v>
      </c>
      <c r="E64">
        <v>3</v>
      </c>
      <c r="F64">
        <v>7</v>
      </c>
      <c r="G64">
        <v>3</v>
      </c>
      <c r="H64">
        <v>14</v>
      </c>
      <c r="I64">
        <v>1</v>
      </c>
      <c r="J64">
        <v>11</v>
      </c>
      <c r="K64">
        <v>4</v>
      </c>
      <c r="L64">
        <v>0</v>
      </c>
      <c r="M64">
        <v>19</v>
      </c>
      <c r="N64">
        <v>3</v>
      </c>
      <c r="O64">
        <v>12</v>
      </c>
      <c r="P64">
        <v>0</v>
      </c>
      <c r="Q64">
        <v>6</v>
      </c>
      <c r="R64">
        <v>0</v>
      </c>
      <c r="S64">
        <v>2</v>
      </c>
      <c r="T64">
        <v>6</v>
      </c>
      <c r="U64">
        <v>0</v>
      </c>
      <c r="V64">
        <v>2</v>
      </c>
      <c r="W64">
        <v>23</v>
      </c>
      <c r="X64">
        <v>4</v>
      </c>
      <c r="Y64">
        <v>0</v>
      </c>
      <c r="Z64">
        <v>32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H64">
        <v>154</v>
      </c>
    </row>
    <row r="65" spans="1:34" x14ac:dyDescent="0.25">
      <c r="A65" s="1">
        <v>60</v>
      </c>
      <c r="B65">
        <v>0</v>
      </c>
      <c r="C65">
        <v>0</v>
      </c>
      <c r="D65">
        <v>0</v>
      </c>
      <c r="E65">
        <v>3</v>
      </c>
      <c r="F65">
        <v>7</v>
      </c>
      <c r="G65">
        <v>3</v>
      </c>
      <c r="H65">
        <v>14</v>
      </c>
      <c r="I65">
        <v>1</v>
      </c>
      <c r="J65">
        <v>11</v>
      </c>
      <c r="K65">
        <v>4</v>
      </c>
      <c r="L65">
        <v>0</v>
      </c>
      <c r="M65">
        <v>19</v>
      </c>
      <c r="N65">
        <v>3</v>
      </c>
      <c r="O65">
        <v>12</v>
      </c>
      <c r="P65">
        <v>0</v>
      </c>
      <c r="Q65">
        <v>6</v>
      </c>
      <c r="R65">
        <v>0</v>
      </c>
      <c r="S65">
        <v>2</v>
      </c>
      <c r="T65">
        <v>6</v>
      </c>
      <c r="U65">
        <v>0</v>
      </c>
      <c r="V65">
        <v>2</v>
      </c>
      <c r="W65">
        <v>23</v>
      </c>
      <c r="X65">
        <v>4</v>
      </c>
      <c r="Y65">
        <v>0</v>
      </c>
      <c r="Z65">
        <v>32</v>
      </c>
      <c r="AA65">
        <v>2</v>
      </c>
      <c r="AB65">
        <v>0</v>
      </c>
      <c r="AC65">
        <v>0</v>
      </c>
      <c r="AD65">
        <v>0</v>
      </c>
      <c r="AE65">
        <v>0</v>
      </c>
      <c r="AF65">
        <v>0</v>
      </c>
      <c r="AH65">
        <v>154</v>
      </c>
    </row>
    <row r="66" spans="1:34" x14ac:dyDescent="0.25">
      <c r="A66" s="1">
        <v>61</v>
      </c>
      <c r="B66">
        <v>0</v>
      </c>
      <c r="C66">
        <v>0</v>
      </c>
      <c r="D66">
        <v>0</v>
      </c>
      <c r="E66">
        <v>3</v>
      </c>
      <c r="F66">
        <v>7</v>
      </c>
      <c r="G66">
        <v>3</v>
      </c>
      <c r="H66">
        <v>14</v>
      </c>
      <c r="I66">
        <v>1</v>
      </c>
      <c r="J66">
        <v>11</v>
      </c>
      <c r="K66">
        <v>4</v>
      </c>
      <c r="L66">
        <v>0</v>
      </c>
      <c r="M66">
        <v>19</v>
      </c>
      <c r="N66">
        <v>3</v>
      </c>
      <c r="O66">
        <v>12</v>
      </c>
      <c r="P66">
        <v>0</v>
      </c>
      <c r="Q66">
        <v>5</v>
      </c>
      <c r="R66">
        <v>0</v>
      </c>
      <c r="S66">
        <v>2</v>
      </c>
      <c r="T66">
        <v>6</v>
      </c>
      <c r="U66">
        <v>0</v>
      </c>
      <c r="V66">
        <v>3</v>
      </c>
      <c r="W66">
        <v>23</v>
      </c>
      <c r="X66">
        <v>4</v>
      </c>
      <c r="Y66">
        <v>0</v>
      </c>
      <c r="Z66">
        <v>32</v>
      </c>
      <c r="AA66">
        <v>2</v>
      </c>
      <c r="AB66">
        <v>0</v>
      </c>
      <c r="AC66">
        <v>0</v>
      </c>
      <c r="AD66">
        <v>0</v>
      </c>
      <c r="AE66">
        <v>0</v>
      </c>
      <c r="AF66">
        <v>0</v>
      </c>
      <c r="AH66">
        <v>154</v>
      </c>
    </row>
    <row r="67" spans="1:34" x14ac:dyDescent="0.25">
      <c r="A67" s="1">
        <v>62</v>
      </c>
      <c r="B67">
        <v>0</v>
      </c>
      <c r="C67">
        <v>0</v>
      </c>
      <c r="D67">
        <v>0</v>
      </c>
      <c r="E67">
        <v>3</v>
      </c>
      <c r="F67">
        <v>7</v>
      </c>
      <c r="G67">
        <v>4</v>
      </c>
      <c r="H67">
        <v>14</v>
      </c>
      <c r="I67">
        <v>1</v>
      </c>
      <c r="J67">
        <v>11</v>
      </c>
      <c r="K67">
        <v>4</v>
      </c>
      <c r="L67">
        <v>0</v>
      </c>
      <c r="M67">
        <v>19</v>
      </c>
      <c r="N67">
        <v>3</v>
      </c>
      <c r="O67">
        <v>12</v>
      </c>
      <c r="P67">
        <v>0</v>
      </c>
      <c r="Q67">
        <v>5</v>
      </c>
      <c r="R67">
        <v>0</v>
      </c>
      <c r="S67">
        <v>2</v>
      </c>
      <c r="T67">
        <v>6</v>
      </c>
      <c r="U67">
        <v>0</v>
      </c>
      <c r="V67">
        <v>3</v>
      </c>
      <c r="W67">
        <v>24</v>
      </c>
      <c r="X67">
        <v>4</v>
      </c>
      <c r="Y67">
        <v>0</v>
      </c>
      <c r="Z67">
        <v>31</v>
      </c>
      <c r="AA67">
        <v>2</v>
      </c>
      <c r="AB67">
        <v>0</v>
      </c>
      <c r="AC67">
        <v>0</v>
      </c>
      <c r="AD67">
        <v>0</v>
      </c>
      <c r="AE67">
        <v>0</v>
      </c>
      <c r="AF67">
        <v>0</v>
      </c>
      <c r="AH67">
        <v>155</v>
      </c>
    </row>
    <row r="68" spans="1:34" x14ac:dyDescent="0.25">
      <c r="A68" s="1">
        <v>63</v>
      </c>
      <c r="B68">
        <v>0</v>
      </c>
      <c r="C68">
        <v>0</v>
      </c>
      <c r="D68">
        <v>0</v>
      </c>
      <c r="E68">
        <v>3</v>
      </c>
      <c r="F68">
        <v>7</v>
      </c>
      <c r="G68">
        <v>4</v>
      </c>
      <c r="H68">
        <v>14</v>
      </c>
      <c r="I68">
        <v>1</v>
      </c>
      <c r="J68">
        <v>11</v>
      </c>
      <c r="K68">
        <v>4</v>
      </c>
      <c r="L68">
        <v>0</v>
      </c>
      <c r="M68">
        <v>19</v>
      </c>
      <c r="N68">
        <v>3</v>
      </c>
      <c r="O68">
        <v>12</v>
      </c>
      <c r="P68">
        <v>0</v>
      </c>
      <c r="Q68">
        <v>5</v>
      </c>
      <c r="R68">
        <v>0</v>
      </c>
      <c r="S68">
        <v>2</v>
      </c>
      <c r="T68">
        <v>6</v>
      </c>
      <c r="U68">
        <v>0</v>
      </c>
      <c r="V68">
        <v>3</v>
      </c>
      <c r="W68">
        <v>24</v>
      </c>
      <c r="X68">
        <v>4</v>
      </c>
      <c r="Y68">
        <v>0</v>
      </c>
      <c r="Z68">
        <v>31</v>
      </c>
      <c r="AA68">
        <v>2</v>
      </c>
      <c r="AB68">
        <v>0</v>
      </c>
      <c r="AC68">
        <v>0</v>
      </c>
      <c r="AD68">
        <v>0</v>
      </c>
      <c r="AE68">
        <v>0</v>
      </c>
      <c r="AF68">
        <v>0</v>
      </c>
      <c r="AH68">
        <v>155</v>
      </c>
    </row>
    <row r="69" spans="1:34" x14ac:dyDescent="0.25">
      <c r="A69" s="1">
        <v>64</v>
      </c>
      <c r="B69">
        <v>0</v>
      </c>
      <c r="C69">
        <v>0</v>
      </c>
      <c r="D69">
        <v>0</v>
      </c>
      <c r="E69">
        <v>3</v>
      </c>
      <c r="F69">
        <v>8</v>
      </c>
      <c r="G69">
        <v>4</v>
      </c>
      <c r="H69">
        <v>14</v>
      </c>
      <c r="I69">
        <v>1</v>
      </c>
      <c r="J69">
        <v>11</v>
      </c>
      <c r="K69">
        <v>4</v>
      </c>
      <c r="L69">
        <v>0</v>
      </c>
      <c r="M69">
        <v>20</v>
      </c>
      <c r="N69">
        <v>0</v>
      </c>
      <c r="O69">
        <v>12</v>
      </c>
      <c r="P69">
        <v>0</v>
      </c>
      <c r="Q69">
        <v>6</v>
      </c>
      <c r="R69">
        <v>0</v>
      </c>
      <c r="S69">
        <v>2</v>
      </c>
      <c r="T69">
        <v>7</v>
      </c>
      <c r="U69">
        <v>0</v>
      </c>
      <c r="V69">
        <v>2</v>
      </c>
      <c r="W69">
        <v>26</v>
      </c>
      <c r="X69">
        <v>4</v>
      </c>
      <c r="Y69">
        <v>0</v>
      </c>
      <c r="Z69">
        <v>31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H69">
        <v>155</v>
      </c>
    </row>
    <row r="70" spans="1:34" x14ac:dyDescent="0.25">
      <c r="A70" s="1">
        <v>65</v>
      </c>
      <c r="B70">
        <v>0</v>
      </c>
      <c r="C70">
        <v>0</v>
      </c>
      <c r="D70">
        <v>0</v>
      </c>
      <c r="E70">
        <v>3</v>
      </c>
      <c r="F70">
        <v>8</v>
      </c>
      <c r="G70">
        <v>3</v>
      </c>
      <c r="H70">
        <v>14</v>
      </c>
      <c r="I70">
        <v>0</v>
      </c>
      <c r="J70">
        <v>12</v>
      </c>
      <c r="K70">
        <v>3</v>
      </c>
      <c r="L70">
        <v>0</v>
      </c>
      <c r="M70">
        <v>19</v>
      </c>
      <c r="N70">
        <v>0</v>
      </c>
      <c r="O70">
        <v>13</v>
      </c>
      <c r="P70">
        <v>0</v>
      </c>
      <c r="Q70">
        <v>6</v>
      </c>
      <c r="R70">
        <v>0</v>
      </c>
      <c r="S70">
        <v>2</v>
      </c>
      <c r="T70">
        <v>7</v>
      </c>
      <c r="U70">
        <v>0</v>
      </c>
      <c r="V70">
        <v>2</v>
      </c>
      <c r="W70">
        <v>26</v>
      </c>
      <c r="X70">
        <v>4</v>
      </c>
      <c r="Y70">
        <v>0</v>
      </c>
      <c r="Z70">
        <v>32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H70">
        <v>155</v>
      </c>
    </row>
    <row r="71" spans="1:34" x14ac:dyDescent="0.25">
      <c r="A71" s="1">
        <v>66</v>
      </c>
      <c r="B71">
        <v>0</v>
      </c>
      <c r="C71">
        <v>0</v>
      </c>
      <c r="D71">
        <v>0</v>
      </c>
      <c r="E71">
        <v>3</v>
      </c>
      <c r="F71">
        <v>8</v>
      </c>
      <c r="G71">
        <v>3</v>
      </c>
      <c r="H71">
        <v>14</v>
      </c>
      <c r="I71">
        <v>0</v>
      </c>
      <c r="J71">
        <v>12</v>
      </c>
      <c r="K71">
        <v>3</v>
      </c>
      <c r="L71">
        <v>0</v>
      </c>
      <c r="M71">
        <v>19</v>
      </c>
      <c r="N71">
        <v>0</v>
      </c>
      <c r="O71">
        <v>13</v>
      </c>
      <c r="P71">
        <v>0</v>
      </c>
      <c r="Q71">
        <v>6</v>
      </c>
      <c r="R71">
        <v>0</v>
      </c>
      <c r="S71">
        <v>2</v>
      </c>
      <c r="T71">
        <v>8</v>
      </c>
      <c r="U71">
        <v>0</v>
      </c>
      <c r="V71">
        <v>2</v>
      </c>
      <c r="W71">
        <v>26</v>
      </c>
      <c r="X71">
        <v>4</v>
      </c>
      <c r="Y71">
        <v>0</v>
      </c>
      <c r="Z71">
        <v>32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H71">
        <v>155</v>
      </c>
    </row>
    <row r="72" spans="1:34" x14ac:dyDescent="0.25">
      <c r="A72" s="1">
        <v>67</v>
      </c>
      <c r="B72">
        <v>0</v>
      </c>
      <c r="C72">
        <v>0</v>
      </c>
      <c r="D72">
        <v>0</v>
      </c>
      <c r="E72">
        <v>4</v>
      </c>
      <c r="F72">
        <v>8</v>
      </c>
      <c r="G72">
        <v>3</v>
      </c>
      <c r="H72">
        <v>14</v>
      </c>
      <c r="I72">
        <v>0</v>
      </c>
      <c r="J72">
        <v>12</v>
      </c>
      <c r="K72">
        <v>3</v>
      </c>
      <c r="L72">
        <v>0</v>
      </c>
      <c r="M72">
        <v>19</v>
      </c>
      <c r="N72">
        <v>0</v>
      </c>
      <c r="O72">
        <v>13</v>
      </c>
      <c r="P72">
        <v>0</v>
      </c>
      <c r="Q72">
        <v>7</v>
      </c>
      <c r="R72">
        <v>0</v>
      </c>
      <c r="S72">
        <v>2</v>
      </c>
      <c r="T72">
        <v>8</v>
      </c>
      <c r="U72">
        <v>0</v>
      </c>
      <c r="V72">
        <v>1</v>
      </c>
      <c r="W72">
        <v>26</v>
      </c>
      <c r="X72">
        <v>4</v>
      </c>
      <c r="Y72">
        <v>0</v>
      </c>
      <c r="Z72">
        <v>31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H72">
        <v>155</v>
      </c>
    </row>
    <row r="73" spans="1:34" x14ac:dyDescent="0.25">
      <c r="A73" s="1">
        <v>68</v>
      </c>
      <c r="B73">
        <v>0</v>
      </c>
      <c r="C73">
        <v>0</v>
      </c>
      <c r="D73">
        <v>0</v>
      </c>
      <c r="E73">
        <v>4</v>
      </c>
      <c r="F73">
        <v>8</v>
      </c>
      <c r="G73">
        <v>3</v>
      </c>
      <c r="H73">
        <v>14</v>
      </c>
      <c r="I73">
        <v>0</v>
      </c>
      <c r="J73">
        <v>12</v>
      </c>
      <c r="K73">
        <v>1</v>
      </c>
      <c r="L73">
        <v>0</v>
      </c>
      <c r="M73">
        <v>19</v>
      </c>
      <c r="N73">
        <v>0</v>
      </c>
      <c r="O73">
        <v>15</v>
      </c>
      <c r="P73">
        <v>0</v>
      </c>
      <c r="Q73">
        <v>7</v>
      </c>
      <c r="R73">
        <v>0</v>
      </c>
      <c r="S73">
        <v>2</v>
      </c>
      <c r="T73">
        <v>8</v>
      </c>
      <c r="U73">
        <v>0</v>
      </c>
      <c r="V73">
        <v>1</v>
      </c>
      <c r="W73">
        <v>26</v>
      </c>
      <c r="X73">
        <v>4</v>
      </c>
      <c r="Y73">
        <v>0</v>
      </c>
      <c r="Z73">
        <v>31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H73">
        <v>155</v>
      </c>
    </row>
    <row r="74" spans="1:34" x14ac:dyDescent="0.25">
      <c r="A74" s="1">
        <v>69</v>
      </c>
      <c r="B74">
        <v>0</v>
      </c>
      <c r="C74">
        <v>0</v>
      </c>
      <c r="D74">
        <v>0</v>
      </c>
      <c r="E74">
        <v>4</v>
      </c>
      <c r="F74">
        <v>8</v>
      </c>
      <c r="G74">
        <v>2</v>
      </c>
      <c r="H74">
        <v>14</v>
      </c>
      <c r="I74">
        <v>0</v>
      </c>
      <c r="J74">
        <v>12</v>
      </c>
      <c r="K74">
        <v>1</v>
      </c>
      <c r="L74">
        <v>0</v>
      </c>
      <c r="M74">
        <v>19</v>
      </c>
      <c r="N74">
        <v>0</v>
      </c>
      <c r="O74">
        <v>16</v>
      </c>
      <c r="P74">
        <v>0</v>
      </c>
      <c r="Q74">
        <v>7</v>
      </c>
      <c r="R74">
        <v>0</v>
      </c>
      <c r="S74">
        <v>2</v>
      </c>
      <c r="T74">
        <v>8</v>
      </c>
      <c r="U74">
        <v>0</v>
      </c>
      <c r="V74">
        <v>1</v>
      </c>
      <c r="W74">
        <v>26</v>
      </c>
      <c r="X74">
        <v>4</v>
      </c>
      <c r="Y74">
        <v>0</v>
      </c>
      <c r="Z74">
        <v>31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H74">
        <v>155</v>
      </c>
    </row>
    <row r="75" spans="1:34" x14ac:dyDescent="0.25">
      <c r="A75" s="1">
        <v>70</v>
      </c>
      <c r="B75">
        <v>0</v>
      </c>
      <c r="C75">
        <v>0</v>
      </c>
      <c r="D75">
        <v>0</v>
      </c>
      <c r="E75">
        <v>4</v>
      </c>
      <c r="F75">
        <v>8</v>
      </c>
      <c r="G75">
        <v>2</v>
      </c>
      <c r="H75">
        <v>14</v>
      </c>
      <c r="I75">
        <v>0</v>
      </c>
      <c r="J75">
        <v>12</v>
      </c>
      <c r="K75">
        <v>1</v>
      </c>
      <c r="L75">
        <v>0</v>
      </c>
      <c r="M75">
        <v>19</v>
      </c>
      <c r="N75">
        <v>0</v>
      </c>
      <c r="O75">
        <v>16</v>
      </c>
      <c r="P75">
        <v>0</v>
      </c>
      <c r="Q75">
        <v>7</v>
      </c>
      <c r="R75">
        <v>0</v>
      </c>
      <c r="S75">
        <v>2</v>
      </c>
      <c r="T75">
        <v>8</v>
      </c>
      <c r="U75">
        <v>0</v>
      </c>
      <c r="V75">
        <v>1</v>
      </c>
      <c r="W75">
        <v>26</v>
      </c>
      <c r="X75">
        <v>4</v>
      </c>
      <c r="Y75">
        <v>0</v>
      </c>
      <c r="Z75">
        <v>31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H75">
        <v>155</v>
      </c>
    </row>
    <row r="76" spans="1:34" x14ac:dyDescent="0.25">
      <c r="A76" s="1">
        <v>71</v>
      </c>
      <c r="B76">
        <v>0</v>
      </c>
      <c r="C76">
        <v>0</v>
      </c>
      <c r="D76">
        <v>0</v>
      </c>
      <c r="E76">
        <v>4</v>
      </c>
      <c r="F76">
        <v>8</v>
      </c>
      <c r="G76">
        <v>3</v>
      </c>
      <c r="H76">
        <v>14</v>
      </c>
      <c r="I76">
        <v>0</v>
      </c>
      <c r="J76">
        <v>12</v>
      </c>
      <c r="K76">
        <v>1</v>
      </c>
      <c r="L76">
        <v>0</v>
      </c>
      <c r="M76">
        <v>19</v>
      </c>
      <c r="N76">
        <v>0</v>
      </c>
      <c r="O76">
        <v>16</v>
      </c>
      <c r="P76">
        <v>0</v>
      </c>
      <c r="Q76">
        <v>7</v>
      </c>
      <c r="R76">
        <v>0</v>
      </c>
      <c r="S76">
        <v>2</v>
      </c>
      <c r="T76">
        <v>8</v>
      </c>
      <c r="U76">
        <v>0</v>
      </c>
      <c r="V76">
        <v>1</v>
      </c>
      <c r="W76">
        <v>26</v>
      </c>
      <c r="X76">
        <v>4</v>
      </c>
      <c r="Y76">
        <v>0</v>
      </c>
      <c r="Z76">
        <v>30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H76">
        <v>155</v>
      </c>
    </row>
    <row r="77" spans="1:34" x14ac:dyDescent="0.25">
      <c r="A77" s="1">
        <v>72</v>
      </c>
      <c r="B77">
        <v>0</v>
      </c>
      <c r="C77">
        <v>0</v>
      </c>
      <c r="D77">
        <v>0</v>
      </c>
      <c r="E77">
        <v>3</v>
      </c>
      <c r="F77">
        <v>8</v>
      </c>
      <c r="G77">
        <v>3</v>
      </c>
      <c r="H77">
        <v>14</v>
      </c>
      <c r="I77">
        <v>0</v>
      </c>
      <c r="J77">
        <v>12</v>
      </c>
      <c r="K77">
        <v>1</v>
      </c>
      <c r="L77">
        <v>0</v>
      </c>
      <c r="M77">
        <v>19</v>
      </c>
      <c r="N77">
        <v>0</v>
      </c>
      <c r="O77">
        <v>16</v>
      </c>
      <c r="P77">
        <v>0</v>
      </c>
      <c r="Q77">
        <v>8</v>
      </c>
      <c r="R77">
        <v>0</v>
      </c>
      <c r="S77">
        <v>2</v>
      </c>
      <c r="T77">
        <v>8</v>
      </c>
      <c r="U77">
        <v>0</v>
      </c>
      <c r="V77">
        <v>0</v>
      </c>
      <c r="W77">
        <v>26</v>
      </c>
      <c r="X77">
        <v>4</v>
      </c>
      <c r="Y77">
        <v>0</v>
      </c>
      <c r="Z77">
        <v>31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H77">
        <v>155</v>
      </c>
    </row>
    <row r="78" spans="1:34" x14ac:dyDescent="0.25">
      <c r="A78" s="1">
        <v>73</v>
      </c>
      <c r="B78">
        <v>0</v>
      </c>
      <c r="C78">
        <v>0</v>
      </c>
      <c r="D78">
        <v>0</v>
      </c>
      <c r="E78">
        <v>3</v>
      </c>
      <c r="F78">
        <v>8</v>
      </c>
      <c r="G78">
        <v>3</v>
      </c>
      <c r="H78">
        <v>14</v>
      </c>
      <c r="I78">
        <v>0</v>
      </c>
      <c r="J78">
        <v>12</v>
      </c>
      <c r="K78">
        <v>1</v>
      </c>
      <c r="L78">
        <v>0</v>
      </c>
      <c r="M78">
        <v>19</v>
      </c>
      <c r="N78">
        <v>0</v>
      </c>
      <c r="O78">
        <v>16</v>
      </c>
      <c r="P78">
        <v>0</v>
      </c>
      <c r="Q78">
        <v>8</v>
      </c>
      <c r="R78">
        <v>0</v>
      </c>
      <c r="S78">
        <v>2</v>
      </c>
      <c r="T78">
        <v>8</v>
      </c>
      <c r="U78">
        <v>0</v>
      </c>
      <c r="V78">
        <v>0</v>
      </c>
      <c r="W78">
        <v>26</v>
      </c>
      <c r="X78">
        <v>4</v>
      </c>
      <c r="Y78">
        <v>0</v>
      </c>
      <c r="Z78">
        <v>31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H78">
        <v>155</v>
      </c>
    </row>
    <row r="79" spans="1:34" x14ac:dyDescent="0.25">
      <c r="A79" s="1">
        <v>74</v>
      </c>
      <c r="B79">
        <v>0</v>
      </c>
      <c r="C79">
        <v>0</v>
      </c>
      <c r="D79">
        <v>0</v>
      </c>
      <c r="E79">
        <v>3</v>
      </c>
      <c r="F79">
        <v>8</v>
      </c>
      <c r="G79">
        <v>2</v>
      </c>
      <c r="H79">
        <v>14</v>
      </c>
      <c r="I79">
        <v>0</v>
      </c>
      <c r="J79">
        <v>12</v>
      </c>
      <c r="K79">
        <v>1</v>
      </c>
      <c r="L79">
        <v>0</v>
      </c>
      <c r="M79">
        <v>19</v>
      </c>
      <c r="N79">
        <v>0</v>
      </c>
      <c r="O79">
        <v>17</v>
      </c>
      <c r="P79">
        <v>0</v>
      </c>
      <c r="Q79">
        <v>8</v>
      </c>
      <c r="R79">
        <v>0</v>
      </c>
      <c r="S79">
        <v>2</v>
      </c>
      <c r="T79">
        <v>8</v>
      </c>
      <c r="U79">
        <v>0</v>
      </c>
      <c r="V79">
        <v>0</v>
      </c>
      <c r="W79">
        <v>26</v>
      </c>
      <c r="X79">
        <v>4</v>
      </c>
      <c r="Y79">
        <v>0</v>
      </c>
      <c r="Z79">
        <v>31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H79">
        <v>155</v>
      </c>
    </row>
    <row r="80" spans="1:34" x14ac:dyDescent="0.25">
      <c r="A80" s="1">
        <v>75</v>
      </c>
      <c r="B80">
        <v>0</v>
      </c>
      <c r="C80">
        <v>0</v>
      </c>
      <c r="D80">
        <v>0</v>
      </c>
      <c r="E80">
        <v>3</v>
      </c>
      <c r="F80">
        <v>8</v>
      </c>
      <c r="G80">
        <v>2</v>
      </c>
      <c r="H80">
        <v>14</v>
      </c>
      <c r="I80">
        <v>0</v>
      </c>
      <c r="J80">
        <v>12</v>
      </c>
      <c r="K80">
        <v>1</v>
      </c>
      <c r="L80">
        <v>0</v>
      </c>
      <c r="M80">
        <v>19</v>
      </c>
      <c r="N80">
        <v>0</v>
      </c>
      <c r="O80">
        <v>17</v>
      </c>
      <c r="P80">
        <v>0</v>
      </c>
      <c r="Q80">
        <v>8</v>
      </c>
      <c r="R80">
        <v>0</v>
      </c>
      <c r="S80">
        <v>2</v>
      </c>
      <c r="T80">
        <v>8</v>
      </c>
      <c r="U80">
        <v>0</v>
      </c>
      <c r="V80">
        <v>0</v>
      </c>
      <c r="W80">
        <v>26</v>
      </c>
      <c r="X80">
        <v>4</v>
      </c>
      <c r="Y80">
        <v>0</v>
      </c>
      <c r="Z80">
        <v>31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H80">
        <v>155</v>
      </c>
    </row>
    <row r="81" spans="1:34" x14ac:dyDescent="0.25">
      <c r="A81" s="1">
        <v>76</v>
      </c>
      <c r="B81">
        <v>0</v>
      </c>
      <c r="C81">
        <v>0</v>
      </c>
      <c r="D81">
        <v>0</v>
      </c>
      <c r="E81">
        <v>3</v>
      </c>
      <c r="F81">
        <v>8</v>
      </c>
      <c r="G81">
        <v>3</v>
      </c>
      <c r="H81">
        <v>14</v>
      </c>
      <c r="I81">
        <v>0</v>
      </c>
      <c r="J81">
        <v>12</v>
      </c>
      <c r="K81">
        <v>1</v>
      </c>
      <c r="L81">
        <v>0</v>
      </c>
      <c r="M81">
        <v>19</v>
      </c>
      <c r="N81">
        <v>0</v>
      </c>
      <c r="O81">
        <v>17</v>
      </c>
      <c r="P81">
        <v>0</v>
      </c>
      <c r="Q81">
        <v>8</v>
      </c>
      <c r="R81">
        <v>0</v>
      </c>
      <c r="S81">
        <v>2</v>
      </c>
      <c r="T81">
        <v>8</v>
      </c>
      <c r="U81">
        <v>0</v>
      </c>
      <c r="V81">
        <v>0</v>
      </c>
      <c r="W81">
        <v>26</v>
      </c>
      <c r="X81">
        <v>4</v>
      </c>
      <c r="Y81">
        <v>0</v>
      </c>
      <c r="Z81">
        <v>30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H81">
        <v>155</v>
      </c>
    </row>
    <row r="82" spans="1:34" x14ac:dyDescent="0.25">
      <c r="A82" s="1">
        <v>77</v>
      </c>
      <c r="B82">
        <v>0</v>
      </c>
      <c r="C82">
        <v>0</v>
      </c>
      <c r="D82">
        <v>0</v>
      </c>
      <c r="E82">
        <v>1</v>
      </c>
      <c r="F82">
        <v>8</v>
      </c>
      <c r="G82">
        <v>2</v>
      </c>
      <c r="H82">
        <v>14</v>
      </c>
      <c r="I82">
        <v>0</v>
      </c>
      <c r="J82">
        <v>12</v>
      </c>
      <c r="K82">
        <v>1</v>
      </c>
      <c r="L82">
        <v>0</v>
      </c>
      <c r="M82">
        <v>19</v>
      </c>
      <c r="N82">
        <v>0</v>
      </c>
      <c r="O82">
        <v>18</v>
      </c>
      <c r="P82">
        <v>0</v>
      </c>
      <c r="Q82">
        <v>8</v>
      </c>
      <c r="R82">
        <v>0</v>
      </c>
      <c r="S82">
        <v>2</v>
      </c>
      <c r="T82">
        <v>8</v>
      </c>
      <c r="U82">
        <v>0</v>
      </c>
      <c r="V82">
        <v>0</v>
      </c>
      <c r="W82">
        <v>26</v>
      </c>
      <c r="X82">
        <v>4</v>
      </c>
      <c r="Y82">
        <v>0</v>
      </c>
      <c r="Z82">
        <v>32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H82">
        <v>155</v>
      </c>
    </row>
    <row r="83" spans="1:34" x14ac:dyDescent="0.25">
      <c r="A83" s="1">
        <v>78</v>
      </c>
      <c r="B83">
        <v>0</v>
      </c>
      <c r="C83">
        <v>0</v>
      </c>
      <c r="D83">
        <v>0</v>
      </c>
      <c r="E83">
        <v>1</v>
      </c>
      <c r="F83">
        <v>8</v>
      </c>
      <c r="G83">
        <v>1</v>
      </c>
      <c r="H83">
        <v>14</v>
      </c>
      <c r="I83">
        <v>0</v>
      </c>
      <c r="J83">
        <v>12</v>
      </c>
      <c r="K83">
        <v>0</v>
      </c>
      <c r="L83">
        <v>0</v>
      </c>
      <c r="M83">
        <v>19</v>
      </c>
      <c r="N83">
        <v>0</v>
      </c>
      <c r="O83">
        <v>19</v>
      </c>
      <c r="P83">
        <v>0</v>
      </c>
      <c r="Q83">
        <v>8</v>
      </c>
      <c r="R83">
        <v>0</v>
      </c>
      <c r="S83">
        <v>2</v>
      </c>
      <c r="T83">
        <v>8</v>
      </c>
      <c r="U83">
        <v>0</v>
      </c>
      <c r="V83">
        <v>0</v>
      </c>
      <c r="W83">
        <v>26</v>
      </c>
      <c r="X83">
        <v>4</v>
      </c>
      <c r="Y83">
        <v>0</v>
      </c>
      <c r="Z83">
        <v>33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H83">
        <v>155</v>
      </c>
    </row>
    <row r="84" spans="1:34" x14ac:dyDescent="0.25">
      <c r="A84" s="1">
        <v>79</v>
      </c>
      <c r="B84">
        <v>0</v>
      </c>
      <c r="C84">
        <v>0</v>
      </c>
      <c r="D84">
        <v>0</v>
      </c>
      <c r="E84">
        <v>1</v>
      </c>
      <c r="F84">
        <v>8</v>
      </c>
      <c r="G84">
        <v>1</v>
      </c>
      <c r="H84">
        <v>14</v>
      </c>
      <c r="I84">
        <v>0</v>
      </c>
      <c r="J84">
        <v>12</v>
      </c>
      <c r="K84">
        <v>0</v>
      </c>
      <c r="L84">
        <v>0</v>
      </c>
      <c r="M84">
        <v>19</v>
      </c>
      <c r="N84">
        <v>0</v>
      </c>
      <c r="O84">
        <v>19</v>
      </c>
      <c r="P84">
        <v>0</v>
      </c>
      <c r="Q84">
        <v>8</v>
      </c>
      <c r="R84">
        <v>0</v>
      </c>
      <c r="S84">
        <v>2</v>
      </c>
      <c r="T84">
        <v>8</v>
      </c>
      <c r="U84">
        <v>0</v>
      </c>
      <c r="V84">
        <v>0</v>
      </c>
      <c r="W84">
        <v>26</v>
      </c>
      <c r="X84">
        <v>4</v>
      </c>
      <c r="Y84">
        <v>0</v>
      </c>
      <c r="Z84">
        <v>33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H84">
        <v>155</v>
      </c>
    </row>
    <row r="85" spans="1:34" x14ac:dyDescent="0.25">
      <c r="A85" s="1">
        <v>80</v>
      </c>
      <c r="B85">
        <v>0</v>
      </c>
      <c r="C85">
        <v>0</v>
      </c>
      <c r="D85">
        <v>0</v>
      </c>
      <c r="E85">
        <v>1</v>
      </c>
      <c r="F85">
        <v>8</v>
      </c>
      <c r="G85">
        <v>1</v>
      </c>
      <c r="H85">
        <v>15</v>
      </c>
      <c r="I85">
        <v>0</v>
      </c>
      <c r="J85">
        <v>12</v>
      </c>
      <c r="K85">
        <v>0</v>
      </c>
      <c r="L85">
        <v>0</v>
      </c>
      <c r="M85">
        <v>19</v>
      </c>
      <c r="N85">
        <v>0</v>
      </c>
      <c r="O85">
        <v>18</v>
      </c>
      <c r="P85">
        <v>0</v>
      </c>
      <c r="Q85">
        <v>8</v>
      </c>
      <c r="R85">
        <v>0</v>
      </c>
      <c r="S85">
        <v>2</v>
      </c>
      <c r="T85">
        <v>8</v>
      </c>
      <c r="U85">
        <v>0</v>
      </c>
      <c r="V85">
        <v>0</v>
      </c>
      <c r="W85">
        <v>26</v>
      </c>
      <c r="X85">
        <v>4</v>
      </c>
      <c r="Y85">
        <v>0</v>
      </c>
      <c r="Z85">
        <v>33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H85">
        <v>155</v>
      </c>
    </row>
    <row r="86" spans="1:34" x14ac:dyDescent="0.25">
      <c r="A86" s="1">
        <v>81</v>
      </c>
      <c r="B86">
        <v>0</v>
      </c>
      <c r="C86">
        <v>0</v>
      </c>
      <c r="D86">
        <v>0</v>
      </c>
      <c r="E86">
        <v>1</v>
      </c>
      <c r="F86">
        <v>8</v>
      </c>
      <c r="G86">
        <v>1</v>
      </c>
      <c r="H86">
        <v>16</v>
      </c>
      <c r="I86">
        <v>0</v>
      </c>
      <c r="J86">
        <v>12</v>
      </c>
      <c r="K86">
        <v>0</v>
      </c>
      <c r="L86">
        <v>0</v>
      </c>
      <c r="M86">
        <v>19</v>
      </c>
      <c r="N86">
        <v>0</v>
      </c>
      <c r="O86">
        <v>17</v>
      </c>
      <c r="P86">
        <v>0</v>
      </c>
      <c r="Q86">
        <v>8</v>
      </c>
      <c r="R86">
        <v>0</v>
      </c>
      <c r="S86">
        <v>2</v>
      </c>
      <c r="T86">
        <v>8</v>
      </c>
      <c r="U86">
        <v>0</v>
      </c>
      <c r="V86">
        <v>0</v>
      </c>
      <c r="W86">
        <v>26</v>
      </c>
      <c r="X86">
        <v>4</v>
      </c>
      <c r="Y86">
        <v>0</v>
      </c>
      <c r="Z86">
        <v>33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H86">
        <v>155</v>
      </c>
    </row>
    <row r="87" spans="1:34" x14ac:dyDescent="0.25">
      <c r="A87" s="1">
        <v>82</v>
      </c>
      <c r="B87">
        <v>0</v>
      </c>
      <c r="C87">
        <v>0</v>
      </c>
      <c r="D87">
        <v>0</v>
      </c>
      <c r="E87">
        <v>1</v>
      </c>
      <c r="F87">
        <v>8</v>
      </c>
      <c r="G87">
        <v>1</v>
      </c>
      <c r="H87">
        <v>16</v>
      </c>
      <c r="I87">
        <v>0</v>
      </c>
      <c r="J87">
        <v>12</v>
      </c>
      <c r="K87">
        <v>0</v>
      </c>
      <c r="L87">
        <v>0</v>
      </c>
      <c r="M87">
        <v>19</v>
      </c>
      <c r="N87">
        <v>0</v>
      </c>
      <c r="O87">
        <v>17</v>
      </c>
      <c r="P87">
        <v>0</v>
      </c>
      <c r="Q87">
        <v>8</v>
      </c>
      <c r="R87">
        <v>0</v>
      </c>
      <c r="S87">
        <v>2</v>
      </c>
      <c r="T87">
        <v>8</v>
      </c>
      <c r="U87">
        <v>0</v>
      </c>
      <c r="V87">
        <v>0</v>
      </c>
      <c r="W87">
        <v>26</v>
      </c>
      <c r="X87">
        <v>4</v>
      </c>
      <c r="Y87">
        <v>0</v>
      </c>
      <c r="Z87">
        <v>33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H87">
        <v>155</v>
      </c>
    </row>
    <row r="88" spans="1:34" x14ac:dyDescent="0.25">
      <c r="A88" s="1">
        <v>83</v>
      </c>
      <c r="B88">
        <v>0</v>
      </c>
      <c r="C88">
        <v>0</v>
      </c>
      <c r="D88">
        <v>0</v>
      </c>
      <c r="E88">
        <v>1</v>
      </c>
      <c r="F88">
        <v>8</v>
      </c>
      <c r="G88">
        <v>1</v>
      </c>
      <c r="H88">
        <v>16</v>
      </c>
      <c r="I88">
        <v>0</v>
      </c>
      <c r="J88">
        <v>12</v>
      </c>
      <c r="K88">
        <v>0</v>
      </c>
      <c r="L88">
        <v>0</v>
      </c>
      <c r="M88">
        <v>19</v>
      </c>
      <c r="N88">
        <v>0</v>
      </c>
      <c r="O88">
        <v>17</v>
      </c>
      <c r="P88">
        <v>0</v>
      </c>
      <c r="Q88">
        <v>8</v>
      </c>
      <c r="R88">
        <v>0</v>
      </c>
      <c r="S88">
        <v>2</v>
      </c>
      <c r="T88">
        <v>8</v>
      </c>
      <c r="U88">
        <v>0</v>
      </c>
      <c r="V88">
        <v>0</v>
      </c>
      <c r="W88">
        <v>26</v>
      </c>
      <c r="X88">
        <v>4</v>
      </c>
      <c r="Y88">
        <v>0</v>
      </c>
      <c r="Z88">
        <v>33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H88">
        <v>155</v>
      </c>
    </row>
    <row r="89" spans="1:34" x14ac:dyDescent="0.25">
      <c r="A89" s="1">
        <v>84</v>
      </c>
      <c r="B89">
        <v>0</v>
      </c>
      <c r="C89">
        <v>0</v>
      </c>
      <c r="D89">
        <v>0</v>
      </c>
      <c r="E89">
        <v>1</v>
      </c>
      <c r="F89">
        <v>8</v>
      </c>
      <c r="G89">
        <v>1</v>
      </c>
      <c r="H89">
        <v>16</v>
      </c>
      <c r="I89">
        <v>0</v>
      </c>
      <c r="J89">
        <v>12</v>
      </c>
      <c r="K89">
        <v>0</v>
      </c>
      <c r="L89">
        <v>0</v>
      </c>
      <c r="M89">
        <v>19</v>
      </c>
      <c r="N89">
        <v>0</v>
      </c>
      <c r="O89">
        <v>17</v>
      </c>
      <c r="P89">
        <v>0</v>
      </c>
      <c r="Q89">
        <v>8</v>
      </c>
      <c r="R89">
        <v>0</v>
      </c>
      <c r="S89">
        <v>2</v>
      </c>
      <c r="T89">
        <v>8</v>
      </c>
      <c r="U89">
        <v>0</v>
      </c>
      <c r="V89">
        <v>0</v>
      </c>
      <c r="W89">
        <v>26</v>
      </c>
      <c r="X89">
        <v>4</v>
      </c>
      <c r="Y89">
        <v>0</v>
      </c>
      <c r="Z89">
        <v>33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H89">
        <v>155</v>
      </c>
    </row>
    <row r="90" spans="1:34" x14ac:dyDescent="0.25">
      <c r="A90" s="1">
        <v>86</v>
      </c>
      <c r="B90">
        <v>0</v>
      </c>
      <c r="C90">
        <v>0</v>
      </c>
      <c r="D90">
        <v>0</v>
      </c>
      <c r="E90">
        <v>1</v>
      </c>
      <c r="F90">
        <v>8</v>
      </c>
      <c r="G90">
        <v>1</v>
      </c>
      <c r="H90">
        <v>15</v>
      </c>
      <c r="I90">
        <v>0</v>
      </c>
      <c r="J90">
        <v>12</v>
      </c>
      <c r="K90">
        <v>0</v>
      </c>
      <c r="L90">
        <v>0</v>
      </c>
      <c r="M90">
        <v>19</v>
      </c>
      <c r="N90">
        <v>0</v>
      </c>
      <c r="O90">
        <v>18</v>
      </c>
      <c r="P90">
        <v>0</v>
      </c>
      <c r="Q90">
        <v>9</v>
      </c>
      <c r="R90">
        <v>0</v>
      </c>
      <c r="S90">
        <v>2</v>
      </c>
      <c r="T90">
        <v>8</v>
      </c>
      <c r="U90">
        <v>0</v>
      </c>
      <c r="V90">
        <v>0</v>
      </c>
      <c r="W90">
        <v>26</v>
      </c>
      <c r="X90">
        <v>4</v>
      </c>
      <c r="Y90">
        <v>0</v>
      </c>
      <c r="Z90">
        <v>32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H90">
        <v>155</v>
      </c>
    </row>
    <row r="91" spans="1:34" x14ac:dyDescent="0.25">
      <c r="A91" s="1">
        <v>87</v>
      </c>
      <c r="B91">
        <v>0</v>
      </c>
      <c r="C91">
        <v>0</v>
      </c>
      <c r="D91">
        <v>0</v>
      </c>
      <c r="E91">
        <v>1</v>
      </c>
      <c r="F91">
        <v>8</v>
      </c>
      <c r="G91">
        <v>1</v>
      </c>
      <c r="H91">
        <v>16</v>
      </c>
      <c r="I91">
        <v>0</v>
      </c>
      <c r="J91">
        <v>12</v>
      </c>
      <c r="K91">
        <v>0</v>
      </c>
      <c r="L91">
        <v>0</v>
      </c>
      <c r="M91">
        <v>19</v>
      </c>
      <c r="N91">
        <v>0</v>
      </c>
      <c r="O91">
        <v>17</v>
      </c>
      <c r="P91">
        <v>0</v>
      </c>
      <c r="Q91">
        <v>10</v>
      </c>
      <c r="R91">
        <v>0</v>
      </c>
      <c r="S91">
        <v>2</v>
      </c>
      <c r="T91">
        <v>8</v>
      </c>
      <c r="U91">
        <v>0</v>
      </c>
      <c r="V91">
        <v>0</v>
      </c>
      <c r="W91">
        <v>26</v>
      </c>
      <c r="X91">
        <v>4</v>
      </c>
      <c r="Y91">
        <v>0</v>
      </c>
      <c r="Z91">
        <v>32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H91">
        <v>156</v>
      </c>
    </row>
    <row r="92" spans="1:34" x14ac:dyDescent="0.25">
      <c r="A92" s="1">
        <v>88</v>
      </c>
      <c r="B92">
        <v>0</v>
      </c>
      <c r="C92">
        <v>0</v>
      </c>
      <c r="D92">
        <v>0</v>
      </c>
      <c r="E92">
        <v>1</v>
      </c>
      <c r="F92">
        <v>8</v>
      </c>
      <c r="G92">
        <v>1</v>
      </c>
      <c r="H92">
        <v>16</v>
      </c>
      <c r="I92">
        <v>0</v>
      </c>
      <c r="J92">
        <v>12</v>
      </c>
      <c r="K92">
        <v>0</v>
      </c>
      <c r="L92">
        <v>0</v>
      </c>
      <c r="M92">
        <v>19</v>
      </c>
      <c r="N92">
        <v>0</v>
      </c>
      <c r="O92">
        <v>17</v>
      </c>
      <c r="P92">
        <v>0</v>
      </c>
      <c r="Q92">
        <v>10</v>
      </c>
      <c r="R92">
        <v>0</v>
      </c>
      <c r="S92">
        <v>2</v>
      </c>
      <c r="T92">
        <v>8</v>
      </c>
      <c r="U92">
        <v>0</v>
      </c>
      <c r="V92">
        <v>0</v>
      </c>
      <c r="W92">
        <v>26</v>
      </c>
      <c r="X92">
        <v>4</v>
      </c>
      <c r="Y92">
        <v>0</v>
      </c>
      <c r="Z92">
        <v>32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H92">
        <v>156</v>
      </c>
    </row>
    <row r="93" spans="1:34" x14ac:dyDescent="0.25">
      <c r="A93" s="1">
        <v>89</v>
      </c>
      <c r="B93">
        <v>0</v>
      </c>
      <c r="C93">
        <v>0</v>
      </c>
      <c r="D93">
        <v>0</v>
      </c>
      <c r="E93">
        <v>1</v>
      </c>
      <c r="F93">
        <v>8</v>
      </c>
      <c r="G93">
        <v>1</v>
      </c>
      <c r="H93">
        <v>15</v>
      </c>
      <c r="I93">
        <v>0</v>
      </c>
      <c r="J93">
        <v>12</v>
      </c>
      <c r="K93">
        <v>0</v>
      </c>
      <c r="L93">
        <v>0</v>
      </c>
      <c r="M93">
        <v>19</v>
      </c>
      <c r="N93">
        <v>0</v>
      </c>
      <c r="O93">
        <v>18</v>
      </c>
      <c r="P93">
        <v>0</v>
      </c>
      <c r="Q93">
        <v>11</v>
      </c>
      <c r="R93">
        <v>0</v>
      </c>
      <c r="S93">
        <v>2</v>
      </c>
      <c r="T93">
        <v>8</v>
      </c>
      <c r="U93">
        <v>0</v>
      </c>
      <c r="V93">
        <v>0</v>
      </c>
      <c r="W93">
        <v>26</v>
      </c>
      <c r="X93">
        <v>4</v>
      </c>
      <c r="Y93">
        <v>0</v>
      </c>
      <c r="Z93">
        <v>31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H93">
        <v>156</v>
      </c>
    </row>
    <row r="94" spans="1:34" x14ac:dyDescent="0.25">
      <c r="A94" s="1">
        <v>90</v>
      </c>
      <c r="B94">
        <v>0</v>
      </c>
      <c r="C94">
        <v>0</v>
      </c>
      <c r="D94">
        <v>0</v>
      </c>
      <c r="E94">
        <v>1</v>
      </c>
      <c r="F94">
        <v>8</v>
      </c>
      <c r="G94">
        <v>1</v>
      </c>
      <c r="H94">
        <v>15</v>
      </c>
      <c r="I94">
        <v>0</v>
      </c>
      <c r="J94">
        <v>12</v>
      </c>
      <c r="K94">
        <v>0</v>
      </c>
      <c r="L94">
        <v>0</v>
      </c>
      <c r="M94">
        <v>19</v>
      </c>
      <c r="N94">
        <v>0</v>
      </c>
      <c r="O94">
        <v>18</v>
      </c>
      <c r="P94">
        <v>0</v>
      </c>
      <c r="Q94">
        <v>11</v>
      </c>
      <c r="R94">
        <v>0</v>
      </c>
      <c r="S94">
        <v>2</v>
      </c>
      <c r="T94">
        <v>8</v>
      </c>
      <c r="U94">
        <v>0</v>
      </c>
      <c r="V94">
        <v>0</v>
      </c>
      <c r="W94">
        <v>26</v>
      </c>
      <c r="X94">
        <v>4</v>
      </c>
      <c r="Y94">
        <v>0</v>
      </c>
      <c r="Z94">
        <v>31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H94">
        <v>156</v>
      </c>
    </row>
    <row r="95" spans="1:34" x14ac:dyDescent="0.25">
      <c r="A95" s="1">
        <v>91</v>
      </c>
      <c r="B95">
        <v>0</v>
      </c>
      <c r="C95">
        <v>0</v>
      </c>
      <c r="D95">
        <v>0</v>
      </c>
      <c r="E95">
        <v>1</v>
      </c>
      <c r="F95">
        <v>8</v>
      </c>
      <c r="G95">
        <v>1</v>
      </c>
      <c r="H95">
        <v>15</v>
      </c>
      <c r="I95">
        <v>0</v>
      </c>
      <c r="J95">
        <v>12</v>
      </c>
      <c r="K95">
        <v>0</v>
      </c>
      <c r="L95">
        <v>0</v>
      </c>
      <c r="M95">
        <v>21</v>
      </c>
      <c r="N95">
        <v>0</v>
      </c>
      <c r="O95">
        <v>16</v>
      </c>
      <c r="P95">
        <v>0</v>
      </c>
      <c r="Q95">
        <v>11</v>
      </c>
      <c r="R95">
        <v>0</v>
      </c>
      <c r="S95">
        <v>2</v>
      </c>
      <c r="T95">
        <v>8</v>
      </c>
      <c r="U95">
        <v>0</v>
      </c>
      <c r="V95">
        <v>0</v>
      </c>
      <c r="W95">
        <v>26</v>
      </c>
      <c r="X95">
        <v>4</v>
      </c>
      <c r="Y95">
        <v>0</v>
      </c>
      <c r="Z95">
        <v>31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H95">
        <v>156</v>
      </c>
    </row>
    <row r="96" spans="1:34" x14ac:dyDescent="0.25">
      <c r="A96" s="1">
        <v>92</v>
      </c>
      <c r="B96">
        <v>0</v>
      </c>
      <c r="C96">
        <v>0</v>
      </c>
      <c r="D96">
        <v>0</v>
      </c>
      <c r="E96">
        <v>1</v>
      </c>
      <c r="F96">
        <v>8</v>
      </c>
      <c r="G96">
        <v>0</v>
      </c>
      <c r="H96">
        <v>17</v>
      </c>
      <c r="I96">
        <v>0</v>
      </c>
      <c r="J96">
        <v>12</v>
      </c>
      <c r="K96">
        <v>0</v>
      </c>
      <c r="L96">
        <v>0</v>
      </c>
      <c r="M96">
        <v>21</v>
      </c>
      <c r="N96">
        <v>0</v>
      </c>
      <c r="O96">
        <v>13</v>
      </c>
      <c r="P96">
        <v>0</v>
      </c>
      <c r="Q96">
        <v>10</v>
      </c>
      <c r="R96">
        <v>0</v>
      </c>
      <c r="S96">
        <v>2</v>
      </c>
      <c r="T96">
        <v>8</v>
      </c>
      <c r="U96">
        <v>0</v>
      </c>
      <c r="V96">
        <v>0</v>
      </c>
      <c r="W96">
        <v>28</v>
      </c>
      <c r="X96">
        <v>4</v>
      </c>
      <c r="Y96">
        <v>0</v>
      </c>
      <c r="Z96">
        <v>32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H96">
        <v>156</v>
      </c>
    </row>
    <row r="97" spans="1:34" x14ac:dyDescent="0.25">
      <c r="A97" s="1">
        <v>93</v>
      </c>
      <c r="B97">
        <v>0</v>
      </c>
      <c r="C97">
        <v>0</v>
      </c>
      <c r="D97">
        <v>0</v>
      </c>
      <c r="E97">
        <v>1</v>
      </c>
      <c r="F97">
        <v>8</v>
      </c>
      <c r="G97">
        <v>1</v>
      </c>
      <c r="H97">
        <v>18</v>
      </c>
      <c r="I97">
        <v>0</v>
      </c>
      <c r="J97">
        <v>12</v>
      </c>
      <c r="K97">
        <v>0</v>
      </c>
      <c r="L97">
        <v>0</v>
      </c>
      <c r="M97">
        <v>21</v>
      </c>
      <c r="N97">
        <v>0</v>
      </c>
      <c r="O97">
        <v>12</v>
      </c>
      <c r="P97">
        <v>0</v>
      </c>
      <c r="Q97">
        <v>10</v>
      </c>
      <c r="R97">
        <v>0</v>
      </c>
      <c r="S97">
        <v>2</v>
      </c>
      <c r="T97">
        <v>8</v>
      </c>
      <c r="U97">
        <v>0</v>
      </c>
      <c r="V97">
        <v>0</v>
      </c>
      <c r="W97">
        <v>27</v>
      </c>
      <c r="X97">
        <v>4</v>
      </c>
      <c r="Y97">
        <v>0</v>
      </c>
      <c r="Z97">
        <v>32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H97">
        <v>156</v>
      </c>
    </row>
    <row r="98" spans="1:34" x14ac:dyDescent="0.25">
      <c r="A98" s="1">
        <v>94</v>
      </c>
      <c r="B98">
        <v>0</v>
      </c>
      <c r="C98">
        <v>0</v>
      </c>
      <c r="D98">
        <v>0</v>
      </c>
      <c r="E98">
        <v>1</v>
      </c>
      <c r="F98">
        <v>8</v>
      </c>
      <c r="G98">
        <v>1</v>
      </c>
      <c r="H98">
        <v>19</v>
      </c>
      <c r="I98">
        <v>0</v>
      </c>
      <c r="J98">
        <v>12</v>
      </c>
      <c r="K98">
        <v>0</v>
      </c>
      <c r="L98">
        <v>0</v>
      </c>
      <c r="M98">
        <v>21</v>
      </c>
      <c r="N98">
        <v>0</v>
      </c>
      <c r="O98">
        <v>10</v>
      </c>
      <c r="P98">
        <v>0</v>
      </c>
      <c r="Q98">
        <v>11</v>
      </c>
      <c r="R98">
        <v>0</v>
      </c>
      <c r="S98">
        <v>2</v>
      </c>
      <c r="T98">
        <v>8</v>
      </c>
      <c r="U98">
        <v>0</v>
      </c>
      <c r="V98">
        <v>0</v>
      </c>
      <c r="W98">
        <v>28</v>
      </c>
      <c r="X98">
        <v>4</v>
      </c>
      <c r="Y98">
        <v>0</v>
      </c>
      <c r="Z98">
        <v>31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H98">
        <v>156</v>
      </c>
    </row>
    <row r="99" spans="1:34" x14ac:dyDescent="0.25">
      <c r="A99" s="1">
        <v>95</v>
      </c>
      <c r="B99">
        <v>0</v>
      </c>
      <c r="C99">
        <v>0</v>
      </c>
      <c r="D99">
        <v>0</v>
      </c>
      <c r="E99">
        <v>1</v>
      </c>
      <c r="F99">
        <v>8</v>
      </c>
      <c r="G99">
        <v>1</v>
      </c>
      <c r="H99">
        <v>19</v>
      </c>
      <c r="I99">
        <v>0</v>
      </c>
      <c r="J99">
        <v>12</v>
      </c>
      <c r="K99">
        <v>0</v>
      </c>
      <c r="L99">
        <v>0</v>
      </c>
      <c r="M99">
        <v>21</v>
      </c>
      <c r="N99">
        <v>0</v>
      </c>
      <c r="O99">
        <v>10</v>
      </c>
      <c r="P99">
        <v>0</v>
      </c>
      <c r="Q99">
        <v>11</v>
      </c>
      <c r="R99">
        <v>0</v>
      </c>
      <c r="S99">
        <v>2</v>
      </c>
      <c r="T99">
        <v>8</v>
      </c>
      <c r="U99">
        <v>0</v>
      </c>
      <c r="V99">
        <v>0</v>
      </c>
      <c r="W99">
        <v>28</v>
      </c>
      <c r="X99">
        <v>4</v>
      </c>
      <c r="Y99">
        <v>0</v>
      </c>
      <c r="Z99">
        <v>31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H99">
        <v>156</v>
      </c>
    </row>
    <row r="100" spans="1:34" x14ac:dyDescent="0.25">
      <c r="A100" s="1">
        <v>96</v>
      </c>
      <c r="B100">
        <v>0</v>
      </c>
      <c r="C100">
        <v>0</v>
      </c>
      <c r="D100">
        <v>0</v>
      </c>
      <c r="E100">
        <v>1</v>
      </c>
      <c r="F100">
        <v>8</v>
      </c>
      <c r="G100">
        <v>1</v>
      </c>
      <c r="H100">
        <v>19</v>
      </c>
      <c r="I100">
        <v>0</v>
      </c>
      <c r="J100">
        <v>12</v>
      </c>
      <c r="K100">
        <v>0</v>
      </c>
      <c r="L100">
        <v>0</v>
      </c>
      <c r="M100">
        <v>21</v>
      </c>
      <c r="N100">
        <v>0</v>
      </c>
      <c r="O100">
        <v>10</v>
      </c>
      <c r="P100">
        <v>0</v>
      </c>
      <c r="Q100">
        <v>11</v>
      </c>
      <c r="R100">
        <v>0</v>
      </c>
      <c r="S100">
        <v>2</v>
      </c>
      <c r="T100">
        <v>8</v>
      </c>
      <c r="U100">
        <v>0</v>
      </c>
      <c r="V100">
        <v>0</v>
      </c>
      <c r="W100">
        <v>28</v>
      </c>
      <c r="X100">
        <v>4</v>
      </c>
      <c r="Y100">
        <v>0</v>
      </c>
      <c r="Z100">
        <v>31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H100">
        <v>156</v>
      </c>
    </row>
    <row r="101" spans="1:34" x14ac:dyDescent="0.25">
      <c r="A101" s="1">
        <v>97</v>
      </c>
      <c r="B101">
        <v>0</v>
      </c>
      <c r="C101">
        <v>0</v>
      </c>
      <c r="D101">
        <v>0</v>
      </c>
      <c r="E101">
        <v>1</v>
      </c>
      <c r="F101">
        <v>8</v>
      </c>
      <c r="G101">
        <v>1</v>
      </c>
      <c r="H101">
        <v>19</v>
      </c>
      <c r="I101">
        <v>0</v>
      </c>
      <c r="J101">
        <v>12</v>
      </c>
      <c r="K101">
        <v>0</v>
      </c>
      <c r="L101">
        <v>0</v>
      </c>
      <c r="M101">
        <v>22</v>
      </c>
      <c r="N101">
        <v>0</v>
      </c>
      <c r="O101">
        <v>9</v>
      </c>
      <c r="P101">
        <v>0</v>
      </c>
      <c r="Q101">
        <v>11</v>
      </c>
      <c r="R101">
        <v>0</v>
      </c>
      <c r="S101">
        <v>2</v>
      </c>
      <c r="T101">
        <v>8</v>
      </c>
      <c r="U101">
        <v>0</v>
      </c>
      <c r="V101">
        <v>0</v>
      </c>
      <c r="W101">
        <v>28</v>
      </c>
      <c r="X101">
        <v>4</v>
      </c>
      <c r="Y101">
        <v>0</v>
      </c>
      <c r="Z101">
        <v>31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H101">
        <v>156</v>
      </c>
    </row>
    <row r="102" spans="1:34" x14ac:dyDescent="0.25">
      <c r="A102" s="1">
        <v>98</v>
      </c>
      <c r="B102">
        <v>0</v>
      </c>
      <c r="C102">
        <v>0</v>
      </c>
      <c r="D102">
        <v>0</v>
      </c>
      <c r="E102">
        <v>1</v>
      </c>
      <c r="F102">
        <v>8</v>
      </c>
      <c r="G102">
        <v>0</v>
      </c>
      <c r="H102">
        <v>19</v>
      </c>
      <c r="I102">
        <v>0</v>
      </c>
      <c r="J102">
        <v>12</v>
      </c>
      <c r="K102">
        <v>0</v>
      </c>
      <c r="L102">
        <v>0</v>
      </c>
      <c r="M102">
        <v>22</v>
      </c>
      <c r="N102">
        <v>0</v>
      </c>
      <c r="O102">
        <v>9</v>
      </c>
      <c r="P102">
        <v>0</v>
      </c>
      <c r="Q102">
        <v>11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29</v>
      </c>
      <c r="X102">
        <v>4</v>
      </c>
      <c r="Y102">
        <v>0</v>
      </c>
      <c r="Z102">
        <v>30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H102">
        <v>156</v>
      </c>
    </row>
    <row r="103" spans="1:34" x14ac:dyDescent="0.25">
      <c r="A103" s="1">
        <v>99</v>
      </c>
      <c r="B103">
        <v>0</v>
      </c>
      <c r="C103">
        <v>0</v>
      </c>
      <c r="D103">
        <v>0</v>
      </c>
      <c r="E103">
        <v>1</v>
      </c>
      <c r="F103">
        <v>8</v>
      </c>
      <c r="G103">
        <v>0</v>
      </c>
      <c r="H103">
        <v>19</v>
      </c>
      <c r="I103">
        <v>0</v>
      </c>
      <c r="J103">
        <v>12</v>
      </c>
      <c r="K103">
        <v>0</v>
      </c>
      <c r="L103">
        <v>0</v>
      </c>
      <c r="M103">
        <v>23</v>
      </c>
      <c r="N103">
        <v>0</v>
      </c>
      <c r="O103">
        <v>8</v>
      </c>
      <c r="P103">
        <v>0</v>
      </c>
      <c r="Q103">
        <v>11</v>
      </c>
      <c r="R103">
        <v>0</v>
      </c>
      <c r="S103">
        <v>2</v>
      </c>
      <c r="T103">
        <v>8</v>
      </c>
      <c r="U103">
        <v>0</v>
      </c>
      <c r="V103">
        <v>0</v>
      </c>
      <c r="W103">
        <v>29</v>
      </c>
      <c r="X103">
        <v>4</v>
      </c>
      <c r="Y103">
        <v>0</v>
      </c>
      <c r="Z103">
        <v>31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H103">
        <v>156</v>
      </c>
    </row>
    <row r="104" spans="1:34" x14ac:dyDescent="0.25">
      <c r="A104" s="1">
        <v>100</v>
      </c>
      <c r="B104">
        <v>0</v>
      </c>
      <c r="C104">
        <v>0</v>
      </c>
      <c r="D104">
        <v>0</v>
      </c>
      <c r="E104">
        <v>1</v>
      </c>
      <c r="F104">
        <v>9</v>
      </c>
      <c r="G104">
        <v>0</v>
      </c>
      <c r="H104">
        <v>20</v>
      </c>
      <c r="I104">
        <v>0</v>
      </c>
      <c r="J104">
        <v>12</v>
      </c>
      <c r="K104">
        <v>0</v>
      </c>
      <c r="L104">
        <v>0</v>
      </c>
      <c r="M104">
        <v>23</v>
      </c>
      <c r="N104">
        <v>0</v>
      </c>
      <c r="O104">
        <v>6</v>
      </c>
      <c r="P104">
        <v>0</v>
      </c>
      <c r="Q104">
        <v>12</v>
      </c>
      <c r="R104">
        <v>0</v>
      </c>
      <c r="S104">
        <v>2</v>
      </c>
      <c r="T104">
        <v>8</v>
      </c>
      <c r="U104">
        <v>0</v>
      </c>
      <c r="V104">
        <v>0</v>
      </c>
      <c r="W104">
        <v>29</v>
      </c>
      <c r="X104">
        <v>4</v>
      </c>
      <c r="Y104">
        <v>0</v>
      </c>
      <c r="Z104">
        <v>30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H104">
        <v>156</v>
      </c>
    </row>
    <row r="105" spans="1:34" x14ac:dyDescent="0.25">
      <c r="A105" s="1">
        <v>101</v>
      </c>
      <c r="B105">
        <v>0</v>
      </c>
      <c r="C105">
        <v>0</v>
      </c>
      <c r="D105">
        <v>0</v>
      </c>
      <c r="E105">
        <v>1</v>
      </c>
      <c r="F105">
        <v>10</v>
      </c>
      <c r="G105">
        <v>0</v>
      </c>
      <c r="H105">
        <v>20</v>
      </c>
      <c r="I105">
        <v>0</v>
      </c>
      <c r="J105">
        <v>12</v>
      </c>
      <c r="K105">
        <v>0</v>
      </c>
      <c r="L105">
        <v>0</v>
      </c>
      <c r="M105">
        <v>23</v>
      </c>
      <c r="N105">
        <v>0</v>
      </c>
      <c r="O105">
        <v>5</v>
      </c>
      <c r="P105">
        <v>0</v>
      </c>
      <c r="Q105">
        <v>12</v>
      </c>
      <c r="R105">
        <v>0</v>
      </c>
      <c r="S105">
        <v>2</v>
      </c>
      <c r="T105">
        <v>8</v>
      </c>
      <c r="U105">
        <v>0</v>
      </c>
      <c r="V105">
        <v>0</v>
      </c>
      <c r="W105">
        <v>29</v>
      </c>
      <c r="X105">
        <v>4</v>
      </c>
      <c r="Y105">
        <v>0</v>
      </c>
      <c r="Z105">
        <v>30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H105">
        <v>156</v>
      </c>
    </row>
    <row r="106" spans="1:34" x14ac:dyDescent="0.25">
      <c r="A106" s="1">
        <v>102</v>
      </c>
      <c r="B106">
        <v>0</v>
      </c>
      <c r="C106">
        <v>0</v>
      </c>
      <c r="D106">
        <v>0</v>
      </c>
      <c r="E106">
        <v>1</v>
      </c>
      <c r="F106">
        <v>11</v>
      </c>
      <c r="G106">
        <v>0</v>
      </c>
      <c r="H106">
        <v>20</v>
      </c>
      <c r="I106">
        <v>0</v>
      </c>
      <c r="J106">
        <v>12</v>
      </c>
      <c r="K106">
        <v>0</v>
      </c>
      <c r="L106">
        <v>0</v>
      </c>
      <c r="M106">
        <v>23</v>
      </c>
      <c r="N106">
        <v>0</v>
      </c>
      <c r="O106">
        <v>4</v>
      </c>
      <c r="P106">
        <v>0</v>
      </c>
      <c r="Q106">
        <v>12</v>
      </c>
      <c r="R106">
        <v>0</v>
      </c>
      <c r="S106">
        <v>3</v>
      </c>
      <c r="T106">
        <v>8</v>
      </c>
      <c r="U106">
        <v>0</v>
      </c>
      <c r="V106">
        <v>0</v>
      </c>
      <c r="W106">
        <v>29</v>
      </c>
      <c r="X106">
        <v>4</v>
      </c>
      <c r="Y106">
        <v>0</v>
      </c>
      <c r="Z106">
        <v>29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H106">
        <v>156</v>
      </c>
    </row>
    <row r="107" spans="1:34" x14ac:dyDescent="0.25">
      <c r="A107" s="1">
        <v>103</v>
      </c>
      <c r="B107">
        <v>0</v>
      </c>
      <c r="C107">
        <v>0</v>
      </c>
      <c r="D107">
        <v>0</v>
      </c>
      <c r="E107">
        <v>1</v>
      </c>
      <c r="F107">
        <v>12</v>
      </c>
      <c r="G107">
        <v>0</v>
      </c>
      <c r="H107">
        <v>20</v>
      </c>
      <c r="I107">
        <v>0</v>
      </c>
      <c r="J107">
        <v>12</v>
      </c>
      <c r="K107">
        <v>0</v>
      </c>
      <c r="L107">
        <v>0</v>
      </c>
      <c r="M107">
        <v>23</v>
      </c>
      <c r="N107">
        <v>0</v>
      </c>
      <c r="O107">
        <v>3</v>
      </c>
      <c r="P107">
        <v>0</v>
      </c>
      <c r="Q107">
        <v>13</v>
      </c>
      <c r="R107">
        <v>0</v>
      </c>
      <c r="S107">
        <v>3</v>
      </c>
      <c r="T107">
        <v>8</v>
      </c>
      <c r="U107">
        <v>0</v>
      </c>
      <c r="V107">
        <v>0</v>
      </c>
      <c r="W107">
        <v>29</v>
      </c>
      <c r="X107">
        <v>4</v>
      </c>
      <c r="Y107">
        <v>0</v>
      </c>
      <c r="Z107">
        <v>28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H107">
        <v>156</v>
      </c>
    </row>
    <row r="108" spans="1:34" x14ac:dyDescent="0.25">
      <c r="A108" s="1">
        <v>104</v>
      </c>
      <c r="B108">
        <v>0</v>
      </c>
      <c r="C108">
        <v>0</v>
      </c>
      <c r="D108">
        <v>0</v>
      </c>
      <c r="E108">
        <v>1</v>
      </c>
      <c r="F108">
        <v>12</v>
      </c>
      <c r="G108">
        <v>0</v>
      </c>
      <c r="H108">
        <v>20</v>
      </c>
      <c r="I108">
        <v>0</v>
      </c>
      <c r="J108">
        <v>12</v>
      </c>
      <c r="K108">
        <v>0</v>
      </c>
      <c r="L108">
        <v>0</v>
      </c>
      <c r="M108">
        <v>23</v>
      </c>
      <c r="N108">
        <v>0</v>
      </c>
      <c r="O108">
        <v>3</v>
      </c>
      <c r="P108">
        <v>0</v>
      </c>
      <c r="Q108">
        <v>13</v>
      </c>
      <c r="R108">
        <v>0</v>
      </c>
      <c r="S108">
        <v>3</v>
      </c>
      <c r="T108">
        <v>8</v>
      </c>
      <c r="U108">
        <v>0</v>
      </c>
      <c r="V108">
        <v>0</v>
      </c>
      <c r="W108">
        <v>29</v>
      </c>
      <c r="X108">
        <v>4</v>
      </c>
      <c r="Y108">
        <v>0</v>
      </c>
      <c r="Z108">
        <v>28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H108">
        <v>156</v>
      </c>
    </row>
    <row r="109" spans="1:34" x14ac:dyDescent="0.25">
      <c r="A109" s="1">
        <v>105</v>
      </c>
      <c r="B109">
        <v>0</v>
      </c>
      <c r="C109">
        <v>0</v>
      </c>
      <c r="D109">
        <v>0</v>
      </c>
      <c r="E109">
        <v>1</v>
      </c>
      <c r="F109">
        <v>12</v>
      </c>
      <c r="G109">
        <v>0</v>
      </c>
      <c r="H109">
        <v>20</v>
      </c>
      <c r="I109">
        <v>0</v>
      </c>
      <c r="J109">
        <v>12</v>
      </c>
      <c r="K109">
        <v>0</v>
      </c>
      <c r="L109">
        <v>0</v>
      </c>
      <c r="M109">
        <v>23</v>
      </c>
      <c r="N109">
        <v>0</v>
      </c>
      <c r="O109">
        <v>3</v>
      </c>
      <c r="P109">
        <v>0</v>
      </c>
      <c r="Q109">
        <v>13</v>
      </c>
      <c r="R109">
        <v>0</v>
      </c>
      <c r="S109">
        <v>4</v>
      </c>
      <c r="T109">
        <v>8</v>
      </c>
      <c r="U109">
        <v>0</v>
      </c>
      <c r="V109">
        <v>0</v>
      </c>
      <c r="W109">
        <v>29</v>
      </c>
      <c r="X109">
        <v>4</v>
      </c>
      <c r="Y109">
        <v>0</v>
      </c>
      <c r="Z109">
        <v>27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H109">
        <v>156</v>
      </c>
    </row>
    <row r="110" spans="1:34" x14ac:dyDescent="0.25">
      <c r="A110" s="1">
        <v>106</v>
      </c>
      <c r="B110">
        <v>0</v>
      </c>
      <c r="C110">
        <v>0</v>
      </c>
      <c r="D110">
        <v>0</v>
      </c>
      <c r="E110">
        <v>1</v>
      </c>
      <c r="F110">
        <v>13</v>
      </c>
      <c r="G110">
        <v>0</v>
      </c>
      <c r="H110">
        <v>21</v>
      </c>
      <c r="I110">
        <v>0</v>
      </c>
      <c r="J110">
        <v>12</v>
      </c>
      <c r="K110">
        <v>0</v>
      </c>
      <c r="L110">
        <v>0</v>
      </c>
      <c r="M110">
        <v>23</v>
      </c>
      <c r="N110">
        <v>0</v>
      </c>
      <c r="O110">
        <v>0</v>
      </c>
      <c r="P110">
        <v>0</v>
      </c>
      <c r="Q110">
        <v>13</v>
      </c>
      <c r="R110">
        <v>0</v>
      </c>
      <c r="S110">
        <v>4</v>
      </c>
      <c r="T110">
        <v>8</v>
      </c>
      <c r="U110">
        <v>0</v>
      </c>
      <c r="V110">
        <v>0</v>
      </c>
      <c r="W110">
        <v>30</v>
      </c>
      <c r="X110">
        <v>4</v>
      </c>
      <c r="Y110">
        <v>0</v>
      </c>
      <c r="Z110">
        <v>27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H110">
        <v>156</v>
      </c>
    </row>
    <row r="111" spans="1:34" x14ac:dyDescent="0.25">
      <c r="A111" s="1">
        <v>107</v>
      </c>
      <c r="B111">
        <v>0</v>
      </c>
      <c r="C111">
        <v>0</v>
      </c>
      <c r="D111">
        <v>0</v>
      </c>
      <c r="E111">
        <v>2</v>
      </c>
      <c r="F111">
        <v>13</v>
      </c>
      <c r="G111">
        <v>0</v>
      </c>
      <c r="H111">
        <v>21</v>
      </c>
      <c r="I111">
        <v>0</v>
      </c>
      <c r="J111">
        <v>12</v>
      </c>
      <c r="K111">
        <v>0</v>
      </c>
      <c r="L111">
        <v>0</v>
      </c>
      <c r="M111">
        <v>23</v>
      </c>
      <c r="N111">
        <v>0</v>
      </c>
      <c r="O111">
        <v>0</v>
      </c>
      <c r="P111">
        <v>0</v>
      </c>
      <c r="Q111">
        <v>13</v>
      </c>
      <c r="R111">
        <v>0</v>
      </c>
      <c r="S111">
        <v>4</v>
      </c>
      <c r="T111">
        <v>8</v>
      </c>
      <c r="U111">
        <v>0</v>
      </c>
      <c r="V111">
        <v>0</v>
      </c>
      <c r="W111">
        <v>30</v>
      </c>
      <c r="X111">
        <v>4</v>
      </c>
      <c r="Y111">
        <v>0</v>
      </c>
      <c r="Z111">
        <v>26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H111">
        <v>156</v>
      </c>
    </row>
    <row r="112" spans="1:34" x14ac:dyDescent="0.25">
      <c r="A112" s="1">
        <v>108</v>
      </c>
      <c r="B112">
        <v>0</v>
      </c>
      <c r="C112">
        <v>0</v>
      </c>
      <c r="D112">
        <v>0</v>
      </c>
      <c r="E112">
        <v>2</v>
      </c>
      <c r="F112">
        <v>13</v>
      </c>
      <c r="G112">
        <v>0</v>
      </c>
      <c r="H112">
        <v>21</v>
      </c>
      <c r="I112">
        <v>0</v>
      </c>
      <c r="J112">
        <v>12</v>
      </c>
      <c r="K112">
        <v>0</v>
      </c>
      <c r="L112">
        <v>0</v>
      </c>
      <c r="M112">
        <v>23</v>
      </c>
      <c r="N112">
        <v>0</v>
      </c>
      <c r="O112">
        <v>0</v>
      </c>
      <c r="P112">
        <v>0</v>
      </c>
      <c r="Q112">
        <v>13</v>
      </c>
      <c r="R112">
        <v>0</v>
      </c>
      <c r="S112">
        <v>4</v>
      </c>
      <c r="T112">
        <v>8</v>
      </c>
      <c r="U112">
        <v>0</v>
      </c>
      <c r="V112">
        <v>0</v>
      </c>
      <c r="W112">
        <v>30</v>
      </c>
      <c r="X112">
        <v>4</v>
      </c>
      <c r="Y112">
        <v>0</v>
      </c>
      <c r="Z112">
        <v>26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H112">
        <v>156</v>
      </c>
    </row>
    <row r="113" spans="1:34" x14ac:dyDescent="0.25">
      <c r="A113" s="1">
        <v>109</v>
      </c>
      <c r="B113">
        <v>0</v>
      </c>
      <c r="C113">
        <v>0</v>
      </c>
      <c r="D113">
        <v>0</v>
      </c>
      <c r="E113">
        <v>2</v>
      </c>
      <c r="F113">
        <v>14</v>
      </c>
      <c r="G113">
        <v>0</v>
      </c>
      <c r="H113">
        <v>21</v>
      </c>
      <c r="I113">
        <v>0</v>
      </c>
      <c r="J113">
        <v>12</v>
      </c>
      <c r="K113">
        <v>0</v>
      </c>
      <c r="L113">
        <v>0</v>
      </c>
      <c r="M113">
        <v>23</v>
      </c>
      <c r="N113">
        <v>0</v>
      </c>
      <c r="O113">
        <v>0</v>
      </c>
      <c r="P113">
        <v>0</v>
      </c>
      <c r="Q113">
        <v>14</v>
      </c>
      <c r="R113">
        <v>0</v>
      </c>
      <c r="S113">
        <v>2</v>
      </c>
      <c r="T113">
        <v>8</v>
      </c>
      <c r="U113">
        <v>0</v>
      </c>
      <c r="V113">
        <v>0</v>
      </c>
      <c r="W113">
        <v>30</v>
      </c>
      <c r="X113">
        <v>4</v>
      </c>
      <c r="Y113">
        <v>0</v>
      </c>
      <c r="Z113">
        <v>25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H113">
        <v>155</v>
      </c>
    </row>
    <row r="114" spans="1:34" x14ac:dyDescent="0.25">
      <c r="A114" s="1">
        <v>110</v>
      </c>
      <c r="B114">
        <v>0</v>
      </c>
      <c r="C114">
        <v>0</v>
      </c>
      <c r="D114">
        <v>0</v>
      </c>
      <c r="E114">
        <v>2</v>
      </c>
      <c r="F114">
        <v>14</v>
      </c>
      <c r="G114">
        <v>0</v>
      </c>
      <c r="H114">
        <v>21</v>
      </c>
      <c r="I114">
        <v>0</v>
      </c>
      <c r="J114">
        <v>12</v>
      </c>
      <c r="K114">
        <v>0</v>
      </c>
      <c r="L114">
        <v>0</v>
      </c>
      <c r="M114">
        <v>23</v>
      </c>
      <c r="N114">
        <v>0</v>
      </c>
      <c r="O114">
        <v>0</v>
      </c>
      <c r="P114">
        <v>0</v>
      </c>
      <c r="Q114">
        <v>14</v>
      </c>
      <c r="R114">
        <v>0</v>
      </c>
      <c r="S114">
        <v>2</v>
      </c>
      <c r="T114">
        <v>8</v>
      </c>
      <c r="U114">
        <v>0</v>
      </c>
      <c r="V114">
        <v>0</v>
      </c>
      <c r="W114">
        <v>30</v>
      </c>
      <c r="X114">
        <v>4</v>
      </c>
      <c r="Y114">
        <v>0</v>
      </c>
      <c r="Z114">
        <v>25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H114">
        <v>155</v>
      </c>
    </row>
    <row r="115" spans="1:34" x14ac:dyDescent="0.25">
      <c r="A115" s="1">
        <v>111</v>
      </c>
      <c r="B115">
        <v>0</v>
      </c>
      <c r="C115">
        <v>0</v>
      </c>
      <c r="D115">
        <v>0</v>
      </c>
      <c r="E115">
        <v>2</v>
      </c>
      <c r="F115">
        <v>14</v>
      </c>
      <c r="G115">
        <v>0</v>
      </c>
      <c r="H115">
        <v>21</v>
      </c>
      <c r="I115">
        <v>0</v>
      </c>
      <c r="J115">
        <v>12</v>
      </c>
      <c r="K115">
        <v>0</v>
      </c>
      <c r="L115">
        <v>0</v>
      </c>
      <c r="M115">
        <v>23</v>
      </c>
      <c r="N115">
        <v>0</v>
      </c>
      <c r="O115">
        <v>0</v>
      </c>
      <c r="P115">
        <v>0</v>
      </c>
      <c r="Q115">
        <v>15</v>
      </c>
      <c r="R115">
        <v>0</v>
      </c>
      <c r="S115">
        <v>2</v>
      </c>
      <c r="T115">
        <v>8</v>
      </c>
      <c r="U115">
        <v>0</v>
      </c>
      <c r="V115">
        <v>0</v>
      </c>
      <c r="W115">
        <v>30</v>
      </c>
      <c r="X115">
        <v>4</v>
      </c>
      <c r="Y115">
        <v>0</v>
      </c>
      <c r="Z115">
        <v>24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H115">
        <v>155</v>
      </c>
    </row>
    <row r="116" spans="1:34" x14ac:dyDescent="0.25">
      <c r="A116" s="1">
        <v>112</v>
      </c>
      <c r="B116">
        <v>0</v>
      </c>
      <c r="C116">
        <v>0</v>
      </c>
      <c r="D116">
        <v>0</v>
      </c>
      <c r="E116">
        <v>2</v>
      </c>
      <c r="F116">
        <v>13</v>
      </c>
      <c r="G116">
        <v>0</v>
      </c>
      <c r="H116">
        <v>21</v>
      </c>
      <c r="I116">
        <v>0</v>
      </c>
      <c r="J116">
        <v>12</v>
      </c>
      <c r="K116">
        <v>0</v>
      </c>
      <c r="L116">
        <v>0</v>
      </c>
      <c r="M116">
        <v>23</v>
      </c>
      <c r="N116">
        <v>0</v>
      </c>
      <c r="O116">
        <v>0</v>
      </c>
      <c r="P116">
        <v>0</v>
      </c>
      <c r="Q116">
        <v>15</v>
      </c>
      <c r="R116">
        <v>0</v>
      </c>
      <c r="S116">
        <v>2</v>
      </c>
      <c r="T116">
        <v>8</v>
      </c>
      <c r="U116">
        <v>0</v>
      </c>
      <c r="V116">
        <v>0</v>
      </c>
      <c r="W116">
        <v>31</v>
      </c>
      <c r="X116">
        <v>4</v>
      </c>
      <c r="Y116">
        <v>0</v>
      </c>
      <c r="Z116">
        <v>24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H116">
        <v>155</v>
      </c>
    </row>
    <row r="117" spans="1:34" x14ac:dyDescent="0.25">
      <c r="A117" s="1">
        <v>113</v>
      </c>
      <c r="B117">
        <v>0</v>
      </c>
      <c r="C117">
        <v>0</v>
      </c>
      <c r="D117">
        <v>0</v>
      </c>
      <c r="E117">
        <v>2</v>
      </c>
      <c r="F117">
        <v>13</v>
      </c>
      <c r="G117">
        <v>0</v>
      </c>
      <c r="H117">
        <v>21</v>
      </c>
      <c r="I117">
        <v>0</v>
      </c>
      <c r="J117">
        <v>12</v>
      </c>
      <c r="K117">
        <v>0</v>
      </c>
      <c r="L117">
        <v>0</v>
      </c>
      <c r="M117">
        <v>23</v>
      </c>
      <c r="N117">
        <v>0</v>
      </c>
      <c r="O117">
        <v>0</v>
      </c>
      <c r="P117">
        <v>0</v>
      </c>
      <c r="Q117">
        <v>15</v>
      </c>
      <c r="R117">
        <v>0</v>
      </c>
      <c r="S117">
        <v>2</v>
      </c>
      <c r="T117">
        <v>8</v>
      </c>
      <c r="U117">
        <v>0</v>
      </c>
      <c r="V117">
        <v>0</v>
      </c>
      <c r="W117">
        <v>31</v>
      </c>
      <c r="X117">
        <v>4</v>
      </c>
      <c r="Y117">
        <v>0</v>
      </c>
      <c r="Z117">
        <v>24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H117">
        <v>155</v>
      </c>
    </row>
    <row r="118" spans="1:34" x14ac:dyDescent="0.25">
      <c r="A118" s="1">
        <v>114</v>
      </c>
      <c r="B118">
        <v>0</v>
      </c>
      <c r="C118">
        <v>0</v>
      </c>
      <c r="D118">
        <v>0</v>
      </c>
      <c r="E118">
        <v>2</v>
      </c>
      <c r="F118">
        <v>13</v>
      </c>
      <c r="G118">
        <v>0</v>
      </c>
      <c r="H118">
        <v>21</v>
      </c>
      <c r="I118">
        <v>0</v>
      </c>
      <c r="J118">
        <v>12</v>
      </c>
      <c r="K118">
        <v>0</v>
      </c>
      <c r="L118">
        <v>0</v>
      </c>
      <c r="M118">
        <v>23</v>
      </c>
      <c r="N118">
        <v>0</v>
      </c>
      <c r="O118">
        <v>0</v>
      </c>
      <c r="P118">
        <v>0</v>
      </c>
      <c r="Q118">
        <v>15</v>
      </c>
      <c r="R118">
        <v>0</v>
      </c>
      <c r="S118">
        <v>2</v>
      </c>
      <c r="T118">
        <v>7</v>
      </c>
      <c r="U118">
        <v>0</v>
      </c>
      <c r="V118">
        <v>0</v>
      </c>
      <c r="W118">
        <v>32</v>
      </c>
      <c r="X118">
        <v>4</v>
      </c>
      <c r="Y118">
        <v>0</v>
      </c>
      <c r="Z118">
        <v>24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H118">
        <v>155</v>
      </c>
    </row>
    <row r="119" spans="1:34" x14ac:dyDescent="0.25">
      <c r="A119" s="1">
        <v>115</v>
      </c>
      <c r="B119">
        <v>0</v>
      </c>
      <c r="C119">
        <v>0</v>
      </c>
      <c r="D119">
        <v>0</v>
      </c>
      <c r="E119">
        <v>2</v>
      </c>
      <c r="F119">
        <v>13</v>
      </c>
      <c r="G119">
        <v>0</v>
      </c>
      <c r="H119">
        <v>21</v>
      </c>
      <c r="I119">
        <v>0</v>
      </c>
      <c r="J119">
        <v>12</v>
      </c>
      <c r="K119">
        <v>0</v>
      </c>
      <c r="L119">
        <v>0</v>
      </c>
      <c r="M119">
        <v>22</v>
      </c>
      <c r="N119">
        <v>0</v>
      </c>
      <c r="O119">
        <v>0</v>
      </c>
      <c r="P119">
        <v>0</v>
      </c>
      <c r="Q119">
        <v>15</v>
      </c>
      <c r="R119">
        <v>0</v>
      </c>
      <c r="S119">
        <v>2</v>
      </c>
      <c r="T119">
        <v>7</v>
      </c>
      <c r="U119">
        <v>0</v>
      </c>
      <c r="V119">
        <v>0</v>
      </c>
      <c r="W119">
        <v>33</v>
      </c>
      <c r="X119">
        <v>4</v>
      </c>
      <c r="Y119">
        <v>0</v>
      </c>
      <c r="Z119">
        <v>24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H119">
        <v>155</v>
      </c>
    </row>
    <row r="120" spans="1:34" x14ac:dyDescent="0.25">
      <c r="A120" s="1">
        <v>116</v>
      </c>
      <c r="B120">
        <v>0</v>
      </c>
      <c r="C120">
        <v>0</v>
      </c>
      <c r="D120">
        <v>0</v>
      </c>
      <c r="E120">
        <v>2</v>
      </c>
      <c r="F120">
        <v>13</v>
      </c>
      <c r="G120">
        <v>0</v>
      </c>
      <c r="H120">
        <v>22</v>
      </c>
      <c r="I120">
        <v>0</v>
      </c>
      <c r="J120">
        <v>12</v>
      </c>
      <c r="K120">
        <v>0</v>
      </c>
      <c r="L120">
        <v>0</v>
      </c>
      <c r="M120">
        <v>22</v>
      </c>
      <c r="N120">
        <v>0</v>
      </c>
      <c r="O120">
        <v>0</v>
      </c>
      <c r="P120">
        <v>0</v>
      </c>
      <c r="Q120">
        <v>14</v>
      </c>
      <c r="R120">
        <v>0</v>
      </c>
      <c r="S120">
        <v>2</v>
      </c>
      <c r="T120">
        <v>6</v>
      </c>
      <c r="U120">
        <v>0</v>
      </c>
      <c r="V120">
        <v>0</v>
      </c>
      <c r="W120">
        <v>33</v>
      </c>
      <c r="X120">
        <v>4</v>
      </c>
      <c r="Y120">
        <v>0</v>
      </c>
      <c r="Z120">
        <v>26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H120">
        <v>156</v>
      </c>
    </row>
    <row r="121" spans="1:34" x14ac:dyDescent="0.25">
      <c r="A121" s="1">
        <v>117</v>
      </c>
      <c r="B121">
        <v>0</v>
      </c>
      <c r="C121">
        <v>0</v>
      </c>
      <c r="D121">
        <v>0</v>
      </c>
      <c r="E121">
        <v>2</v>
      </c>
      <c r="F121">
        <v>13</v>
      </c>
      <c r="G121">
        <v>0</v>
      </c>
      <c r="H121">
        <v>22</v>
      </c>
      <c r="I121">
        <v>0</v>
      </c>
      <c r="J121">
        <v>11</v>
      </c>
      <c r="K121">
        <v>0</v>
      </c>
      <c r="L121">
        <v>0</v>
      </c>
      <c r="M121">
        <v>20</v>
      </c>
      <c r="N121">
        <v>0</v>
      </c>
      <c r="O121">
        <v>0</v>
      </c>
      <c r="P121">
        <v>0</v>
      </c>
      <c r="Q121">
        <v>14</v>
      </c>
      <c r="R121">
        <v>0</v>
      </c>
      <c r="S121">
        <v>2</v>
      </c>
      <c r="T121">
        <v>6</v>
      </c>
      <c r="U121">
        <v>0</v>
      </c>
      <c r="V121">
        <v>0</v>
      </c>
      <c r="W121">
        <v>36</v>
      </c>
      <c r="X121">
        <v>4</v>
      </c>
      <c r="Y121">
        <v>0</v>
      </c>
      <c r="Z121">
        <v>26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H121">
        <v>156</v>
      </c>
    </row>
    <row r="122" spans="1:34" x14ac:dyDescent="0.25">
      <c r="A122" s="1">
        <v>118</v>
      </c>
      <c r="B122">
        <v>0</v>
      </c>
      <c r="C122">
        <v>0</v>
      </c>
      <c r="D122">
        <v>0</v>
      </c>
      <c r="E122">
        <v>2</v>
      </c>
      <c r="F122">
        <v>13</v>
      </c>
      <c r="G122">
        <v>0</v>
      </c>
      <c r="H122">
        <v>23</v>
      </c>
      <c r="I122">
        <v>0</v>
      </c>
      <c r="J122">
        <v>11</v>
      </c>
      <c r="K122">
        <v>0</v>
      </c>
      <c r="L122">
        <v>0</v>
      </c>
      <c r="M122">
        <v>20</v>
      </c>
      <c r="N122">
        <v>0</v>
      </c>
      <c r="O122">
        <v>0</v>
      </c>
      <c r="P122">
        <v>0</v>
      </c>
      <c r="Q122">
        <v>14</v>
      </c>
      <c r="R122">
        <v>0</v>
      </c>
      <c r="S122">
        <v>2</v>
      </c>
      <c r="T122">
        <v>6</v>
      </c>
      <c r="U122">
        <v>0</v>
      </c>
      <c r="V122">
        <v>0</v>
      </c>
      <c r="W122">
        <v>35</v>
      </c>
      <c r="X122">
        <v>4</v>
      </c>
      <c r="Y122">
        <v>0</v>
      </c>
      <c r="Z122">
        <v>26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H122">
        <v>156</v>
      </c>
    </row>
    <row r="123" spans="1:34" x14ac:dyDescent="0.25">
      <c r="A123" s="1">
        <v>119</v>
      </c>
      <c r="B123">
        <v>0</v>
      </c>
      <c r="C123">
        <v>0</v>
      </c>
      <c r="D123">
        <v>0</v>
      </c>
      <c r="E123">
        <v>2</v>
      </c>
      <c r="F123">
        <v>13</v>
      </c>
      <c r="G123">
        <v>0</v>
      </c>
      <c r="H123">
        <v>22</v>
      </c>
      <c r="I123">
        <v>0</v>
      </c>
      <c r="J123">
        <v>11</v>
      </c>
      <c r="K123">
        <v>0</v>
      </c>
      <c r="L123">
        <v>0</v>
      </c>
      <c r="M123">
        <v>20</v>
      </c>
      <c r="N123">
        <v>0</v>
      </c>
      <c r="O123">
        <v>0</v>
      </c>
      <c r="P123">
        <v>0</v>
      </c>
      <c r="Q123">
        <v>14</v>
      </c>
      <c r="R123">
        <v>0</v>
      </c>
      <c r="S123">
        <v>2</v>
      </c>
      <c r="T123">
        <v>6</v>
      </c>
      <c r="U123">
        <v>0</v>
      </c>
      <c r="V123">
        <v>0</v>
      </c>
      <c r="W123">
        <v>36</v>
      </c>
      <c r="X123">
        <v>4</v>
      </c>
      <c r="Y123">
        <v>0</v>
      </c>
      <c r="Z123">
        <v>26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H123">
        <v>156</v>
      </c>
    </row>
    <row r="124" spans="1:34" x14ac:dyDescent="0.25">
      <c r="A124" s="1">
        <v>120</v>
      </c>
      <c r="B124">
        <v>0</v>
      </c>
      <c r="C124">
        <v>0</v>
      </c>
      <c r="D124">
        <v>0</v>
      </c>
      <c r="E124">
        <v>2</v>
      </c>
      <c r="F124">
        <v>13</v>
      </c>
      <c r="G124">
        <v>0</v>
      </c>
      <c r="H124">
        <v>22</v>
      </c>
      <c r="I124">
        <v>0</v>
      </c>
      <c r="J124">
        <v>11</v>
      </c>
      <c r="K124">
        <v>0</v>
      </c>
      <c r="L124">
        <v>0</v>
      </c>
      <c r="M124">
        <v>20</v>
      </c>
      <c r="N124">
        <v>0</v>
      </c>
      <c r="O124">
        <v>0</v>
      </c>
      <c r="P124">
        <v>0</v>
      </c>
      <c r="Q124">
        <v>14</v>
      </c>
      <c r="R124">
        <v>0</v>
      </c>
      <c r="S124">
        <v>2</v>
      </c>
      <c r="T124">
        <v>6</v>
      </c>
      <c r="U124">
        <v>0</v>
      </c>
      <c r="V124">
        <v>0</v>
      </c>
      <c r="W124">
        <v>36</v>
      </c>
      <c r="X124">
        <v>4</v>
      </c>
      <c r="Y124">
        <v>0</v>
      </c>
      <c r="Z124">
        <v>26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H124">
        <v>156</v>
      </c>
    </row>
    <row r="125" spans="1:34" x14ac:dyDescent="0.25">
      <c r="A125" s="1">
        <v>121</v>
      </c>
      <c r="B125">
        <v>0</v>
      </c>
      <c r="C125">
        <v>0</v>
      </c>
      <c r="D125">
        <v>0</v>
      </c>
      <c r="E125">
        <v>2</v>
      </c>
      <c r="F125">
        <v>14</v>
      </c>
      <c r="G125">
        <v>0</v>
      </c>
      <c r="H125">
        <v>23</v>
      </c>
      <c r="I125">
        <v>0</v>
      </c>
      <c r="J125">
        <v>11</v>
      </c>
      <c r="K125">
        <v>0</v>
      </c>
      <c r="L125">
        <v>0</v>
      </c>
      <c r="M125">
        <v>19</v>
      </c>
      <c r="N125">
        <v>0</v>
      </c>
      <c r="O125">
        <v>0</v>
      </c>
      <c r="P125">
        <v>0</v>
      </c>
      <c r="Q125">
        <v>14</v>
      </c>
      <c r="R125">
        <v>0</v>
      </c>
      <c r="S125">
        <v>2</v>
      </c>
      <c r="T125">
        <v>6</v>
      </c>
      <c r="U125">
        <v>0</v>
      </c>
      <c r="V125">
        <v>0</v>
      </c>
      <c r="W125">
        <v>35</v>
      </c>
      <c r="X125">
        <v>4</v>
      </c>
      <c r="Y125">
        <v>0</v>
      </c>
      <c r="Z125">
        <v>26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H125">
        <v>156</v>
      </c>
    </row>
    <row r="126" spans="1:34" x14ac:dyDescent="0.25">
      <c r="A126" s="1">
        <v>122</v>
      </c>
      <c r="B126">
        <v>0</v>
      </c>
      <c r="C126">
        <v>0</v>
      </c>
      <c r="D126">
        <v>0</v>
      </c>
      <c r="E126">
        <v>3</v>
      </c>
      <c r="F126">
        <v>14</v>
      </c>
      <c r="G126">
        <v>0</v>
      </c>
      <c r="H126">
        <v>23</v>
      </c>
      <c r="I126">
        <v>0</v>
      </c>
      <c r="J126">
        <v>11</v>
      </c>
      <c r="K126">
        <v>0</v>
      </c>
      <c r="L126">
        <v>0</v>
      </c>
      <c r="M126">
        <v>18</v>
      </c>
      <c r="N126">
        <v>0</v>
      </c>
      <c r="O126">
        <v>0</v>
      </c>
      <c r="P126">
        <v>0</v>
      </c>
      <c r="Q126">
        <v>13</v>
      </c>
      <c r="R126">
        <v>0</v>
      </c>
      <c r="S126">
        <v>2</v>
      </c>
      <c r="T126">
        <v>6</v>
      </c>
      <c r="U126">
        <v>0</v>
      </c>
      <c r="V126">
        <v>0</v>
      </c>
      <c r="W126">
        <v>36</v>
      </c>
      <c r="X126">
        <v>4</v>
      </c>
      <c r="Y126">
        <v>0</v>
      </c>
      <c r="Z126">
        <v>26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H126">
        <v>156</v>
      </c>
    </row>
    <row r="127" spans="1:34" x14ac:dyDescent="0.25">
      <c r="A127" s="1">
        <v>123</v>
      </c>
      <c r="B127">
        <v>0</v>
      </c>
      <c r="C127">
        <v>0</v>
      </c>
      <c r="D127">
        <v>0</v>
      </c>
      <c r="E127">
        <v>3</v>
      </c>
      <c r="F127">
        <v>14</v>
      </c>
      <c r="G127">
        <v>0</v>
      </c>
      <c r="H127">
        <v>23</v>
      </c>
      <c r="I127">
        <v>0</v>
      </c>
      <c r="J127">
        <v>11</v>
      </c>
      <c r="K127">
        <v>0</v>
      </c>
      <c r="L127">
        <v>0</v>
      </c>
      <c r="M127">
        <v>17</v>
      </c>
      <c r="N127">
        <v>0</v>
      </c>
      <c r="O127">
        <v>0</v>
      </c>
      <c r="P127">
        <v>0</v>
      </c>
      <c r="Q127">
        <v>14</v>
      </c>
      <c r="R127">
        <v>0</v>
      </c>
      <c r="S127">
        <v>2</v>
      </c>
      <c r="T127">
        <v>6</v>
      </c>
      <c r="U127">
        <v>0</v>
      </c>
      <c r="V127">
        <v>0</v>
      </c>
      <c r="W127">
        <v>37</v>
      </c>
      <c r="X127">
        <v>4</v>
      </c>
      <c r="Y127">
        <v>0</v>
      </c>
      <c r="Z127">
        <v>25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H127">
        <v>156</v>
      </c>
    </row>
    <row r="128" spans="1:34" x14ac:dyDescent="0.25">
      <c r="A128" s="1">
        <v>124</v>
      </c>
      <c r="B128">
        <v>0</v>
      </c>
      <c r="C128">
        <v>0</v>
      </c>
      <c r="D128">
        <v>0</v>
      </c>
      <c r="E128">
        <v>3</v>
      </c>
      <c r="F128">
        <v>14</v>
      </c>
      <c r="G128">
        <v>0</v>
      </c>
      <c r="H128">
        <v>23</v>
      </c>
      <c r="I128">
        <v>0</v>
      </c>
      <c r="J128">
        <v>11</v>
      </c>
      <c r="K128">
        <v>0</v>
      </c>
      <c r="L128">
        <v>0</v>
      </c>
      <c r="M128">
        <v>17</v>
      </c>
      <c r="N128">
        <v>0</v>
      </c>
      <c r="O128">
        <v>0</v>
      </c>
      <c r="P128">
        <v>0</v>
      </c>
      <c r="Q128">
        <v>14</v>
      </c>
      <c r="R128">
        <v>0</v>
      </c>
      <c r="S128">
        <v>2</v>
      </c>
      <c r="T128">
        <v>6</v>
      </c>
      <c r="U128">
        <v>0</v>
      </c>
      <c r="V128">
        <v>0</v>
      </c>
      <c r="W128">
        <v>37</v>
      </c>
      <c r="X128">
        <v>4</v>
      </c>
      <c r="Y128">
        <v>0</v>
      </c>
      <c r="Z128">
        <v>25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H128">
        <v>156</v>
      </c>
    </row>
    <row r="129" spans="1:34" x14ac:dyDescent="0.25">
      <c r="A129" s="1">
        <v>125</v>
      </c>
      <c r="B129">
        <v>0</v>
      </c>
      <c r="C129">
        <v>0</v>
      </c>
      <c r="D129">
        <v>0</v>
      </c>
      <c r="E129">
        <v>3</v>
      </c>
      <c r="F129">
        <v>14</v>
      </c>
      <c r="G129">
        <v>0</v>
      </c>
      <c r="H129">
        <v>23</v>
      </c>
      <c r="I129">
        <v>0</v>
      </c>
      <c r="J129">
        <v>11</v>
      </c>
      <c r="K129">
        <v>0</v>
      </c>
      <c r="L129">
        <v>0</v>
      </c>
      <c r="M129">
        <v>17</v>
      </c>
      <c r="N129">
        <v>0</v>
      </c>
      <c r="O129">
        <v>0</v>
      </c>
      <c r="P129">
        <v>0</v>
      </c>
      <c r="Q129">
        <v>14</v>
      </c>
      <c r="R129">
        <v>0</v>
      </c>
      <c r="S129">
        <v>2</v>
      </c>
      <c r="T129">
        <v>6</v>
      </c>
      <c r="U129">
        <v>0</v>
      </c>
      <c r="V129">
        <v>0</v>
      </c>
      <c r="W129">
        <v>37</v>
      </c>
      <c r="X129">
        <v>4</v>
      </c>
      <c r="Y129">
        <v>0</v>
      </c>
      <c r="Z129">
        <v>25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H129">
        <v>156</v>
      </c>
    </row>
    <row r="130" spans="1:34" x14ac:dyDescent="0.25">
      <c r="A130" s="1">
        <v>126</v>
      </c>
      <c r="B130">
        <v>0</v>
      </c>
      <c r="C130">
        <v>0</v>
      </c>
      <c r="D130">
        <v>0</v>
      </c>
      <c r="E130">
        <v>3</v>
      </c>
      <c r="F130">
        <v>14</v>
      </c>
      <c r="G130">
        <v>0</v>
      </c>
      <c r="H130">
        <v>23</v>
      </c>
      <c r="I130">
        <v>0</v>
      </c>
      <c r="J130">
        <v>11</v>
      </c>
      <c r="K130">
        <v>0</v>
      </c>
      <c r="L130">
        <v>0</v>
      </c>
      <c r="M130">
        <v>17</v>
      </c>
      <c r="N130">
        <v>0</v>
      </c>
      <c r="O130">
        <v>0</v>
      </c>
      <c r="P130">
        <v>0</v>
      </c>
      <c r="Q130">
        <v>14</v>
      </c>
      <c r="R130">
        <v>0</v>
      </c>
      <c r="S130">
        <v>2</v>
      </c>
      <c r="T130">
        <v>7</v>
      </c>
      <c r="U130">
        <v>0</v>
      </c>
      <c r="V130">
        <v>0</v>
      </c>
      <c r="W130">
        <v>36</v>
      </c>
      <c r="X130">
        <v>4</v>
      </c>
      <c r="Y130">
        <v>0</v>
      </c>
      <c r="Z130">
        <v>25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H130">
        <v>156</v>
      </c>
    </row>
    <row r="131" spans="1:34" x14ac:dyDescent="0.25">
      <c r="A131" s="1">
        <v>127</v>
      </c>
      <c r="B131">
        <v>0</v>
      </c>
      <c r="C131">
        <v>0</v>
      </c>
      <c r="D131">
        <v>0</v>
      </c>
      <c r="E131">
        <v>3</v>
      </c>
      <c r="F131">
        <v>14</v>
      </c>
      <c r="G131">
        <v>0</v>
      </c>
      <c r="H131">
        <v>23</v>
      </c>
      <c r="I131">
        <v>0</v>
      </c>
      <c r="J131">
        <v>11</v>
      </c>
      <c r="K131">
        <v>0</v>
      </c>
      <c r="L131">
        <v>0</v>
      </c>
      <c r="M131">
        <v>16</v>
      </c>
      <c r="N131">
        <v>0</v>
      </c>
      <c r="O131">
        <v>0</v>
      </c>
      <c r="P131">
        <v>0</v>
      </c>
      <c r="Q131">
        <v>14</v>
      </c>
      <c r="R131">
        <v>0</v>
      </c>
      <c r="S131">
        <v>2</v>
      </c>
      <c r="T131">
        <v>6</v>
      </c>
      <c r="U131">
        <v>0</v>
      </c>
      <c r="V131">
        <v>0</v>
      </c>
      <c r="W131">
        <v>38</v>
      </c>
      <c r="X131">
        <v>4</v>
      </c>
      <c r="Y131">
        <v>0</v>
      </c>
      <c r="Z131">
        <v>25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H131">
        <v>156</v>
      </c>
    </row>
    <row r="132" spans="1:34" x14ac:dyDescent="0.25">
      <c r="A132" s="1">
        <v>128</v>
      </c>
      <c r="B132">
        <v>0</v>
      </c>
      <c r="C132">
        <v>0</v>
      </c>
      <c r="D132">
        <v>0</v>
      </c>
      <c r="E132">
        <v>3</v>
      </c>
      <c r="F132">
        <v>14</v>
      </c>
      <c r="G132">
        <v>0</v>
      </c>
      <c r="H132">
        <v>23</v>
      </c>
      <c r="I132">
        <v>0</v>
      </c>
      <c r="J132">
        <v>12</v>
      </c>
      <c r="K132">
        <v>0</v>
      </c>
      <c r="L132">
        <v>0</v>
      </c>
      <c r="M132">
        <v>16</v>
      </c>
      <c r="N132">
        <v>0</v>
      </c>
      <c r="O132">
        <v>0</v>
      </c>
      <c r="P132">
        <v>0</v>
      </c>
      <c r="Q132">
        <v>14</v>
      </c>
      <c r="R132">
        <v>0</v>
      </c>
      <c r="S132">
        <v>2</v>
      </c>
      <c r="T132">
        <v>6</v>
      </c>
      <c r="U132">
        <v>0</v>
      </c>
      <c r="V132">
        <v>0</v>
      </c>
      <c r="W132">
        <v>38</v>
      </c>
      <c r="X132">
        <v>3</v>
      </c>
      <c r="Y132">
        <v>0</v>
      </c>
      <c r="Z132">
        <v>25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H132">
        <v>156</v>
      </c>
    </row>
    <row r="133" spans="1:34" x14ac:dyDescent="0.25">
      <c r="A133" s="1">
        <v>129</v>
      </c>
      <c r="B133">
        <v>0</v>
      </c>
      <c r="C133">
        <v>0</v>
      </c>
      <c r="D133">
        <v>0</v>
      </c>
      <c r="E133">
        <v>3</v>
      </c>
      <c r="F133">
        <v>14</v>
      </c>
      <c r="G133">
        <v>0</v>
      </c>
      <c r="H133">
        <v>23</v>
      </c>
      <c r="I133">
        <v>0</v>
      </c>
      <c r="J133">
        <v>13</v>
      </c>
      <c r="K133">
        <v>0</v>
      </c>
      <c r="L133">
        <v>0</v>
      </c>
      <c r="M133">
        <v>15</v>
      </c>
      <c r="N133">
        <v>0</v>
      </c>
      <c r="O133">
        <v>0</v>
      </c>
      <c r="P133">
        <v>0</v>
      </c>
      <c r="Q133">
        <v>13</v>
      </c>
      <c r="R133">
        <v>0</v>
      </c>
      <c r="S133">
        <v>2</v>
      </c>
      <c r="T133">
        <v>6</v>
      </c>
      <c r="U133">
        <v>0</v>
      </c>
      <c r="V133">
        <v>0</v>
      </c>
      <c r="W133">
        <v>39</v>
      </c>
      <c r="X133">
        <v>2</v>
      </c>
      <c r="Y133">
        <v>0</v>
      </c>
      <c r="Z133">
        <v>26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H133">
        <v>156</v>
      </c>
    </row>
    <row r="134" spans="1:34" x14ac:dyDescent="0.25">
      <c r="A134" s="1">
        <v>130</v>
      </c>
      <c r="B134">
        <v>0</v>
      </c>
      <c r="C134">
        <v>0</v>
      </c>
      <c r="D134">
        <v>0</v>
      </c>
      <c r="E134">
        <v>3</v>
      </c>
      <c r="F134">
        <v>14</v>
      </c>
      <c r="G134">
        <v>0</v>
      </c>
      <c r="H134">
        <v>24</v>
      </c>
      <c r="I134">
        <v>0</v>
      </c>
      <c r="J134">
        <v>13</v>
      </c>
      <c r="K134">
        <v>0</v>
      </c>
      <c r="L134">
        <v>0</v>
      </c>
      <c r="M134">
        <v>13</v>
      </c>
      <c r="N134">
        <v>0</v>
      </c>
      <c r="O134">
        <v>0</v>
      </c>
      <c r="P134">
        <v>0</v>
      </c>
      <c r="Q134">
        <v>13</v>
      </c>
      <c r="R134">
        <v>0</v>
      </c>
      <c r="S134">
        <v>2</v>
      </c>
      <c r="T134">
        <v>5</v>
      </c>
      <c r="U134">
        <v>0</v>
      </c>
      <c r="V134">
        <v>0</v>
      </c>
      <c r="W134">
        <v>41</v>
      </c>
      <c r="X134">
        <v>2</v>
      </c>
      <c r="Y134">
        <v>0</v>
      </c>
      <c r="Z134">
        <v>26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H134">
        <v>156</v>
      </c>
    </row>
    <row r="135" spans="1:34" x14ac:dyDescent="0.25">
      <c r="A135" s="1">
        <v>131</v>
      </c>
      <c r="B135">
        <v>0</v>
      </c>
      <c r="C135">
        <v>0</v>
      </c>
      <c r="D135">
        <v>0</v>
      </c>
      <c r="E135">
        <v>3</v>
      </c>
      <c r="F135">
        <v>14</v>
      </c>
      <c r="G135">
        <v>0</v>
      </c>
      <c r="H135">
        <v>25</v>
      </c>
      <c r="I135">
        <v>0</v>
      </c>
      <c r="J135">
        <v>13</v>
      </c>
      <c r="K135">
        <v>0</v>
      </c>
      <c r="L135">
        <v>0</v>
      </c>
      <c r="M135">
        <v>10</v>
      </c>
      <c r="N135">
        <v>0</v>
      </c>
      <c r="O135">
        <v>0</v>
      </c>
      <c r="P135">
        <v>0</v>
      </c>
      <c r="Q135">
        <v>14</v>
      </c>
      <c r="R135">
        <v>0</v>
      </c>
      <c r="S135">
        <v>2</v>
      </c>
      <c r="T135">
        <v>5</v>
      </c>
      <c r="U135">
        <v>0</v>
      </c>
      <c r="V135">
        <v>0</v>
      </c>
      <c r="W135">
        <v>43</v>
      </c>
      <c r="X135">
        <v>2</v>
      </c>
      <c r="Y135">
        <v>0</v>
      </c>
      <c r="Z135">
        <v>25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H135">
        <v>156</v>
      </c>
    </row>
    <row r="136" spans="1:34" x14ac:dyDescent="0.25">
      <c r="A136" s="1">
        <v>132</v>
      </c>
      <c r="B136">
        <v>0</v>
      </c>
      <c r="C136">
        <v>0</v>
      </c>
      <c r="D136">
        <v>0</v>
      </c>
      <c r="E136">
        <v>3</v>
      </c>
      <c r="F136">
        <v>14</v>
      </c>
      <c r="G136">
        <v>0</v>
      </c>
      <c r="H136">
        <v>25</v>
      </c>
      <c r="I136">
        <v>0</v>
      </c>
      <c r="J136">
        <v>13</v>
      </c>
      <c r="K136">
        <v>0</v>
      </c>
      <c r="L136">
        <v>0</v>
      </c>
      <c r="M136">
        <v>10</v>
      </c>
      <c r="N136">
        <v>0</v>
      </c>
      <c r="O136">
        <v>0</v>
      </c>
      <c r="P136">
        <v>0</v>
      </c>
      <c r="Q136">
        <v>14</v>
      </c>
      <c r="R136">
        <v>0</v>
      </c>
      <c r="S136">
        <v>2</v>
      </c>
      <c r="T136">
        <v>4</v>
      </c>
      <c r="U136">
        <v>0</v>
      </c>
      <c r="V136">
        <v>0</v>
      </c>
      <c r="W136">
        <v>44</v>
      </c>
      <c r="X136">
        <v>2</v>
      </c>
      <c r="Y136">
        <v>0</v>
      </c>
      <c r="Z136">
        <v>25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H136">
        <v>156</v>
      </c>
    </row>
    <row r="137" spans="1:34" x14ac:dyDescent="0.25">
      <c r="A137" s="1">
        <v>133</v>
      </c>
      <c r="B137">
        <v>0</v>
      </c>
      <c r="C137">
        <v>0</v>
      </c>
      <c r="D137">
        <v>0</v>
      </c>
      <c r="E137">
        <v>3</v>
      </c>
      <c r="F137">
        <v>14</v>
      </c>
      <c r="G137">
        <v>0</v>
      </c>
      <c r="H137">
        <v>25</v>
      </c>
      <c r="I137">
        <v>0</v>
      </c>
      <c r="J137">
        <v>13</v>
      </c>
      <c r="K137">
        <v>0</v>
      </c>
      <c r="L137">
        <v>0</v>
      </c>
      <c r="M137">
        <v>9</v>
      </c>
      <c r="N137">
        <v>0</v>
      </c>
      <c r="O137">
        <v>0</v>
      </c>
      <c r="P137">
        <v>0</v>
      </c>
      <c r="Q137">
        <v>14</v>
      </c>
      <c r="R137">
        <v>0</v>
      </c>
      <c r="S137">
        <v>2</v>
      </c>
      <c r="T137">
        <v>4</v>
      </c>
      <c r="U137">
        <v>0</v>
      </c>
      <c r="V137">
        <v>0</v>
      </c>
      <c r="W137">
        <v>45</v>
      </c>
      <c r="X137">
        <v>2</v>
      </c>
      <c r="Y137">
        <v>0</v>
      </c>
      <c r="Z137">
        <v>25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H137">
        <v>156</v>
      </c>
    </row>
    <row r="138" spans="1:34" x14ac:dyDescent="0.25">
      <c r="A138" s="1">
        <v>134</v>
      </c>
      <c r="B138">
        <v>0</v>
      </c>
      <c r="C138">
        <v>0</v>
      </c>
      <c r="D138">
        <v>0</v>
      </c>
      <c r="E138">
        <v>3</v>
      </c>
      <c r="F138">
        <v>14</v>
      </c>
      <c r="G138">
        <v>0</v>
      </c>
      <c r="H138">
        <v>25</v>
      </c>
      <c r="I138">
        <v>0</v>
      </c>
      <c r="J138">
        <v>12</v>
      </c>
      <c r="K138">
        <v>0</v>
      </c>
      <c r="L138">
        <v>0</v>
      </c>
      <c r="M138">
        <v>8</v>
      </c>
      <c r="N138">
        <v>0</v>
      </c>
      <c r="O138">
        <v>0</v>
      </c>
      <c r="P138">
        <v>0</v>
      </c>
      <c r="Q138">
        <v>14</v>
      </c>
      <c r="R138">
        <v>0</v>
      </c>
      <c r="S138">
        <v>2</v>
      </c>
      <c r="T138">
        <v>4</v>
      </c>
      <c r="U138">
        <v>0</v>
      </c>
      <c r="V138">
        <v>0</v>
      </c>
      <c r="W138">
        <v>47</v>
      </c>
      <c r="X138">
        <v>2</v>
      </c>
      <c r="Y138">
        <v>0</v>
      </c>
      <c r="Z138">
        <v>25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H138">
        <v>156</v>
      </c>
    </row>
    <row r="139" spans="1:34" x14ac:dyDescent="0.25">
      <c r="A139" s="1">
        <v>135</v>
      </c>
      <c r="B139">
        <v>0</v>
      </c>
      <c r="C139">
        <v>0</v>
      </c>
      <c r="D139">
        <v>0</v>
      </c>
      <c r="E139">
        <v>3</v>
      </c>
      <c r="F139">
        <v>14</v>
      </c>
      <c r="G139">
        <v>0</v>
      </c>
      <c r="H139">
        <v>25</v>
      </c>
      <c r="I139">
        <v>0</v>
      </c>
      <c r="J139">
        <v>12</v>
      </c>
      <c r="K139">
        <v>0</v>
      </c>
      <c r="L139">
        <v>0</v>
      </c>
      <c r="M139">
        <v>8</v>
      </c>
      <c r="N139">
        <v>0</v>
      </c>
      <c r="O139">
        <v>0</v>
      </c>
      <c r="P139">
        <v>0</v>
      </c>
      <c r="Q139">
        <v>14</v>
      </c>
      <c r="R139">
        <v>0</v>
      </c>
      <c r="S139">
        <v>2</v>
      </c>
      <c r="T139">
        <v>3</v>
      </c>
      <c r="U139">
        <v>0</v>
      </c>
      <c r="V139">
        <v>0</v>
      </c>
      <c r="W139">
        <v>48</v>
      </c>
      <c r="X139">
        <v>2</v>
      </c>
      <c r="Y139">
        <v>0</v>
      </c>
      <c r="Z139">
        <v>25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H139">
        <v>156</v>
      </c>
    </row>
    <row r="140" spans="1:34" x14ac:dyDescent="0.25">
      <c r="A140" s="1">
        <v>136</v>
      </c>
      <c r="B140">
        <v>0</v>
      </c>
      <c r="C140">
        <v>0</v>
      </c>
      <c r="D140">
        <v>0</v>
      </c>
      <c r="E140">
        <v>3</v>
      </c>
      <c r="F140">
        <v>14</v>
      </c>
      <c r="G140">
        <v>0</v>
      </c>
      <c r="H140">
        <v>27</v>
      </c>
      <c r="I140">
        <v>0</v>
      </c>
      <c r="J140">
        <v>12</v>
      </c>
      <c r="K140">
        <v>0</v>
      </c>
      <c r="L140">
        <v>0</v>
      </c>
      <c r="M140">
        <v>6</v>
      </c>
      <c r="N140">
        <v>0</v>
      </c>
      <c r="O140">
        <v>0</v>
      </c>
      <c r="P140">
        <v>0</v>
      </c>
      <c r="Q140">
        <v>14</v>
      </c>
      <c r="R140">
        <v>0</v>
      </c>
      <c r="S140">
        <v>2</v>
      </c>
      <c r="T140">
        <v>3</v>
      </c>
      <c r="U140">
        <v>0</v>
      </c>
      <c r="V140">
        <v>0</v>
      </c>
      <c r="W140">
        <v>48</v>
      </c>
      <c r="X140">
        <v>2</v>
      </c>
      <c r="Y140">
        <v>0</v>
      </c>
      <c r="Z140">
        <v>25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H140">
        <v>156</v>
      </c>
    </row>
    <row r="141" spans="1:34" x14ac:dyDescent="0.25">
      <c r="A141" s="1">
        <v>137</v>
      </c>
      <c r="B141">
        <v>0</v>
      </c>
      <c r="C141">
        <v>0</v>
      </c>
      <c r="D141">
        <v>0</v>
      </c>
      <c r="E141">
        <v>4</v>
      </c>
      <c r="F141">
        <v>14</v>
      </c>
      <c r="G141">
        <v>0</v>
      </c>
      <c r="H141">
        <v>27</v>
      </c>
      <c r="I141">
        <v>0</v>
      </c>
      <c r="J141">
        <v>12</v>
      </c>
      <c r="K141">
        <v>0</v>
      </c>
      <c r="L141">
        <v>0</v>
      </c>
      <c r="M141">
        <v>4</v>
      </c>
      <c r="N141">
        <v>0</v>
      </c>
      <c r="O141">
        <v>0</v>
      </c>
      <c r="P141">
        <v>0</v>
      </c>
      <c r="Q141">
        <v>14</v>
      </c>
      <c r="R141">
        <v>0</v>
      </c>
      <c r="S141">
        <v>2</v>
      </c>
      <c r="T141">
        <v>3</v>
      </c>
      <c r="U141">
        <v>0</v>
      </c>
      <c r="V141">
        <v>0</v>
      </c>
      <c r="W141">
        <v>50</v>
      </c>
      <c r="X141">
        <v>2</v>
      </c>
      <c r="Y141">
        <v>0</v>
      </c>
      <c r="Z141">
        <v>24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H141">
        <v>156</v>
      </c>
    </row>
    <row r="142" spans="1:34" x14ac:dyDescent="0.25">
      <c r="A142" s="1">
        <v>138</v>
      </c>
      <c r="B142">
        <v>0</v>
      </c>
      <c r="C142">
        <v>0</v>
      </c>
      <c r="D142">
        <v>0</v>
      </c>
      <c r="E142">
        <v>4</v>
      </c>
      <c r="F142">
        <v>14</v>
      </c>
      <c r="G142">
        <v>0</v>
      </c>
      <c r="H142">
        <v>27</v>
      </c>
      <c r="I142">
        <v>0</v>
      </c>
      <c r="J142">
        <v>12</v>
      </c>
      <c r="K142">
        <v>0</v>
      </c>
      <c r="L142">
        <v>0</v>
      </c>
      <c r="M142">
        <v>2</v>
      </c>
      <c r="N142">
        <v>0</v>
      </c>
      <c r="O142">
        <v>0</v>
      </c>
      <c r="P142">
        <v>0</v>
      </c>
      <c r="Q142">
        <v>14</v>
      </c>
      <c r="R142">
        <v>0</v>
      </c>
      <c r="S142">
        <v>2</v>
      </c>
      <c r="T142">
        <v>3</v>
      </c>
      <c r="U142">
        <v>0</v>
      </c>
      <c r="V142">
        <v>0</v>
      </c>
      <c r="W142">
        <v>52</v>
      </c>
      <c r="X142">
        <v>2</v>
      </c>
      <c r="Y142">
        <v>0</v>
      </c>
      <c r="Z142">
        <v>24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H142">
        <v>156</v>
      </c>
    </row>
    <row r="143" spans="1:34" x14ac:dyDescent="0.25">
      <c r="A143" s="1">
        <v>139</v>
      </c>
      <c r="B143">
        <v>0</v>
      </c>
      <c r="C143">
        <v>0</v>
      </c>
      <c r="D143">
        <v>0</v>
      </c>
      <c r="E143">
        <v>4</v>
      </c>
      <c r="F143">
        <v>15</v>
      </c>
      <c r="G143">
        <v>0</v>
      </c>
      <c r="H143">
        <v>28</v>
      </c>
      <c r="I143">
        <v>0</v>
      </c>
      <c r="J143">
        <v>12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14</v>
      </c>
      <c r="R143">
        <v>0</v>
      </c>
      <c r="S143">
        <v>2</v>
      </c>
      <c r="T143">
        <v>3</v>
      </c>
      <c r="U143">
        <v>0</v>
      </c>
      <c r="V143">
        <v>0</v>
      </c>
      <c r="W143">
        <v>52</v>
      </c>
      <c r="X143">
        <v>2</v>
      </c>
      <c r="Y143">
        <v>0</v>
      </c>
      <c r="Z143">
        <v>23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H143">
        <v>156</v>
      </c>
    </row>
    <row r="144" spans="1:34" x14ac:dyDescent="0.25">
      <c r="A144" s="1">
        <v>140</v>
      </c>
      <c r="B144">
        <v>0</v>
      </c>
      <c r="C144">
        <v>0</v>
      </c>
      <c r="D144">
        <v>0</v>
      </c>
      <c r="E144">
        <v>4</v>
      </c>
      <c r="F144">
        <v>15</v>
      </c>
      <c r="G144">
        <v>0</v>
      </c>
      <c r="H144">
        <v>25</v>
      </c>
      <c r="I144">
        <v>0</v>
      </c>
      <c r="J144">
        <v>13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15</v>
      </c>
      <c r="R144">
        <v>0</v>
      </c>
      <c r="S144">
        <v>2</v>
      </c>
      <c r="T144">
        <v>0</v>
      </c>
      <c r="U144">
        <v>0</v>
      </c>
      <c r="V144">
        <v>0</v>
      </c>
      <c r="W144">
        <v>59</v>
      </c>
      <c r="X144">
        <v>1</v>
      </c>
      <c r="Y144">
        <v>0</v>
      </c>
      <c r="Z144">
        <v>22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H144">
        <v>156</v>
      </c>
    </row>
    <row r="145" spans="1:34" x14ac:dyDescent="0.25">
      <c r="A145" s="1">
        <v>141</v>
      </c>
      <c r="B145">
        <v>0</v>
      </c>
      <c r="C145">
        <v>0</v>
      </c>
      <c r="D145">
        <v>0</v>
      </c>
      <c r="E145">
        <v>4</v>
      </c>
      <c r="F145">
        <v>15</v>
      </c>
      <c r="G145">
        <v>0</v>
      </c>
      <c r="H145">
        <v>25</v>
      </c>
      <c r="I145">
        <v>0</v>
      </c>
      <c r="J145">
        <v>13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15</v>
      </c>
      <c r="R145">
        <v>0</v>
      </c>
      <c r="S145">
        <v>2</v>
      </c>
      <c r="T145">
        <v>0</v>
      </c>
      <c r="U145">
        <v>0</v>
      </c>
      <c r="V145">
        <v>0</v>
      </c>
      <c r="W145">
        <v>59</v>
      </c>
      <c r="X145">
        <v>0</v>
      </c>
      <c r="Y145">
        <v>0</v>
      </c>
      <c r="Z145">
        <v>22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H145">
        <v>155</v>
      </c>
    </row>
    <row r="146" spans="1:34" x14ac:dyDescent="0.25">
      <c r="A146" s="1">
        <v>142</v>
      </c>
      <c r="B146">
        <v>0</v>
      </c>
      <c r="C146">
        <v>0</v>
      </c>
      <c r="D146">
        <v>0</v>
      </c>
      <c r="E146">
        <v>4</v>
      </c>
      <c r="F146">
        <v>15</v>
      </c>
      <c r="G146">
        <v>0</v>
      </c>
      <c r="H146">
        <v>25</v>
      </c>
      <c r="I146">
        <v>0</v>
      </c>
      <c r="J146">
        <v>13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16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59</v>
      </c>
      <c r="X146">
        <v>0</v>
      </c>
      <c r="Y146">
        <v>0</v>
      </c>
      <c r="Z146">
        <v>21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H146">
        <v>155</v>
      </c>
    </row>
    <row r="147" spans="1:34" x14ac:dyDescent="0.25">
      <c r="A147" s="1">
        <v>143</v>
      </c>
      <c r="B147">
        <v>0</v>
      </c>
      <c r="C147">
        <v>0</v>
      </c>
      <c r="D147">
        <v>0</v>
      </c>
      <c r="E147">
        <v>4</v>
      </c>
      <c r="F147">
        <v>15</v>
      </c>
      <c r="G147">
        <v>0</v>
      </c>
      <c r="H147">
        <v>25</v>
      </c>
      <c r="I147">
        <v>0</v>
      </c>
      <c r="J147">
        <v>11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16</v>
      </c>
      <c r="R147">
        <v>0</v>
      </c>
      <c r="S147">
        <v>2</v>
      </c>
      <c r="T147">
        <v>0</v>
      </c>
      <c r="U147">
        <v>0</v>
      </c>
      <c r="V147">
        <v>0</v>
      </c>
      <c r="W147">
        <v>62</v>
      </c>
      <c r="X147">
        <v>0</v>
      </c>
      <c r="Y147">
        <v>0</v>
      </c>
      <c r="Z147">
        <v>21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H147">
        <v>156</v>
      </c>
    </row>
    <row r="148" spans="1:34" x14ac:dyDescent="0.25">
      <c r="A148" s="1">
        <v>144</v>
      </c>
      <c r="B148">
        <v>0</v>
      </c>
      <c r="C148">
        <v>0</v>
      </c>
      <c r="D148">
        <v>0</v>
      </c>
      <c r="E148">
        <v>4</v>
      </c>
      <c r="F148">
        <v>15</v>
      </c>
      <c r="G148">
        <v>0</v>
      </c>
      <c r="H148">
        <v>25</v>
      </c>
      <c r="I148">
        <v>0</v>
      </c>
      <c r="J148">
        <v>11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16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63</v>
      </c>
      <c r="X148">
        <v>0</v>
      </c>
      <c r="Y148">
        <v>0</v>
      </c>
      <c r="Z148">
        <v>20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H148">
        <v>156</v>
      </c>
    </row>
    <row r="149" spans="1:34" x14ac:dyDescent="0.25">
      <c r="A149" s="1">
        <v>145</v>
      </c>
      <c r="B149">
        <v>0</v>
      </c>
      <c r="C149">
        <v>0</v>
      </c>
      <c r="D149">
        <v>0</v>
      </c>
      <c r="E149">
        <v>4</v>
      </c>
      <c r="F149">
        <v>15</v>
      </c>
      <c r="G149">
        <v>0</v>
      </c>
      <c r="H149">
        <v>25</v>
      </c>
      <c r="I149">
        <v>0</v>
      </c>
      <c r="J149">
        <v>11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16</v>
      </c>
      <c r="R149">
        <v>0</v>
      </c>
      <c r="S149">
        <v>2</v>
      </c>
      <c r="T149">
        <v>0</v>
      </c>
      <c r="U149">
        <v>0</v>
      </c>
      <c r="V149">
        <v>0</v>
      </c>
      <c r="W149">
        <v>64</v>
      </c>
      <c r="X149">
        <v>0</v>
      </c>
      <c r="Y149">
        <v>0</v>
      </c>
      <c r="Z149">
        <v>19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H149">
        <v>156</v>
      </c>
    </row>
    <row r="150" spans="1:34" x14ac:dyDescent="0.25">
      <c r="A150" s="1">
        <v>146</v>
      </c>
      <c r="B150">
        <v>0</v>
      </c>
      <c r="C150">
        <v>0</v>
      </c>
      <c r="D150">
        <v>0</v>
      </c>
      <c r="E150">
        <v>5</v>
      </c>
      <c r="F150">
        <v>15</v>
      </c>
      <c r="G150">
        <v>0</v>
      </c>
      <c r="H150">
        <v>25</v>
      </c>
      <c r="I150">
        <v>0</v>
      </c>
      <c r="J150">
        <v>11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18</v>
      </c>
      <c r="R150">
        <v>0</v>
      </c>
      <c r="S150">
        <v>3</v>
      </c>
      <c r="T150">
        <v>0</v>
      </c>
      <c r="U150">
        <v>0</v>
      </c>
      <c r="V150">
        <v>0</v>
      </c>
      <c r="W150">
        <v>64</v>
      </c>
      <c r="X150">
        <v>0</v>
      </c>
      <c r="Y150">
        <v>0</v>
      </c>
      <c r="Z150">
        <v>15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H150">
        <v>156</v>
      </c>
    </row>
    <row r="151" spans="1:34" x14ac:dyDescent="0.25">
      <c r="A151" s="1">
        <v>147</v>
      </c>
      <c r="B151">
        <v>0</v>
      </c>
      <c r="C151">
        <v>0</v>
      </c>
      <c r="D151">
        <v>0</v>
      </c>
      <c r="E151">
        <v>5</v>
      </c>
      <c r="F151">
        <v>15</v>
      </c>
      <c r="G151">
        <v>0</v>
      </c>
      <c r="H151">
        <v>25</v>
      </c>
      <c r="I151">
        <v>0</v>
      </c>
      <c r="J151">
        <v>10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18</v>
      </c>
      <c r="R151">
        <v>0</v>
      </c>
      <c r="S151">
        <v>3</v>
      </c>
      <c r="T151">
        <v>0</v>
      </c>
      <c r="U151">
        <v>0</v>
      </c>
      <c r="V151">
        <v>0</v>
      </c>
      <c r="W151">
        <v>65</v>
      </c>
      <c r="X151">
        <v>0</v>
      </c>
      <c r="Y151">
        <v>0</v>
      </c>
      <c r="Z151">
        <v>15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H151">
        <v>156</v>
      </c>
    </row>
    <row r="152" spans="1:34" x14ac:dyDescent="0.25">
      <c r="A152" s="1">
        <v>148</v>
      </c>
      <c r="B152">
        <v>0</v>
      </c>
      <c r="C152">
        <v>0</v>
      </c>
      <c r="D152">
        <v>0</v>
      </c>
      <c r="E152">
        <v>5</v>
      </c>
      <c r="F152">
        <v>15</v>
      </c>
      <c r="G152">
        <v>0</v>
      </c>
      <c r="H152">
        <v>25</v>
      </c>
      <c r="I152">
        <v>0</v>
      </c>
      <c r="J152">
        <v>10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18</v>
      </c>
      <c r="R152">
        <v>0</v>
      </c>
      <c r="S152">
        <v>3</v>
      </c>
      <c r="T152">
        <v>0</v>
      </c>
      <c r="U152">
        <v>0</v>
      </c>
      <c r="V152">
        <v>0</v>
      </c>
      <c r="W152">
        <v>65</v>
      </c>
      <c r="X152">
        <v>0</v>
      </c>
      <c r="Y152">
        <v>0</v>
      </c>
      <c r="Z152">
        <v>15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H152">
        <v>156</v>
      </c>
    </row>
    <row r="153" spans="1:34" x14ac:dyDescent="0.25">
      <c r="A153" s="1">
        <v>149</v>
      </c>
      <c r="B153">
        <v>0</v>
      </c>
      <c r="C153">
        <v>0</v>
      </c>
      <c r="D153">
        <v>0</v>
      </c>
      <c r="E153">
        <v>5</v>
      </c>
      <c r="F153">
        <v>15</v>
      </c>
      <c r="G153">
        <v>0</v>
      </c>
      <c r="H153">
        <v>25</v>
      </c>
      <c r="I153">
        <v>0</v>
      </c>
      <c r="J153">
        <v>7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18</v>
      </c>
      <c r="R153">
        <v>0</v>
      </c>
      <c r="S153">
        <v>4</v>
      </c>
      <c r="T153">
        <v>0</v>
      </c>
      <c r="U153">
        <v>0</v>
      </c>
      <c r="V153">
        <v>0</v>
      </c>
      <c r="W153">
        <v>68</v>
      </c>
      <c r="X153">
        <v>0</v>
      </c>
      <c r="Y153">
        <v>0</v>
      </c>
      <c r="Z153">
        <v>14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H153">
        <v>156</v>
      </c>
    </row>
    <row r="154" spans="1:34" x14ac:dyDescent="0.25">
      <c r="A154" s="1">
        <v>150</v>
      </c>
      <c r="B154">
        <v>0</v>
      </c>
      <c r="C154">
        <v>0</v>
      </c>
      <c r="D154">
        <v>0</v>
      </c>
      <c r="E154">
        <v>5</v>
      </c>
      <c r="F154">
        <v>15</v>
      </c>
      <c r="G154">
        <v>0</v>
      </c>
      <c r="H154">
        <v>25</v>
      </c>
      <c r="I154">
        <v>0</v>
      </c>
      <c r="J154">
        <v>7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18</v>
      </c>
      <c r="R154">
        <v>0</v>
      </c>
      <c r="S154">
        <v>4</v>
      </c>
      <c r="T154">
        <v>0</v>
      </c>
      <c r="U154">
        <v>0</v>
      </c>
      <c r="V154">
        <v>0</v>
      </c>
      <c r="W154">
        <v>68</v>
      </c>
      <c r="X154">
        <v>0</v>
      </c>
      <c r="Y154">
        <v>0</v>
      </c>
      <c r="Z154">
        <v>14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H154">
        <v>156</v>
      </c>
    </row>
    <row r="155" spans="1:34" x14ac:dyDescent="0.25">
      <c r="A155" s="1">
        <v>151</v>
      </c>
      <c r="B155">
        <v>0</v>
      </c>
      <c r="C155">
        <v>0</v>
      </c>
      <c r="D155">
        <v>0</v>
      </c>
      <c r="E155">
        <v>5</v>
      </c>
      <c r="F155">
        <v>15</v>
      </c>
      <c r="G155">
        <v>0</v>
      </c>
      <c r="H155">
        <v>25</v>
      </c>
      <c r="I155">
        <v>0</v>
      </c>
      <c r="J155">
        <v>7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18</v>
      </c>
      <c r="R155">
        <v>0</v>
      </c>
      <c r="S155">
        <v>4</v>
      </c>
      <c r="T155">
        <v>0</v>
      </c>
      <c r="U155">
        <v>0</v>
      </c>
      <c r="V155">
        <v>0</v>
      </c>
      <c r="W155">
        <v>68</v>
      </c>
      <c r="X155">
        <v>0</v>
      </c>
      <c r="Y155">
        <v>0</v>
      </c>
      <c r="Z155">
        <v>14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H155">
        <v>156</v>
      </c>
    </row>
    <row r="156" spans="1:34" x14ac:dyDescent="0.25">
      <c r="A156" s="1">
        <v>152</v>
      </c>
      <c r="B156">
        <v>0</v>
      </c>
      <c r="C156">
        <v>0</v>
      </c>
      <c r="D156">
        <v>0</v>
      </c>
      <c r="E156">
        <v>5</v>
      </c>
      <c r="F156">
        <v>15</v>
      </c>
      <c r="G156">
        <v>0</v>
      </c>
      <c r="H156">
        <v>25</v>
      </c>
      <c r="I156">
        <v>0</v>
      </c>
      <c r="J156">
        <v>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18</v>
      </c>
      <c r="R156">
        <v>0</v>
      </c>
      <c r="S156">
        <v>4</v>
      </c>
      <c r="T156">
        <v>0</v>
      </c>
      <c r="U156">
        <v>0</v>
      </c>
      <c r="V156">
        <v>0</v>
      </c>
      <c r="W156">
        <v>70</v>
      </c>
      <c r="X156">
        <v>0</v>
      </c>
      <c r="Y156">
        <v>0</v>
      </c>
      <c r="Z156">
        <v>14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H156">
        <v>156</v>
      </c>
    </row>
    <row r="157" spans="1:34" x14ac:dyDescent="0.25">
      <c r="A157" s="1">
        <v>153</v>
      </c>
      <c r="B157">
        <v>0</v>
      </c>
      <c r="C157">
        <v>0</v>
      </c>
      <c r="D157">
        <v>0</v>
      </c>
      <c r="E157">
        <v>5</v>
      </c>
      <c r="F157">
        <v>15</v>
      </c>
      <c r="G157">
        <v>0</v>
      </c>
      <c r="H157">
        <v>25</v>
      </c>
      <c r="I157">
        <v>0</v>
      </c>
      <c r="J157">
        <v>5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18</v>
      </c>
      <c r="R157">
        <v>0</v>
      </c>
      <c r="S157">
        <v>4</v>
      </c>
      <c r="T157">
        <v>0</v>
      </c>
      <c r="U157">
        <v>0</v>
      </c>
      <c r="V157">
        <v>0</v>
      </c>
      <c r="W157">
        <v>70</v>
      </c>
      <c r="X157">
        <v>0</v>
      </c>
      <c r="Y157">
        <v>0</v>
      </c>
      <c r="Z157">
        <v>14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H157">
        <v>156</v>
      </c>
    </row>
    <row r="158" spans="1:34" x14ac:dyDescent="0.25">
      <c r="A158" s="1">
        <v>154</v>
      </c>
      <c r="B158">
        <v>0</v>
      </c>
      <c r="C158">
        <v>0</v>
      </c>
      <c r="D158">
        <v>0</v>
      </c>
      <c r="E158">
        <v>5</v>
      </c>
      <c r="F158">
        <v>15</v>
      </c>
      <c r="G158">
        <v>0</v>
      </c>
      <c r="H158">
        <v>25</v>
      </c>
      <c r="I158">
        <v>0</v>
      </c>
      <c r="J158">
        <v>5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18</v>
      </c>
      <c r="R158">
        <v>0</v>
      </c>
      <c r="S158">
        <v>4</v>
      </c>
      <c r="T158">
        <v>0</v>
      </c>
      <c r="U158">
        <v>0</v>
      </c>
      <c r="V158">
        <v>0</v>
      </c>
      <c r="W158">
        <v>70</v>
      </c>
      <c r="X158">
        <v>0</v>
      </c>
      <c r="Y158">
        <v>0</v>
      </c>
      <c r="Z158">
        <v>14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H158">
        <v>156</v>
      </c>
    </row>
    <row r="159" spans="1:34" x14ac:dyDescent="0.25">
      <c r="A159" s="1">
        <v>155</v>
      </c>
      <c r="B159">
        <v>0</v>
      </c>
      <c r="C159">
        <v>0</v>
      </c>
      <c r="D159">
        <v>0</v>
      </c>
      <c r="E159">
        <v>5</v>
      </c>
      <c r="F159">
        <v>15</v>
      </c>
      <c r="G159">
        <v>0</v>
      </c>
      <c r="H159">
        <v>25</v>
      </c>
      <c r="I159">
        <v>0</v>
      </c>
      <c r="J159">
        <v>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19</v>
      </c>
      <c r="R159">
        <v>0</v>
      </c>
      <c r="S159">
        <v>5</v>
      </c>
      <c r="T159">
        <v>0</v>
      </c>
      <c r="U159">
        <v>0</v>
      </c>
      <c r="V159">
        <v>0</v>
      </c>
      <c r="W159">
        <v>70</v>
      </c>
      <c r="X159">
        <v>0</v>
      </c>
      <c r="Y159">
        <v>0</v>
      </c>
      <c r="Z159">
        <v>12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H159">
        <v>156</v>
      </c>
    </row>
    <row r="160" spans="1:34" x14ac:dyDescent="0.25">
      <c r="A160" s="1">
        <v>156</v>
      </c>
      <c r="B160">
        <v>0</v>
      </c>
      <c r="C160">
        <v>0</v>
      </c>
      <c r="D160">
        <v>0</v>
      </c>
      <c r="E160">
        <v>6</v>
      </c>
      <c r="F160">
        <v>16</v>
      </c>
      <c r="G160">
        <v>0</v>
      </c>
      <c r="H160">
        <v>25</v>
      </c>
      <c r="I160">
        <v>0</v>
      </c>
      <c r="J160">
        <v>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19</v>
      </c>
      <c r="R160">
        <v>0</v>
      </c>
      <c r="S160">
        <v>6</v>
      </c>
      <c r="T160">
        <v>0</v>
      </c>
      <c r="U160">
        <v>0</v>
      </c>
      <c r="V160">
        <v>0</v>
      </c>
      <c r="W160">
        <v>70</v>
      </c>
      <c r="X160">
        <v>0</v>
      </c>
      <c r="Y160">
        <v>0</v>
      </c>
      <c r="Z160">
        <v>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H160">
        <v>156</v>
      </c>
    </row>
    <row r="161" spans="1:34" x14ac:dyDescent="0.25">
      <c r="A161" s="1">
        <v>157</v>
      </c>
      <c r="B161">
        <v>0</v>
      </c>
      <c r="C161">
        <v>0</v>
      </c>
      <c r="D161">
        <v>0</v>
      </c>
      <c r="E161">
        <v>6</v>
      </c>
      <c r="F161">
        <v>17</v>
      </c>
      <c r="G161">
        <v>0</v>
      </c>
      <c r="H161">
        <v>25</v>
      </c>
      <c r="I161">
        <v>0</v>
      </c>
      <c r="J161">
        <v>5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19</v>
      </c>
      <c r="R161">
        <v>0</v>
      </c>
      <c r="S161">
        <v>6</v>
      </c>
      <c r="T161">
        <v>0</v>
      </c>
      <c r="U161">
        <v>0</v>
      </c>
      <c r="V161">
        <v>0</v>
      </c>
      <c r="W161">
        <v>70</v>
      </c>
      <c r="X161">
        <v>0</v>
      </c>
      <c r="Y161">
        <v>0</v>
      </c>
      <c r="Z161">
        <v>8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H161">
        <v>156</v>
      </c>
    </row>
    <row r="162" spans="1:34" x14ac:dyDescent="0.25">
      <c r="A162" s="1">
        <v>158</v>
      </c>
      <c r="B162">
        <v>0</v>
      </c>
      <c r="C162">
        <v>0</v>
      </c>
      <c r="D162">
        <v>0</v>
      </c>
      <c r="E162">
        <v>6</v>
      </c>
      <c r="F162">
        <v>17</v>
      </c>
      <c r="G162">
        <v>0</v>
      </c>
      <c r="H162">
        <v>25</v>
      </c>
      <c r="I162">
        <v>0</v>
      </c>
      <c r="J162">
        <v>5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19</v>
      </c>
      <c r="R162">
        <v>0</v>
      </c>
      <c r="S162">
        <v>6</v>
      </c>
      <c r="T162">
        <v>0</v>
      </c>
      <c r="U162">
        <v>0</v>
      </c>
      <c r="V162">
        <v>0</v>
      </c>
      <c r="W162">
        <v>70</v>
      </c>
      <c r="X162">
        <v>0</v>
      </c>
      <c r="Y162">
        <v>0</v>
      </c>
      <c r="Z162">
        <v>8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H162">
        <v>156</v>
      </c>
    </row>
    <row r="163" spans="1:34" x14ac:dyDescent="0.25">
      <c r="A163" s="1">
        <v>159</v>
      </c>
      <c r="B163">
        <v>0</v>
      </c>
      <c r="C163">
        <v>0</v>
      </c>
      <c r="D163">
        <v>0</v>
      </c>
      <c r="E163">
        <v>6</v>
      </c>
      <c r="F163">
        <v>17</v>
      </c>
      <c r="G163">
        <v>0</v>
      </c>
      <c r="H163">
        <v>25</v>
      </c>
      <c r="I163">
        <v>0</v>
      </c>
      <c r="J163">
        <v>5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19</v>
      </c>
      <c r="R163">
        <v>0</v>
      </c>
      <c r="S163">
        <v>6</v>
      </c>
      <c r="T163">
        <v>0</v>
      </c>
      <c r="U163">
        <v>0</v>
      </c>
      <c r="V163">
        <v>0</v>
      </c>
      <c r="W163">
        <v>70</v>
      </c>
      <c r="X163">
        <v>0</v>
      </c>
      <c r="Y163">
        <v>0</v>
      </c>
      <c r="Z163">
        <v>8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H163">
        <v>156</v>
      </c>
    </row>
    <row r="164" spans="1:34" x14ac:dyDescent="0.25">
      <c r="A164" s="1">
        <v>160</v>
      </c>
      <c r="B164">
        <v>0</v>
      </c>
      <c r="C164">
        <v>0</v>
      </c>
      <c r="D164">
        <v>0</v>
      </c>
      <c r="E164">
        <v>6</v>
      </c>
      <c r="F164">
        <v>17</v>
      </c>
      <c r="G164">
        <v>0</v>
      </c>
      <c r="H164">
        <v>25</v>
      </c>
      <c r="I164">
        <v>0</v>
      </c>
      <c r="J164">
        <v>5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20</v>
      </c>
      <c r="R164">
        <v>0</v>
      </c>
      <c r="S164">
        <v>6</v>
      </c>
      <c r="T164">
        <v>0</v>
      </c>
      <c r="U164">
        <v>0</v>
      </c>
      <c r="V164">
        <v>0</v>
      </c>
      <c r="W164">
        <v>70</v>
      </c>
      <c r="X164">
        <v>0</v>
      </c>
      <c r="Y164">
        <v>0</v>
      </c>
      <c r="Z164">
        <v>7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H164">
        <v>156</v>
      </c>
    </row>
    <row r="165" spans="1:34" x14ac:dyDescent="0.25">
      <c r="A165" s="1">
        <v>161</v>
      </c>
      <c r="B165">
        <v>0</v>
      </c>
      <c r="C165">
        <v>0</v>
      </c>
      <c r="D165">
        <v>0</v>
      </c>
      <c r="E165">
        <v>6</v>
      </c>
      <c r="F165">
        <v>18</v>
      </c>
      <c r="G165">
        <v>0</v>
      </c>
      <c r="H165">
        <v>25</v>
      </c>
      <c r="I165">
        <v>0</v>
      </c>
      <c r="J165">
        <v>5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21</v>
      </c>
      <c r="R165">
        <v>0</v>
      </c>
      <c r="S165">
        <v>6</v>
      </c>
      <c r="T165">
        <v>0</v>
      </c>
      <c r="U165">
        <v>0</v>
      </c>
      <c r="V165">
        <v>0</v>
      </c>
      <c r="W165">
        <v>70</v>
      </c>
      <c r="X165">
        <v>0</v>
      </c>
      <c r="Y165">
        <v>0</v>
      </c>
      <c r="Z165">
        <v>5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H165">
        <v>156</v>
      </c>
    </row>
    <row r="166" spans="1:34" x14ac:dyDescent="0.25">
      <c r="A166" s="1">
        <v>162</v>
      </c>
      <c r="B166">
        <v>0</v>
      </c>
      <c r="C166">
        <v>0</v>
      </c>
      <c r="D166">
        <v>0</v>
      </c>
      <c r="E166">
        <v>7</v>
      </c>
      <c r="F166">
        <v>18</v>
      </c>
      <c r="G166">
        <v>0</v>
      </c>
      <c r="H166">
        <v>25</v>
      </c>
      <c r="I166">
        <v>0</v>
      </c>
      <c r="J166">
        <v>4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21</v>
      </c>
      <c r="R166">
        <v>0</v>
      </c>
      <c r="S166">
        <v>7</v>
      </c>
      <c r="T166">
        <v>0</v>
      </c>
      <c r="U166">
        <v>0</v>
      </c>
      <c r="V166">
        <v>0</v>
      </c>
      <c r="W166">
        <v>71</v>
      </c>
      <c r="X166">
        <v>0</v>
      </c>
      <c r="Y166">
        <v>0</v>
      </c>
      <c r="Z166">
        <v>3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H166">
        <v>156</v>
      </c>
    </row>
    <row r="167" spans="1:34" x14ac:dyDescent="0.25">
      <c r="A167" s="1">
        <v>163</v>
      </c>
      <c r="B167">
        <v>0</v>
      </c>
      <c r="C167">
        <v>0</v>
      </c>
      <c r="D167">
        <v>0</v>
      </c>
      <c r="E167">
        <v>7</v>
      </c>
      <c r="F167">
        <v>18</v>
      </c>
      <c r="G167">
        <v>0</v>
      </c>
      <c r="H167">
        <v>25</v>
      </c>
      <c r="I167">
        <v>0</v>
      </c>
      <c r="J167">
        <v>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21</v>
      </c>
      <c r="R167">
        <v>0</v>
      </c>
      <c r="S167">
        <v>7</v>
      </c>
      <c r="T167">
        <v>0</v>
      </c>
      <c r="U167">
        <v>0</v>
      </c>
      <c r="V167">
        <v>0</v>
      </c>
      <c r="W167">
        <v>71</v>
      </c>
      <c r="X167">
        <v>0</v>
      </c>
      <c r="Y167">
        <v>0</v>
      </c>
      <c r="Z167">
        <v>3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H167">
        <v>156</v>
      </c>
    </row>
    <row r="168" spans="1:34" x14ac:dyDescent="0.25">
      <c r="A168" s="1">
        <v>164</v>
      </c>
      <c r="B168">
        <v>0</v>
      </c>
      <c r="C168">
        <v>0</v>
      </c>
      <c r="D168">
        <v>0</v>
      </c>
      <c r="E168">
        <v>7</v>
      </c>
      <c r="F168">
        <v>18</v>
      </c>
      <c r="G168">
        <v>0</v>
      </c>
      <c r="H168">
        <v>25</v>
      </c>
      <c r="I168">
        <v>0</v>
      </c>
      <c r="J168">
        <v>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22</v>
      </c>
      <c r="R168">
        <v>0</v>
      </c>
      <c r="S168">
        <v>7</v>
      </c>
      <c r="T168">
        <v>0</v>
      </c>
      <c r="U168">
        <v>0</v>
      </c>
      <c r="V168">
        <v>0</v>
      </c>
      <c r="W168">
        <v>71</v>
      </c>
      <c r="X168">
        <v>0</v>
      </c>
      <c r="Y168">
        <v>0</v>
      </c>
      <c r="Z168">
        <v>2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H168">
        <v>156</v>
      </c>
    </row>
    <row r="169" spans="1:34" x14ac:dyDescent="0.25">
      <c r="A169" s="1">
        <v>165</v>
      </c>
      <c r="B169">
        <v>0</v>
      </c>
      <c r="C169">
        <v>0</v>
      </c>
      <c r="D169">
        <v>0</v>
      </c>
      <c r="E169">
        <v>7</v>
      </c>
      <c r="F169">
        <v>18</v>
      </c>
      <c r="G169">
        <v>0</v>
      </c>
      <c r="H169">
        <v>25</v>
      </c>
      <c r="I169">
        <v>0</v>
      </c>
      <c r="J169">
        <v>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23</v>
      </c>
      <c r="R169">
        <v>0</v>
      </c>
      <c r="S169">
        <v>7</v>
      </c>
      <c r="T169">
        <v>0</v>
      </c>
      <c r="U169">
        <v>0</v>
      </c>
      <c r="V169">
        <v>0</v>
      </c>
      <c r="W169">
        <v>71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H169">
        <v>156</v>
      </c>
    </row>
    <row r="170" spans="1:34" x14ac:dyDescent="0.25">
      <c r="A170" s="1">
        <v>166</v>
      </c>
      <c r="B170">
        <v>0</v>
      </c>
      <c r="C170">
        <v>0</v>
      </c>
      <c r="D170">
        <v>0</v>
      </c>
      <c r="E170">
        <v>7</v>
      </c>
      <c r="F170">
        <v>18</v>
      </c>
      <c r="G170">
        <v>0</v>
      </c>
      <c r="H170">
        <v>25</v>
      </c>
      <c r="I170">
        <v>0</v>
      </c>
      <c r="J170">
        <v>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23</v>
      </c>
      <c r="R170">
        <v>0</v>
      </c>
      <c r="S170">
        <v>8</v>
      </c>
      <c r="T170">
        <v>0</v>
      </c>
      <c r="U170">
        <v>0</v>
      </c>
      <c r="V170">
        <v>0</v>
      </c>
      <c r="W170">
        <v>71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H170">
        <v>156</v>
      </c>
    </row>
    <row r="171" spans="1:34" x14ac:dyDescent="0.25">
      <c r="A171" s="1">
        <v>167</v>
      </c>
      <c r="B171">
        <v>0</v>
      </c>
      <c r="C171">
        <v>0</v>
      </c>
      <c r="D171">
        <v>0</v>
      </c>
      <c r="E171">
        <v>7</v>
      </c>
      <c r="F171">
        <v>18</v>
      </c>
      <c r="G171">
        <v>0</v>
      </c>
      <c r="H171">
        <v>25</v>
      </c>
      <c r="I171">
        <v>0</v>
      </c>
      <c r="J171">
        <v>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23</v>
      </c>
      <c r="R171">
        <v>0</v>
      </c>
      <c r="S171">
        <v>8</v>
      </c>
      <c r="T171">
        <v>0</v>
      </c>
      <c r="U171">
        <v>0</v>
      </c>
      <c r="V171">
        <v>0</v>
      </c>
      <c r="W171">
        <v>72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H171">
        <v>156</v>
      </c>
    </row>
    <row r="172" spans="1:34" x14ac:dyDescent="0.25">
      <c r="A172" s="1">
        <v>168</v>
      </c>
      <c r="B172">
        <v>0</v>
      </c>
      <c r="C172">
        <v>0</v>
      </c>
      <c r="D172">
        <v>0</v>
      </c>
      <c r="E172">
        <v>7</v>
      </c>
      <c r="F172">
        <v>18</v>
      </c>
      <c r="G172">
        <v>0</v>
      </c>
      <c r="H172">
        <v>25</v>
      </c>
      <c r="I172">
        <v>0</v>
      </c>
      <c r="J172">
        <v>2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23</v>
      </c>
      <c r="R172">
        <v>0</v>
      </c>
      <c r="S172">
        <v>8</v>
      </c>
      <c r="T172">
        <v>0</v>
      </c>
      <c r="U172">
        <v>0</v>
      </c>
      <c r="V172">
        <v>0</v>
      </c>
      <c r="W172">
        <v>73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H172">
        <v>156</v>
      </c>
    </row>
    <row r="173" spans="1:34" x14ac:dyDescent="0.25">
      <c r="A173" s="1">
        <v>169</v>
      </c>
      <c r="B173">
        <v>0</v>
      </c>
      <c r="C173">
        <v>0</v>
      </c>
      <c r="D173">
        <v>0</v>
      </c>
      <c r="E173">
        <v>7</v>
      </c>
      <c r="F173">
        <v>18</v>
      </c>
      <c r="G173">
        <v>0</v>
      </c>
      <c r="H173">
        <v>25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23</v>
      </c>
      <c r="R173">
        <v>0</v>
      </c>
      <c r="S173">
        <v>8</v>
      </c>
      <c r="T173">
        <v>0</v>
      </c>
      <c r="U173">
        <v>0</v>
      </c>
      <c r="V173">
        <v>0</v>
      </c>
      <c r="W173">
        <v>75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H173">
        <v>156</v>
      </c>
    </row>
    <row r="174" spans="1:34" x14ac:dyDescent="0.25">
      <c r="A174" s="1">
        <v>170</v>
      </c>
      <c r="B174">
        <v>0</v>
      </c>
      <c r="C174">
        <v>0</v>
      </c>
      <c r="D174">
        <v>0</v>
      </c>
      <c r="E174">
        <v>7</v>
      </c>
      <c r="F174">
        <v>18</v>
      </c>
      <c r="G174">
        <v>0</v>
      </c>
      <c r="H174">
        <v>25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23</v>
      </c>
      <c r="R174">
        <v>0</v>
      </c>
      <c r="S174">
        <v>8</v>
      </c>
      <c r="T174">
        <v>0</v>
      </c>
      <c r="U174">
        <v>0</v>
      </c>
      <c r="V174">
        <v>0</v>
      </c>
      <c r="W174">
        <v>75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H174">
        <v>156</v>
      </c>
    </row>
    <row r="175" spans="1:34" x14ac:dyDescent="0.25">
      <c r="A175" s="1" t="s">
        <v>101</v>
      </c>
    </row>
    <row r="176" spans="1:34" x14ac:dyDescent="0.25">
      <c r="A176" s="1" t="s">
        <v>3</v>
      </c>
      <c r="B176">
        <v>0</v>
      </c>
      <c r="C176">
        <v>296</v>
      </c>
      <c r="D176">
        <v>12</v>
      </c>
      <c r="E176">
        <v>522</v>
      </c>
      <c r="F176">
        <v>1702</v>
      </c>
      <c r="G176">
        <v>458</v>
      </c>
      <c r="H176">
        <v>2913</v>
      </c>
      <c r="I176">
        <v>162</v>
      </c>
      <c r="J176">
        <v>1464</v>
      </c>
      <c r="K176">
        <v>263</v>
      </c>
      <c r="L176">
        <v>96</v>
      </c>
      <c r="M176">
        <v>2100</v>
      </c>
      <c r="N176">
        <v>709</v>
      </c>
      <c r="O176">
        <v>1124</v>
      </c>
      <c r="P176">
        <v>8</v>
      </c>
      <c r="Q176">
        <v>1781</v>
      </c>
      <c r="R176">
        <v>54</v>
      </c>
      <c r="S176">
        <v>442</v>
      </c>
      <c r="T176">
        <v>767</v>
      </c>
      <c r="U176">
        <v>93</v>
      </c>
      <c r="V176">
        <v>197</v>
      </c>
      <c r="W176">
        <v>5635</v>
      </c>
      <c r="X176">
        <v>479</v>
      </c>
      <c r="Y176">
        <v>46</v>
      </c>
      <c r="Z176">
        <v>4061</v>
      </c>
      <c r="AA176">
        <v>600</v>
      </c>
      <c r="AB176">
        <v>0</v>
      </c>
      <c r="AC176">
        <v>82</v>
      </c>
      <c r="AD176">
        <v>0</v>
      </c>
      <c r="AE176">
        <v>82</v>
      </c>
      <c r="AF176">
        <v>45</v>
      </c>
      <c r="AH176">
        <v>26193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86B3-D6E1-4953-A0FA-B65053366677}">
  <dimension ref="A1:AE175"/>
  <sheetViews>
    <sheetView zoomScaleNormal="100" workbookViewId="0">
      <selection activeCell="N6" sqref="N6"/>
    </sheetView>
  </sheetViews>
  <sheetFormatPr defaultRowHeight="15" x14ac:dyDescent="0.25"/>
  <cols>
    <col min="1" max="1" width="15.28515625" bestFit="1" customWidth="1"/>
    <col min="2" max="2" width="17.28515625" bestFit="1" customWidth="1"/>
    <col min="3" max="3" width="8.85546875" bestFit="1" customWidth="1"/>
    <col min="4" max="4" width="26.5703125" bestFit="1" customWidth="1"/>
    <col min="5" max="5" width="17.42578125" bestFit="1" customWidth="1"/>
    <col min="6" max="6" width="6" bestFit="1" customWidth="1"/>
    <col min="7" max="7" width="10.7109375" bestFit="1" customWidth="1"/>
    <col min="8" max="8" width="9.28515625" bestFit="1" customWidth="1"/>
    <col min="9" max="9" width="12.42578125" bestFit="1" customWidth="1"/>
    <col min="10" max="10" width="7" bestFit="1" customWidth="1"/>
    <col min="11" max="11" width="9.140625" bestFit="1" customWidth="1"/>
    <col min="12" max="12" width="8" bestFit="1" customWidth="1"/>
    <col min="13" max="13" width="7.7109375" bestFit="1" customWidth="1"/>
    <col min="14" max="14" width="10.140625" bestFit="1" customWidth="1"/>
    <col min="15" max="15" width="8.28515625" bestFit="1" customWidth="1"/>
    <col min="16" max="16" width="9.28515625" bestFit="1" customWidth="1"/>
    <col min="17" max="17" width="9.42578125" bestFit="1" customWidth="1"/>
    <col min="18" max="18" width="23.42578125" bestFit="1" customWidth="1"/>
    <col min="19" max="19" width="8.7109375" bestFit="1" customWidth="1"/>
    <col min="20" max="20" width="10.28515625" bestFit="1" customWidth="1"/>
    <col min="21" max="21" width="7" bestFit="1" customWidth="1"/>
    <col min="22" max="22" width="7.42578125" bestFit="1" customWidth="1"/>
    <col min="23" max="23" width="19.28515625" bestFit="1" customWidth="1"/>
    <col min="24" max="24" width="21.85546875" bestFit="1" customWidth="1"/>
    <col min="25" max="25" width="13.140625" bestFit="1" customWidth="1"/>
    <col min="26" max="26" width="6.7109375" bestFit="1" customWidth="1"/>
    <col min="27" max="27" width="19.42578125" bestFit="1" customWidth="1"/>
    <col min="28" max="28" width="15" bestFit="1" customWidth="1"/>
    <col min="29" max="29" width="16.42578125" bestFit="1" customWidth="1"/>
    <col min="30" max="30" width="5.28515625" bestFit="1" customWidth="1"/>
    <col min="31" max="31" width="11.28515625" bestFit="1" customWidth="1"/>
    <col min="32" max="32" width="5.28515625" bestFit="1" customWidth="1"/>
    <col min="33" max="33" width="11.28515625" bestFit="1" customWidth="1"/>
    <col min="34" max="34" width="17.7109375" bestFit="1" customWidth="1"/>
    <col min="35" max="35" width="15.28515625" bestFit="1" customWidth="1"/>
    <col min="36" max="36" width="15.5703125" bestFit="1" customWidth="1"/>
    <col min="37" max="37" width="15.28515625" bestFit="1" customWidth="1"/>
    <col min="38" max="38" width="18.85546875" bestFit="1" customWidth="1"/>
    <col min="39" max="39" width="15.28515625" bestFit="1" customWidth="1"/>
    <col min="40" max="40" width="17" bestFit="1" customWidth="1"/>
    <col min="41" max="41" width="15.28515625" bestFit="1" customWidth="1"/>
    <col min="42" max="42" width="16.42578125" bestFit="1" customWidth="1"/>
    <col min="43" max="43" width="15.28515625" bestFit="1" customWidth="1"/>
    <col min="44" max="44" width="28.42578125" bestFit="1" customWidth="1"/>
    <col min="45" max="45" width="15.28515625" bestFit="1" customWidth="1"/>
    <col min="46" max="46" width="15.85546875" bestFit="1" customWidth="1"/>
    <col min="47" max="47" width="15.28515625" bestFit="1" customWidth="1"/>
    <col min="48" max="48" width="15.5703125" bestFit="1" customWidth="1"/>
    <col min="49" max="49" width="15.28515625" bestFit="1" customWidth="1"/>
    <col min="50" max="50" width="28.7109375" bestFit="1" customWidth="1"/>
    <col min="51" max="51" width="15.28515625" bestFit="1" customWidth="1"/>
    <col min="52" max="52" width="15.5703125" bestFit="1" customWidth="1"/>
    <col min="53" max="53" width="15.28515625" bestFit="1" customWidth="1"/>
    <col min="54" max="54" width="19.42578125" bestFit="1" customWidth="1"/>
    <col min="55" max="55" width="15.28515625" bestFit="1" customWidth="1"/>
    <col min="56" max="56" width="24.85546875" bestFit="1" customWidth="1"/>
    <col min="57" max="57" width="15.28515625" bestFit="1" customWidth="1"/>
    <col min="58" max="58" width="20.5703125" bestFit="1" customWidth="1"/>
    <col min="59" max="59" width="20.28515625" bestFit="1" customWidth="1"/>
  </cols>
  <sheetData>
    <row r="1" spans="1:31" x14ac:dyDescent="0.25">
      <c r="A1" s="2" t="s">
        <v>1</v>
      </c>
      <c r="B1" t="s">
        <v>51</v>
      </c>
    </row>
    <row r="3" spans="1:31" x14ac:dyDescent="0.25">
      <c r="A3" s="2" t="s">
        <v>56</v>
      </c>
      <c r="B3" s="2" t="s">
        <v>50</v>
      </c>
    </row>
    <row r="4" spans="1:31" x14ac:dyDescent="0.25">
      <c r="A4" s="2" t="s">
        <v>2</v>
      </c>
      <c r="B4" t="s">
        <v>73</v>
      </c>
      <c r="C4" t="s">
        <v>70</v>
      </c>
      <c r="D4" t="s">
        <v>82</v>
      </c>
      <c r="E4" t="s">
        <v>76</v>
      </c>
      <c r="F4" t="s">
        <v>63</v>
      </c>
      <c r="G4" t="s">
        <v>72</v>
      </c>
      <c r="H4" t="s">
        <v>83</v>
      </c>
      <c r="I4" t="s">
        <v>79</v>
      </c>
      <c r="J4" t="s">
        <v>64</v>
      </c>
      <c r="K4" t="s">
        <v>71</v>
      </c>
      <c r="L4" t="s">
        <v>69</v>
      </c>
      <c r="M4" t="s">
        <v>62</v>
      </c>
      <c r="N4" t="s">
        <v>86</v>
      </c>
      <c r="O4" t="s">
        <v>68</v>
      </c>
      <c r="P4" t="s">
        <v>78</v>
      </c>
      <c r="Q4" t="s">
        <v>84</v>
      </c>
      <c r="R4" t="s">
        <v>87</v>
      </c>
      <c r="S4" t="s">
        <v>66</v>
      </c>
      <c r="T4" t="s">
        <v>67</v>
      </c>
      <c r="U4" t="s">
        <v>77</v>
      </c>
      <c r="V4" t="s">
        <v>61</v>
      </c>
      <c r="W4" t="s">
        <v>88</v>
      </c>
      <c r="X4" t="s">
        <v>81</v>
      </c>
      <c r="Y4" t="s">
        <v>80</v>
      </c>
      <c r="Z4" t="s">
        <v>65</v>
      </c>
      <c r="AA4" t="s">
        <v>85</v>
      </c>
      <c r="AB4" t="s">
        <v>75</v>
      </c>
      <c r="AC4" t="s">
        <v>74</v>
      </c>
      <c r="AD4" t="s">
        <v>100</v>
      </c>
      <c r="AE4" t="s">
        <v>3</v>
      </c>
    </row>
    <row r="5" spans="1:31" x14ac:dyDescent="0.25">
      <c r="A5" s="1">
        <v>1</v>
      </c>
      <c r="B5">
        <v>14</v>
      </c>
      <c r="C5">
        <v>7</v>
      </c>
      <c r="D5">
        <v>5</v>
      </c>
      <c r="E5">
        <v>7</v>
      </c>
      <c r="F5">
        <v>17</v>
      </c>
      <c r="G5">
        <v>9</v>
      </c>
      <c r="H5">
        <v>4</v>
      </c>
      <c r="I5">
        <v>7</v>
      </c>
      <c r="J5">
        <v>5</v>
      </c>
      <c r="K5">
        <v>5</v>
      </c>
      <c r="L5">
        <v>9</v>
      </c>
      <c r="M5">
        <v>26</v>
      </c>
      <c r="N5">
        <v>8</v>
      </c>
      <c r="O5">
        <v>7</v>
      </c>
      <c r="P5">
        <v>9</v>
      </c>
      <c r="Q5">
        <v>4</v>
      </c>
      <c r="R5">
        <v>4</v>
      </c>
      <c r="S5">
        <v>3</v>
      </c>
      <c r="T5">
        <v>5</v>
      </c>
      <c r="U5">
        <v>5</v>
      </c>
      <c r="V5">
        <v>22</v>
      </c>
      <c r="W5">
        <v>2</v>
      </c>
      <c r="X5">
        <v>5</v>
      </c>
      <c r="Y5">
        <v>9</v>
      </c>
      <c r="Z5">
        <v>19</v>
      </c>
      <c r="AA5">
        <v>3</v>
      </c>
      <c r="AB5">
        <v>5</v>
      </c>
      <c r="AC5">
        <v>5</v>
      </c>
      <c r="AE5">
        <v>230</v>
      </c>
    </row>
    <row r="6" spans="1:31" x14ac:dyDescent="0.25">
      <c r="A6" s="1">
        <v>2</v>
      </c>
      <c r="B6">
        <v>14</v>
      </c>
      <c r="C6">
        <v>7</v>
      </c>
      <c r="D6">
        <v>5</v>
      </c>
      <c r="E6">
        <v>7</v>
      </c>
      <c r="F6">
        <v>17</v>
      </c>
      <c r="G6">
        <v>9</v>
      </c>
      <c r="H6">
        <v>4</v>
      </c>
      <c r="I6">
        <v>7</v>
      </c>
      <c r="J6">
        <v>5</v>
      </c>
      <c r="K6">
        <v>5</v>
      </c>
      <c r="L6">
        <v>9</v>
      </c>
      <c r="M6">
        <v>26</v>
      </c>
      <c r="N6">
        <v>8</v>
      </c>
      <c r="O6">
        <v>7</v>
      </c>
      <c r="P6">
        <v>9</v>
      </c>
      <c r="Q6">
        <v>4</v>
      </c>
      <c r="R6">
        <v>4</v>
      </c>
      <c r="S6">
        <v>3</v>
      </c>
      <c r="T6">
        <v>5</v>
      </c>
      <c r="U6">
        <v>5</v>
      </c>
      <c r="V6">
        <v>22</v>
      </c>
      <c r="W6">
        <v>2</v>
      </c>
      <c r="X6">
        <v>5</v>
      </c>
      <c r="Y6">
        <v>9</v>
      </c>
      <c r="Z6">
        <v>19</v>
      </c>
      <c r="AA6">
        <v>3</v>
      </c>
      <c r="AB6">
        <v>5</v>
      </c>
      <c r="AC6">
        <v>5</v>
      </c>
      <c r="AE6">
        <v>230</v>
      </c>
    </row>
    <row r="7" spans="1:31" x14ac:dyDescent="0.25">
      <c r="A7" s="1">
        <v>3</v>
      </c>
      <c r="B7">
        <v>16</v>
      </c>
      <c r="C7">
        <v>7</v>
      </c>
      <c r="D7">
        <v>5</v>
      </c>
      <c r="E7">
        <v>7</v>
      </c>
      <c r="F7">
        <v>17</v>
      </c>
      <c r="G7">
        <v>9</v>
      </c>
      <c r="H7">
        <v>4</v>
      </c>
      <c r="I7">
        <v>7</v>
      </c>
      <c r="J7">
        <v>5</v>
      </c>
      <c r="K7">
        <v>5</v>
      </c>
      <c r="L7">
        <v>9</v>
      </c>
      <c r="M7">
        <v>26</v>
      </c>
      <c r="N7">
        <v>8</v>
      </c>
      <c r="P7">
        <v>9</v>
      </c>
      <c r="Q7">
        <v>4</v>
      </c>
      <c r="R7">
        <v>4</v>
      </c>
      <c r="S7">
        <v>3</v>
      </c>
      <c r="T7">
        <v>5</v>
      </c>
      <c r="U7">
        <v>5</v>
      </c>
      <c r="V7">
        <v>22</v>
      </c>
      <c r="W7">
        <v>4</v>
      </c>
      <c r="X7">
        <v>5</v>
      </c>
      <c r="Y7">
        <v>15</v>
      </c>
      <c r="Z7">
        <v>19</v>
      </c>
      <c r="AA7">
        <v>3</v>
      </c>
      <c r="AB7">
        <v>5</v>
      </c>
      <c r="AC7">
        <v>5</v>
      </c>
      <c r="AE7">
        <v>233</v>
      </c>
    </row>
    <row r="8" spans="1:31" x14ac:dyDescent="0.25">
      <c r="A8" s="1">
        <v>4</v>
      </c>
      <c r="B8">
        <v>16</v>
      </c>
      <c r="D8">
        <v>5</v>
      </c>
      <c r="E8">
        <v>7</v>
      </c>
      <c r="F8">
        <v>17</v>
      </c>
      <c r="G8">
        <v>9</v>
      </c>
      <c r="H8">
        <v>5</v>
      </c>
      <c r="I8">
        <v>7</v>
      </c>
      <c r="J8">
        <v>5</v>
      </c>
      <c r="K8">
        <v>5</v>
      </c>
      <c r="L8">
        <v>9</v>
      </c>
      <c r="M8">
        <v>26</v>
      </c>
      <c r="N8">
        <v>8</v>
      </c>
      <c r="P8">
        <v>9</v>
      </c>
      <c r="Q8">
        <v>4</v>
      </c>
      <c r="R8">
        <v>4</v>
      </c>
      <c r="S8">
        <v>3</v>
      </c>
      <c r="T8">
        <v>5</v>
      </c>
      <c r="U8">
        <v>5</v>
      </c>
      <c r="V8">
        <v>27</v>
      </c>
      <c r="W8">
        <v>5</v>
      </c>
      <c r="X8">
        <v>5</v>
      </c>
      <c r="Y8">
        <v>21</v>
      </c>
      <c r="Z8">
        <v>19</v>
      </c>
      <c r="AA8">
        <v>3</v>
      </c>
      <c r="AB8">
        <v>5</v>
      </c>
      <c r="AC8">
        <v>5</v>
      </c>
      <c r="AE8">
        <v>239</v>
      </c>
    </row>
    <row r="9" spans="1:31" x14ac:dyDescent="0.25">
      <c r="A9" s="1">
        <v>5</v>
      </c>
      <c r="B9">
        <v>21</v>
      </c>
      <c r="D9">
        <v>5</v>
      </c>
      <c r="E9">
        <v>7</v>
      </c>
      <c r="F9">
        <v>26</v>
      </c>
      <c r="G9">
        <v>14</v>
      </c>
      <c r="H9">
        <v>5</v>
      </c>
      <c r="I9">
        <v>12</v>
      </c>
      <c r="J9">
        <v>10</v>
      </c>
      <c r="K9">
        <v>5</v>
      </c>
      <c r="L9">
        <v>15</v>
      </c>
      <c r="M9">
        <v>31</v>
      </c>
      <c r="N9">
        <v>13</v>
      </c>
      <c r="P9">
        <v>18</v>
      </c>
      <c r="Q9">
        <v>4</v>
      </c>
      <c r="R9">
        <v>4</v>
      </c>
      <c r="S9">
        <v>8</v>
      </c>
      <c r="T9">
        <v>10</v>
      </c>
      <c r="U9">
        <v>5</v>
      </c>
      <c r="V9">
        <v>27</v>
      </c>
      <c r="W9">
        <v>5</v>
      </c>
      <c r="X9">
        <v>5</v>
      </c>
      <c r="Y9">
        <v>21</v>
      </c>
      <c r="Z9">
        <v>19</v>
      </c>
      <c r="AA9">
        <v>3</v>
      </c>
      <c r="AB9">
        <v>5</v>
      </c>
      <c r="AC9">
        <v>10</v>
      </c>
      <c r="AE9">
        <v>308</v>
      </c>
    </row>
    <row r="10" spans="1:31" x14ac:dyDescent="0.25">
      <c r="A10" s="1">
        <v>6</v>
      </c>
      <c r="B10">
        <v>26</v>
      </c>
      <c r="D10">
        <v>5</v>
      </c>
      <c r="E10">
        <v>7</v>
      </c>
      <c r="F10">
        <v>26</v>
      </c>
      <c r="G10">
        <v>14</v>
      </c>
      <c r="H10">
        <v>5</v>
      </c>
      <c r="I10">
        <v>12</v>
      </c>
      <c r="J10">
        <v>10</v>
      </c>
      <c r="K10">
        <v>6</v>
      </c>
      <c r="L10">
        <v>15</v>
      </c>
      <c r="M10">
        <v>31</v>
      </c>
      <c r="N10">
        <v>13</v>
      </c>
      <c r="P10">
        <v>18</v>
      </c>
      <c r="Q10">
        <v>4</v>
      </c>
      <c r="R10">
        <v>4</v>
      </c>
      <c r="S10">
        <v>8</v>
      </c>
      <c r="T10">
        <v>10</v>
      </c>
      <c r="U10">
        <v>5</v>
      </c>
      <c r="V10">
        <v>27</v>
      </c>
      <c r="W10">
        <v>5</v>
      </c>
      <c r="X10">
        <v>5</v>
      </c>
      <c r="Y10">
        <v>21</v>
      </c>
      <c r="Z10">
        <v>28</v>
      </c>
      <c r="AA10">
        <v>3</v>
      </c>
      <c r="AB10">
        <v>5</v>
      </c>
      <c r="AC10">
        <v>10</v>
      </c>
      <c r="AE10">
        <v>323</v>
      </c>
    </row>
    <row r="11" spans="1:31" x14ac:dyDescent="0.25">
      <c r="A11" s="1">
        <v>7</v>
      </c>
      <c r="B11">
        <v>26</v>
      </c>
      <c r="D11">
        <v>5</v>
      </c>
      <c r="E11">
        <v>7</v>
      </c>
      <c r="F11">
        <v>26</v>
      </c>
      <c r="G11">
        <v>14</v>
      </c>
      <c r="H11">
        <v>5</v>
      </c>
      <c r="I11">
        <v>12</v>
      </c>
      <c r="J11">
        <v>10</v>
      </c>
      <c r="K11">
        <v>6</v>
      </c>
      <c r="L11">
        <v>15</v>
      </c>
      <c r="M11">
        <v>28</v>
      </c>
      <c r="N11">
        <v>13</v>
      </c>
      <c r="P11">
        <v>18</v>
      </c>
      <c r="Q11">
        <v>4</v>
      </c>
      <c r="R11">
        <v>4</v>
      </c>
      <c r="S11">
        <v>8</v>
      </c>
      <c r="T11">
        <v>10</v>
      </c>
      <c r="U11">
        <v>5</v>
      </c>
      <c r="V11">
        <v>35</v>
      </c>
      <c r="W11">
        <v>5</v>
      </c>
      <c r="X11">
        <v>5</v>
      </c>
      <c r="Y11">
        <v>26</v>
      </c>
      <c r="Z11">
        <v>28</v>
      </c>
      <c r="AA11">
        <v>3</v>
      </c>
      <c r="AB11">
        <v>5</v>
      </c>
      <c r="AC11">
        <v>10</v>
      </c>
      <c r="AE11">
        <v>333</v>
      </c>
    </row>
    <row r="12" spans="1:31" x14ac:dyDescent="0.25">
      <c r="A12" s="1">
        <v>8</v>
      </c>
      <c r="B12">
        <v>31</v>
      </c>
      <c r="D12">
        <v>5</v>
      </c>
      <c r="E12">
        <v>7</v>
      </c>
      <c r="F12">
        <v>31</v>
      </c>
      <c r="G12">
        <v>19</v>
      </c>
      <c r="H12">
        <v>5</v>
      </c>
      <c r="I12">
        <v>17</v>
      </c>
      <c r="J12">
        <v>15</v>
      </c>
      <c r="K12">
        <v>8</v>
      </c>
      <c r="L12">
        <v>20</v>
      </c>
      <c r="M12">
        <v>33</v>
      </c>
      <c r="N12">
        <v>18</v>
      </c>
      <c r="P12">
        <v>23</v>
      </c>
      <c r="Q12">
        <v>4</v>
      </c>
      <c r="R12">
        <v>4</v>
      </c>
      <c r="S12">
        <v>13</v>
      </c>
      <c r="T12">
        <v>10</v>
      </c>
      <c r="U12">
        <v>5</v>
      </c>
      <c r="V12">
        <v>35</v>
      </c>
      <c r="W12">
        <v>5</v>
      </c>
      <c r="X12">
        <v>5</v>
      </c>
      <c r="Y12">
        <v>26</v>
      </c>
      <c r="Z12">
        <v>28</v>
      </c>
      <c r="AA12">
        <v>3</v>
      </c>
      <c r="AB12">
        <v>5</v>
      </c>
      <c r="AC12">
        <v>15</v>
      </c>
      <c r="AE12">
        <v>390</v>
      </c>
    </row>
    <row r="13" spans="1:31" x14ac:dyDescent="0.25">
      <c r="A13" s="1">
        <v>9</v>
      </c>
      <c r="B13">
        <v>31</v>
      </c>
      <c r="D13">
        <v>5</v>
      </c>
      <c r="E13">
        <v>7</v>
      </c>
      <c r="F13">
        <v>30</v>
      </c>
      <c r="G13">
        <v>20</v>
      </c>
      <c r="H13">
        <v>5</v>
      </c>
      <c r="I13">
        <v>17</v>
      </c>
      <c r="J13">
        <v>19</v>
      </c>
      <c r="K13">
        <v>8</v>
      </c>
      <c r="L13">
        <v>20</v>
      </c>
      <c r="M13">
        <v>30</v>
      </c>
      <c r="N13">
        <v>18</v>
      </c>
      <c r="P13">
        <v>23</v>
      </c>
      <c r="Q13">
        <v>4</v>
      </c>
      <c r="R13">
        <v>4</v>
      </c>
      <c r="S13">
        <v>13</v>
      </c>
      <c r="T13">
        <v>15</v>
      </c>
      <c r="U13">
        <v>5</v>
      </c>
      <c r="V13">
        <v>43</v>
      </c>
      <c r="W13">
        <v>5</v>
      </c>
      <c r="X13">
        <v>6</v>
      </c>
      <c r="Y13">
        <v>31</v>
      </c>
      <c r="Z13">
        <v>28</v>
      </c>
      <c r="AA13">
        <v>3</v>
      </c>
      <c r="AB13">
        <v>5</v>
      </c>
      <c r="AC13">
        <v>14</v>
      </c>
      <c r="AE13">
        <v>409</v>
      </c>
    </row>
    <row r="14" spans="1:31" x14ac:dyDescent="0.25">
      <c r="A14" s="1">
        <v>10</v>
      </c>
      <c r="B14">
        <v>30</v>
      </c>
      <c r="D14">
        <v>5</v>
      </c>
      <c r="E14">
        <v>7</v>
      </c>
      <c r="F14">
        <v>30</v>
      </c>
      <c r="G14">
        <v>24</v>
      </c>
      <c r="H14">
        <v>5</v>
      </c>
      <c r="I14">
        <v>17</v>
      </c>
      <c r="J14">
        <v>19</v>
      </c>
      <c r="K14">
        <v>8</v>
      </c>
      <c r="L14">
        <v>20</v>
      </c>
      <c r="M14">
        <v>50</v>
      </c>
      <c r="N14">
        <v>19</v>
      </c>
      <c r="P14">
        <v>23</v>
      </c>
      <c r="Q14">
        <v>4</v>
      </c>
      <c r="R14">
        <v>4</v>
      </c>
      <c r="S14">
        <v>13</v>
      </c>
      <c r="T14">
        <v>15</v>
      </c>
      <c r="U14">
        <v>5</v>
      </c>
      <c r="V14">
        <v>48</v>
      </c>
      <c r="W14">
        <v>5</v>
      </c>
      <c r="X14">
        <v>6</v>
      </c>
      <c r="Y14">
        <v>40</v>
      </c>
      <c r="Z14">
        <v>33</v>
      </c>
      <c r="AA14">
        <v>3</v>
      </c>
      <c r="AB14">
        <v>5</v>
      </c>
      <c r="AC14">
        <v>14</v>
      </c>
      <c r="AE14">
        <v>452</v>
      </c>
    </row>
    <row r="15" spans="1:31" x14ac:dyDescent="0.25">
      <c r="A15" s="1">
        <v>11</v>
      </c>
      <c r="B15">
        <v>35</v>
      </c>
      <c r="D15">
        <v>5</v>
      </c>
      <c r="E15">
        <v>7</v>
      </c>
      <c r="F15">
        <v>30</v>
      </c>
      <c r="G15">
        <v>29</v>
      </c>
      <c r="H15">
        <v>5</v>
      </c>
      <c r="I15">
        <v>23</v>
      </c>
      <c r="J15">
        <v>24</v>
      </c>
      <c r="K15">
        <v>8</v>
      </c>
      <c r="L15">
        <v>20</v>
      </c>
      <c r="M15">
        <v>55</v>
      </c>
      <c r="N15">
        <v>19</v>
      </c>
      <c r="P15">
        <v>28</v>
      </c>
      <c r="Q15">
        <v>4</v>
      </c>
      <c r="R15">
        <v>4</v>
      </c>
      <c r="S15">
        <v>13</v>
      </c>
      <c r="T15">
        <v>15</v>
      </c>
      <c r="U15">
        <v>5</v>
      </c>
      <c r="V15">
        <v>48</v>
      </c>
      <c r="W15">
        <v>5</v>
      </c>
      <c r="X15">
        <v>6</v>
      </c>
      <c r="Y15">
        <v>40</v>
      </c>
      <c r="Z15">
        <v>32</v>
      </c>
      <c r="AA15">
        <v>3</v>
      </c>
      <c r="AB15">
        <v>5</v>
      </c>
      <c r="AC15">
        <v>19</v>
      </c>
      <c r="AE15">
        <v>487</v>
      </c>
    </row>
    <row r="16" spans="1:31" x14ac:dyDescent="0.25">
      <c r="A16" s="1">
        <v>12</v>
      </c>
      <c r="B16">
        <v>34</v>
      </c>
      <c r="D16">
        <v>5</v>
      </c>
      <c r="E16">
        <v>7</v>
      </c>
      <c r="F16">
        <v>34</v>
      </c>
      <c r="G16">
        <v>29</v>
      </c>
      <c r="H16">
        <v>5</v>
      </c>
      <c r="I16">
        <v>27</v>
      </c>
      <c r="J16">
        <v>24</v>
      </c>
      <c r="K16">
        <v>8</v>
      </c>
      <c r="L16">
        <v>26</v>
      </c>
      <c r="M16">
        <v>55</v>
      </c>
      <c r="N16">
        <v>24</v>
      </c>
      <c r="P16">
        <v>28</v>
      </c>
      <c r="Q16">
        <v>4</v>
      </c>
      <c r="R16">
        <v>4</v>
      </c>
      <c r="S16">
        <v>18</v>
      </c>
      <c r="T16">
        <v>20</v>
      </c>
      <c r="U16">
        <v>5</v>
      </c>
      <c r="V16">
        <v>48</v>
      </c>
      <c r="W16">
        <v>5</v>
      </c>
      <c r="X16">
        <v>7</v>
      </c>
      <c r="Y16">
        <v>41</v>
      </c>
      <c r="Z16">
        <v>32</v>
      </c>
      <c r="AA16">
        <v>3</v>
      </c>
      <c r="AB16">
        <v>5</v>
      </c>
      <c r="AC16">
        <v>19</v>
      </c>
      <c r="AE16">
        <v>517</v>
      </c>
    </row>
    <row r="17" spans="1:31" x14ac:dyDescent="0.25">
      <c r="A17" s="1">
        <v>13</v>
      </c>
      <c r="B17">
        <v>34</v>
      </c>
      <c r="D17">
        <v>5</v>
      </c>
      <c r="E17">
        <v>7</v>
      </c>
      <c r="F17">
        <v>33</v>
      </c>
      <c r="G17">
        <v>33</v>
      </c>
      <c r="H17">
        <v>5</v>
      </c>
      <c r="I17">
        <v>27</v>
      </c>
      <c r="J17">
        <v>39</v>
      </c>
      <c r="K17">
        <v>8</v>
      </c>
      <c r="L17">
        <v>42</v>
      </c>
      <c r="M17">
        <v>55</v>
      </c>
      <c r="N17">
        <v>24</v>
      </c>
      <c r="P17">
        <v>27</v>
      </c>
      <c r="Q17">
        <v>4</v>
      </c>
      <c r="R17">
        <v>4</v>
      </c>
      <c r="S17">
        <v>18</v>
      </c>
      <c r="T17">
        <v>19</v>
      </c>
      <c r="U17">
        <v>5</v>
      </c>
      <c r="V17">
        <v>53</v>
      </c>
      <c r="W17">
        <v>5</v>
      </c>
      <c r="X17">
        <v>7</v>
      </c>
      <c r="Y17">
        <v>51</v>
      </c>
      <c r="Z17">
        <v>32</v>
      </c>
      <c r="AA17">
        <v>3</v>
      </c>
      <c r="AB17">
        <v>6</v>
      </c>
      <c r="AC17">
        <v>19</v>
      </c>
      <c r="AE17">
        <v>565</v>
      </c>
    </row>
    <row r="18" spans="1:31" x14ac:dyDescent="0.25">
      <c r="A18" s="1">
        <v>14</v>
      </c>
      <c r="B18">
        <v>39</v>
      </c>
      <c r="D18">
        <v>5</v>
      </c>
      <c r="E18">
        <v>7</v>
      </c>
      <c r="F18">
        <v>33</v>
      </c>
      <c r="G18">
        <v>38</v>
      </c>
      <c r="H18">
        <v>5</v>
      </c>
      <c r="I18">
        <v>32</v>
      </c>
      <c r="J18">
        <v>45</v>
      </c>
      <c r="K18">
        <v>8</v>
      </c>
      <c r="L18">
        <v>44</v>
      </c>
      <c r="M18">
        <v>60</v>
      </c>
      <c r="N18">
        <v>23</v>
      </c>
      <c r="P18">
        <v>32</v>
      </c>
      <c r="Q18">
        <v>4</v>
      </c>
      <c r="R18">
        <v>4</v>
      </c>
      <c r="S18">
        <v>18</v>
      </c>
      <c r="T18">
        <v>16</v>
      </c>
      <c r="U18">
        <v>5</v>
      </c>
      <c r="V18">
        <v>53</v>
      </c>
      <c r="W18">
        <v>5</v>
      </c>
      <c r="Y18">
        <v>52</v>
      </c>
      <c r="Z18">
        <v>37</v>
      </c>
      <c r="AA18">
        <v>3</v>
      </c>
      <c r="AB18">
        <v>6</v>
      </c>
      <c r="AC18">
        <v>24</v>
      </c>
      <c r="AE18">
        <v>598</v>
      </c>
    </row>
    <row r="19" spans="1:31" x14ac:dyDescent="0.25">
      <c r="A19" s="1">
        <v>15</v>
      </c>
      <c r="B19">
        <v>38</v>
      </c>
      <c r="D19">
        <v>5</v>
      </c>
      <c r="E19">
        <v>7</v>
      </c>
      <c r="F19">
        <v>37</v>
      </c>
      <c r="G19">
        <v>38</v>
      </c>
      <c r="H19">
        <v>5</v>
      </c>
      <c r="I19">
        <v>32</v>
      </c>
      <c r="J19">
        <v>45</v>
      </c>
      <c r="K19">
        <v>8</v>
      </c>
      <c r="L19">
        <v>49</v>
      </c>
      <c r="M19">
        <v>60</v>
      </c>
      <c r="N19">
        <v>29</v>
      </c>
      <c r="P19">
        <v>32</v>
      </c>
      <c r="Q19">
        <v>4</v>
      </c>
      <c r="R19">
        <v>4</v>
      </c>
      <c r="S19">
        <v>23</v>
      </c>
      <c r="T19">
        <v>21</v>
      </c>
      <c r="U19">
        <v>5</v>
      </c>
      <c r="V19">
        <v>53</v>
      </c>
      <c r="W19">
        <v>5</v>
      </c>
      <c r="Y19">
        <v>53</v>
      </c>
      <c r="Z19">
        <v>37</v>
      </c>
      <c r="AA19">
        <v>3</v>
      </c>
      <c r="AB19">
        <v>6</v>
      </c>
      <c r="AC19">
        <v>24</v>
      </c>
      <c r="AE19">
        <v>623</v>
      </c>
    </row>
    <row r="20" spans="1:31" x14ac:dyDescent="0.25">
      <c r="A20" s="1">
        <v>16</v>
      </c>
      <c r="B20">
        <v>38</v>
      </c>
      <c r="D20">
        <v>5</v>
      </c>
      <c r="E20">
        <v>7</v>
      </c>
      <c r="F20">
        <v>38</v>
      </c>
      <c r="G20">
        <v>38</v>
      </c>
      <c r="H20">
        <v>5</v>
      </c>
      <c r="I20">
        <v>32</v>
      </c>
      <c r="J20">
        <v>45</v>
      </c>
      <c r="K20">
        <v>8</v>
      </c>
      <c r="L20">
        <v>49</v>
      </c>
      <c r="M20">
        <v>64</v>
      </c>
      <c r="N20">
        <v>44</v>
      </c>
      <c r="P20">
        <v>36</v>
      </c>
      <c r="Q20">
        <v>4</v>
      </c>
      <c r="R20">
        <v>4</v>
      </c>
      <c r="S20">
        <v>23</v>
      </c>
      <c r="T20">
        <v>21</v>
      </c>
      <c r="U20">
        <v>5</v>
      </c>
      <c r="V20">
        <v>58</v>
      </c>
      <c r="W20">
        <v>5</v>
      </c>
      <c r="Y20">
        <v>52</v>
      </c>
      <c r="Z20">
        <v>42</v>
      </c>
      <c r="AA20">
        <v>3</v>
      </c>
      <c r="AB20">
        <v>6</v>
      </c>
      <c r="AC20">
        <v>24</v>
      </c>
      <c r="AE20">
        <v>656</v>
      </c>
    </row>
    <row r="21" spans="1:31" x14ac:dyDescent="0.25">
      <c r="A21" s="1">
        <v>17</v>
      </c>
      <c r="B21">
        <v>43</v>
      </c>
      <c r="D21">
        <v>5</v>
      </c>
      <c r="E21">
        <v>7</v>
      </c>
      <c r="F21">
        <v>38</v>
      </c>
      <c r="G21">
        <v>58</v>
      </c>
      <c r="H21">
        <v>5</v>
      </c>
      <c r="I21">
        <v>39</v>
      </c>
      <c r="J21">
        <v>45</v>
      </c>
      <c r="K21">
        <v>8</v>
      </c>
      <c r="L21">
        <v>52</v>
      </c>
      <c r="M21">
        <v>73</v>
      </c>
      <c r="N21">
        <v>44</v>
      </c>
      <c r="P21">
        <v>36</v>
      </c>
      <c r="Q21">
        <v>4</v>
      </c>
      <c r="R21">
        <v>4</v>
      </c>
      <c r="S21">
        <v>39</v>
      </c>
      <c r="T21">
        <v>22</v>
      </c>
      <c r="U21">
        <v>5</v>
      </c>
      <c r="V21">
        <v>68</v>
      </c>
      <c r="W21">
        <v>5</v>
      </c>
      <c r="Y21">
        <v>52</v>
      </c>
      <c r="Z21">
        <v>43</v>
      </c>
      <c r="AA21">
        <v>3</v>
      </c>
      <c r="AB21">
        <v>6</v>
      </c>
      <c r="AC21">
        <v>29</v>
      </c>
      <c r="AE21">
        <v>733</v>
      </c>
    </row>
    <row r="22" spans="1:31" x14ac:dyDescent="0.25">
      <c r="A22" s="1">
        <v>18</v>
      </c>
      <c r="B22">
        <v>42</v>
      </c>
      <c r="D22">
        <v>5</v>
      </c>
      <c r="E22">
        <v>7</v>
      </c>
      <c r="F22">
        <v>43</v>
      </c>
      <c r="G22">
        <v>58</v>
      </c>
      <c r="H22">
        <v>5</v>
      </c>
      <c r="I22">
        <v>39</v>
      </c>
      <c r="J22">
        <v>50</v>
      </c>
      <c r="K22">
        <v>8</v>
      </c>
      <c r="L22">
        <v>70</v>
      </c>
      <c r="M22">
        <v>73</v>
      </c>
      <c r="N22">
        <v>50</v>
      </c>
      <c r="P22">
        <v>41</v>
      </c>
      <c r="Q22">
        <v>4</v>
      </c>
      <c r="R22">
        <v>4</v>
      </c>
      <c r="S22">
        <v>46</v>
      </c>
      <c r="T22">
        <v>30</v>
      </c>
      <c r="U22">
        <v>5</v>
      </c>
      <c r="V22">
        <v>68</v>
      </c>
      <c r="W22">
        <v>5</v>
      </c>
      <c r="Y22">
        <v>61</v>
      </c>
      <c r="Z22">
        <v>46</v>
      </c>
      <c r="AA22">
        <v>3</v>
      </c>
      <c r="AB22">
        <v>6</v>
      </c>
      <c r="AC22">
        <v>29</v>
      </c>
      <c r="AE22">
        <v>798</v>
      </c>
    </row>
    <row r="23" spans="1:31" x14ac:dyDescent="0.25">
      <c r="A23" s="1">
        <v>19</v>
      </c>
      <c r="B23">
        <v>42</v>
      </c>
      <c r="D23">
        <v>5</v>
      </c>
      <c r="E23">
        <v>8</v>
      </c>
      <c r="F23">
        <v>43</v>
      </c>
      <c r="G23">
        <v>60</v>
      </c>
      <c r="H23">
        <v>5</v>
      </c>
      <c r="I23">
        <v>39</v>
      </c>
      <c r="J23">
        <v>50</v>
      </c>
      <c r="L23">
        <v>70</v>
      </c>
      <c r="M23">
        <v>73</v>
      </c>
      <c r="N23">
        <v>50</v>
      </c>
      <c r="P23">
        <v>41</v>
      </c>
      <c r="Q23">
        <v>3</v>
      </c>
      <c r="R23">
        <v>4</v>
      </c>
      <c r="S23">
        <v>46</v>
      </c>
      <c r="T23">
        <v>30</v>
      </c>
      <c r="U23">
        <v>5</v>
      </c>
      <c r="V23">
        <v>73</v>
      </c>
      <c r="W23">
        <v>5</v>
      </c>
      <c r="Y23">
        <v>72</v>
      </c>
      <c r="Z23">
        <v>46</v>
      </c>
      <c r="AA23">
        <v>3</v>
      </c>
      <c r="AB23">
        <v>6</v>
      </c>
      <c r="AC23">
        <v>28</v>
      </c>
      <c r="AE23">
        <v>807</v>
      </c>
    </row>
    <row r="24" spans="1:31" x14ac:dyDescent="0.25">
      <c r="A24" s="1">
        <v>20</v>
      </c>
      <c r="B24">
        <v>42</v>
      </c>
      <c r="D24">
        <v>5</v>
      </c>
      <c r="E24">
        <v>8</v>
      </c>
      <c r="F24">
        <v>43</v>
      </c>
      <c r="G24">
        <v>62</v>
      </c>
      <c r="H24">
        <v>5</v>
      </c>
      <c r="I24">
        <v>44</v>
      </c>
      <c r="J24">
        <v>54</v>
      </c>
      <c r="L24">
        <v>70</v>
      </c>
      <c r="M24">
        <v>76</v>
      </c>
      <c r="N24">
        <v>50</v>
      </c>
      <c r="P24">
        <v>41</v>
      </c>
      <c r="Q24">
        <v>3</v>
      </c>
      <c r="R24">
        <v>4</v>
      </c>
      <c r="S24">
        <v>46</v>
      </c>
      <c r="T24">
        <v>34</v>
      </c>
      <c r="U24">
        <v>5</v>
      </c>
      <c r="V24">
        <v>77</v>
      </c>
      <c r="W24">
        <v>5</v>
      </c>
      <c r="Y24">
        <v>72</v>
      </c>
      <c r="Z24">
        <v>55</v>
      </c>
      <c r="AA24">
        <v>3</v>
      </c>
      <c r="AB24">
        <v>6</v>
      </c>
      <c r="AE24">
        <v>810</v>
      </c>
    </row>
    <row r="25" spans="1:31" x14ac:dyDescent="0.25">
      <c r="A25" s="1">
        <v>21</v>
      </c>
      <c r="B25">
        <v>47</v>
      </c>
      <c r="D25">
        <v>5</v>
      </c>
      <c r="E25">
        <v>8</v>
      </c>
      <c r="F25">
        <v>63</v>
      </c>
      <c r="G25">
        <v>69</v>
      </c>
      <c r="H25">
        <v>5</v>
      </c>
      <c r="I25">
        <v>43</v>
      </c>
      <c r="J25">
        <v>69</v>
      </c>
      <c r="L25">
        <v>75</v>
      </c>
      <c r="M25">
        <v>80</v>
      </c>
      <c r="N25">
        <v>50</v>
      </c>
      <c r="P25">
        <v>41</v>
      </c>
      <c r="Q25">
        <v>3</v>
      </c>
      <c r="R25">
        <v>4</v>
      </c>
      <c r="S25">
        <v>46</v>
      </c>
      <c r="T25">
        <v>39</v>
      </c>
      <c r="U25">
        <v>5</v>
      </c>
      <c r="V25">
        <v>104</v>
      </c>
      <c r="W25">
        <v>5</v>
      </c>
      <c r="Y25">
        <v>72</v>
      </c>
      <c r="Z25">
        <v>60</v>
      </c>
      <c r="AA25">
        <v>3</v>
      </c>
      <c r="AB25">
        <v>6</v>
      </c>
      <c r="AE25">
        <v>902</v>
      </c>
    </row>
    <row r="26" spans="1:31" x14ac:dyDescent="0.25">
      <c r="A26" s="1">
        <v>22</v>
      </c>
      <c r="B26">
        <v>47</v>
      </c>
      <c r="D26">
        <v>5</v>
      </c>
      <c r="E26">
        <v>8</v>
      </c>
      <c r="F26">
        <v>63</v>
      </c>
      <c r="G26">
        <v>69</v>
      </c>
      <c r="H26">
        <v>5</v>
      </c>
      <c r="I26">
        <v>44</v>
      </c>
      <c r="J26">
        <v>69</v>
      </c>
      <c r="L26">
        <v>75</v>
      </c>
      <c r="M26">
        <v>80</v>
      </c>
      <c r="N26">
        <v>55</v>
      </c>
      <c r="P26">
        <v>43</v>
      </c>
      <c r="Q26">
        <v>3</v>
      </c>
      <c r="R26">
        <v>4</v>
      </c>
      <c r="S26">
        <v>61</v>
      </c>
      <c r="T26">
        <v>39</v>
      </c>
      <c r="U26">
        <v>5</v>
      </c>
      <c r="V26">
        <v>104</v>
      </c>
      <c r="W26">
        <v>5</v>
      </c>
      <c r="Y26">
        <v>72</v>
      </c>
      <c r="Z26">
        <v>64</v>
      </c>
      <c r="AA26">
        <v>3</v>
      </c>
      <c r="AB26">
        <v>8</v>
      </c>
      <c r="AE26">
        <v>931</v>
      </c>
    </row>
    <row r="27" spans="1:31" x14ac:dyDescent="0.25">
      <c r="A27" s="1">
        <v>23</v>
      </c>
      <c r="B27">
        <v>51</v>
      </c>
      <c r="D27">
        <v>5</v>
      </c>
      <c r="E27">
        <v>8</v>
      </c>
      <c r="F27">
        <v>62</v>
      </c>
      <c r="G27">
        <v>69</v>
      </c>
      <c r="H27">
        <v>5</v>
      </c>
      <c r="I27">
        <v>49</v>
      </c>
      <c r="J27">
        <v>69</v>
      </c>
      <c r="L27">
        <v>75</v>
      </c>
      <c r="M27">
        <v>95</v>
      </c>
      <c r="N27">
        <v>55</v>
      </c>
      <c r="P27">
        <v>43</v>
      </c>
      <c r="Q27">
        <v>3</v>
      </c>
      <c r="R27">
        <v>4</v>
      </c>
      <c r="S27">
        <v>62</v>
      </c>
      <c r="T27">
        <v>39</v>
      </c>
      <c r="U27">
        <v>5</v>
      </c>
      <c r="V27">
        <v>104</v>
      </c>
      <c r="W27">
        <v>5</v>
      </c>
      <c r="Y27">
        <v>78</v>
      </c>
      <c r="Z27">
        <v>67</v>
      </c>
      <c r="AA27">
        <v>3</v>
      </c>
      <c r="AB27">
        <v>8</v>
      </c>
      <c r="AE27">
        <v>964</v>
      </c>
    </row>
    <row r="28" spans="1:31" x14ac:dyDescent="0.25">
      <c r="A28" s="1">
        <v>24</v>
      </c>
      <c r="B28">
        <v>51</v>
      </c>
      <c r="D28">
        <v>5</v>
      </c>
      <c r="E28">
        <v>8</v>
      </c>
      <c r="F28">
        <v>61</v>
      </c>
      <c r="G28">
        <v>69</v>
      </c>
      <c r="H28">
        <v>5</v>
      </c>
      <c r="I28">
        <v>49</v>
      </c>
      <c r="J28">
        <v>74</v>
      </c>
      <c r="L28">
        <v>75</v>
      </c>
      <c r="M28">
        <v>95</v>
      </c>
      <c r="N28">
        <v>55</v>
      </c>
      <c r="P28">
        <v>43</v>
      </c>
      <c r="Q28">
        <v>3</v>
      </c>
      <c r="R28">
        <v>4</v>
      </c>
      <c r="S28">
        <v>62</v>
      </c>
      <c r="T28">
        <v>44</v>
      </c>
      <c r="U28">
        <v>5</v>
      </c>
      <c r="V28">
        <v>113</v>
      </c>
      <c r="W28">
        <v>5</v>
      </c>
      <c r="Y28">
        <v>86</v>
      </c>
      <c r="Z28">
        <v>76</v>
      </c>
      <c r="AA28">
        <v>3</v>
      </c>
      <c r="AE28">
        <v>991</v>
      </c>
    </row>
    <row r="29" spans="1:31" x14ac:dyDescent="0.25">
      <c r="A29" s="1">
        <v>25</v>
      </c>
      <c r="B29">
        <v>52</v>
      </c>
      <c r="D29">
        <v>5</v>
      </c>
      <c r="E29">
        <v>8</v>
      </c>
      <c r="F29">
        <v>66</v>
      </c>
      <c r="G29">
        <v>84</v>
      </c>
      <c r="H29">
        <v>5</v>
      </c>
      <c r="I29">
        <v>49</v>
      </c>
      <c r="J29">
        <v>74</v>
      </c>
      <c r="L29">
        <v>83</v>
      </c>
      <c r="M29">
        <v>95</v>
      </c>
      <c r="N29">
        <v>62</v>
      </c>
      <c r="P29">
        <v>52</v>
      </c>
      <c r="Q29">
        <v>3</v>
      </c>
      <c r="R29">
        <v>4</v>
      </c>
      <c r="S29">
        <v>62</v>
      </c>
      <c r="T29">
        <v>43</v>
      </c>
      <c r="U29">
        <v>5</v>
      </c>
      <c r="V29">
        <v>117</v>
      </c>
      <c r="W29">
        <v>5</v>
      </c>
      <c r="Y29">
        <v>86</v>
      </c>
      <c r="Z29">
        <v>76</v>
      </c>
      <c r="AA29">
        <v>3</v>
      </c>
      <c r="AE29">
        <v>1039</v>
      </c>
    </row>
    <row r="30" spans="1:31" x14ac:dyDescent="0.25">
      <c r="A30" s="1">
        <v>26</v>
      </c>
      <c r="B30">
        <v>52</v>
      </c>
      <c r="D30">
        <v>5</v>
      </c>
      <c r="E30">
        <v>8</v>
      </c>
      <c r="F30">
        <v>66</v>
      </c>
      <c r="G30">
        <v>84</v>
      </c>
      <c r="H30">
        <v>5</v>
      </c>
      <c r="I30">
        <v>54</v>
      </c>
      <c r="J30">
        <v>74</v>
      </c>
      <c r="L30">
        <v>87</v>
      </c>
      <c r="M30">
        <v>100</v>
      </c>
      <c r="N30">
        <v>62</v>
      </c>
      <c r="P30">
        <v>52</v>
      </c>
      <c r="Q30">
        <v>3</v>
      </c>
      <c r="R30">
        <v>4</v>
      </c>
      <c r="S30">
        <v>62</v>
      </c>
      <c r="T30">
        <v>43</v>
      </c>
      <c r="U30">
        <v>5</v>
      </c>
      <c r="V30">
        <v>117</v>
      </c>
      <c r="W30">
        <v>5</v>
      </c>
      <c r="Y30">
        <v>86</v>
      </c>
      <c r="Z30">
        <v>76</v>
      </c>
      <c r="AA30">
        <v>3</v>
      </c>
      <c r="AE30">
        <v>1053</v>
      </c>
    </row>
    <row r="31" spans="1:31" x14ac:dyDescent="0.25">
      <c r="A31" s="1">
        <v>27</v>
      </c>
      <c r="B31">
        <v>53</v>
      </c>
      <c r="D31">
        <v>5</v>
      </c>
      <c r="E31">
        <v>8</v>
      </c>
      <c r="F31">
        <v>64</v>
      </c>
      <c r="G31">
        <v>84</v>
      </c>
      <c r="H31">
        <v>5</v>
      </c>
      <c r="I31">
        <v>53</v>
      </c>
      <c r="J31">
        <v>74</v>
      </c>
      <c r="L31">
        <v>86</v>
      </c>
      <c r="M31">
        <v>100</v>
      </c>
      <c r="N31">
        <v>62</v>
      </c>
      <c r="P31">
        <v>52</v>
      </c>
      <c r="Q31">
        <v>3</v>
      </c>
      <c r="R31">
        <v>4</v>
      </c>
      <c r="S31">
        <v>67</v>
      </c>
      <c r="T31">
        <v>48</v>
      </c>
      <c r="U31">
        <v>5</v>
      </c>
      <c r="V31">
        <v>117</v>
      </c>
      <c r="W31">
        <v>5</v>
      </c>
      <c r="Y31">
        <v>93</v>
      </c>
      <c r="Z31">
        <v>82</v>
      </c>
      <c r="AA31">
        <v>3</v>
      </c>
      <c r="AE31">
        <v>1073</v>
      </c>
    </row>
    <row r="32" spans="1:31" x14ac:dyDescent="0.25">
      <c r="A32" s="1">
        <v>28</v>
      </c>
      <c r="B32">
        <v>53</v>
      </c>
      <c r="D32">
        <v>5</v>
      </c>
      <c r="E32">
        <v>8</v>
      </c>
      <c r="F32">
        <v>69</v>
      </c>
      <c r="G32">
        <v>84</v>
      </c>
      <c r="H32">
        <v>5</v>
      </c>
      <c r="I32">
        <v>53</v>
      </c>
      <c r="J32">
        <v>80</v>
      </c>
      <c r="L32">
        <v>86</v>
      </c>
      <c r="M32">
        <v>98</v>
      </c>
      <c r="N32">
        <v>66</v>
      </c>
      <c r="P32">
        <v>57</v>
      </c>
      <c r="Q32">
        <v>3</v>
      </c>
      <c r="R32">
        <v>4</v>
      </c>
      <c r="S32">
        <v>67</v>
      </c>
      <c r="T32">
        <v>48</v>
      </c>
      <c r="U32">
        <v>5</v>
      </c>
      <c r="V32">
        <v>124</v>
      </c>
      <c r="W32">
        <v>5</v>
      </c>
      <c r="Y32">
        <v>93</v>
      </c>
      <c r="Z32">
        <v>82</v>
      </c>
      <c r="AA32">
        <v>3</v>
      </c>
      <c r="AE32">
        <v>1098</v>
      </c>
    </row>
    <row r="33" spans="1:31" x14ac:dyDescent="0.25">
      <c r="A33" s="1">
        <v>29</v>
      </c>
      <c r="B33">
        <v>58</v>
      </c>
      <c r="D33">
        <v>5</v>
      </c>
      <c r="E33">
        <v>8</v>
      </c>
      <c r="F33">
        <v>70</v>
      </c>
      <c r="G33">
        <v>89</v>
      </c>
      <c r="H33">
        <v>5</v>
      </c>
      <c r="I33">
        <v>58</v>
      </c>
      <c r="J33">
        <v>79</v>
      </c>
      <c r="L33">
        <v>91</v>
      </c>
      <c r="M33">
        <v>107</v>
      </c>
      <c r="N33">
        <v>71</v>
      </c>
      <c r="P33">
        <v>57</v>
      </c>
      <c r="Q33">
        <v>3</v>
      </c>
      <c r="R33">
        <v>4</v>
      </c>
      <c r="S33">
        <v>67</v>
      </c>
      <c r="T33">
        <v>48</v>
      </c>
      <c r="U33">
        <v>5</v>
      </c>
      <c r="V33">
        <v>124</v>
      </c>
      <c r="W33">
        <v>5</v>
      </c>
      <c r="Y33">
        <v>92</v>
      </c>
      <c r="Z33">
        <v>82</v>
      </c>
      <c r="AA33">
        <v>3</v>
      </c>
      <c r="AE33">
        <v>1131</v>
      </c>
    </row>
    <row r="34" spans="1:31" x14ac:dyDescent="0.25">
      <c r="A34" s="1">
        <v>30</v>
      </c>
      <c r="B34">
        <v>57</v>
      </c>
      <c r="D34">
        <v>5</v>
      </c>
      <c r="E34">
        <v>8</v>
      </c>
      <c r="F34">
        <v>67</v>
      </c>
      <c r="G34">
        <v>90</v>
      </c>
      <c r="H34">
        <v>5</v>
      </c>
      <c r="I34">
        <v>58</v>
      </c>
      <c r="J34">
        <v>79</v>
      </c>
      <c r="L34">
        <v>91</v>
      </c>
      <c r="M34">
        <v>107</v>
      </c>
      <c r="N34">
        <v>76</v>
      </c>
      <c r="P34">
        <v>57</v>
      </c>
      <c r="Q34">
        <v>3</v>
      </c>
      <c r="R34">
        <v>4</v>
      </c>
      <c r="S34">
        <v>72</v>
      </c>
      <c r="T34">
        <v>53</v>
      </c>
      <c r="U34">
        <v>5</v>
      </c>
      <c r="V34">
        <v>124</v>
      </c>
      <c r="W34">
        <v>5</v>
      </c>
      <c r="Y34">
        <v>98</v>
      </c>
      <c r="Z34">
        <v>87</v>
      </c>
      <c r="AA34">
        <v>3</v>
      </c>
      <c r="AE34">
        <v>1154</v>
      </c>
    </row>
    <row r="35" spans="1:31" x14ac:dyDescent="0.25">
      <c r="A35" s="1">
        <v>31</v>
      </c>
      <c r="B35">
        <v>55</v>
      </c>
      <c r="D35">
        <v>5</v>
      </c>
      <c r="E35">
        <v>8</v>
      </c>
      <c r="F35">
        <v>83</v>
      </c>
      <c r="G35">
        <v>90</v>
      </c>
      <c r="H35">
        <v>5</v>
      </c>
      <c r="I35">
        <v>58</v>
      </c>
      <c r="J35">
        <v>79</v>
      </c>
      <c r="L35">
        <v>95</v>
      </c>
      <c r="M35">
        <v>107</v>
      </c>
      <c r="N35">
        <v>83</v>
      </c>
      <c r="P35">
        <v>62</v>
      </c>
      <c r="Q35">
        <v>3</v>
      </c>
      <c r="R35">
        <v>4</v>
      </c>
      <c r="S35">
        <v>72</v>
      </c>
      <c r="T35">
        <v>53</v>
      </c>
      <c r="U35">
        <v>5</v>
      </c>
      <c r="V35">
        <v>129</v>
      </c>
      <c r="W35">
        <v>5</v>
      </c>
      <c r="Y35">
        <v>106</v>
      </c>
      <c r="Z35">
        <v>91</v>
      </c>
      <c r="AA35">
        <v>3</v>
      </c>
      <c r="AE35">
        <v>1201</v>
      </c>
    </row>
    <row r="36" spans="1:31" x14ac:dyDescent="0.25">
      <c r="A36" s="1">
        <v>32</v>
      </c>
      <c r="B36">
        <v>54</v>
      </c>
      <c r="D36">
        <v>5</v>
      </c>
      <c r="E36">
        <v>8</v>
      </c>
      <c r="F36">
        <v>89</v>
      </c>
      <c r="G36">
        <v>95</v>
      </c>
      <c r="H36">
        <v>5</v>
      </c>
      <c r="I36">
        <v>65</v>
      </c>
      <c r="J36">
        <v>84</v>
      </c>
      <c r="L36">
        <v>105</v>
      </c>
      <c r="M36">
        <v>107</v>
      </c>
      <c r="N36">
        <v>87</v>
      </c>
      <c r="P36">
        <v>62</v>
      </c>
      <c r="Q36">
        <v>3</v>
      </c>
      <c r="R36">
        <v>4</v>
      </c>
      <c r="S36">
        <v>72</v>
      </c>
      <c r="T36">
        <v>53</v>
      </c>
      <c r="U36">
        <v>5</v>
      </c>
      <c r="V36">
        <v>129</v>
      </c>
      <c r="W36">
        <v>5</v>
      </c>
      <c r="Y36">
        <v>109</v>
      </c>
      <c r="Z36">
        <v>93</v>
      </c>
      <c r="AA36">
        <v>3</v>
      </c>
      <c r="AE36">
        <v>1242</v>
      </c>
    </row>
    <row r="37" spans="1:31" x14ac:dyDescent="0.25">
      <c r="A37" s="1">
        <v>33</v>
      </c>
      <c r="B37">
        <v>59</v>
      </c>
      <c r="D37">
        <v>5</v>
      </c>
      <c r="E37">
        <v>8</v>
      </c>
      <c r="F37">
        <v>89</v>
      </c>
      <c r="G37">
        <v>95</v>
      </c>
      <c r="H37">
        <v>5</v>
      </c>
      <c r="I37">
        <v>65</v>
      </c>
      <c r="J37">
        <v>84</v>
      </c>
      <c r="L37">
        <v>105</v>
      </c>
      <c r="M37">
        <v>112</v>
      </c>
      <c r="N37">
        <v>87</v>
      </c>
      <c r="P37">
        <v>62</v>
      </c>
      <c r="Q37">
        <v>3</v>
      </c>
      <c r="R37">
        <v>4</v>
      </c>
      <c r="S37">
        <v>72</v>
      </c>
      <c r="T37">
        <v>58</v>
      </c>
      <c r="U37">
        <v>5</v>
      </c>
      <c r="V37">
        <v>129</v>
      </c>
      <c r="W37">
        <v>5</v>
      </c>
      <c r="Y37">
        <v>109</v>
      </c>
      <c r="Z37">
        <v>98</v>
      </c>
      <c r="AA37">
        <v>3</v>
      </c>
      <c r="AE37">
        <v>1262</v>
      </c>
    </row>
    <row r="38" spans="1:31" x14ac:dyDescent="0.25">
      <c r="A38" s="1">
        <v>34</v>
      </c>
      <c r="B38">
        <v>59</v>
      </c>
      <c r="D38">
        <v>5</v>
      </c>
      <c r="E38">
        <v>8</v>
      </c>
      <c r="F38">
        <v>87</v>
      </c>
      <c r="G38">
        <v>114</v>
      </c>
      <c r="H38">
        <v>5</v>
      </c>
      <c r="I38">
        <v>65</v>
      </c>
      <c r="J38">
        <v>84</v>
      </c>
      <c r="L38">
        <v>106</v>
      </c>
      <c r="M38">
        <v>112</v>
      </c>
      <c r="N38">
        <v>87</v>
      </c>
      <c r="P38">
        <v>67</v>
      </c>
      <c r="Q38">
        <v>3</v>
      </c>
      <c r="R38">
        <v>4</v>
      </c>
      <c r="S38">
        <v>77</v>
      </c>
      <c r="T38">
        <v>57</v>
      </c>
      <c r="U38">
        <v>5</v>
      </c>
      <c r="V38">
        <v>129</v>
      </c>
      <c r="W38">
        <v>5</v>
      </c>
      <c r="Y38">
        <v>110</v>
      </c>
      <c r="Z38">
        <v>98</v>
      </c>
      <c r="AA38">
        <v>3</v>
      </c>
      <c r="AE38">
        <v>1290</v>
      </c>
    </row>
    <row r="39" spans="1:31" x14ac:dyDescent="0.25">
      <c r="A39" s="1">
        <v>35</v>
      </c>
      <c r="B39">
        <v>56</v>
      </c>
      <c r="D39">
        <v>5</v>
      </c>
      <c r="E39">
        <v>9</v>
      </c>
      <c r="F39">
        <v>87</v>
      </c>
      <c r="G39">
        <v>119</v>
      </c>
      <c r="H39">
        <v>5</v>
      </c>
      <c r="I39">
        <v>71</v>
      </c>
      <c r="J39">
        <v>84</v>
      </c>
      <c r="L39">
        <v>112</v>
      </c>
      <c r="M39">
        <v>122</v>
      </c>
      <c r="N39">
        <v>92</v>
      </c>
      <c r="P39">
        <v>67</v>
      </c>
      <c r="Q39">
        <v>1</v>
      </c>
      <c r="R39">
        <v>4</v>
      </c>
      <c r="S39">
        <v>81</v>
      </c>
      <c r="T39">
        <v>55</v>
      </c>
      <c r="U39">
        <v>5</v>
      </c>
      <c r="V39">
        <v>129</v>
      </c>
      <c r="W39">
        <v>5</v>
      </c>
      <c r="Y39">
        <v>115</v>
      </c>
      <c r="Z39">
        <v>97</v>
      </c>
      <c r="AA39">
        <v>3</v>
      </c>
      <c r="AE39">
        <v>1324</v>
      </c>
    </row>
    <row r="40" spans="1:31" x14ac:dyDescent="0.25">
      <c r="A40" s="1">
        <v>36</v>
      </c>
      <c r="B40">
        <v>56</v>
      </c>
      <c r="D40">
        <v>5</v>
      </c>
      <c r="E40">
        <v>9</v>
      </c>
      <c r="F40">
        <v>92</v>
      </c>
      <c r="G40">
        <v>119</v>
      </c>
      <c r="H40">
        <v>5</v>
      </c>
      <c r="I40">
        <v>71</v>
      </c>
      <c r="J40">
        <v>89</v>
      </c>
      <c r="L40">
        <v>114</v>
      </c>
      <c r="M40">
        <v>122</v>
      </c>
      <c r="N40">
        <v>92</v>
      </c>
      <c r="P40">
        <v>67</v>
      </c>
      <c r="Q40">
        <v>1</v>
      </c>
      <c r="R40">
        <v>4</v>
      </c>
      <c r="S40">
        <v>101</v>
      </c>
      <c r="T40">
        <v>55</v>
      </c>
      <c r="U40">
        <v>5</v>
      </c>
      <c r="V40">
        <v>134</v>
      </c>
      <c r="W40">
        <v>5</v>
      </c>
      <c r="Y40">
        <v>119</v>
      </c>
      <c r="Z40">
        <v>102</v>
      </c>
      <c r="AA40">
        <v>3</v>
      </c>
      <c r="AE40">
        <v>1370</v>
      </c>
    </row>
    <row r="41" spans="1:31" x14ac:dyDescent="0.25">
      <c r="A41" s="1">
        <v>37</v>
      </c>
      <c r="B41">
        <v>61</v>
      </c>
      <c r="D41">
        <v>5</v>
      </c>
      <c r="E41">
        <v>10</v>
      </c>
      <c r="F41">
        <v>92</v>
      </c>
      <c r="G41">
        <v>120</v>
      </c>
      <c r="H41">
        <v>6</v>
      </c>
      <c r="I41">
        <v>76</v>
      </c>
      <c r="J41">
        <v>89</v>
      </c>
      <c r="L41">
        <v>113</v>
      </c>
      <c r="M41">
        <v>127</v>
      </c>
      <c r="N41">
        <v>92</v>
      </c>
      <c r="P41">
        <v>73</v>
      </c>
      <c r="R41">
        <v>4</v>
      </c>
      <c r="S41">
        <v>107</v>
      </c>
      <c r="T41">
        <v>61</v>
      </c>
      <c r="U41">
        <v>5</v>
      </c>
      <c r="V41">
        <v>134</v>
      </c>
      <c r="W41">
        <v>5</v>
      </c>
      <c r="Y41">
        <v>118</v>
      </c>
      <c r="Z41">
        <v>100</v>
      </c>
      <c r="AA41">
        <v>1</v>
      </c>
      <c r="AE41">
        <v>1399</v>
      </c>
    </row>
    <row r="42" spans="1:31" x14ac:dyDescent="0.25">
      <c r="A42" s="1">
        <v>38</v>
      </c>
      <c r="B42">
        <v>61</v>
      </c>
      <c r="D42">
        <v>5</v>
      </c>
      <c r="E42">
        <v>10</v>
      </c>
      <c r="F42">
        <v>91</v>
      </c>
      <c r="G42">
        <v>129</v>
      </c>
      <c r="H42">
        <v>6</v>
      </c>
      <c r="I42">
        <v>76</v>
      </c>
      <c r="J42">
        <v>89</v>
      </c>
      <c r="L42">
        <v>133</v>
      </c>
      <c r="M42">
        <v>127</v>
      </c>
      <c r="N42">
        <v>92</v>
      </c>
      <c r="P42">
        <v>73</v>
      </c>
      <c r="R42">
        <v>4</v>
      </c>
      <c r="S42">
        <v>107</v>
      </c>
      <c r="T42">
        <v>61</v>
      </c>
      <c r="U42">
        <v>5</v>
      </c>
      <c r="V42">
        <v>134</v>
      </c>
      <c r="W42">
        <v>5</v>
      </c>
      <c r="Y42">
        <v>124</v>
      </c>
      <c r="Z42">
        <v>100</v>
      </c>
      <c r="AA42">
        <v>1</v>
      </c>
      <c r="AE42">
        <v>1433</v>
      </c>
    </row>
    <row r="43" spans="1:31" x14ac:dyDescent="0.25">
      <c r="A43" s="1">
        <v>39</v>
      </c>
      <c r="B43">
        <v>61</v>
      </c>
      <c r="D43">
        <v>5</v>
      </c>
      <c r="E43">
        <v>10</v>
      </c>
      <c r="F43">
        <v>95</v>
      </c>
      <c r="G43">
        <v>129</v>
      </c>
      <c r="H43">
        <v>6</v>
      </c>
      <c r="I43">
        <v>85</v>
      </c>
      <c r="J43">
        <v>94</v>
      </c>
      <c r="L43">
        <v>142</v>
      </c>
      <c r="M43">
        <v>124</v>
      </c>
      <c r="N43">
        <v>101</v>
      </c>
      <c r="P43">
        <v>73</v>
      </c>
      <c r="R43">
        <v>4</v>
      </c>
      <c r="S43">
        <v>128</v>
      </c>
      <c r="T43">
        <v>61</v>
      </c>
      <c r="U43">
        <v>5</v>
      </c>
      <c r="V43">
        <v>144</v>
      </c>
      <c r="W43">
        <v>5</v>
      </c>
      <c r="Y43">
        <v>125</v>
      </c>
      <c r="Z43">
        <v>104</v>
      </c>
      <c r="AA43">
        <v>1</v>
      </c>
      <c r="AE43">
        <v>1502</v>
      </c>
    </row>
    <row r="44" spans="1:31" x14ac:dyDescent="0.25">
      <c r="A44" s="1">
        <v>40</v>
      </c>
      <c r="D44">
        <v>5</v>
      </c>
      <c r="E44">
        <v>10</v>
      </c>
      <c r="F44">
        <v>95</v>
      </c>
      <c r="G44">
        <v>130</v>
      </c>
      <c r="H44">
        <v>6</v>
      </c>
      <c r="I44">
        <v>85</v>
      </c>
      <c r="J44">
        <v>94</v>
      </c>
      <c r="L44">
        <v>145</v>
      </c>
      <c r="M44">
        <v>123</v>
      </c>
      <c r="N44">
        <v>102</v>
      </c>
      <c r="P44">
        <v>73</v>
      </c>
      <c r="R44">
        <v>4</v>
      </c>
      <c r="S44">
        <v>133</v>
      </c>
      <c r="T44">
        <v>60</v>
      </c>
      <c r="U44">
        <v>5</v>
      </c>
      <c r="V44">
        <v>149</v>
      </c>
      <c r="W44">
        <v>5</v>
      </c>
      <c r="Y44">
        <v>130</v>
      </c>
      <c r="Z44">
        <v>104</v>
      </c>
      <c r="AA44">
        <v>1</v>
      </c>
      <c r="AE44">
        <v>1459</v>
      </c>
    </row>
    <row r="45" spans="1:31" x14ac:dyDescent="0.25">
      <c r="A45" s="1">
        <v>41</v>
      </c>
      <c r="D45">
        <v>5</v>
      </c>
      <c r="E45">
        <v>10</v>
      </c>
      <c r="F45">
        <v>95</v>
      </c>
      <c r="G45">
        <v>135</v>
      </c>
      <c r="H45">
        <v>6</v>
      </c>
      <c r="I45">
        <v>89</v>
      </c>
      <c r="J45">
        <v>94</v>
      </c>
      <c r="L45">
        <v>165</v>
      </c>
      <c r="M45">
        <v>128</v>
      </c>
      <c r="N45">
        <v>106</v>
      </c>
      <c r="P45">
        <v>73</v>
      </c>
      <c r="R45">
        <v>4</v>
      </c>
      <c r="S45">
        <v>133</v>
      </c>
      <c r="T45">
        <v>65</v>
      </c>
      <c r="U45">
        <v>5</v>
      </c>
      <c r="V45">
        <v>149</v>
      </c>
      <c r="W45">
        <v>5</v>
      </c>
      <c r="Y45">
        <v>135</v>
      </c>
      <c r="Z45">
        <v>104</v>
      </c>
      <c r="AA45">
        <v>1</v>
      </c>
      <c r="AE45">
        <v>1507</v>
      </c>
    </row>
    <row r="46" spans="1:31" x14ac:dyDescent="0.25">
      <c r="A46" s="1">
        <v>42</v>
      </c>
      <c r="D46">
        <v>5</v>
      </c>
      <c r="E46">
        <v>10</v>
      </c>
      <c r="F46">
        <v>100</v>
      </c>
      <c r="G46">
        <v>135</v>
      </c>
      <c r="H46">
        <v>6</v>
      </c>
      <c r="I46">
        <v>89</v>
      </c>
      <c r="J46">
        <v>99</v>
      </c>
      <c r="L46">
        <v>170</v>
      </c>
      <c r="M46">
        <v>128</v>
      </c>
      <c r="N46">
        <v>111</v>
      </c>
      <c r="P46">
        <v>82</v>
      </c>
      <c r="R46">
        <v>4</v>
      </c>
      <c r="S46">
        <v>133</v>
      </c>
      <c r="U46">
        <v>5</v>
      </c>
      <c r="V46">
        <v>153</v>
      </c>
      <c r="W46">
        <v>5</v>
      </c>
      <c r="Y46">
        <v>135</v>
      </c>
      <c r="Z46">
        <v>109</v>
      </c>
      <c r="AA46">
        <v>1</v>
      </c>
      <c r="AE46">
        <v>1480</v>
      </c>
    </row>
    <row r="47" spans="1:31" x14ac:dyDescent="0.25">
      <c r="A47" s="1">
        <v>43</v>
      </c>
      <c r="D47">
        <v>5</v>
      </c>
      <c r="E47">
        <v>10</v>
      </c>
      <c r="F47">
        <v>100</v>
      </c>
      <c r="G47">
        <v>135</v>
      </c>
      <c r="H47">
        <v>6</v>
      </c>
      <c r="I47">
        <v>94</v>
      </c>
      <c r="J47">
        <v>99</v>
      </c>
      <c r="L47">
        <v>175</v>
      </c>
      <c r="M47">
        <v>127</v>
      </c>
      <c r="N47">
        <v>111</v>
      </c>
      <c r="P47">
        <v>82</v>
      </c>
      <c r="R47">
        <v>4</v>
      </c>
      <c r="S47">
        <v>137</v>
      </c>
      <c r="U47">
        <v>5</v>
      </c>
      <c r="V47">
        <v>158</v>
      </c>
      <c r="W47">
        <v>5</v>
      </c>
      <c r="Y47">
        <v>135</v>
      </c>
      <c r="Z47">
        <v>110</v>
      </c>
      <c r="AA47">
        <v>1</v>
      </c>
      <c r="AE47">
        <v>1499</v>
      </c>
    </row>
    <row r="48" spans="1:31" x14ac:dyDescent="0.25">
      <c r="A48" s="1">
        <v>44</v>
      </c>
      <c r="D48">
        <v>5</v>
      </c>
      <c r="E48">
        <v>10</v>
      </c>
      <c r="F48">
        <v>100</v>
      </c>
      <c r="G48">
        <v>135</v>
      </c>
      <c r="H48">
        <v>6</v>
      </c>
      <c r="I48">
        <v>94</v>
      </c>
      <c r="J48">
        <v>119</v>
      </c>
      <c r="L48">
        <v>175</v>
      </c>
      <c r="M48">
        <v>126</v>
      </c>
      <c r="N48">
        <v>111</v>
      </c>
      <c r="P48">
        <v>82</v>
      </c>
      <c r="R48">
        <v>4</v>
      </c>
      <c r="S48">
        <v>137</v>
      </c>
      <c r="U48">
        <v>5</v>
      </c>
      <c r="V48">
        <v>164</v>
      </c>
      <c r="W48">
        <v>5</v>
      </c>
      <c r="Y48">
        <v>144</v>
      </c>
      <c r="Z48">
        <v>125</v>
      </c>
      <c r="AA48">
        <v>1</v>
      </c>
      <c r="AE48">
        <v>1548</v>
      </c>
    </row>
    <row r="49" spans="1:31" x14ac:dyDescent="0.25">
      <c r="A49" s="1">
        <v>45</v>
      </c>
      <c r="D49">
        <v>5</v>
      </c>
      <c r="E49">
        <v>10</v>
      </c>
      <c r="F49">
        <v>105</v>
      </c>
      <c r="G49">
        <v>140</v>
      </c>
      <c r="H49">
        <v>6</v>
      </c>
      <c r="I49">
        <v>94</v>
      </c>
      <c r="J49">
        <v>124</v>
      </c>
      <c r="L49">
        <v>185</v>
      </c>
      <c r="M49">
        <v>131</v>
      </c>
      <c r="N49">
        <v>111</v>
      </c>
      <c r="P49">
        <v>87</v>
      </c>
      <c r="R49">
        <v>4</v>
      </c>
      <c r="S49">
        <v>147</v>
      </c>
      <c r="U49">
        <v>5</v>
      </c>
      <c r="V49">
        <v>163</v>
      </c>
      <c r="W49">
        <v>5</v>
      </c>
      <c r="Y49">
        <v>144</v>
      </c>
      <c r="Z49">
        <v>134</v>
      </c>
      <c r="AA49">
        <v>1</v>
      </c>
      <c r="AE49">
        <v>1601</v>
      </c>
    </row>
    <row r="50" spans="1:31" x14ac:dyDescent="0.25">
      <c r="A50" s="1">
        <v>46</v>
      </c>
      <c r="D50">
        <v>5</v>
      </c>
      <c r="E50">
        <v>10</v>
      </c>
      <c r="F50">
        <v>105</v>
      </c>
      <c r="G50">
        <v>144</v>
      </c>
      <c r="H50">
        <v>4</v>
      </c>
      <c r="I50">
        <v>96</v>
      </c>
      <c r="J50">
        <v>124</v>
      </c>
      <c r="L50">
        <v>189</v>
      </c>
      <c r="M50">
        <v>131</v>
      </c>
      <c r="N50">
        <v>120</v>
      </c>
      <c r="P50">
        <v>87</v>
      </c>
      <c r="R50">
        <v>4</v>
      </c>
      <c r="S50">
        <v>152</v>
      </c>
      <c r="U50">
        <v>5</v>
      </c>
      <c r="V50">
        <v>163</v>
      </c>
      <c r="W50">
        <v>5</v>
      </c>
      <c r="Y50">
        <v>144</v>
      </c>
      <c r="Z50">
        <v>134</v>
      </c>
      <c r="AA50">
        <v>1</v>
      </c>
      <c r="AE50">
        <v>1623</v>
      </c>
    </row>
    <row r="51" spans="1:31" x14ac:dyDescent="0.25">
      <c r="A51" s="1">
        <v>47</v>
      </c>
      <c r="D51">
        <v>5</v>
      </c>
      <c r="E51">
        <v>10</v>
      </c>
      <c r="F51">
        <v>105</v>
      </c>
      <c r="G51">
        <v>144</v>
      </c>
      <c r="H51">
        <v>4</v>
      </c>
      <c r="I51">
        <v>101</v>
      </c>
      <c r="J51">
        <v>124</v>
      </c>
      <c r="L51">
        <v>189</v>
      </c>
      <c r="M51">
        <v>131</v>
      </c>
      <c r="N51">
        <v>120</v>
      </c>
      <c r="P51">
        <v>87</v>
      </c>
      <c r="R51">
        <v>4</v>
      </c>
      <c r="S51">
        <v>152</v>
      </c>
      <c r="U51">
        <v>5</v>
      </c>
      <c r="V51">
        <v>163</v>
      </c>
      <c r="W51">
        <v>6</v>
      </c>
      <c r="Y51">
        <v>153</v>
      </c>
      <c r="Z51">
        <v>134</v>
      </c>
      <c r="AE51">
        <v>1637</v>
      </c>
    </row>
    <row r="52" spans="1:31" x14ac:dyDescent="0.25">
      <c r="A52" s="1">
        <v>48</v>
      </c>
      <c r="D52">
        <v>5</v>
      </c>
      <c r="E52">
        <v>10</v>
      </c>
      <c r="F52">
        <v>105</v>
      </c>
      <c r="G52">
        <v>144</v>
      </c>
      <c r="H52">
        <v>2</v>
      </c>
      <c r="I52">
        <v>103</v>
      </c>
      <c r="J52">
        <v>133</v>
      </c>
      <c r="L52">
        <v>195</v>
      </c>
      <c r="M52">
        <v>131</v>
      </c>
      <c r="N52">
        <v>124</v>
      </c>
      <c r="P52">
        <v>90</v>
      </c>
      <c r="R52">
        <v>4</v>
      </c>
      <c r="S52">
        <v>152</v>
      </c>
      <c r="U52">
        <v>5</v>
      </c>
      <c r="V52">
        <v>168</v>
      </c>
      <c r="W52">
        <v>6</v>
      </c>
      <c r="Y52">
        <v>155</v>
      </c>
      <c r="Z52">
        <v>138</v>
      </c>
      <c r="AE52">
        <v>1670</v>
      </c>
    </row>
    <row r="53" spans="1:31" x14ac:dyDescent="0.25">
      <c r="A53" s="1">
        <v>49</v>
      </c>
      <c r="D53">
        <v>5</v>
      </c>
      <c r="E53">
        <v>10</v>
      </c>
      <c r="F53">
        <v>110</v>
      </c>
      <c r="G53">
        <v>149</v>
      </c>
      <c r="H53">
        <v>2</v>
      </c>
      <c r="I53">
        <v>103</v>
      </c>
      <c r="J53">
        <v>143</v>
      </c>
      <c r="L53">
        <v>200</v>
      </c>
      <c r="M53">
        <v>136</v>
      </c>
      <c r="N53">
        <v>129</v>
      </c>
      <c r="P53">
        <v>95</v>
      </c>
      <c r="R53">
        <v>4</v>
      </c>
      <c r="S53">
        <v>152</v>
      </c>
      <c r="U53">
        <v>5</v>
      </c>
      <c r="V53">
        <v>168</v>
      </c>
      <c r="W53">
        <v>6</v>
      </c>
      <c r="Y53">
        <v>159</v>
      </c>
      <c r="Z53">
        <v>138</v>
      </c>
      <c r="AE53">
        <v>1714</v>
      </c>
    </row>
    <row r="54" spans="1:31" x14ac:dyDescent="0.25">
      <c r="A54" s="1">
        <v>50</v>
      </c>
      <c r="D54">
        <v>5</v>
      </c>
      <c r="E54">
        <v>10</v>
      </c>
      <c r="F54">
        <v>110</v>
      </c>
      <c r="G54">
        <v>149</v>
      </c>
      <c r="H54">
        <v>2</v>
      </c>
      <c r="I54">
        <v>103</v>
      </c>
      <c r="J54">
        <v>143</v>
      </c>
      <c r="L54">
        <v>210</v>
      </c>
      <c r="M54">
        <v>136</v>
      </c>
      <c r="N54">
        <v>129</v>
      </c>
      <c r="P54">
        <v>95</v>
      </c>
      <c r="R54">
        <v>4</v>
      </c>
      <c r="S54">
        <v>156</v>
      </c>
      <c r="U54">
        <v>5</v>
      </c>
      <c r="V54">
        <v>168</v>
      </c>
      <c r="W54">
        <v>6</v>
      </c>
      <c r="Y54">
        <v>168</v>
      </c>
      <c r="Z54">
        <v>138</v>
      </c>
      <c r="AE54">
        <v>1737</v>
      </c>
    </row>
    <row r="55" spans="1:31" x14ac:dyDescent="0.25">
      <c r="A55" s="1">
        <v>51</v>
      </c>
      <c r="D55">
        <v>5</v>
      </c>
      <c r="E55">
        <v>10</v>
      </c>
      <c r="F55">
        <v>110</v>
      </c>
      <c r="G55">
        <v>148</v>
      </c>
      <c r="H55">
        <v>2</v>
      </c>
      <c r="I55">
        <v>108</v>
      </c>
      <c r="J55">
        <v>143</v>
      </c>
      <c r="L55">
        <v>215</v>
      </c>
      <c r="M55">
        <v>136</v>
      </c>
      <c r="N55">
        <v>129</v>
      </c>
      <c r="P55">
        <v>101</v>
      </c>
      <c r="R55">
        <v>4</v>
      </c>
      <c r="S55">
        <v>177</v>
      </c>
      <c r="U55">
        <v>5</v>
      </c>
      <c r="V55">
        <v>172</v>
      </c>
      <c r="W55">
        <v>6</v>
      </c>
      <c r="Y55">
        <v>170</v>
      </c>
      <c r="Z55">
        <v>142</v>
      </c>
      <c r="AE55">
        <v>1783</v>
      </c>
    </row>
    <row r="56" spans="1:31" x14ac:dyDescent="0.25">
      <c r="A56" s="1">
        <v>52</v>
      </c>
      <c r="D56">
        <v>5</v>
      </c>
      <c r="E56">
        <v>10</v>
      </c>
      <c r="F56">
        <v>110</v>
      </c>
      <c r="G56">
        <v>148</v>
      </c>
      <c r="H56">
        <v>2</v>
      </c>
      <c r="I56">
        <v>108</v>
      </c>
      <c r="J56">
        <v>148</v>
      </c>
      <c r="L56">
        <v>216</v>
      </c>
      <c r="M56">
        <v>136</v>
      </c>
      <c r="N56">
        <v>134</v>
      </c>
      <c r="P56">
        <v>101</v>
      </c>
      <c r="R56">
        <v>4</v>
      </c>
      <c r="S56">
        <v>177</v>
      </c>
      <c r="U56">
        <v>5</v>
      </c>
      <c r="V56">
        <v>181</v>
      </c>
      <c r="W56">
        <v>6</v>
      </c>
      <c r="Y56">
        <v>170</v>
      </c>
      <c r="Z56">
        <v>141</v>
      </c>
      <c r="AE56">
        <v>1802</v>
      </c>
    </row>
    <row r="57" spans="1:31" x14ac:dyDescent="0.25">
      <c r="A57" s="1">
        <v>53</v>
      </c>
      <c r="D57">
        <v>5</v>
      </c>
      <c r="E57">
        <v>10</v>
      </c>
      <c r="F57">
        <v>115</v>
      </c>
      <c r="G57">
        <v>153</v>
      </c>
      <c r="H57">
        <v>2</v>
      </c>
      <c r="I57">
        <v>108</v>
      </c>
      <c r="J57">
        <v>148</v>
      </c>
      <c r="L57">
        <v>216</v>
      </c>
      <c r="M57">
        <v>141</v>
      </c>
      <c r="N57">
        <v>138</v>
      </c>
      <c r="P57">
        <v>101</v>
      </c>
      <c r="R57">
        <v>4</v>
      </c>
      <c r="S57">
        <v>177</v>
      </c>
      <c r="U57">
        <v>5</v>
      </c>
      <c r="V57">
        <v>181</v>
      </c>
      <c r="W57">
        <v>6</v>
      </c>
      <c r="Y57">
        <v>175</v>
      </c>
      <c r="Z57">
        <v>141</v>
      </c>
      <c r="AE57">
        <v>1826</v>
      </c>
    </row>
    <row r="58" spans="1:31" x14ac:dyDescent="0.25">
      <c r="A58" s="1">
        <v>54</v>
      </c>
      <c r="D58">
        <v>5</v>
      </c>
      <c r="E58">
        <v>10</v>
      </c>
      <c r="F58">
        <v>115</v>
      </c>
      <c r="G58">
        <v>153</v>
      </c>
      <c r="H58">
        <v>2</v>
      </c>
      <c r="I58">
        <v>108</v>
      </c>
      <c r="J58">
        <v>148</v>
      </c>
      <c r="L58">
        <v>225</v>
      </c>
      <c r="M58">
        <v>141</v>
      </c>
      <c r="N58">
        <v>142</v>
      </c>
      <c r="P58">
        <v>110</v>
      </c>
      <c r="R58">
        <v>4</v>
      </c>
      <c r="S58">
        <v>182</v>
      </c>
      <c r="U58">
        <v>5</v>
      </c>
      <c r="V58">
        <v>181</v>
      </c>
      <c r="W58">
        <v>6</v>
      </c>
      <c r="Y58">
        <v>183</v>
      </c>
      <c r="Z58">
        <v>146</v>
      </c>
      <c r="AE58">
        <v>1866</v>
      </c>
    </row>
    <row r="59" spans="1:31" x14ac:dyDescent="0.25">
      <c r="A59" s="1">
        <v>55</v>
      </c>
      <c r="D59">
        <v>5</v>
      </c>
      <c r="E59">
        <v>10</v>
      </c>
      <c r="F59">
        <v>115</v>
      </c>
      <c r="G59">
        <v>153</v>
      </c>
      <c r="H59">
        <v>2</v>
      </c>
      <c r="I59">
        <v>113</v>
      </c>
      <c r="J59">
        <v>148</v>
      </c>
      <c r="L59">
        <v>230</v>
      </c>
      <c r="M59">
        <v>141</v>
      </c>
      <c r="N59">
        <v>147</v>
      </c>
      <c r="P59">
        <v>110</v>
      </c>
      <c r="R59">
        <v>4</v>
      </c>
      <c r="S59">
        <v>182</v>
      </c>
      <c r="U59">
        <v>5</v>
      </c>
      <c r="V59">
        <v>181</v>
      </c>
      <c r="W59">
        <v>6</v>
      </c>
      <c r="Y59">
        <v>183</v>
      </c>
      <c r="Z59">
        <v>145</v>
      </c>
      <c r="AE59">
        <v>1880</v>
      </c>
    </row>
    <row r="60" spans="1:31" x14ac:dyDescent="0.25">
      <c r="A60" s="1">
        <v>56</v>
      </c>
      <c r="D60">
        <v>5</v>
      </c>
      <c r="E60">
        <v>10</v>
      </c>
      <c r="F60">
        <v>115</v>
      </c>
      <c r="G60">
        <v>158</v>
      </c>
      <c r="H60">
        <v>2</v>
      </c>
      <c r="I60">
        <v>117</v>
      </c>
      <c r="J60">
        <v>153</v>
      </c>
      <c r="L60">
        <v>240</v>
      </c>
      <c r="M60">
        <v>141</v>
      </c>
      <c r="N60">
        <v>147</v>
      </c>
      <c r="P60">
        <v>111</v>
      </c>
      <c r="R60">
        <v>4</v>
      </c>
      <c r="S60">
        <v>182</v>
      </c>
      <c r="U60">
        <v>4</v>
      </c>
      <c r="V60">
        <v>181</v>
      </c>
      <c r="W60">
        <v>6</v>
      </c>
      <c r="Y60">
        <v>182</v>
      </c>
      <c r="Z60">
        <v>145</v>
      </c>
      <c r="AE60">
        <v>1903</v>
      </c>
    </row>
    <row r="61" spans="1:31" x14ac:dyDescent="0.25">
      <c r="A61" s="1">
        <v>57</v>
      </c>
      <c r="D61">
        <v>5</v>
      </c>
      <c r="E61">
        <v>10</v>
      </c>
      <c r="F61">
        <v>140</v>
      </c>
      <c r="G61">
        <v>158</v>
      </c>
      <c r="H61">
        <v>2</v>
      </c>
      <c r="I61">
        <v>117</v>
      </c>
      <c r="J61">
        <v>153</v>
      </c>
      <c r="L61">
        <v>273</v>
      </c>
      <c r="M61">
        <v>146</v>
      </c>
      <c r="N61">
        <v>147</v>
      </c>
      <c r="P61">
        <v>109</v>
      </c>
      <c r="R61">
        <v>4</v>
      </c>
      <c r="S61">
        <v>186</v>
      </c>
      <c r="U61">
        <v>5</v>
      </c>
      <c r="V61">
        <v>190</v>
      </c>
      <c r="W61">
        <v>6</v>
      </c>
      <c r="Y61">
        <v>188</v>
      </c>
      <c r="Z61">
        <v>145</v>
      </c>
      <c r="AE61">
        <v>1984</v>
      </c>
    </row>
    <row r="62" spans="1:31" x14ac:dyDescent="0.25">
      <c r="A62" s="1">
        <v>58</v>
      </c>
      <c r="D62">
        <v>5</v>
      </c>
      <c r="E62">
        <v>10</v>
      </c>
      <c r="F62">
        <v>140</v>
      </c>
      <c r="G62">
        <v>159</v>
      </c>
      <c r="H62">
        <v>2</v>
      </c>
      <c r="I62">
        <v>119</v>
      </c>
      <c r="J62">
        <v>153</v>
      </c>
      <c r="L62">
        <v>277</v>
      </c>
      <c r="M62">
        <v>143</v>
      </c>
      <c r="N62">
        <v>152</v>
      </c>
      <c r="P62">
        <v>109</v>
      </c>
      <c r="R62">
        <v>4</v>
      </c>
      <c r="S62">
        <v>211</v>
      </c>
      <c r="U62">
        <v>5</v>
      </c>
      <c r="V62">
        <v>190</v>
      </c>
      <c r="W62">
        <v>6</v>
      </c>
      <c r="Y62">
        <v>188</v>
      </c>
      <c r="Z62">
        <v>145</v>
      </c>
      <c r="AE62">
        <v>2018</v>
      </c>
    </row>
    <row r="63" spans="1:31" x14ac:dyDescent="0.25">
      <c r="A63" s="1">
        <v>59</v>
      </c>
      <c r="D63">
        <v>5</v>
      </c>
      <c r="E63">
        <v>10</v>
      </c>
      <c r="F63">
        <v>160</v>
      </c>
      <c r="G63">
        <v>159</v>
      </c>
      <c r="H63">
        <v>2</v>
      </c>
      <c r="I63">
        <v>124</v>
      </c>
      <c r="J63">
        <v>153</v>
      </c>
      <c r="L63">
        <v>277</v>
      </c>
      <c r="M63">
        <v>141</v>
      </c>
      <c r="N63">
        <v>152</v>
      </c>
      <c r="P63">
        <v>113</v>
      </c>
      <c r="R63">
        <v>4</v>
      </c>
      <c r="S63">
        <v>211</v>
      </c>
      <c r="U63">
        <v>4</v>
      </c>
      <c r="V63">
        <v>193</v>
      </c>
      <c r="W63">
        <v>6</v>
      </c>
      <c r="Y63">
        <v>190</v>
      </c>
      <c r="Z63">
        <v>145</v>
      </c>
      <c r="AE63">
        <v>2049</v>
      </c>
    </row>
    <row r="64" spans="1:31" x14ac:dyDescent="0.25">
      <c r="A64" s="1">
        <v>60</v>
      </c>
      <c r="D64">
        <v>5</v>
      </c>
      <c r="E64">
        <v>10</v>
      </c>
      <c r="F64">
        <v>160</v>
      </c>
      <c r="G64">
        <v>164</v>
      </c>
      <c r="H64">
        <v>2</v>
      </c>
      <c r="I64">
        <v>124</v>
      </c>
      <c r="J64">
        <v>166</v>
      </c>
      <c r="L64">
        <v>297</v>
      </c>
      <c r="M64">
        <v>141</v>
      </c>
      <c r="N64">
        <v>152</v>
      </c>
      <c r="P64">
        <v>113</v>
      </c>
      <c r="R64">
        <v>4</v>
      </c>
      <c r="S64">
        <v>211</v>
      </c>
      <c r="U64">
        <v>4</v>
      </c>
      <c r="V64">
        <v>198</v>
      </c>
      <c r="W64">
        <v>6</v>
      </c>
      <c r="Y64">
        <v>194</v>
      </c>
      <c r="Z64">
        <v>145</v>
      </c>
      <c r="AE64">
        <v>2096</v>
      </c>
    </row>
    <row r="65" spans="1:31" x14ac:dyDescent="0.25">
      <c r="A65" s="1">
        <v>61</v>
      </c>
      <c r="D65">
        <v>5</v>
      </c>
      <c r="E65">
        <v>10</v>
      </c>
      <c r="F65">
        <v>165</v>
      </c>
      <c r="G65">
        <v>164</v>
      </c>
      <c r="H65">
        <v>2</v>
      </c>
      <c r="I65">
        <v>128</v>
      </c>
      <c r="J65">
        <v>166</v>
      </c>
      <c r="L65">
        <v>297</v>
      </c>
      <c r="M65">
        <v>146</v>
      </c>
      <c r="N65">
        <v>152</v>
      </c>
      <c r="P65">
        <v>112</v>
      </c>
      <c r="R65">
        <v>4</v>
      </c>
      <c r="S65">
        <v>211</v>
      </c>
      <c r="U65">
        <v>5</v>
      </c>
      <c r="V65">
        <v>203</v>
      </c>
      <c r="W65">
        <v>6</v>
      </c>
      <c r="Y65">
        <v>194</v>
      </c>
      <c r="Z65">
        <v>145</v>
      </c>
      <c r="AE65">
        <v>2115</v>
      </c>
    </row>
    <row r="66" spans="1:31" x14ac:dyDescent="0.25">
      <c r="A66" s="1">
        <v>62</v>
      </c>
      <c r="D66">
        <v>5</v>
      </c>
      <c r="E66">
        <v>10</v>
      </c>
      <c r="F66">
        <v>166</v>
      </c>
      <c r="G66">
        <v>184</v>
      </c>
      <c r="H66">
        <v>2</v>
      </c>
      <c r="I66">
        <v>132</v>
      </c>
      <c r="J66">
        <v>166</v>
      </c>
      <c r="L66">
        <v>301</v>
      </c>
      <c r="M66">
        <v>146</v>
      </c>
      <c r="N66">
        <v>157</v>
      </c>
      <c r="P66">
        <v>112</v>
      </c>
      <c r="R66">
        <v>4</v>
      </c>
      <c r="S66">
        <v>216</v>
      </c>
      <c r="U66">
        <v>5</v>
      </c>
      <c r="V66">
        <v>204</v>
      </c>
      <c r="W66">
        <v>6</v>
      </c>
      <c r="Y66">
        <v>206</v>
      </c>
      <c r="Z66">
        <v>150</v>
      </c>
      <c r="AE66">
        <v>2172</v>
      </c>
    </row>
    <row r="67" spans="1:31" x14ac:dyDescent="0.25">
      <c r="A67" s="1">
        <v>63</v>
      </c>
      <c r="D67">
        <v>5</v>
      </c>
      <c r="E67">
        <v>10</v>
      </c>
      <c r="F67">
        <v>166</v>
      </c>
      <c r="G67">
        <v>193</v>
      </c>
      <c r="H67">
        <v>2</v>
      </c>
      <c r="I67">
        <v>137</v>
      </c>
      <c r="J67">
        <v>166</v>
      </c>
      <c r="L67">
        <v>301</v>
      </c>
      <c r="M67">
        <v>146</v>
      </c>
      <c r="N67">
        <v>157</v>
      </c>
      <c r="P67">
        <v>112</v>
      </c>
      <c r="R67">
        <v>4</v>
      </c>
      <c r="S67">
        <v>216</v>
      </c>
      <c r="U67">
        <v>5</v>
      </c>
      <c r="V67">
        <v>209</v>
      </c>
      <c r="W67">
        <v>6</v>
      </c>
      <c r="Y67">
        <v>215</v>
      </c>
      <c r="Z67">
        <v>155</v>
      </c>
      <c r="AE67">
        <v>2205</v>
      </c>
    </row>
    <row r="68" spans="1:31" x14ac:dyDescent="0.25">
      <c r="A68" s="1">
        <v>64</v>
      </c>
      <c r="D68">
        <v>5</v>
      </c>
      <c r="E68">
        <v>11</v>
      </c>
      <c r="F68">
        <v>166</v>
      </c>
      <c r="G68">
        <v>193</v>
      </c>
      <c r="H68">
        <v>2</v>
      </c>
      <c r="I68">
        <v>137</v>
      </c>
      <c r="J68">
        <v>171</v>
      </c>
      <c r="L68">
        <v>302</v>
      </c>
      <c r="N68">
        <v>157</v>
      </c>
      <c r="P68">
        <v>113</v>
      </c>
      <c r="R68">
        <v>4</v>
      </c>
      <c r="S68">
        <v>218</v>
      </c>
      <c r="U68">
        <v>4</v>
      </c>
      <c r="V68">
        <v>213</v>
      </c>
      <c r="W68">
        <v>6</v>
      </c>
      <c r="Y68">
        <v>215</v>
      </c>
      <c r="AE68">
        <v>1917</v>
      </c>
    </row>
    <row r="69" spans="1:31" x14ac:dyDescent="0.25">
      <c r="A69" s="1">
        <v>65</v>
      </c>
      <c r="D69">
        <v>5</v>
      </c>
      <c r="E69">
        <v>11</v>
      </c>
      <c r="F69">
        <v>170</v>
      </c>
      <c r="G69">
        <v>193</v>
      </c>
      <c r="I69">
        <v>138</v>
      </c>
      <c r="J69">
        <v>170</v>
      </c>
      <c r="L69">
        <v>310</v>
      </c>
      <c r="N69">
        <v>158</v>
      </c>
      <c r="P69">
        <v>118</v>
      </c>
      <c r="R69">
        <v>4</v>
      </c>
      <c r="S69">
        <v>218</v>
      </c>
      <c r="U69">
        <v>4</v>
      </c>
      <c r="V69">
        <v>233</v>
      </c>
      <c r="W69">
        <v>6</v>
      </c>
      <c r="Y69">
        <v>216</v>
      </c>
      <c r="Z69">
        <v>158</v>
      </c>
      <c r="AE69">
        <v>2112</v>
      </c>
    </row>
    <row r="70" spans="1:31" x14ac:dyDescent="0.25">
      <c r="A70" s="1">
        <v>66</v>
      </c>
      <c r="D70">
        <v>5</v>
      </c>
      <c r="E70">
        <v>11</v>
      </c>
      <c r="F70">
        <v>170</v>
      </c>
      <c r="G70">
        <v>198</v>
      </c>
      <c r="I70">
        <v>138</v>
      </c>
      <c r="J70">
        <v>170</v>
      </c>
      <c r="L70">
        <v>310</v>
      </c>
      <c r="N70">
        <v>163</v>
      </c>
      <c r="P70">
        <v>118</v>
      </c>
      <c r="R70">
        <v>4</v>
      </c>
      <c r="S70">
        <v>219</v>
      </c>
      <c r="U70">
        <v>4</v>
      </c>
      <c r="V70">
        <v>242</v>
      </c>
      <c r="W70">
        <v>6</v>
      </c>
      <c r="Y70">
        <v>216</v>
      </c>
      <c r="AE70">
        <v>1974</v>
      </c>
    </row>
    <row r="71" spans="1:31" x14ac:dyDescent="0.25">
      <c r="A71" s="1">
        <v>67</v>
      </c>
      <c r="D71">
        <v>7</v>
      </c>
      <c r="E71">
        <v>11</v>
      </c>
      <c r="F71">
        <v>170</v>
      </c>
      <c r="G71">
        <v>198</v>
      </c>
      <c r="I71">
        <v>143</v>
      </c>
      <c r="J71">
        <v>170</v>
      </c>
      <c r="L71">
        <v>310</v>
      </c>
      <c r="N71">
        <v>163</v>
      </c>
      <c r="P71">
        <v>119</v>
      </c>
      <c r="R71">
        <v>4</v>
      </c>
      <c r="S71">
        <v>228</v>
      </c>
      <c r="U71">
        <v>3</v>
      </c>
      <c r="V71">
        <v>246</v>
      </c>
      <c r="W71">
        <v>6</v>
      </c>
      <c r="Y71">
        <v>213</v>
      </c>
      <c r="AE71">
        <v>1991</v>
      </c>
    </row>
    <row r="72" spans="1:31" x14ac:dyDescent="0.25">
      <c r="A72" s="1">
        <v>68</v>
      </c>
      <c r="D72">
        <v>7</v>
      </c>
      <c r="E72">
        <v>11</v>
      </c>
      <c r="F72">
        <v>170</v>
      </c>
      <c r="G72">
        <v>198</v>
      </c>
      <c r="I72">
        <v>143</v>
      </c>
      <c r="J72">
        <v>173</v>
      </c>
      <c r="L72">
        <v>314</v>
      </c>
      <c r="N72">
        <v>169</v>
      </c>
      <c r="P72">
        <v>119</v>
      </c>
      <c r="R72">
        <v>4</v>
      </c>
      <c r="S72">
        <v>228</v>
      </c>
      <c r="U72">
        <v>3</v>
      </c>
      <c r="V72">
        <v>254</v>
      </c>
      <c r="W72">
        <v>6</v>
      </c>
      <c r="Y72">
        <v>218</v>
      </c>
      <c r="AE72">
        <v>2017</v>
      </c>
    </row>
    <row r="73" spans="1:31" x14ac:dyDescent="0.25">
      <c r="A73" s="1">
        <v>69</v>
      </c>
      <c r="D73">
        <v>7</v>
      </c>
      <c r="E73">
        <v>11</v>
      </c>
      <c r="F73">
        <v>174</v>
      </c>
      <c r="G73">
        <v>198</v>
      </c>
      <c r="I73">
        <v>143</v>
      </c>
      <c r="J73">
        <v>193</v>
      </c>
      <c r="L73">
        <v>334</v>
      </c>
      <c r="N73">
        <v>170</v>
      </c>
      <c r="P73">
        <v>124</v>
      </c>
      <c r="R73">
        <v>4</v>
      </c>
      <c r="S73">
        <v>228</v>
      </c>
      <c r="U73">
        <v>3</v>
      </c>
      <c r="V73">
        <v>259</v>
      </c>
      <c r="W73">
        <v>6</v>
      </c>
      <c r="Y73">
        <v>218</v>
      </c>
      <c r="AE73">
        <v>2072</v>
      </c>
    </row>
    <row r="74" spans="1:31" x14ac:dyDescent="0.25">
      <c r="A74" s="1">
        <v>70</v>
      </c>
      <c r="D74">
        <v>7</v>
      </c>
      <c r="E74">
        <v>11</v>
      </c>
      <c r="F74">
        <v>174</v>
      </c>
      <c r="G74">
        <v>203</v>
      </c>
      <c r="I74">
        <v>143</v>
      </c>
      <c r="J74">
        <v>193</v>
      </c>
      <c r="L74">
        <v>358</v>
      </c>
      <c r="N74">
        <v>175</v>
      </c>
      <c r="P74">
        <v>124</v>
      </c>
      <c r="R74">
        <v>4</v>
      </c>
      <c r="S74">
        <v>228</v>
      </c>
      <c r="U74">
        <v>3</v>
      </c>
      <c r="V74">
        <v>259</v>
      </c>
      <c r="W74">
        <v>6</v>
      </c>
      <c r="Y74">
        <v>218</v>
      </c>
      <c r="AE74">
        <v>2106</v>
      </c>
    </row>
    <row r="75" spans="1:31" x14ac:dyDescent="0.25">
      <c r="A75" s="1">
        <v>71</v>
      </c>
      <c r="D75">
        <v>7</v>
      </c>
      <c r="E75">
        <v>11</v>
      </c>
      <c r="F75">
        <v>175</v>
      </c>
      <c r="G75">
        <v>203</v>
      </c>
      <c r="I75">
        <v>143</v>
      </c>
      <c r="J75">
        <v>193</v>
      </c>
      <c r="L75">
        <v>358</v>
      </c>
      <c r="N75">
        <v>175</v>
      </c>
      <c r="P75">
        <v>124</v>
      </c>
      <c r="R75">
        <v>4</v>
      </c>
      <c r="S75">
        <v>228</v>
      </c>
      <c r="U75">
        <v>3</v>
      </c>
      <c r="V75">
        <v>259</v>
      </c>
      <c r="W75">
        <v>6</v>
      </c>
      <c r="Y75">
        <v>217</v>
      </c>
      <c r="AE75">
        <v>2106</v>
      </c>
    </row>
    <row r="76" spans="1:31" x14ac:dyDescent="0.25">
      <c r="A76" s="1">
        <v>72</v>
      </c>
      <c r="D76">
        <v>5</v>
      </c>
      <c r="E76">
        <v>11</v>
      </c>
      <c r="F76">
        <v>175</v>
      </c>
      <c r="G76">
        <v>203</v>
      </c>
      <c r="I76">
        <v>148</v>
      </c>
      <c r="J76">
        <v>198</v>
      </c>
      <c r="L76">
        <v>358</v>
      </c>
      <c r="N76">
        <v>175</v>
      </c>
      <c r="P76">
        <v>126</v>
      </c>
      <c r="R76">
        <v>4</v>
      </c>
      <c r="S76">
        <v>237</v>
      </c>
      <c r="V76">
        <v>268</v>
      </c>
      <c r="W76">
        <v>6</v>
      </c>
      <c r="Y76">
        <v>220</v>
      </c>
      <c r="AE76">
        <v>2134</v>
      </c>
    </row>
    <row r="77" spans="1:31" x14ac:dyDescent="0.25">
      <c r="A77" s="1">
        <v>73</v>
      </c>
      <c r="D77">
        <v>5</v>
      </c>
      <c r="E77">
        <v>11</v>
      </c>
      <c r="F77">
        <v>180</v>
      </c>
      <c r="G77">
        <v>203</v>
      </c>
      <c r="I77">
        <v>148</v>
      </c>
      <c r="J77">
        <v>198</v>
      </c>
      <c r="L77">
        <v>358</v>
      </c>
      <c r="N77">
        <v>175</v>
      </c>
      <c r="P77">
        <v>131</v>
      </c>
      <c r="R77">
        <v>4</v>
      </c>
      <c r="S77">
        <v>237</v>
      </c>
      <c r="V77">
        <v>268</v>
      </c>
      <c r="W77">
        <v>6</v>
      </c>
      <c r="Y77">
        <v>225</v>
      </c>
      <c r="AE77">
        <v>2149</v>
      </c>
    </row>
    <row r="78" spans="1:31" x14ac:dyDescent="0.25">
      <c r="A78" s="1">
        <v>74</v>
      </c>
      <c r="D78">
        <v>5</v>
      </c>
      <c r="E78">
        <v>11</v>
      </c>
      <c r="F78">
        <v>177</v>
      </c>
      <c r="G78">
        <v>208</v>
      </c>
      <c r="I78">
        <v>148</v>
      </c>
      <c r="J78">
        <v>198</v>
      </c>
      <c r="L78">
        <v>363</v>
      </c>
      <c r="N78">
        <v>190</v>
      </c>
      <c r="P78">
        <v>131</v>
      </c>
      <c r="R78">
        <v>4</v>
      </c>
      <c r="S78">
        <v>237</v>
      </c>
      <c r="V78">
        <v>268</v>
      </c>
      <c r="W78">
        <v>6</v>
      </c>
      <c r="Y78">
        <v>225</v>
      </c>
      <c r="AE78">
        <v>2171</v>
      </c>
    </row>
    <row r="79" spans="1:31" x14ac:dyDescent="0.25">
      <c r="A79" s="1">
        <v>75</v>
      </c>
      <c r="D79">
        <v>5</v>
      </c>
      <c r="E79">
        <v>11</v>
      </c>
      <c r="F79">
        <v>177</v>
      </c>
      <c r="G79">
        <v>208</v>
      </c>
      <c r="I79">
        <v>148</v>
      </c>
      <c r="J79">
        <v>198</v>
      </c>
      <c r="L79">
        <v>363</v>
      </c>
      <c r="N79">
        <v>190</v>
      </c>
      <c r="P79">
        <v>131</v>
      </c>
      <c r="R79">
        <v>4</v>
      </c>
      <c r="S79">
        <v>237</v>
      </c>
      <c r="V79">
        <v>273</v>
      </c>
      <c r="W79">
        <v>6</v>
      </c>
      <c r="Y79">
        <v>225</v>
      </c>
      <c r="AE79">
        <v>2176</v>
      </c>
    </row>
    <row r="80" spans="1:31" x14ac:dyDescent="0.25">
      <c r="A80" s="1">
        <v>76</v>
      </c>
      <c r="D80">
        <v>5</v>
      </c>
      <c r="E80">
        <v>11</v>
      </c>
      <c r="F80">
        <v>178</v>
      </c>
      <c r="G80">
        <v>208</v>
      </c>
      <c r="I80">
        <v>148</v>
      </c>
      <c r="J80">
        <v>203</v>
      </c>
      <c r="L80">
        <v>363</v>
      </c>
      <c r="N80">
        <v>190</v>
      </c>
      <c r="P80">
        <v>131</v>
      </c>
      <c r="R80">
        <v>4</v>
      </c>
      <c r="S80">
        <v>237</v>
      </c>
      <c r="V80">
        <v>283</v>
      </c>
      <c r="W80">
        <v>6</v>
      </c>
      <c r="Y80">
        <v>224</v>
      </c>
      <c r="AE80">
        <v>2191</v>
      </c>
    </row>
    <row r="81" spans="1:31" x14ac:dyDescent="0.25">
      <c r="A81" s="1">
        <v>77</v>
      </c>
      <c r="D81">
        <v>1</v>
      </c>
      <c r="E81">
        <v>11</v>
      </c>
      <c r="F81">
        <v>177</v>
      </c>
      <c r="G81">
        <v>208</v>
      </c>
      <c r="I81">
        <v>153</v>
      </c>
      <c r="J81">
        <v>203</v>
      </c>
      <c r="L81">
        <v>363</v>
      </c>
      <c r="N81">
        <v>191</v>
      </c>
      <c r="P81">
        <v>136</v>
      </c>
      <c r="R81">
        <v>4</v>
      </c>
      <c r="S81">
        <v>242</v>
      </c>
      <c r="V81">
        <v>283</v>
      </c>
      <c r="W81">
        <v>6</v>
      </c>
      <c r="Y81">
        <v>227</v>
      </c>
      <c r="AE81">
        <v>2205</v>
      </c>
    </row>
    <row r="82" spans="1:31" x14ac:dyDescent="0.25">
      <c r="A82" s="1">
        <v>78</v>
      </c>
      <c r="D82">
        <v>1</v>
      </c>
      <c r="E82">
        <v>11</v>
      </c>
      <c r="F82">
        <v>181</v>
      </c>
      <c r="G82">
        <v>213</v>
      </c>
      <c r="I82">
        <v>153</v>
      </c>
      <c r="L82">
        <v>368</v>
      </c>
      <c r="N82">
        <v>197</v>
      </c>
      <c r="P82">
        <v>136</v>
      </c>
      <c r="R82">
        <v>4</v>
      </c>
      <c r="S82">
        <v>242</v>
      </c>
      <c r="V82">
        <v>288</v>
      </c>
      <c r="W82">
        <v>6</v>
      </c>
      <c r="Y82">
        <v>229</v>
      </c>
      <c r="AE82">
        <v>2029</v>
      </c>
    </row>
    <row r="83" spans="1:31" x14ac:dyDescent="0.25">
      <c r="A83" s="1">
        <v>79</v>
      </c>
      <c r="D83">
        <v>1</v>
      </c>
      <c r="E83">
        <v>11</v>
      </c>
      <c r="F83">
        <v>181</v>
      </c>
      <c r="G83">
        <v>213</v>
      </c>
      <c r="I83">
        <v>153</v>
      </c>
      <c r="L83">
        <v>368</v>
      </c>
      <c r="N83">
        <v>197</v>
      </c>
      <c r="P83">
        <v>136</v>
      </c>
      <c r="R83">
        <v>4</v>
      </c>
      <c r="S83">
        <v>242</v>
      </c>
      <c r="V83">
        <v>288</v>
      </c>
      <c r="W83">
        <v>6</v>
      </c>
      <c r="Y83">
        <v>234</v>
      </c>
      <c r="AE83">
        <v>2034</v>
      </c>
    </row>
    <row r="84" spans="1:31" x14ac:dyDescent="0.25">
      <c r="A84" s="1">
        <v>80</v>
      </c>
      <c r="D84">
        <v>1</v>
      </c>
      <c r="E84">
        <v>11</v>
      </c>
      <c r="F84">
        <v>181</v>
      </c>
      <c r="G84">
        <v>214</v>
      </c>
      <c r="I84">
        <v>153</v>
      </c>
      <c r="L84">
        <v>368</v>
      </c>
      <c r="N84">
        <v>200</v>
      </c>
      <c r="P84">
        <v>136</v>
      </c>
      <c r="R84">
        <v>4</v>
      </c>
      <c r="S84">
        <v>242</v>
      </c>
      <c r="V84">
        <v>288</v>
      </c>
      <c r="W84">
        <v>6</v>
      </c>
      <c r="Y84">
        <v>242</v>
      </c>
      <c r="AE84">
        <v>2046</v>
      </c>
    </row>
    <row r="85" spans="1:31" x14ac:dyDescent="0.25">
      <c r="A85" s="1">
        <v>81</v>
      </c>
      <c r="D85">
        <v>1</v>
      </c>
      <c r="E85">
        <v>11</v>
      </c>
      <c r="F85">
        <v>181</v>
      </c>
      <c r="G85">
        <v>223</v>
      </c>
      <c r="I85">
        <v>153</v>
      </c>
      <c r="L85">
        <v>388</v>
      </c>
      <c r="N85">
        <v>199</v>
      </c>
      <c r="P85">
        <v>141</v>
      </c>
      <c r="R85">
        <v>4</v>
      </c>
      <c r="S85">
        <v>242</v>
      </c>
      <c r="V85">
        <v>301</v>
      </c>
      <c r="W85">
        <v>6</v>
      </c>
      <c r="Y85">
        <v>242</v>
      </c>
      <c r="AE85">
        <v>2092</v>
      </c>
    </row>
    <row r="86" spans="1:31" x14ac:dyDescent="0.25">
      <c r="A86" s="1">
        <v>82</v>
      </c>
      <c r="D86">
        <v>1</v>
      </c>
      <c r="E86">
        <v>11</v>
      </c>
      <c r="F86">
        <v>181</v>
      </c>
      <c r="G86">
        <v>252</v>
      </c>
      <c r="I86">
        <v>158</v>
      </c>
      <c r="L86">
        <v>393</v>
      </c>
      <c r="N86">
        <v>228</v>
      </c>
      <c r="P86">
        <v>141</v>
      </c>
      <c r="R86">
        <v>4</v>
      </c>
      <c r="S86">
        <v>247</v>
      </c>
      <c r="V86">
        <v>309</v>
      </c>
      <c r="W86">
        <v>6</v>
      </c>
      <c r="Y86">
        <v>242</v>
      </c>
      <c r="AE86">
        <v>2173</v>
      </c>
    </row>
    <row r="87" spans="1:31" x14ac:dyDescent="0.25">
      <c r="A87" s="1">
        <v>83</v>
      </c>
      <c r="D87">
        <v>1</v>
      </c>
      <c r="E87">
        <v>11</v>
      </c>
      <c r="F87">
        <v>186</v>
      </c>
      <c r="G87">
        <v>252</v>
      </c>
      <c r="I87">
        <v>158</v>
      </c>
      <c r="L87">
        <v>393</v>
      </c>
      <c r="N87">
        <v>228</v>
      </c>
      <c r="P87">
        <v>141</v>
      </c>
      <c r="R87">
        <v>4</v>
      </c>
      <c r="S87">
        <v>247</v>
      </c>
      <c r="V87">
        <v>309</v>
      </c>
      <c r="W87">
        <v>6</v>
      </c>
      <c r="Y87">
        <v>247</v>
      </c>
      <c r="AE87">
        <v>2183</v>
      </c>
    </row>
    <row r="88" spans="1:31" x14ac:dyDescent="0.25">
      <c r="A88" s="1">
        <v>84</v>
      </c>
      <c r="D88">
        <v>1</v>
      </c>
      <c r="E88">
        <v>11</v>
      </c>
      <c r="F88">
        <v>186</v>
      </c>
      <c r="G88">
        <v>252</v>
      </c>
      <c r="I88">
        <v>158</v>
      </c>
      <c r="L88">
        <v>393</v>
      </c>
      <c r="N88">
        <v>228</v>
      </c>
      <c r="P88">
        <v>141</v>
      </c>
      <c r="R88">
        <v>4</v>
      </c>
      <c r="S88">
        <v>247</v>
      </c>
      <c r="V88">
        <v>314</v>
      </c>
      <c r="W88">
        <v>6</v>
      </c>
      <c r="Y88">
        <v>255</v>
      </c>
      <c r="AE88">
        <v>2196</v>
      </c>
    </row>
    <row r="89" spans="1:31" x14ac:dyDescent="0.25">
      <c r="A89" s="1">
        <v>86</v>
      </c>
      <c r="D89">
        <v>1</v>
      </c>
      <c r="E89">
        <v>11</v>
      </c>
      <c r="F89">
        <v>186</v>
      </c>
      <c r="G89">
        <v>263</v>
      </c>
      <c r="I89">
        <v>163</v>
      </c>
      <c r="L89">
        <v>393</v>
      </c>
      <c r="N89">
        <v>234</v>
      </c>
      <c r="P89">
        <v>147</v>
      </c>
      <c r="R89">
        <v>4</v>
      </c>
      <c r="S89">
        <v>247</v>
      </c>
      <c r="V89">
        <v>339</v>
      </c>
      <c r="W89">
        <v>6</v>
      </c>
      <c r="Y89">
        <v>254</v>
      </c>
      <c r="AE89">
        <v>2248</v>
      </c>
    </row>
    <row r="90" spans="1:31" x14ac:dyDescent="0.25">
      <c r="A90" s="1">
        <v>87</v>
      </c>
      <c r="D90">
        <v>1</v>
      </c>
      <c r="E90">
        <v>11</v>
      </c>
      <c r="F90">
        <v>186</v>
      </c>
      <c r="G90">
        <v>264</v>
      </c>
      <c r="I90">
        <v>163</v>
      </c>
      <c r="L90">
        <v>398</v>
      </c>
      <c r="N90">
        <v>238</v>
      </c>
      <c r="P90">
        <v>148</v>
      </c>
      <c r="R90">
        <v>4</v>
      </c>
      <c r="S90">
        <v>252</v>
      </c>
      <c r="V90">
        <v>344</v>
      </c>
      <c r="W90">
        <v>6</v>
      </c>
      <c r="Y90">
        <v>259</v>
      </c>
      <c r="AE90">
        <v>2274</v>
      </c>
    </row>
    <row r="91" spans="1:31" x14ac:dyDescent="0.25">
      <c r="A91" s="1">
        <v>88</v>
      </c>
      <c r="D91">
        <v>1</v>
      </c>
      <c r="E91">
        <v>11</v>
      </c>
      <c r="F91">
        <v>191</v>
      </c>
      <c r="G91">
        <v>264</v>
      </c>
      <c r="I91">
        <v>163</v>
      </c>
      <c r="L91">
        <v>398</v>
      </c>
      <c r="N91">
        <v>238</v>
      </c>
      <c r="P91">
        <v>148</v>
      </c>
      <c r="R91">
        <v>4</v>
      </c>
      <c r="S91">
        <v>257</v>
      </c>
      <c r="V91">
        <v>344</v>
      </c>
      <c r="W91">
        <v>6</v>
      </c>
      <c r="Y91">
        <v>259</v>
      </c>
      <c r="AE91">
        <v>2284</v>
      </c>
    </row>
    <row r="92" spans="1:31" x14ac:dyDescent="0.25">
      <c r="A92" s="1">
        <v>89</v>
      </c>
      <c r="D92">
        <v>1</v>
      </c>
      <c r="E92">
        <v>11</v>
      </c>
      <c r="F92">
        <v>191</v>
      </c>
      <c r="G92">
        <v>271</v>
      </c>
      <c r="I92">
        <v>163</v>
      </c>
      <c r="L92">
        <v>398</v>
      </c>
      <c r="N92">
        <v>239</v>
      </c>
      <c r="P92">
        <v>154</v>
      </c>
      <c r="R92">
        <v>4</v>
      </c>
      <c r="S92">
        <v>257</v>
      </c>
      <c r="V92">
        <v>373</v>
      </c>
      <c r="W92">
        <v>6</v>
      </c>
      <c r="Y92">
        <v>281</v>
      </c>
      <c r="AE92">
        <v>2349</v>
      </c>
    </row>
    <row r="93" spans="1:31" x14ac:dyDescent="0.25">
      <c r="A93" s="1">
        <v>90</v>
      </c>
      <c r="D93">
        <v>1</v>
      </c>
      <c r="E93">
        <v>11</v>
      </c>
      <c r="F93">
        <v>191</v>
      </c>
      <c r="G93">
        <v>284</v>
      </c>
      <c r="I93">
        <v>168</v>
      </c>
      <c r="L93">
        <v>398</v>
      </c>
      <c r="N93">
        <v>249</v>
      </c>
      <c r="P93">
        <v>154</v>
      </c>
      <c r="R93">
        <v>4</v>
      </c>
      <c r="S93">
        <v>257</v>
      </c>
      <c r="V93">
        <v>388</v>
      </c>
      <c r="W93">
        <v>6</v>
      </c>
      <c r="Y93">
        <v>325</v>
      </c>
      <c r="AE93">
        <v>2436</v>
      </c>
    </row>
    <row r="94" spans="1:31" x14ac:dyDescent="0.25">
      <c r="A94" s="1">
        <v>91</v>
      </c>
      <c r="D94">
        <v>1</v>
      </c>
      <c r="E94">
        <v>11</v>
      </c>
      <c r="F94">
        <v>191</v>
      </c>
      <c r="G94">
        <v>292</v>
      </c>
      <c r="I94">
        <v>168</v>
      </c>
      <c r="L94">
        <v>401</v>
      </c>
      <c r="N94">
        <v>251</v>
      </c>
      <c r="P94">
        <v>154</v>
      </c>
      <c r="R94">
        <v>4</v>
      </c>
      <c r="S94">
        <v>257</v>
      </c>
      <c r="V94">
        <v>393</v>
      </c>
      <c r="W94">
        <v>6</v>
      </c>
      <c r="Y94">
        <v>346</v>
      </c>
      <c r="AE94">
        <v>2475</v>
      </c>
    </row>
    <row r="95" spans="1:31" x14ac:dyDescent="0.25">
      <c r="A95" s="1">
        <v>92</v>
      </c>
      <c r="D95">
        <v>1</v>
      </c>
      <c r="E95">
        <v>11</v>
      </c>
      <c r="G95">
        <v>298</v>
      </c>
      <c r="I95">
        <v>168</v>
      </c>
      <c r="L95">
        <v>406</v>
      </c>
      <c r="N95">
        <v>247</v>
      </c>
      <c r="P95">
        <v>158</v>
      </c>
      <c r="R95">
        <v>4</v>
      </c>
      <c r="S95">
        <v>262</v>
      </c>
      <c r="V95">
        <v>400</v>
      </c>
      <c r="W95">
        <v>6</v>
      </c>
      <c r="Y95">
        <v>371</v>
      </c>
      <c r="AE95">
        <v>2332</v>
      </c>
    </row>
    <row r="96" spans="1:31" x14ac:dyDescent="0.25">
      <c r="A96" s="1">
        <v>93</v>
      </c>
      <c r="D96">
        <v>1</v>
      </c>
      <c r="E96">
        <v>11</v>
      </c>
      <c r="F96">
        <v>195</v>
      </c>
      <c r="G96">
        <v>300</v>
      </c>
      <c r="I96">
        <v>168</v>
      </c>
      <c r="L96">
        <v>406</v>
      </c>
      <c r="N96">
        <v>246</v>
      </c>
      <c r="P96">
        <v>162</v>
      </c>
      <c r="R96">
        <v>4</v>
      </c>
      <c r="S96">
        <v>262</v>
      </c>
      <c r="V96">
        <v>414</v>
      </c>
      <c r="W96">
        <v>6</v>
      </c>
      <c r="Y96">
        <v>395</v>
      </c>
      <c r="AE96">
        <v>2570</v>
      </c>
    </row>
    <row r="97" spans="1:31" x14ac:dyDescent="0.25">
      <c r="A97" s="1">
        <v>94</v>
      </c>
      <c r="D97">
        <v>1</v>
      </c>
      <c r="E97">
        <v>11</v>
      </c>
      <c r="F97">
        <v>195</v>
      </c>
      <c r="G97">
        <v>322</v>
      </c>
      <c r="I97">
        <v>173</v>
      </c>
      <c r="L97">
        <v>406</v>
      </c>
      <c r="N97">
        <v>243</v>
      </c>
      <c r="P97">
        <v>163</v>
      </c>
      <c r="R97">
        <v>4</v>
      </c>
      <c r="S97">
        <v>262</v>
      </c>
      <c r="V97">
        <v>416</v>
      </c>
      <c r="W97">
        <v>6</v>
      </c>
      <c r="Y97">
        <v>402</v>
      </c>
      <c r="AE97">
        <v>2604</v>
      </c>
    </row>
    <row r="98" spans="1:31" x14ac:dyDescent="0.25">
      <c r="A98" s="1">
        <v>95</v>
      </c>
      <c r="D98">
        <v>1</v>
      </c>
      <c r="E98">
        <v>11</v>
      </c>
      <c r="F98">
        <v>195</v>
      </c>
      <c r="G98">
        <v>338</v>
      </c>
      <c r="I98">
        <v>173</v>
      </c>
      <c r="L98">
        <v>406</v>
      </c>
      <c r="N98">
        <v>248</v>
      </c>
      <c r="P98">
        <v>163</v>
      </c>
      <c r="R98">
        <v>4</v>
      </c>
      <c r="S98">
        <v>262</v>
      </c>
      <c r="V98">
        <v>451</v>
      </c>
      <c r="W98">
        <v>6</v>
      </c>
      <c r="Y98">
        <v>431</v>
      </c>
      <c r="AE98">
        <v>2689</v>
      </c>
    </row>
    <row r="99" spans="1:31" x14ac:dyDescent="0.25">
      <c r="A99" s="1">
        <v>96</v>
      </c>
      <c r="D99">
        <v>1</v>
      </c>
      <c r="E99">
        <v>11</v>
      </c>
      <c r="F99">
        <v>195</v>
      </c>
      <c r="G99">
        <v>338</v>
      </c>
      <c r="I99">
        <v>173</v>
      </c>
      <c r="L99">
        <v>411</v>
      </c>
      <c r="N99">
        <v>248</v>
      </c>
      <c r="P99">
        <v>168</v>
      </c>
      <c r="R99">
        <v>4</v>
      </c>
      <c r="S99">
        <v>267</v>
      </c>
      <c r="V99">
        <v>461</v>
      </c>
      <c r="W99">
        <v>6</v>
      </c>
      <c r="Y99">
        <v>431</v>
      </c>
      <c r="AE99">
        <v>2714</v>
      </c>
    </row>
    <row r="100" spans="1:31" x14ac:dyDescent="0.25">
      <c r="A100" s="1">
        <v>97</v>
      </c>
      <c r="D100">
        <v>1</v>
      </c>
      <c r="E100">
        <v>11</v>
      </c>
      <c r="F100">
        <v>195</v>
      </c>
      <c r="G100">
        <v>354</v>
      </c>
      <c r="I100">
        <v>181</v>
      </c>
      <c r="L100">
        <v>412</v>
      </c>
      <c r="N100">
        <v>247</v>
      </c>
      <c r="P100">
        <v>168</v>
      </c>
      <c r="R100">
        <v>4</v>
      </c>
      <c r="S100">
        <v>267</v>
      </c>
      <c r="V100">
        <v>466</v>
      </c>
      <c r="W100">
        <v>6</v>
      </c>
      <c r="Y100">
        <v>435</v>
      </c>
      <c r="AE100">
        <v>2747</v>
      </c>
    </row>
    <row r="101" spans="1:31" x14ac:dyDescent="0.25">
      <c r="A101" s="1">
        <v>98</v>
      </c>
      <c r="D101">
        <v>1</v>
      </c>
      <c r="E101">
        <v>11</v>
      </c>
      <c r="G101">
        <v>390</v>
      </c>
      <c r="I101">
        <v>253</v>
      </c>
      <c r="L101">
        <v>424</v>
      </c>
      <c r="N101">
        <v>247</v>
      </c>
      <c r="P101">
        <v>168</v>
      </c>
      <c r="R101">
        <v>6</v>
      </c>
      <c r="S101">
        <v>267</v>
      </c>
      <c r="V101">
        <v>468</v>
      </c>
      <c r="W101">
        <v>6</v>
      </c>
      <c r="Y101">
        <v>433</v>
      </c>
      <c r="AE101">
        <v>2674</v>
      </c>
    </row>
    <row r="102" spans="1:31" x14ac:dyDescent="0.25">
      <c r="A102" s="1">
        <v>99</v>
      </c>
      <c r="D102">
        <v>1</v>
      </c>
      <c r="E102">
        <v>11</v>
      </c>
      <c r="G102">
        <v>390</v>
      </c>
      <c r="I102">
        <v>274</v>
      </c>
      <c r="L102">
        <v>445</v>
      </c>
      <c r="N102">
        <v>251</v>
      </c>
      <c r="P102">
        <v>168</v>
      </c>
      <c r="R102">
        <v>5</v>
      </c>
      <c r="S102">
        <v>267</v>
      </c>
      <c r="V102">
        <v>473</v>
      </c>
      <c r="W102">
        <v>6</v>
      </c>
      <c r="Y102">
        <v>434</v>
      </c>
      <c r="AE102">
        <v>2725</v>
      </c>
    </row>
    <row r="103" spans="1:31" x14ac:dyDescent="0.25">
      <c r="A103" s="1">
        <v>100</v>
      </c>
      <c r="D103">
        <v>1</v>
      </c>
      <c r="E103">
        <v>13</v>
      </c>
      <c r="G103">
        <v>395</v>
      </c>
      <c r="I103">
        <v>274</v>
      </c>
      <c r="L103">
        <v>482</v>
      </c>
      <c r="N103">
        <v>248</v>
      </c>
      <c r="P103">
        <v>174</v>
      </c>
      <c r="R103">
        <v>5</v>
      </c>
      <c r="S103">
        <v>272</v>
      </c>
      <c r="V103">
        <v>488</v>
      </c>
      <c r="W103">
        <v>6</v>
      </c>
      <c r="Y103">
        <v>438</v>
      </c>
      <c r="AE103">
        <v>2796</v>
      </c>
    </row>
    <row r="104" spans="1:31" x14ac:dyDescent="0.25">
      <c r="A104" s="1">
        <v>101</v>
      </c>
      <c r="D104">
        <v>1</v>
      </c>
      <c r="E104">
        <v>15</v>
      </c>
      <c r="G104">
        <v>395</v>
      </c>
      <c r="I104">
        <v>274</v>
      </c>
      <c r="L104">
        <v>518</v>
      </c>
      <c r="N104">
        <v>245</v>
      </c>
      <c r="P104">
        <v>182</v>
      </c>
      <c r="R104">
        <v>5</v>
      </c>
      <c r="S104">
        <v>272</v>
      </c>
      <c r="V104">
        <v>508</v>
      </c>
      <c r="W104">
        <v>6</v>
      </c>
      <c r="Y104">
        <v>438</v>
      </c>
      <c r="AE104">
        <v>2859</v>
      </c>
    </row>
    <row r="105" spans="1:31" x14ac:dyDescent="0.25">
      <c r="A105" s="1">
        <v>102</v>
      </c>
      <c r="D105">
        <v>1</v>
      </c>
      <c r="E105">
        <v>16</v>
      </c>
      <c r="G105">
        <v>395</v>
      </c>
      <c r="I105">
        <v>274</v>
      </c>
      <c r="L105">
        <v>550</v>
      </c>
      <c r="N105">
        <v>244</v>
      </c>
      <c r="P105">
        <v>182</v>
      </c>
      <c r="R105">
        <v>6</v>
      </c>
      <c r="S105">
        <v>272</v>
      </c>
      <c r="V105">
        <v>508</v>
      </c>
      <c r="W105">
        <v>6</v>
      </c>
      <c r="Y105">
        <v>437</v>
      </c>
      <c r="AE105">
        <v>2891</v>
      </c>
    </row>
    <row r="106" spans="1:31" x14ac:dyDescent="0.25">
      <c r="A106" s="1">
        <v>103</v>
      </c>
      <c r="D106">
        <v>1</v>
      </c>
      <c r="E106">
        <v>17</v>
      </c>
      <c r="G106">
        <v>412</v>
      </c>
      <c r="I106">
        <v>274</v>
      </c>
      <c r="L106">
        <v>563</v>
      </c>
      <c r="N106">
        <v>248</v>
      </c>
      <c r="P106">
        <v>188</v>
      </c>
      <c r="R106">
        <v>6</v>
      </c>
      <c r="S106">
        <v>272</v>
      </c>
      <c r="V106">
        <v>521</v>
      </c>
      <c r="W106">
        <v>6</v>
      </c>
      <c r="Y106">
        <v>448</v>
      </c>
      <c r="AE106">
        <v>2956</v>
      </c>
    </row>
    <row r="107" spans="1:31" x14ac:dyDescent="0.25">
      <c r="A107" s="1">
        <v>104</v>
      </c>
      <c r="D107">
        <v>1</v>
      </c>
      <c r="E107">
        <v>17</v>
      </c>
      <c r="G107">
        <v>412</v>
      </c>
      <c r="I107">
        <v>279</v>
      </c>
      <c r="L107">
        <v>563</v>
      </c>
      <c r="N107">
        <v>248</v>
      </c>
      <c r="P107">
        <v>188</v>
      </c>
      <c r="R107">
        <v>6</v>
      </c>
      <c r="S107">
        <v>277</v>
      </c>
      <c r="V107">
        <v>521</v>
      </c>
      <c r="W107">
        <v>6</v>
      </c>
      <c r="Y107">
        <v>448</v>
      </c>
      <c r="AE107">
        <v>2966</v>
      </c>
    </row>
    <row r="108" spans="1:31" x14ac:dyDescent="0.25">
      <c r="A108" s="1">
        <v>105</v>
      </c>
      <c r="D108">
        <v>1</v>
      </c>
      <c r="E108">
        <v>17</v>
      </c>
      <c r="G108">
        <v>412</v>
      </c>
      <c r="I108">
        <v>279</v>
      </c>
      <c r="L108">
        <v>571</v>
      </c>
      <c r="N108">
        <v>248</v>
      </c>
      <c r="P108">
        <v>196</v>
      </c>
      <c r="R108">
        <v>7</v>
      </c>
      <c r="S108">
        <v>277</v>
      </c>
      <c r="V108">
        <v>526</v>
      </c>
      <c r="W108">
        <v>6</v>
      </c>
      <c r="Y108">
        <v>460</v>
      </c>
      <c r="AE108">
        <v>3000</v>
      </c>
    </row>
    <row r="109" spans="1:31" x14ac:dyDescent="0.25">
      <c r="A109" s="1">
        <v>106</v>
      </c>
      <c r="D109">
        <v>1</v>
      </c>
      <c r="E109">
        <v>18</v>
      </c>
      <c r="G109">
        <v>441</v>
      </c>
      <c r="I109">
        <v>279</v>
      </c>
      <c r="L109">
        <v>571</v>
      </c>
      <c r="P109">
        <v>204</v>
      </c>
      <c r="R109">
        <v>7</v>
      </c>
      <c r="S109">
        <v>277</v>
      </c>
      <c r="V109">
        <v>528</v>
      </c>
      <c r="W109">
        <v>6</v>
      </c>
      <c r="Y109">
        <v>480</v>
      </c>
      <c r="AE109">
        <v>2812</v>
      </c>
    </row>
    <row r="110" spans="1:31" x14ac:dyDescent="0.25">
      <c r="A110" s="1">
        <v>107</v>
      </c>
      <c r="D110">
        <v>2</v>
      </c>
      <c r="E110">
        <v>18</v>
      </c>
      <c r="G110">
        <v>446</v>
      </c>
      <c r="I110">
        <v>279</v>
      </c>
      <c r="L110">
        <v>576</v>
      </c>
      <c r="P110">
        <v>209</v>
      </c>
      <c r="R110">
        <v>7</v>
      </c>
      <c r="S110">
        <v>277</v>
      </c>
      <c r="V110">
        <v>553</v>
      </c>
      <c r="W110">
        <v>6</v>
      </c>
      <c r="Y110">
        <v>487</v>
      </c>
      <c r="AE110">
        <v>2860</v>
      </c>
    </row>
    <row r="111" spans="1:31" x14ac:dyDescent="0.25">
      <c r="A111" s="1">
        <v>108</v>
      </c>
      <c r="D111">
        <v>2</v>
      </c>
      <c r="E111">
        <v>18</v>
      </c>
      <c r="G111">
        <v>446</v>
      </c>
      <c r="I111">
        <v>279</v>
      </c>
      <c r="L111">
        <v>576</v>
      </c>
      <c r="P111">
        <v>222</v>
      </c>
      <c r="R111">
        <v>7</v>
      </c>
      <c r="S111">
        <v>277</v>
      </c>
      <c r="V111">
        <v>558</v>
      </c>
      <c r="W111">
        <v>6</v>
      </c>
      <c r="Y111">
        <v>495</v>
      </c>
      <c r="AE111">
        <v>2886</v>
      </c>
    </row>
    <row r="112" spans="1:31" x14ac:dyDescent="0.25">
      <c r="A112" s="1">
        <v>109</v>
      </c>
      <c r="D112">
        <v>2</v>
      </c>
      <c r="E112">
        <v>20</v>
      </c>
      <c r="G112">
        <v>454</v>
      </c>
      <c r="I112">
        <v>284</v>
      </c>
      <c r="L112">
        <v>576</v>
      </c>
      <c r="P112">
        <v>229</v>
      </c>
      <c r="R112">
        <v>5</v>
      </c>
      <c r="S112">
        <v>282</v>
      </c>
      <c r="V112">
        <v>575</v>
      </c>
      <c r="W112">
        <v>6</v>
      </c>
      <c r="Y112">
        <v>491</v>
      </c>
      <c r="AE112">
        <v>2924</v>
      </c>
    </row>
    <row r="113" spans="1:31" x14ac:dyDescent="0.25">
      <c r="A113" s="1">
        <v>110</v>
      </c>
      <c r="D113">
        <v>2</v>
      </c>
      <c r="E113">
        <v>20</v>
      </c>
      <c r="G113">
        <v>454</v>
      </c>
      <c r="I113">
        <v>284</v>
      </c>
      <c r="L113">
        <v>576</v>
      </c>
      <c r="P113">
        <v>229</v>
      </c>
      <c r="R113">
        <v>5</v>
      </c>
      <c r="S113">
        <v>282</v>
      </c>
      <c r="V113">
        <v>580</v>
      </c>
      <c r="W113">
        <v>6</v>
      </c>
      <c r="Y113">
        <v>524</v>
      </c>
      <c r="AE113">
        <v>2962</v>
      </c>
    </row>
    <row r="114" spans="1:31" x14ac:dyDescent="0.25">
      <c r="A114" s="1">
        <v>111</v>
      </c>
      <c r="D114">
        <v>2</v>
      </c>
      <c r="E114">
        <v>20</v>
      </c>
      <c r="G114">
        <v>454</v>
      </c>
      <c r="I114">
        <v>284</v>
      </c>
      <c r="L114">
        <v>576</v>
      </c>
      <c r="P114">
        <v>234</v>
      </c>
      <c r="R114">
        <v>5</v>
      </c>
      <c r="S114">
        <v>282</v>
      </c>
      <c r="V114">
        <v>580</v>
      </c>
      <c r="W114">
        <v>6</v>
      </c>
      <c r="Y114">
        <v>531</v>
      </c>
      <c r="AE114">
        <v>2974</v>
      </c>
    </row>
    <row r="115" spans="1:31" x14ac:dyDescent="0.25">
      <c r="A115" s="1">
        <v>112</v>
      </c>
      <c r="D115">
        <v>2</v>
      </c>
      <c r="E115">
        <v>19</v>
      </c>
      <c r="G115">
        <v>459</v>
      </c>
      <c r="I115">
        <v>284</v>
      </c>
      <c r="L115">
        <v>581</v>
      </c>
      <c r="P115">
        <v>250</v>
      </c>
      <c r="R115">
        <v>5</v>
      </c>
      <c r="S115">
        <v>282</v>
      </c>
      <c r="V115">
        <v>581</v>
      </c>
      <c r="W115">
        <v>6</v>
      </c>
      <c r="Y115">
        <v>531</v>
      </c>
      <c r="AE115">
        <v>3000</v>
      </c>
    </row>
    <row r="116" spans="1:31" x14ac:dyDescent="0.25">
      <c r="A116" s="1">
        <v>113</v>
      </c>
      <c r="D116">
        <v>2</v>
      </c>
      <c r="E116">
        <v>19</v>
      </c>
      <c r="G116">
        <v>464</v>
      </c>
      <c r="I116">
        <v>284</v>
      </c>
      <c r="L116">
        <v>581</v>
      </c>
      <c r="P116">
        <v>250</v>
      </c>
      <c r="R116">
        <v>5</v>
      </c>
      <c r="S116">
        <v>287</v>
      </c>
      <c r="V116">
        <v>581</v>
      </c>
      <c r="W116">
        <v>6</v>
      </c>
      <c r="Y116">
        <v>539</v>
      </c>
      <c r="AE116">
        <v>3018</v>
      </c>
    </row>
    <row r="117" spans="1:31" x14ac:dyDescent="0.25">
      <c r="A117" s="1">
        <v>114</v>
      </c>
      <c r="D117">
        <v>2</v>
      </c>
      <c r="E117">
        <v>19</v>
      </c>
      <c r="G117">
        <v>464</v>
      </c>
      <c r="I117">
        <v>289</v>
      </c>
      <c r="L117">
        <v>581</v>
      </c>
      <c r="P117">
        <v>255</v>
      </c>
      <c r="R117">
        <v>5</v>
      </c>
      <c r="S117">
        <v>286</v>
      </c>
      <c r="V117">
        <v>582</v>
      </c>
      <c r="W117">
        <v>6</v>
      </c>
      <c r="Y117">
        <v>547</v>
      </c>
      <c r="AE117">
        <v>3036</v>
      </c>
    </row>
    <row r="118" spans="1:31" x14ac:dyDescent="0.25">
      <c r="A118" s="1">
        <v>115</v>
      </c>
      <c r="D118">
        <v>2</v>
      </c>
      <c r="E118">
        <v>19</v>
      </c>
      <c r="G118">
        <v>464</v>
      </c>
      <c r="I118">
        <v>289</v>
      </c>
      <c r="L118">
        <v>579</v>
      </c>
      <c r="P118">
        <v>255</v>
      </c>
      <c r="R118">
        <v>5</v>
      </c>
      <c r="S118">
        <v>286</v>
      </c>
      <c r="V118">
        <v>592</v>
      </c>
      <c r="W118">
        <v>6</v>
      </c>
      <c r="Y118">
        <v>555</v>
      </c>
      <c r="AE118">
        <v>3052</v>
      </c>
    </row>
    <row r="119" spans="1:31" x14ac:dyDescent="0.25">
      <c r="A119" s="1">
        <v>116</v>
      </c>
      <c r="D119">
        <v>2</v>
      </c>
      <c r="E119">
        <v>19</v>
      </c>
      <c r="G119">
        <v>466</v>
      </c>
      <c r="I119">
        <v>297</v>
      </c>
      <c r="L119">
        <v>579</v>
      </c>
      <c r="P119">
        <v>262</v>
      </c>
      <c r="R119">
        <v>5</v>
      </c>
      <c r="S119">
        <v>284</v>
      </c>
      <c r="V119">
        <v>597</v>
      </c>
      <c r="W119">
        <v>6</v>
      </c>
      <c r="Y119">
        <v>562</v>
      </c>
      <c r="AE119">
        <v>3079</v>
      </c>
    </row>
    <row r="120" spans="1:31" x14ac:dyDescent="0.25">
      <c r="A120" s="1">
        <v>117</v>
      </c>
      <c r="D120">
        <v>2</v>
      </c>
      <c r="E120">
        <v>19</v>
      </c>
      <c r="G120">
        <v>471</v>
      </c>
      <c r="I120">
        <v>296</v>
      </c>
      <c r="L120">
        <v>582</v>
      </c>
      <c r="P120">
        <v>270</v>
      </c>
      <c r="R120">
        <v>5</v>
      </c>
      <c r="S120">
        <v>297</v>
      </c>
      <c r="V120">
        <v>600</v>
      </c>
      <c r="W120">
        <v>6</v>
      </c>
      <c r="Y120">
        <v>562</v>
      </c>
      <c r="AE120">
        <v>3110</v>
      </c>
    </row>
    <row r="121" spans="1:31" x14ac:dyDescent="0.25">
      <c r="A121" s="1">
        <v>118</v>
      </c>
      <c r="D121">
        <v>2</v>
      </c>
      <c r="E121">
        <v>19</v>
      </c>
      <c r="G121">
        <v>472</v>
      </c>
      <c r="I121">
        <v>296</v>
      </c>
      <c r="L121">
        <v>587</v>
      </c>
      <c r="P121">
        <v>278</v>
      </c>
      <c r="R121">
        <v>5</v>
      </c>
      <c r="S121">
        <v>305</v>
      </c>
      <c r="V121">
        <v>600</v>
      </c>
      <c r="W121">
        <v>6</v>
      </c>
      <c r="Y121">
        <v>578</v>
      </c>
      <c r="AE121">
        <v>3148</v>
      </c>
    </row>
    <row r="122" spans="1:31" x14ac:dyDescent="0.25">
      <c r="A122" s="1">
        <v>119</v>
      </c>
      <c r="D122">
        <v>2</v>
      </c>
      <c r="E122">
        <v>19</v>
      </c>
      <c r="G122">
        <v>470</v>
      </c>
      <c r="I122">
        <v>301</v>
      </c>
      <c r="L122">
        <v>587</v>
      </c>
      <c r="P122">
        <v>278</v>
      </c>
      <c r="R122">
        <v>5</v>
      </c>
      <c r="S122">
        <v>305</v>
      </c>
      <c r="V122">
        <v>609</v>
      </c>
      <c r="W122">
        <v>6</v>
      </c>
      <c r="Y122">
        <v>578</v>
      </c>
      <c r="AE122">
        <v>3160</v>
      </c>
    </row>
    <row r="123" spans="1:31" x14ac:dyDescent="0.25">
      <c r="A123" s="1">
        <v>120</v>
      </c>
      <c r="D123">
        <v>2</v>
      </c>
      <c r="E123">
        <v>19</v>
      </c>
      <c r="G123">
        <v>470</v>
      </c>
      <c r="I123">
        <v>301</v>
      </c>
      <c r="L123">
        <v>587</v>
      </c>
      <c r="P123">
        <v>291</v>
      </c>
      <c r="R123">
        <v>5</v>
      </c>
      <c r="S123">
        <v>313</v>
      </c>
      <c r="V123">
        <v>609</v>
      </c>
      <c r="W123">
        <v>6</v>
      </c>
      <c r="Y123">
        <v>583</v>
      </c>
      <c r="AE123">
        <v>3186</v>
      </c>
    </row>
    <row r="124" spans="1:31" x14ac:dyDescent="0.25">
      <c r="A124" s="1">
        <v>121</v>
      </c>
      <c r="D124">
        <v>2</v>
      </c>
      <c r="E124">
        <v>20</v>
      </c>
      <c r="G124">
        <v>477</v>
      </c>
      <c r="I124">
        <v>301</v>
      </c>
      <c r="L124">
        <v>605</v>
      </c>
      <c r="P124">
        <v>304</v>
      </c>
      <c r="R124">
        <v>5</v>
      </c>
      <c r="S124">
        <v>318</v>
      </c>
      <c r="V124">
        <v>609</v>
      </c>
      <c r="W124">
        <v>6</v>
      </c>
      <c r="Y124">
        <v>583</v>
      </c>
      <c r="AE124">
        <v>3230</v>
      </c>
    </row>
    <row r="125" spans="1:31" x14ac:dyDescent="0.25">
      <c r="A125" s="1">
        <v>122</v>
      </c>
      <c r="D125">
        <v>5</v>
      </c>
      <c r="E125">
        <v>20</v>
      </c>
      <c r="G125">
        <v>478</v>
      </c>
      <c r="I125">
        <v>301</v>
      </c>
      <c r="L125">
        <v>607</v>
      </c>
      <c r="P125">
        <v>302</v>
      </c>
      <c r="R125">
        <v>5</v>
      </c>
      <c r="S125">
        <v>318</v>
      </c>
      <c r="V125">
        <v>610</v>
      </c>
      <c r="W125">
        <v>6</v>
      </c>
      <c r="Y125">
        <v>584</v>
      </c>
      <c r="AE125">
        <v>3236</v>
      </c>
    </row>
    <row r="126" spans="1:31" x14ac:dyDescent="0.25">
      <c r="A126" s="1">
        <v>123</v>
      </c>
      <c r="D126">
        <v>5</v>
      </c>
      <c r="E126">
        <v>20</v>
      </c>
      <c r="G126">
        <v>486</v>
      </c>
      <c r="I126">
        <v>301</v>
      </c>
      <c r="L126">
        <v>610</v>
      </c>
      <c r="P126">
        <v>312</v>
      </c>
      <c r="R126">
        <v>5</v>
      </c>
      <c r="S126">
        <v>318</v>
      </c>
      <c r="V126">
        <v>611</v>
      </c>
      <c r="W126">
        <v>6</v>
      </c>
      <c r="Y126">
        <v>605</v>
      </c>
      <c r="AE126">
        <v>3279</v>
      </c>
    </row>
    <row r="127" spans="1:31" x14ac:dyDescent="0.25">
      <c r="A127" s="1">
        <v>124</v>
      </c>
      <c r="D127">
        <v>5</v>
      </c>
      <c r="E127">
        <v>20</v>
      </c>
      <c r="G127">
        <v>486</v>
      </c>
      <c r="I127">
        <v>306</v>
      </c>
      <c r="L127">
        <v>630</v>
      </c>
      <c r="P127">
        <v>320</v>
      </c>
      <c r="R127">
        <v>5</v>
      </c>
      <c r="S127">
        <v>318</v>
      </c>
      <c r="V127">
        <v>623</v>
      </c>
      <c r="W127">
        <v>6</v>
      </c>
      <c r="Y127">
        <v>610</v>
      </c>
      <c r="AE127">
        <v>3329</v>
      </c>
    </row>
    <row r="128" spans="1:31" x14ac:dyDescent="0.25">
      <c r="A128" s="1">
        <v>125</v>
      </c>
      <c r="D128">
        <v>5</v>
      </c>
      <c r="E128">
        <v>20</v>
      </c>
      <c r="G128">
        <v>515</v>
      </c>
      <c r="I128">
        <v>306</v>
      </c>
      <c r="L128">
        <v>630</v>
      </c>
      <c r="P128">
        <v>324</v>
      </c>
      <c r="R128">
        <v>5</v>
      </c>
      <c r="S128">
        <v>323</v>
      </c>
      <c r="V128">
        <v>623</v>
      </c>
      <c r="W128">
        <v>6</v>
      </c>
      <c r="Y128">
        <v>615</v>
      </c>
      <c r="AE128">
        <v>3372</v>
      </c>
    </row>
    <row r="129" spans="1:31" x14ac:dyDescent="0.25">
      <c r="A129" s="1">
        <v>126</v>
      </c>
      <c r="D129">
        <v>5</v>
      </c>
      <c r="E129">
        <v>20</v>
      </c>
      <c r="G129">
        <v>515</v>
      </c>
      <c r="I129">
        <v>306</v>
      </c>
      <c r="L129">
        <v>635</v>
      </c>
      <c r="P129">
        <v>337</v>
      </c>
      <c r="R129">
        <v>5</v>
      </c>
      <c r="S129">
        <v>324</v>
      </c>
      <c r="V129">
        <v>642</v>
      </c>
      <c r="W129">
        <v>6</v>
      </c>
      <c r="Y129">
        <v>615</v>
      </c>
      <c r="AE129">
        <v>3410</v>
      </c>
    </row>
    <row r="130" spans="1:31" x14ac:dyDescent="0.25">
      <c r="A130" s="1">
        <v>127</v>
      </c>
      <c r="D130">
        <v>5</v>
      </c>
      <c r="E130">
        <v>20</v>
      </c>
      <c r="G130">
        <v>515</v>
      </c>
      <c r="I130">
        <v>306</v>
      </c>
      <c r="L130">
        <v>634</v>
      </c>
      <c r="P130">
        <v>345</v>
      </c>
      <c r="R130">
        <v>5</v>
      </c>
      <c r="S130">
        <v>323</v>
      </c>
      <c r="V130">
        <v>644</v>
      </c>
      <c r="W130">
        <v>6</v>
      </c>
      <c r="Y130">
        <v>615</v>
      </c>
      <c r="AE130">
        <v>3418</v>
      </c>
    </row>
    <row r="131" spans="1:31" x14ac:dyDescent="0.25">
      <c r="A131" s="1">
        <v>128</v>
      </c>
      <c r="D131">
        <v>5</v>
      </c>
      <c r="E131">
        <v>20</v>
      </c>
      <c r="G131">
        <v>515</v>
      </c>
      <c r="I131">
        <v>307</v>
      </c>
      <c r="L131">
        <v>634</v>
      </c>
      <c r="P131">
        <v>345</v>
      </c>
      <c r="R131">
        <v>5</v>
      </c>
      <c r="S131">
        <v>323</v>
      </c>
      <c r="V131">
        <v>644</v>
      </c>
      <c r="W131">
        <v>4</v>
      </c>
      <c r="Y131">
        <v>623</v>
      </c>
      <c r="AE131">
        <v>3425</v>
      </c>
    </row>
    <row r="132" spans="1:31" x14ac:dyDescent="0.25">
      <c r="A132" s="1">
        <v>129</v>
      </c>
      <c r="D132">
        <v>5</v>
      </c>
      <c r="E132">
        <v>20</v>
      </c>
      <c r="G132">
        <v>520</v>
      </c>
      <c r="I132">
        <v>309</v>
      </c>
      <c r="L132">
        <v>633</v>
      </c>
      <c r="P132">
        <v>351</v>
      </c>
      <c r="R132">
        <v>5</v>
      </c>
      <c r="S132">
        <v>328</v>
      </c>
      <c r="V132">
        <v>645</v>
      </c>
      <c r="W132">
        <v>2</v>
      </c>
      <c r="Y132">
        <v>626</v>
      </c>
      <c r="AE132">
        <v>3444</v>
      </c>
    </row>
    <row r="133" spans="1:31" x14ac:dyDescent="0.25">
      <c r="A133" s="1">
        <v>130</v>
      </c>
      <c r="D133">
        <v>5</v>
      </c>
      <c r="E133">
        <v>20</v>
      </c>
      <c r="G133">
        <v>521</v>
      </c>
      <c r="I133">
        <v>314</v>
      </c>
      <c r="L133">
        <v>650</v>
      </c>
      <c r="P133">
        <v>351</v>
      </c>
      <c r="R133">
        <v>5</v>
      </c>
      <c r="S133">
        <v>327</v>
      </c>
      <c r="V133">
        <v>649</v>
      </c>
      <c r="W133">
        <v>2</v>
      </c>
      <c r="Y133">
        <v>631</v>
      </c>
      <c r="AE133">
        <v>3475</v>
      </c>
    </row>
    <row r="134" spans="1:31" x14ac:dyDescent="0.25">
      <c r="A134" s="1">
        <v>131</v>
      </c>
      <c r="D134">
        <v>5</v>
      </c>
      <c r="E134">
        <v>20</v>
      </c>
      <c r="G134">
        <v>523</v>
      </c>
      <c r="I134">
        <v>314</v>
      </c>
      <c r="L134">
        <v>650</v>
      </c>
      <c r="P134">
        <v>358</v>
      </c>
      <c r="R134">
        <v>5</v>
      </c>
      <c r="S134">
        <v>327</v>
      </c>
      <c r="V134">
        <v>658</v>
      </c>
      <c r="W134">
        <v>2</v>
      </c>
      <c r="Y134">
        <v>628</v>
      </c>
      <c r="AE134">
        <v>3490</v>
      </c>
    </row>
    <row r="135" spans="1:31" x14ac:dyDescent="0.25">
      <c r="A135" s="1">
        <v>132</v>
      </c>
      <c r="D135">
        <v>5</v>
      </c>
      <c r="E135">
        <v>20</v>
      </c>
      <c r="G135">
        <v>523</v>
      </c>
      <c r="I135">
        <v>314</v>
      </c>
      <c r="L135">
        <v>674</v>
      </c>
      <c r="P135">
        <v>358</v>
      </c>
      <c r="R135">
        <v>5</v>
      </c>
      <c r="S135">
        <v>326</v>
      </c>
      <c r="V135">
        <v>664</v>
      </c>
      <c r="W135">
        <v>2</v>
      </c>
      <c r="Y135">
        <v>628</v>
      </c>
      <c r="AE135">
        <v>3519</v>
      </c>
    </row>
    <row r="136" spans="1:31" x14ac:dyDescent="0.25">
      <c r="A136" s="1">
        <v>133</v>
      </c>
      <c r="D136">
        <v>5</v>
      </c>
      <c r="E136">
        <v>20</v>
      </c>
      <c r="G136">
        <v>528</v>
      </c>
      <c r="I136">
        <v>314</v>
      </c>
      <c r="L136">
        <v>673</v>
      </c>
      <c r="P136">
        <v>358</v>
      </c>
      <c r="R136">
        <v>5</v>
      </c>
      <c r="S136">
        <v>326</v>
      </c>
      <c r="V136">
        <v>673</v>
      </c>
      <c r="W136">
        <v>2</v>
      </c>
      <c r="Y136">
        <v>628</v>
      </c>
      <c r="AE136">
        <v>3532</v>
      </c>
    </row>
    <row r="137" spans="1:31" x14ac:dyDescent="0.25">
      <c r="A137" s="1">
        <v>134</v>
      </c>
      <c r="D137">
        <v>5</v>
      </c>
      <c r="E137">
        <v>20</v>
      </c>
      <c r="G137">
        <v>528</v>
      </c>
      <c r="I137">
        <v>313</v>
      </c>
      <c r="L137">
        <v>671</v>
      </c>
      <c r="P137">
        <v>358</v>
      </c>
      <c r="R137">
        <v>5</v>
      </c>
      <c r="S137">
        <v>331</v>
      </c>
      <c r="V137">
        <v>696</v>
      </c>
      <c r="W137">
        <v>2</v>
      </c>
      <c r="Y137">
        <v>628</v>
      </c>
      <c r="AE137">
        <v>3557</v>
      </c>
    </row>
    <row r="138" spans="1:31" x14ac:dyDescent="0.25">
      <c r="A138" s="1">
        <v>135</v>
      </c>
      <c r="D138">
        <v>5</v>
      </c>
      <c r="E138">
        <v>20</v>
      </c>
      <c r="G138">
        <v>528</v>
      </c>
      <c r="I138">
        <v>318</v>
      </c>
      <c r="L138">
        <v>671</v>
      </c>
      <c r="P138">
        <v>358</v>
      </c>
      <c r="R138">
        <v>5</v>
      </c>
      <c r="S138">
        <v>329</v>
      </c>
      <c r="V138">
        <v>698</v>
      </c>
      <c r="W138">
        <v>2</v>
      </c>
      <c r="Y138">
        <v>641</v>
      </c>
      <c r="AE138">
        <v>3575</v>
      </c>
    </row>
    <row r="139" spans="1:31" x14ac:dyDescent="0.25">
      <c r="A139" s="1">
        <v>136</v>
      </c>
      <c r="D139">
        <v>5</v>
      </c>
      <c r="E139">
        <v>20</v>
      </c>
      <c r="G139">
        <v>530</v>
      </c>
      <c r="I139">
        <v>318</v>
      </c>
      <c r="L139">
        <v>674</v>
      </c>
      <c r="P139">
        <v>363</v>
      </c>
      <c r="R139">
        <v>5</v>
      </c>
      <c r="S139">
        <v>329</v>
      </c>
      <c r="V139">
        <v>708</v>
      </c>
      <c r="W139">
        <v>2</v>
      </c>
      <c r="Y139">
        <v>641</v>
      </c>
      <c r="AE139">
        <v>3595</v>
      </c>
    </row>
    <row r="140" spans="1:31" x14ac:dyDescent="0.25">
      <c r="A140" s="1">
        <v>137</v>
      </c>
      <c r="D140">
        <v>6</v>
      </c>
      <c r="E140">
        <v>20</v>
      </c>
      <c r="G140">
        <v>535</v>
      </c>
      <c r="I140">
        <v>318</v>
      </c>
      <c r="L140">
        <v>671</v>
      </c>
      <c r="P140">
        <v>375</v>
      </c>
      <c r="R140">
        <v>5</v>
      </c>
      <c r="S140">
        <v>329</v>
      </c>
      <c r="V140">
        <v>713</v>
      </c>
      <c r="W140">
        <v>2</v>
      </c>
      <c r="Y140">
        <v>640</v>
      </c>
      <c r="AE140">
        <v>3614</v>
      </c>
    </row>
    <row r="141" spans="1:31" x14ac:dyDescent="0.25">
      <c r="A141" s="1">
        <v>138</v>
      </c>
      <c r="D141">
        <v>6</v>
      </c>
      <c r="E141">
        <v>20</v>
      </c>
      <c r="G141">
        <v>535</v>
      </c>
      <c r="I141">
        <v>318</v>
      </c>
      <c r="L141">
        <v>669</v>
      </c>
      <c r="P141">
        <v>375</v>
      </c>
      <c r="R141">
        <v>5</v>
      </c>
      <c r="S141">
        <v>329</v>
      </c>
      <c r="V141">
        <v>723</v>
      </c>
      <c r="W141">
        <v>2</v>
      </c>
      <c r="Y141">
        <v>664</v>
      </c>
      <c r="AE141">
        <v>3646</v>
      </c>
    </row>
    <row r="142" spans="1:31" x14ac:dyDescent="0.25">
      <c r="A142" s="1">
        <v>139</v>
      </c>
      <c r="D142">
        <v>6</v>
      </c>
      <c r="E142">
        <v>21</v>
      </c>
      <c r="G142">
        <v>536</v>
      </c>
      <c r="I142">
        <v>318</v>
      </c>
      <c r="L142">
        <v>668</v>
      </c>
      <c r="P142">
        <v>383</v>
      </c>
      <c r="R142">
        <v>5</v>
      </c>
      <c r="S142">
        <v>334</v>
      </c>
      <c r="V142">
        <v>723</v>
      </c>
      <c r="W142">
        <v>2</v>
      </c>
      <c r="Y142">
        <v>663</v>
      </c>
      <c r="AE142">
        <v>3659</v>
      </c>
    </row>
    <row r="143" spans="1:31" x14ac:dyDescent="0.25">
      <c r="A143" s="1">
        <v>140</v>
      </c>
      <c r="D143">
        <v>6</v>
      </c>
      <c r="E143">
        <v>21</v>
      </c>
      <c r="G143">
        <v>538</v>
      </c>
      <c r="I143">
        <v>324</v>
      </c>
      <c r="P143">
        <v>385</v>
      </c>
      <c r="R143">
        <v>5</v>
      </c>
      <c r="V143">
        <v>740</v>
      </c>
      <c r="W143">
        <v>1</v>
      </c>
      <c r="Y143">
        <v>666</v>
      </c>
      <c r="AE143">
        <v>2686</v>
      </c>
    </row>
    <row r="144" spans="1:31" x14ac:dyDescent="0.25">
      <c r="A144" s="1">
        <v>141</v>
      </c>
      <c r="D144">
        <v>6</v>
      </c>
      <c r="E144">
        <v>21</v>
      </c>
      <c r="G144">
        <v>538</v>
      </c>
      <c r="I144">
        <v>348</v>
      </c>
      <c r="P144">
        <v>390</v>
      </c>
      <c r="R144">
        <v>5</v>
      </c>
      <c r="V144">
        <v>740</v>
      </c>
      <c r="Y144">
        <v>666</v>
      </c>
      <c r="AE144">
        <v>2714</v>
      </c>
    </row>
    <row r="145" spans="1:31" x14ac:dyDescent="0.25">
      <c r="A145" s="1">
        <v>142</v>
      </c>
      <c r="D145">
        <v>6</v>
      </c>
      <c r="E145">
        <v>21</v>
      </c>
      <c r="G145">
        <v>538</v>
      </c>
      <c r="I145">
        <v>360</v>
      </c>
      <c r="P145">
        <v>392</v>
      </c>
      <c r="R145">
        <v>5</v>
      </c>
      <c r="V145">
        <v>756</v>
      </c>
      <c r="Y145">
        <v>664</v>
      </c>
      <c r="AE145">
        <v>2742</v>
      </c>
    </row>
    <row r="146" spans="1:31" x14ac:dyDescent="0.25">
      <c r="A146" s="1">
        <v>143</v>
      </c>
      <c r="D146">
        <v>6</v>
      </c>
      <c r="E146">
        <v>21</v>
      </c>
      <c r="G146">
        <v>543</v>
      </c>
      <c r="I146">
        <v>370</v>
      </c>
      <c r="P146">
        <v>392</v>
      </c>
      <c r="R146">
        <v>5</v>
      </c>
      <c r="V146">
        <v>759</v>
      </c>
      <c r="Y146">
        <v>672</v>
      </c>
      <c r="AE146">
        <v>2768</v>
      </c>
    </row>
    <row r="147" spans="1:31" x14ac:dyDescent="0.25">
      <c r="A147" s="1">
        <v>144</v>
      </c>
      <c r="D147">
        <v>6</v>
      </c>
      <c r="E147">
        <v>21</v>
      </c>
      <c r="G147">
        <v>543</v>
      </c>
      <c r="I147">
        <v>370</v>
      </c>
      <c r="P147">
        <v>408</v>
      </c>
      <c r="R147">
        <v>5</v>
      </c>
      <c r="V147">
        <v>765</v>
      </c>
      <c r="Y147">
        <v>682</v>
      </c>
      <c r="AE147">
        <v>2800</v>
      </c>
    </row>
    <row r="148" spans="1:31" x14ac:dyDescent="0.25">
      <c r="A148" s="1">
        <v>145</v>
      </c>
      <c r="D148">
        <v>6</v>
      </c>
      <c r="E148">
        <v>21</v>
      </c>
      <c r="G148">
        <v>543</v>
      </c>
      <c r="I148">
        <v>370</v>
      </c>
      <c r="P148">
        <v>408</v>
      </c>
      <c r="R148">
        <v>5</v>
      </c>
      <c r="V148">
        <v>786</v>
      </c>
      <c r="Y148">
        <v>702</v>
      </c>
      <c r="AE148">
        <v>2841</v>
      </c>
    </row>
    <row r="149" spans="1:31" x14ac:dyDescent="0.25">
      <c r="A149" s="1">
        <v>146</v>
      </c>
      <c r="D149">
        <v>7</v>
      </c>
      <c r="E149">
        <v>21</v>
      </c>
      <c r="G149">
        <v>548</v>
      </c>
      <c r="I149">
        <v>375</v>
      </c>
      <c r="P149">
        <v>418</v>
      </c>
      <c r="R149">
        <v>6</v>
      </c>
      <c r="V149">
        <v>818</v>
      </c>
      <c r="Y149">
        <v>698</v>
      </c>
      <c r="AE149">
        <v>2891</v>
      </c>
    </row>
    <row r="150" spans="1:31" x14ac:dyDescent="0.25">
      <c r="A150" s="1">
        <v>147</v>
      </c>
      <c r="D150">
        <v>7</v>
      </c>
      <c r="E150">
        <v>21</v>
      </c>
      <c r="G150">
        <v>565</v>
      </c>
      <c r="I150">
        <v>374</v>
      </c>
      <c r="P150">
        <v>423</v>
      </c>
      <c r="R150">
        <v>6</v>
      </c>
      <c r="V150">
        <v>823</v>
      </c>
      <c r="Y150">
        <v>698</v>
      </c>
      <c r="AE150">
        <v>2917</v>
      </c>
    </row>
    <row r="151" spans="1:31" x14ac:dyDescent="0.25">
      <c r="A151" s="1">
        <v>148</v>
      </c>
      <c r="D151">
        <v>7</v>
      </c>
      <c r="E151">
        <v>21</v>
      </c>
      <c r="G151">
        <v>573</v>
      </c>
      <c r="I151">
        <v>382</v>
      </c>
      <c r="P151">
        <v>435</v>
      </c>
      <c r="R151">
        <v>6</v>
      </c>
      <c r="V151">
        <v>839</v>
      </c>
      <c r="Y151">
        <v>698</v>
      </c>
      <c r="AE151">
        <v>2961</v>
      </c>
    </row>
    <row r="152" spans="1:31" x14ac:dyDescent="0.25">
      <c r="A152" s="1">
        <v>149</v>
      </c>
      <c r="D152">
        <v>7</v>
      </c>
      <c r="E152">
        <v>21</v>
      </c>
      <c r="G152">
        <v>573</v>
      </c>
      <c r="I152">
        <v>390</v>
      </c>
      <c r="P152">
        <v>435</v>
      </c>
      <c r="R152">
        <v>7</v>
      </c>
      <c r="V152">
        <v>881</v>
      </c>
      <c r="Y152">
        <v>705</v>
      </c>
      <c r="AE152">
        <v>3019</v>
      </c>
    </row>
    <row r="153" spans="1:31" x14ac:dyDescent="0.25">
      <c r="A153" s="1">
        <v>150</v>
      </c>
      <c r="D153">
        <v>7</v>
      </c>
      <c r="E153">
        <v>21</v>
      </c>
      <c r="G153">
        <v>573</v>
      </c>
      <c r="I153">
        <v>390</v>
      </c>
      <c r="P153">
        <v>435</v>
      </c>
      <c r="R153">
        <v>7</v>
      </c>
      <c r="V153">
        <v>939</v>
      </c>
      <c r="Y153">
        <v>705</v>
      </c>
      <c r="AE153">
        <v>3077</v>
      </c>
    </row>
    <row r="154" spans="1:31" x14ac:dyDescent="0.25">
      <c r="A154" s="1">
        <v>151</v>
      </c>
      <c r="D154">
        <v>7</v>
      </c>
      <c r="E154">
        <v>21</v>
      </c>
      <c r="G154">
        <v>573</v>
      </c>
      <c r="I154">
        <v>399</v>
      </c>
      <c r="P154">
        <v>439</v>
      </c>
      <c r="R154">
        <v>7</v>
      </c>
      <c r="V154">
        <v>1034</v>
      </c>
      <c r="Y154">
        <v>718</v>
      </c>
      <c r="AE154">
        <v>3198</v>
      </c>
    </row>
    <row r="155" spans="1:31" x14ac:dyDescent="0.25">
      <c r="A155" s="1">
        <v>152</v>
      </c>
      <c r="D155">
        <v>7</v>
      </c>
      <c r="E155">
        <v>21</v>
      </c>
      <c r="G155">
        <v>573</v>
      </c>
      <c r="I155">
        <v>401</v>
      </c>
      <c r="P155">
        <v>447</v>
      </c>
      <c r="R155">
        <v>7</v>
      </c>
      <c r="V155">
        <v>1037</v>
      </c>
      <c r="Y155">
        <v>726</v>
      </c>
      <c r="AE155">
        <v>3219</v>
      </c>
    </row>
    <row r="156" spans="1:31" x14ac:dyDescent="0.25">
      <c r="A156" s="1">
        <v>153</v>
      </c>
      <c r="D156">
        <v>7</v>
      </c>
      <c r="E156">
        <v>21</v>
      </c>
      <c r="G156">
        <v>573</v>
      </c>
      <c r="I156">
        <v>401</v>
      </c>
      <c r="P156">
        <v>476</v>
      </c>
      <c r="R156">
        <v>7</v>
      </c>
      <c r="V156">
        <v>1101</v>
      </c>
      <c r="Y156">
        <v>726</v>
      </c>
      <c r="AE156">
        <v>3312</v>
      </c>
    </row>
    <row r="157" spans="1:31" x14ac:dyDescent="0.25">
      <c r="A157" s="1">
        <v>154</v>
      </c>
      <c r="D157">
        <v>7</v>
      </c>
      <c r="E157">
        <v>21</v>
      </c>
      <c r="G157">
        <v>573</v>
      </c>
      <c r="I157">
        <v>401</v>
      </c>
      <c r="P157">
        <v>476</v>
      </c>
      <c r="R157">
        <v>7</v>
      </c>
      <c r="V157">
        <v>1121</v>
      </c>
      <c r="Y157">
        <v>742</v>
      </c>
      <c r="AE157">
        <v>3348</v>
      </c>
    </row>
    <row r="158" spans="1:31" x14ac:dyDescent="0.25">
      <c r="A158" s="1">
        <v>155</v>
      </c>
      <c r="D158">
        <v>7</v>
      </c>
      <c r="E158">
        <v>21</v>
      </c>
      <c r="G158">
        <v>573</v>
      </c>
      <c r="I158">
        <v>413</v>
      </c>
      <c r="P158">
        <v>485</v>
      </c>
      <c r="R158">
        <v>8</v>
      </c>
      <c r="V158">
        <v>1161</v>
      </c>
      <c r="Y158">
        <v>740</v>
      </c>
      <c r="AE158">
        <v>3408</v>
      </c>
    </row>
    <row r="159" spans="1:31" x14ac:dyDescent="0.25">
      <c r="A159" s="1">
        <v>156</v>
      </c>
      <c r="D159">
        <v>8</v>
      </c>
      <c r="E159">
        <v>23</v>
      </c>
      <c r="G159">
        <v>573</v>
      </c>
      <c r="I159">
        <v>413</v>
      </c>
      <c r="P159">
        <v>485</v>
      </c>
      <c r="R159">
        <v>9</v>
      </c>
      <c r="V159">
        <v>1181</v>
      </c>
      <c r="Y159">
        <v>736</v>
      </c>
      <c r="AE159">
        <v>3428</v>
      </c>
    </row>
    <row r="160" spans="1:31" x14ac:dyDescent="0.25">
      <c r="A160" s="1">
        <v>157</v>
      </c>
      <c r="D160">
        <v>8</v>
      </c>
      <c r="E160">
        <v>24</v>
      </c>
      <c r="G160">
        <v>573</v>
      </c>
      <c r="I160">
        <v>418</v>
      </c>
      <c r="P160">
        <v>485</v>
      </c>
      <c r="R160">
        <v>9</v>
      </c>
      <c r="V160">
        <v>1197</v>
      </c>
      <c r="Y160">
        <v>740</v>
      </c>
      <c r="AE160">
        <v>3454</v>
      </c>
    </row>
    <row r="161" spans="1:31" x14ac:dyDescent="0.25">
      <c r="A161" s="1">
        <v>158</v>
      </c>
      <c r="D161">
        <v>8</v>
      </c>
      <c r="E161">
        <v>24</v>
      </c>
      <c r="G161">
        <v>597</v>
      </c>
      <c r="I161">
        <v>423</v>
      </c>
      <c r="P161">
        <v>485</v>
      </c>
      <c r="R161">
        <v>9</v>
      </c>
      <c r="V161">
        <v>1237</v>
      </c>
      <c r="Y161">
        <v>745</v>
      </c>
      <c r="AE161">
        <v>3528</v>
      </c>
    </row>
    <row r="162" spans="1:31" x14ac:dyDescent="0.25">
      <c r="A162" s="1">
        <v>159</v>
      </c>
      <c r="D162">
        <v>8</v>
      </c>
      <c r="E162">
        <v>24</v>
      </c>
      <c r="G162">
        <v>621</v>
      </c>
      <c r="I162">
        <v>423</v>
      </c>
      <c r="P162">
        <v>498</v>
      </c>
      <c r="R162">
        <v>9</v>
      </c>
      <c r="V162">
        <v>1305</v>
      </c>
      <c r="Y162">
        <v>753</v>
      </c>
      <c r="AE162">
        <v>3641</v>
      </c>
    </row>
    <row r="163" spans="1:31" x14ac:dyDescent="0.25">
      <c r="A163" s="1">
        <v>160</v>
      </c>
      <c r="D163">
        <v>8</v>
      </c>
      <c r="E163">
        <v>24</v>
      </c>
      <c r="G163">
        <v>621</v>
      </c>
      <c r="I163">
        <v>423</v>
      </c>
      <c r="P163">
        <v>504</v>
      </c>
      <c r="R163">
        <v>9</v>
      </c>
      <c r="V163">
        <v>1345</v>
      </c>
      <c r="Y163">
        <v>760</v>
      </c>
      <c r="AE163">
        <v>3694</v>
      </c>
    </row>
    <row r="164" spans="1:31" x14ac:dyDescent="0.25">
      <c r="A164" s="1">
        <v>161</v>
      </c>
      <c r="D164">
        <v>8</v>
      </c>
      <c r="E164">
        <v>26</v>
      </c>
      <c r="G164">
        <v>621</v>
      </c>
      <c r="I164">
        <v>423</v>
      </c>
      <c r="P164">
        <v>518</v>
      </c>
      <c r="R164">
        <v>9</v>
      </c>
      <c r="V164">
        <v>1345</v>
      </c>
      <c r="Y164">
        <v>756</v>
      </c>
      <c r="AE164">
        <v>3706</v>
      </c>
    </row>
    <row r="165" spans="1:31" x14ac:dyDescent="0.25">
      <c r="A165" s="1">
        <v>162</v>
      </c>
      <c r="D165">
        <v>9</v>
      </c>
      <c r="E165">
        <v>26</v>
      </c>
      <c r="G165">
        <v>621</v>
      </c>
      <c r="I165">
        <v>421</v>
      </c>
      <c r="P165">
        <v>522</v>
      </c>
      <c r="R165">
        <v>10</v>
      </c>
      <c r="V165">
        <v>1367</v>
      </c>
      <c r="Y165">
        <v>754</v>
      </c>
      <c r="AE165">
        <v>3730</v>
      </c>
    </row>
    <row r="166" spans="1:31" x14ac:dyDescent="0.25">
      <c r="A166" s="1">
        <v>163</v>
      </c>
      <c r="D166">
        <v>9</v>
      </c>
      <c r="E166">
        <v>26</v>
      </c>
      <c r="G166">
        <v>621</v>
      </c>
      <c r="I166">
        <v>421</v>
      </c>
      <c r="P166">
        <v>550</v>
      </c>
      <c r="R166">
        <v>10</v>
      </c>
      <c r="V166">
        <v>1367</v>
      </c>
      <c r="Y166">
        <v>754</v>
      </c>
      <c r="AE166">
        <v>3758</v>
      </c>
    </row>
    <row r="167" spans="1:31" x14ac:dyDescent="0.25">
      <c r="A167" s="1">
        <v>164</v>
      </c>
      <c r="D167">
        <v>9</v>
      </c>
      <c r="E167">
        <v>26</v>
      </c>
      <c r="G167">
        <v>621</v>
      </c>
      <c r="I167">
        <v>421</v>
      </c>
      <c r="P167">
        <v>587</v>
      </c>
      <c r="R167">
        <v>10</v>
      </c>
      <c r="V167">
        <v>1379</v>
      </c>
      <c r="Y167">
        <v>753</v>
      </c>
      <c r="AE167">
        <v>3806</v>
      </c>
    </row>
    <row r="168" spans="1:31" x14ac:dyDescent="0.25">
      <c r="A168" s="1">
        <v>165</v>
      </c>
      <c r="D168">
        <v>9</v>
      </c>
      <c r="E168">
        <v>26</v>
      </c>
      <c r="G168">
        <v>621</v>
      </c>
      <c r="I168">
        <v>421</v>
      </c>
      <c r="P168">
        <v>601</v>
      </c>
      <c r="R168">
        <v>10</v>
      </c>
      <c r="V168">
        <v>1379</v>
      </c>
      <c r="Y168">
        <v>751</v>
      </c>
      <c r="AE168">
        <v>3818</v>
      </c>
    </row>
    <row r="169" spans="1:31" x14ac:dyDescent="0.25">
      <c r="A169" s="1">
        <v>166</v>
      </c>
      <c r="D169">
        <v>9</v>
      </c>
      <c r="E169">
        <v>26</v>
      </c>
      <c r="G169">
        <v>629</v>
      </c>
      <c r="I169">
        <v>421</v>
      </c>
      <c r="P169">
        <v>633</v>
      </c>
      <c r="R169">
        <v>11</v>
      </c>
      <c r="V169">
        <v>1379</v>
      </c>
      <c r="AE169">
        <v>3108</v>
      </c>
    </row>
    <row r="170" spans="1:31" x14ac:dyDescent="0.25">
      <c r="A170" s="1">
        <v>167</v>
      </c>
      <c r="D170">
        <v>9</v>
      </c>
      <c r="E170">
        <v>26</v>
      </c>
      <c r="G170">
        <v>629</v>
      </c>
      <c r="I170">
        <v>420</v>
      </c>
      <c r="P170">
        <v>641</v>
      </c>
      <c r="R170">
        <v>11</v>
      </c>
      <c r="V170">
        <v>1380</v>
      </c>
      <c r="AE170">
        <v>3116</v>
      </c>
    </row>
    <row r="171" spans="1:31" x14ac:dyDescent="0.25">
      <c r="A171" s="1">
        <v>168</v>
      </c>
      <c r="D171">
        <v>9</v>
      </c>
      <c r="E171">
        <v>26</v>
      </c>
      <c r="G171">
        <v>629</v>
      </c>
      <c r="I171">
        <v>417</v>
      </c>
      <c r="P171">
        <v>641</v>
      </c>
      <c r="R171">
        <v>11</v>
      </c>
      <c r="V171">
        <v>1390</v>
      </c>
      <c r="AE171">
        <v>3123</v>
      </c>
    </row>
    <row r="172" spans="1:31" x14ac:dyDescent="0.25">
      <c r="A172" s="1">
        <v>169</v>
      </c>
      <c r="D172">
        <v>9</v>
      </c>
      <c r="E172">
        <v>26</v>
      </c>
      <c r="G172">
        <v>629</v>
      </c>
      <c r="P172">
        <v>641</v>
      </c>
      <c r="R172">
        <v>11</v>
      </c>
      <c r="V172">
        <v>1404</v>
      </c>
      <c r="AE172">
        <v>2720</v>
      </c>
    </row>
    <row r="173" spans="1:31" x14ac:dyDescent="0.25">
      <c r="A173" s="1">
        <v>170</v>
      </c>
      <c r="D173">
        <v>9</v>
      </c>
      <c r="E173">
        <v>26</v>
      </c>
      <c r="G173">
        <v>629</v>
      </c>
      <c r="P173">
        <v>641</v>
      </c>
      <c r="R173">
        <v>11</v>
      </c>
      <c r="V173">
        <v>1420</v>
      </c>
      <c r="AE173">
        <v>2736</v>
      </c>
    </row>
    <row r="174" spans="1:31" x14ac:dyDescent="0.25">
      <c r="A174" s="1" t="s">
        <v>101</v>
      </c>
    </row>
    <row r="175" spans="1:31" x14ac:dyDescent="0.25">
      <c r="A175" s="1" t="s">
        <v>3</v>
      </c>
      <c r="B175">
        <v>1655</v>
      </c>
      <c r="C175">
        <v>21</v>
      </c>
      <c r="D175">
        <v>777</v>
      </c>
      <c r="E175">
        <v>2403</v>
      </c>
      <c r="F175">
        <v>10793</v>
      </c>
      <c r="G175">
        <v>52113</v>
      </c>
      <c r="H175">
        <v>273</v>
      </c>
      <c r="I175">
        <v>33258</v>
      </c>
      <c r="J175">
        <v>7979</v>
      </c>
      <c r="K175">
        <v>125</v>
      </c>
      <c r="L175">
        <v>45213</v>
      </c>
      <c r="M175">
        <v>6241</v>
      </c>
      <c r="N175">
        <v>13915</v>
      </c>
      <c r="O175">
        <v>14</v>
      </c>
      <c r="P175">
        <v>35570</v>
      </c>
      <c r="Q175">
        <v>122</v>
      </c>
      <c r="R175">
        <v>853</v>
      </c>
      <c r="S175">
        <v>26651</v>
      </c>
      <c r="T175">
        <v>1401</v>
      </c>
      <c r="U175">
        <v>339</v>
      </c>
      <c r="V175">
        <v>77639</v>
      </c>
      <c r="W175">
        <v>730</v>
      </c>
      <c r="X175">
        <v>72</v>
      </c>
      <c r="Y175">
        <v>57810</v>
      </c>
      <c r="Z175">
        <v>5693</v>
      </c>
      <c r="AA175">
        <v>118</v>
      </c>
      <c r="AB175">
        <v>130</v>
      </c>
      <c r="AC175">
        <v>308</v>
      </c>
      <c r="AE175">
        <v>382216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8096EC-CC27-406B-A8E5-332F2780EB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Data</vt:lpstr>
      <vt:lpstr>factions</vt:lpstr>
      <vt:lpstr>Faction Strength</vt:lpstr>
      <vt:lpstr>Regions</vt:lpstr>
      <vt:lpstr>Dominance</vt:lpstr>
      <vt:lpstr>Dominance!Campaign_Series</vt:lpstr>
      <vt:lpstr>Regions!Campaign_Series</vt:lpstr>
      <vt:lpstr>Campaign_Series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Bronikowski</dc:creator>
  <cp:lastModifiedBy>Joseph Bronikowski</cp:lastModifiedBy>
  <dcterms:created xsi:type="dcterms:W3CDTF">2024-09-01T15:11:57Z</dcterms:created>
  <dcterms:modified xsi:type="dcterms:W3CDTF">2025-11-18T01:02:45Z</dcterms:modified>
</cp:coreProperties>
</file>